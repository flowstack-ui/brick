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Index!$A$1:$N$20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<sst xmlns="http://schemas.openxmlformats.org/spreadsheetml/2006/main" count="4780" uniqueCount="1314">
  <si>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</si>
  <si>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</si>
  <si>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</si>
  <si>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</si>
  <si>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</si>
  <si>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</si>
  <si>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</si>
  <si>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</si>
  <si>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</si>
  <si>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</si>
  <si>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</si>
  <si>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</si>
  <si>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</si>
  <si>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</si>
  <si>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</si>
  <si>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</si>
  <si>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</si>
  <si>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</si>
  <si>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</si>
  <si>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</si>
  <si>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</si>
  <si>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</si>
  <si>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</si>
  <si>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</si>
  <si>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</si>
  <si>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</si>
  <si>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</si>
  <si>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</si>
  <si>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</si>
  <si>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</si>
  <si>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</si>
  <si>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</si>
  <si>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</si>
  <si>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</si>
  <si>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</si>
  <si>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</si>
  <si>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</si>
  <si>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</si>
  <si>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</si>
  <si>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</si>
  <si>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</si>
  <si>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</si>
  <si>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</si>
  <si>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</si>
  <si>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</si>
  <si>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</si>
  <si>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</si>
  <si>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</si>
  <si>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</si>
  <si>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</si>
  <si>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</si>
  <si>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</si>
  <si>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</si>
  <si>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</si>
  <si>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</si>
  <si>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</si>
  <si>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</si>
  <si>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</si>
  <si>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</si>
  <si>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</si>
  <si>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</si>
  <si>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</si>
  <si>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</si>
  <si>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</si>
  <si>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</si>
  <si>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</si>
  <si>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</si>
  <si>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</si>
  <si>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</si>
  <si>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</si>
  <si>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</si>
  <si>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</si>
  <si>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</si>
  <si>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</si>
  <si>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</si>
  <si>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</si>
  <si>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</si>
  <si>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</si>
  <si>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</si>
  <si>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</si>
  <si>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</si>
  <si>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</si>
  <si>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</si>
  <si>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</si>
  <si>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</si>
  <si>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</si>
  <si>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</si>
  <si>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</si>
  <si>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</si>
  <si>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</si>
  <si>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</si>
  <si>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</si>
  <si>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</si>
  <si>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</si>
  <si>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</si>
  <si>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</si>
  <si>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</si>
  <si>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</si>
  <si>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</si>
  <si>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</si>
  <si>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</si>
  <si>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</si>
  <si>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</si>
  <si>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</si>
  <si>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</si>
  <si>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</si>
  <si>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</si>
  <si>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</si>
  <si>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</si>
  <si>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</si>
  <si>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</si>
  <si>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</si>
  <si>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</si>
  <si>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</si>
  <si>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</si>
  <si>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</si>
  <si>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</si>
  <si>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</si>
  <si>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</si>
  <si>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</si>
  <si>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</si>
  <si>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</si>
  <si>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</si>
  <si>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</si>
  <si>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</si>
  <si>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</si>
  <si>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</si>
  <si>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</si>
  <si>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</si>
  <si>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</si>
  <si>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</si>
  <si>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</si>
  <si>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</si>
  <si>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</si>
  <si>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</si>
  <si>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</si>
  <si>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</si>
  <si>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</si>
  <si>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</si>
  <si>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</si>
  <si>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</si>
  <si>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</si>
  <si>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</si>
  <si>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</si>
  <si>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</si>
  <si>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</si>
  <si>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</si>
  <si>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</si>
  <si>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</si>
  <si>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</si>
  <si>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</si>
  <si>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</si>
  <si>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</si>
  <si>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</si>
  <si>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</si>
  <si>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</si>
  <si>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</si>
  <si>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</si>
  <si>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</si>
  <si>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</si>
  <si>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</si>
  <si>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</si>
  <si>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</si>
  <si>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</si>
  <si>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</si>
  <si>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</si>
  <si>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</si>
  <si>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</si>
  <si>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</si>
  <si>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</si>
  <si>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</si>
  <si>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</si>
  <si>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</si>
  <si>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</si>
  <si>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</si>
  <si>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</si>
  <si>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</si>
  <si>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</si>
  <si>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</si>
  <si>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</si>
  <si>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</si>
  <si>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</si>
  <si>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</si>
  <si>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</si>
  <si>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</si>
  <si>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</si>
  <si>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</si>
  <si>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</si>
  <si>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</si>
  <si>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</si>
  <si>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</si>
  <si>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</si>
  <si>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</si>
  <si>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</si>
  <si>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</si>
  <si>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</si>
  <si>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</si>
  <si>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</si>
  <si>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</si>
  <si>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</si>
  <si>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</si>
  <si>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</si>
  <si>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</si>
  <si>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</si>
  <si>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</si>
  <si>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</si>
  <si>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</si>
  <si>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</si>
  <si>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</si>
  <si>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</si>
  <si>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</si>
  <si>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</si>
  <si>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</si>
  <si>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</si>
  <si>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</si>
  <si>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</si>
  <si>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</si>
  <si>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</si>
  <si>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</si>
  <si>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</si>
  <si>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</si>
  <si>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</si>
  <si>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</si>
  <si>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</si>
  <si>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</si>
  <si>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</si>
  <si>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</si>
  <si>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</si>
  <si>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</si>
  <si>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</si>
  <si>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</si>
  <si>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</si>
  <si>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</si>
  <si>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</si>
  <si>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</si>
  <si>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</si>
  <si>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</si>
  <si>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</si>
  <si>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</si>
  <si>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</si>
  <si>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</si>
  <si>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</si>
  <si>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</si>
  <si>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</si>
  <si>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</si>
  <si>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</si>
  <si>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</si>
  <si>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</si>
  <si>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</si>
  <si>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</si>
  <si>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</si>
  <si>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</si>
  <si>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</si>
  <si>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</si>
  <si>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</si>
  <si>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</si>
  <si>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</si>
  <si>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</si>
  <si>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</si>
  <si>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</si>
  <si>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</si>
  <si>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</si>
  <si>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</si>
  <si>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</si>
  <si>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</si>
  <si>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</si>
  <si>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</si>
  <si>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</si>
  <si>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</si>
  <si>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</si>
  <si>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</si>
  <si>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</si>
  <si>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</si>
  <si>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</si>
  <si>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</si>
  <si>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</si>
  <si>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</si>
  <si>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</si>
  <si>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</si>
  <si>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</si>
  <si>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</si>
  <si>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</si>
  <si>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</si>
  <si>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</si>
  <si>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</si>
  <si>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</si>
  <si>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</si>
  <si>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</si>
  <si>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</si>
  <si>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</si>
  <si>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</si>
  <si>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</si>
  <si>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</si>
  <si>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</si>
  <si>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</si>
  <si>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</si>
  <si>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</si>
  <si>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</si>
  <si>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</si>
  <si>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</si>
  <si>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</si>
  <si>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</si>
  <si>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</si>
  <si>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</si>
  <si>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</si>
  <si>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</si>
  <si>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</si>
  <si>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</si>
  <si>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</si>
  <si>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</si>
  <si>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</si>
  <si>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</si>
  <si>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</si>
  <si>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</si>
  <si>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</si>
  <si>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</si>
  <si>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</si>
  <si>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</si>
  <si>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</si>
  <si>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</si>
  <si>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</si>
  <si>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</si>
  <si>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</si>
  <si>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</si>
  <si>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</si>
  <si>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</si>
  <si>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</si>
  <si>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</si>
  <si>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</si>
  <si>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</si>
  <si>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</si>
  <si>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</si>
  <si>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</si>
  <si>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</si>
  <si>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</si>
  <si>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</si>
  <si>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</si>
  <si>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</si>
  <si>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</si>
  <si>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</si>
  <si>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</si>
  <si>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</si>
  <si>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</si>
  <si>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</si>
  <si>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</si>
  <si>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</si>
  <si>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</si>
  <si>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</si>
  <si>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</si>
  <si>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</si>
  <si>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</si>
  <si>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</si>
  <si>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</si>
  <si>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</si>
  <si>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</si>
  <si>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</si>
  <si>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</si>
  <si>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</si>
  <si>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</si>
  <si>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</si>
  <si>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</si>
  <si>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</si>
  <si>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</si>
  <si>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</si>
  <si>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</si>
  <si>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</si>
  <si>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</si>
  <si>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</si>
  <si>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</si>
  <si>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</si>
  <si>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</si>
  <si>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</si>
  <si>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</si>
  <si>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</si>
  <si>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</si>
  <si>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</si>
  <si>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</si>
  <si>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</si>
  <si>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</si>
  <si>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</si>
  <si>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</si>
  <si>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</si>
  <si>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</si>
  <si>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</si>
  <si>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</si>
  <si>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</si>
  <si>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</si>
  <si>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</si>
  <si>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</si>
  <si>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</si>
  <si>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</si>
  <si>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</si>
  <si>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</si>
  <si>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</si>
  <si>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</si>
  <si>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</si>
  <si>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</si>
  <si>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</si>
  <si>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</si>
  <si>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</si>
  <si>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</si>
  <si>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</si>
  <si>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</si>
  <si>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</si>
  <si>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</si>
  <si>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</si>
  <si>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</si>
  <si>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</si>
  <si>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</si>
  <si>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</si>
  <si>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</si>
  <si>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</si>
  <si>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</si>
  <si>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</si>
  <si>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</si>
  <si>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</si>
  <si>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</si>
  <si>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</si>
  <si>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</si>
  <si>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</si>
  <si>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</si>
  <si>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</si>
  <si>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</si>
  <si>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</si>
  <si>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</si>
  <si>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</si>
  <si>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</si>
  <si>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</si>
  <si>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</si>
  <si>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</si>
  <si>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</si>
  <si>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</si>
  <si>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</si>
  <si>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</si>
  <si>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</si>
  <si>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</si>
  <si>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</si>
  <si>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</si>
  <si>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</si>
  <si>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</si>
  <si>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</si>
  <si>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</si>
  <si>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</si>
  <si>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</si>
  <si>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</si>
  <si>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</si>
  <si>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</si>
  <si>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</si>
  <si>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</si>
  <si>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</si>
  <si>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</si>
  <si>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</si>
  <si>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</si>
  <si>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</si>
  <si>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</si>
  <si>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</si>
  <si>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</si>
  <si>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</si>
  <si>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</si>
  <si>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</si>
  <si>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</si>
  <si>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</si>
  <si>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</si>
  <si>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</si>
  <si>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</si>
  <si>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</si>
  <si>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</si>
  <si>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</si>
  <si>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</si>
  <si>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</si>
  <si>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</si>
  <si>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</si>
  <si>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</si>
  <si>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</si>
  <si>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</si>
  <si>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</si>
  <si>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</si>
  <si>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</si>
  <si>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</si>
  <si>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</si>
  <si>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</si>
  <si>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</si>
  <si>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</si>
  <si>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</si>
  <si>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</si>
  <si>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</si>
  <si>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</si>
  <si>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</si>
  <si>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</si>
  <si>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</si>
  <si>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</si>
  <si>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</si>
  <si>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</si>
  <si>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</si>
  <si>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</si>
  <si>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</si>
  <si>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</si>
  <si>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</si>
  <si>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</si>
  <si>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</si>
  <si>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</si>
  <si>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</si>
  <si>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</si>
  <si>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</si>
  <si>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</si>
  <si>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</si>
  <si>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</si>
  <si>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</si>
  <si>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</si>
  <si>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</si>
  <si>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</si>
  <si>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</si>
  <si>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</si>
  <si>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</si>
  <si>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</si>
  <si>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</si>
  <si>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</si>
  <si>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pass; iOS Safari 26.5.2 Hide Toolbar reproduces a shared Atom modal scroll-lock/visual-viewport blocker in Drawer and Dialog.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</si>
  <si>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</si>
  <si>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</si>
  <si>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</si>
  <si>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</si>
  <si>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</si>
  <si>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</si>
  <si>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</si>
  <si>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</si>
  <si>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</si>
  <si>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</si>
  <si>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</si>
  <si>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</si>
  <si>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</si>
  <si>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</si>
  <si>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</si>
  <si>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</si>
  <si>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</si>
  <si>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</si>
  <si>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</si>
  <si>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</si>
  <si>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</si>
  <si>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</si>
  <si>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</si>
  <si>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</si>
  <si>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</si>
  <si>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</si>
  <si>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</si>
  <si>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</si>
  <si>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</si>
  <si>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</si>
  <si>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</si>
  <si>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</si>
  <si>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</si>
  <si>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</si>
  <si>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</si>
  <si>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</si>
  <si>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</si>
  <si>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</si>
  <si>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</si>
  <si>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</si>
  <si>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</si>
  <si>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</si>
  <si>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</si>
  <si>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</si>
  <si>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</si>
  <si>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</si>
  <si>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</si>
  <si>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</si>
  <si>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</si>
  <si>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</si>
  <si>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</si>
  <si>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</si>
  <si>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</si>
  <si>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</si>
  <si>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</si>
  <si>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</si>
  <si>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</si>
  <si>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</si>
  <si>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</si>
  <si>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</si>
  <si>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</si>
  <si>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</si>
  <si>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</si>
  <si>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</si>
  <si>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</si>
  <si>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</si>
  <si>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</si>
  <si>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</si>
  <si>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</si>
  <si>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</si>
  <si>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</si>
  <si>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</si>
  <si>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</si>
  <si>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</si>
  <si>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</si>
  <si>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</si>
  <si>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</si>
  <si>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</si>
  <si>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</si>
  <si>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</si>
  <si>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</si>
  <si>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</si>
  <si>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</si>
  <si>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</si>
  <si>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</si>
  <si>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</si>
  <si>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</si>
  <si>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</si>
  <si>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</si>
  <si>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</si>
  <si>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</si>
  <si>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</si>
  <si>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</si>
  <si>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</si>
  <si>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</si>
  <si>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</si>
  <si>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</si>
  <si>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</si>
  <si>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</si>
  <si>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</si>
  <si>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</si>
  <si>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</si>
  <si>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</si>
  <si>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</si>
  <si>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</si>
  <si>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</si>
  <si>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</si>
  <si>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</si>
  <si>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</si>
  <si>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</si>
  <si>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</si>
  <si>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</si>
  <si>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</si>
  <si>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</si>
  <si>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</si>
  <si>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</si>
  <si>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</si>
  <si>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</si>
  <si>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</si>
  <si>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</si>
  <si>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</si>
  <si>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</si>
  <si>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</si>
  <si>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</si>
  <si>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</si>
  <si>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</si>
  <si>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</si>
  <si>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</si>
  <si>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</si>
  <si>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</si>
  <si>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</si>
  <si>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</si>
  <si>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</si>
  <si>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</si>
  <si>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</si>
  <si>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</si>
  <si>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</si>
  <si>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</si>
  <si>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</si>
  <si>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</si>
  <si>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</si>
  <si>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</si>
  <si>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</si>
  <si>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</si>
  <si>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</si>
  <si>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</si>
  <si>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</si>
  <si>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</si>
  <si>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</si>
  <si>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</si>
  <si>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</si>
  <si>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</si>
  <si>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</si>
  <si>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</si>
  <si>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</si>
  <si>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</si>
  <si>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</si>
  <si>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</si>
  <si>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</si>
  <si>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</si>
  <si>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</si>
  <si>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</si>
  <si>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</si>
  <si>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</si>
  <si>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</si>
  <si>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</si>
  <si>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</si>
  <si>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</si>
  <si>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</si>
  <si>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</si>
  <si>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</si>
  <si>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</si>
  <si>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</si>
  <si>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</si>
  <si>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</si>
  <si>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</si>
  <si>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</si>
  <si>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</si>
  <si>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</si>
  <si>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</si>
  <si>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</si>
  <si>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</si>
  <si>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</si>
  <si>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</si>
  <si>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</si>
  <si>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</si>
  <si>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</si>
  <si>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</si>
  <si>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</si>
  <si>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</si>
  <si>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</si>
  <si>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</si>
  <si>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</si>
  <si>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</si>
  <si>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</si>
  <si>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</si>
  <si>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</si>
  <si>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</si>
  <si>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</si>
  <si>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</si>
  <si>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</si>
  <si>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</si>
  <si>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</si>
  <si>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</si>
  <si>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</si>
  <si>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</si>
  <si>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</si>
  <si>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</si>
  <si>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</si>
  <si>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</si>
  <si>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</si>
  <si>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</si>
  <si>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</si>
  <si>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</si>
  <si>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</si>
  <si>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</si>
  <si>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</si>
  <si>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</si>
  <si>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</si>
  <si>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</si>
  <si>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</si>
  <si>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</si>
  <si>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</si>
  <si>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</si>
  <si>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</si>
  <si>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</si>
  <si>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</si>
  <si>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</si>
  <si>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</si>
  <si>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</si>
  <si>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</si>
  <si>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</si>
  <si>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</si>
  <si>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</si>
  <si>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</si>
  <si>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</si>
  <si>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</si>
  <si>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</si>
  <si>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</si>
  <si>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</si>
  <si>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</si>
  <si>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</si>
  <si>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</si>
  <si>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</si>
  <si>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</si>
  <si>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</si>
  <si>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</si>
  <si>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</si>
  <si>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</si>
  <si>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</si>
  <si>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</si>
  <si>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</si>
  <si>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</si>
  <si>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</si>
  <si>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</si>
  <si>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</si>
  <si>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</si>
  <si>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</si>
  <si>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</si>
  <si>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</si>
  <si>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</si>
  <si>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</si>
  <si>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</si>
  <si>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</si>
  <si>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</si>
  <si>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</si>
  <si>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</si>
  <si>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</si>
  <si>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</si>
  <si>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</si>
  <si>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</si>
  <si>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</si>
  <si>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</si>
  <si>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</si>
  <si>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</si>
  <si>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</si>
  <si>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</si>
  <si>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</si>
  <si>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</si>
  <si>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</si>
  <si>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</si>
  <si>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</si>
  <si>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</si>
  <si>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</si>
  <si>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</si>
  <si>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</si>
  <si>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</si>
  <si>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</si>
  <si>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</si>
  <si>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Owner manual review intentionally deferred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</si>
  <si>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</si>
  <si>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</si>
  <si>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</si>
  <si>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</si>
  <si>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</si>
  <si>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</si>
  <si>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</si>
  <si>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</si>
  <si>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</si>
  <si>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</si>
  <si>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</si>
  <si>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</si>
  <si>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</si>
  <si>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</si>
  <si>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</si>
  <si>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</si>
  <si>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</si>
  <si>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</si>
  <si>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</si>
  <si>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</si>
  <si>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</si>
  <si>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</si>
  <si>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</si>
  <si>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</si>
  <si>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</si>
  <si>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</si>
  <si>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</si>
  <si>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</si>
  <si>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</si>
  <si>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</si>
  <si>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</si>
  <si>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</si>
  <si>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</si>
  <si>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</si>
  <si>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</si>
  <si>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</si>
  <si>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</si>
  <si>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</si>
  <si>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</si>
  <si>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</si>
  <si>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</si>
  <si>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</si>
  <si>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</si>
  <si>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</si>
  <si>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</si>
  <si>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</si>
  <si>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</si>
  <si>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</si>
  <si>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</si>
  <si>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</si>
  <si>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</si>
  <si>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</si>
  <si>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</si>
  <si>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</si>
  <si>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</si>
  <si>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</si>
  <si>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</si>
  <si>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</si>
  <si>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</si>
  <si>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</si>
  <si>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</si>
  <si>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</si>
  <si>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</si>
  <si>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</si>
  <si>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</si>
  <si>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</si>
  <si>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</si>
  <si>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</si>
  <si>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</si>
  <si>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</si>
  <si>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</si>
  <si>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</si>
  <si>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</si>
  <si>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</si>
  <si>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</si>
  <si>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</si>
  <si>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</si>
  <si>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</si>
  <si>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</si>
  <si>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</si>
  <si>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</si>
  <si>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</si>
  <si>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</si>
  <si>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manual-tests/icon-button-app-bar.md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</si>
  <si>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</si>
  <si>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</si>
  <si>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</si>
  <si>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</si>
  <si>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</si>
  <si>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</si>
  <si>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</si>
  <si>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</si>
  <si>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</si>
  <si>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</si>
  <si>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</si>
  <si>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</si>
  <si>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</si>
  <si>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</si>
  <si>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</si>
  <si>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</si>
  <si>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</si>
  <si>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</si>
  <si>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</si>
  <si>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</si>
  <si>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</si>
  <si>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</si>
  <si>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</si>
  <si>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</si>
  <si>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</si>
  <si>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</si>
  <si>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</si>
  <si>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</si>
  <si>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</si>
  <si>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</si>
  <si>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</si>
  <si>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</si>
  <si>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</si>
  <si>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</si>
  <si>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</si>
  <si>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</si>
  <si>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</si>
  <si>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</si>
  <si>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</si>
  <si>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</si>
  <si>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</si>
  <si>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</si>
  <si>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</si>
  <si>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</si>
  <si>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</si>
  <si>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</si>
  <si>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</si>
  <si>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</si>
  <si>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</si>
  <si>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</si>
  <si>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</si>
  <si>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</si>
  <si>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</si>
  <si>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</si>
  <si>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</si>
  <si>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</si>
  <si>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</si>
  <si>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</si>
  <si>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</si>
  <si>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</si>
  <si>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</si>
  <si>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</si>
  <si>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</si>
  <si>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</si>
  <si>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</si>
  <si>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</si>
  <si>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</si>
  <si>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</si>
  <si>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</si>
  <si>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</si>
  <si>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</si>
  <si>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</si>
  <si>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</si>
  <si>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</si>
  <si>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</si>
  <si>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</si>
  <si>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</si>
  <si>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</si>
  <si>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</si>
  <si>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</si>
  <si>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</si>
  <si>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</si>
  <si>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</si>
  <si>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</si>
  <si>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</si>
  <si>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</si>
  <si>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</si>
  <si>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</si>
  <si>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</si>
  <si>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</si>
  <si>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</si>
  <si>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</si>
  <si>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</si>
  <si>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</si>
  <si>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</si>
  <si>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</si>
  <si>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</si>
  <si>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</si>
  <si>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</si>
  <si>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</si>
  <si>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</si>
  <si>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</si>
  <si>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</si>
  <si>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</si>
  <si>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</si>
  <si>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</si>
  <si>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</si>
  <si>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</si>
  <si>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</si>
  <si>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</si>
  <si>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</si>
  <si>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</si>
  <si>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</si>
  <si>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</si>
  <si>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</si>
  <si>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</si>
  <si>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</si>
  <si>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</si>
  <si>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</si>
  <si>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</si>
  <si>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</si>
  <si>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</si>
  <si>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</si>
  <si>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</si>
  <si>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</si>
  <si>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</si>
  <si>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</si>
  <si>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</si>
  <si>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</si>
  <si>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</si>
  <si>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</si>
  <si>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</si>
  <si>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</si>
  <si>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</si>
  <si>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</si>
  <si>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</si>
  <si>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</si>
  <si>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</si>
  <si>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</si>
  <si>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</si>
  <si>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</si>
  <si>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</si>
  <si>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</si>
  <si>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</si>
  <si>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</si>
  <si>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</si>
  <si>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</si>
  <si>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</si>
  <si>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</si>
  <si>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</si>
  <si>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</si>
  <si>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</si>
  <si>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</si>
  <si>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</si>
  <si>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</si>
  <si>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</si>
  <si>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</si>
  <si>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</si>
  <si>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</si>
  <si>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</si>
  <si>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</si>
  <si>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</si>
  <si>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Owner manual review pending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</si>
  <si>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</si>
  <si>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</si>
  <si>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</si>
  <si>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Owner physical-device review pending</t>
  </si>
  <si>
    <t xml:space="preserve">TTP-18</t>
  </si>
  <si>
    <t xml:space="preserve">Android Chrome touch behavior matches the adopted mobile contract</t>
  </si>
  <si>
    <t xml:space="preserve">Android device review pending</t>
  </si>
  <si>
    <t xml:space="preserve">TTP-19</t>
  </si>
  <si>
    <t xml:space="preserve">Plain neutral inverse recipe is visually approved in light and dark</t>
  </si>
  <si>
    <t xml:space="preserve">/tooltip</t>
  </si>
  <si>
    <t xml:space="preserve">Owner visual review pending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</si>
  <si>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</si>
  <si>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</si>
  <si>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</si>
  <si>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</si>
  <si>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</si>
  <si>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</si>
  <si>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</si>
  <si>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</si>
  <si>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</si>
  <si>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</si>
  <si>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</si>
  <si>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Owner zoom review pending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</si>
  <si>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</si>
  <si>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</si>
  <si>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</si>
  <si>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</si>
  <si>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</si>
  <si>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Owner RTL review pending</t>
  </si>
  <si>
    <t xml:space="preserve">TTP-27</t>
  </si>
  <si>
    <t xml:space="preserve">Reduced-motion behavior and visible forced-colors boundary are approved</t>
  </si>
  <si>
    <t xml:space="preserve">Owner preference review pending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</si>
  <si>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</si>
  <si>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</si>
  <si>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</si>
  <si>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</si>
  <si>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</si>
  <si>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</si>
  <si>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</si>
  <si>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</si>
  <si>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</si>
  <si>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</si>
  <si>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</si>
  <si>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</si>
  <si>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</si>
  <si>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</si>
  <si>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</si>
  <si>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</si>
  <si>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</si>
  <si>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</si>
  <si>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</si>
  <si>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</si>
  <si>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TTP-35</t>
  </si>
  <si>
    <t xml:space="preserve">Manual</t>
  </si>
  <si>
    <t xml:space="preserve">Numbered desktop/mobile protocol has a completed owner run</t>
  </si>
  <si>
    <t xml:space="preserve">Owner run pending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</si>
  <si>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</si>
  <si>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</si>
  <si>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</si>
  <si>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</si>
  <si>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</si>
  <si>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</si>
  <si>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</si>
  <si>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</si>
  <si>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</si>
  <si>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</si>
  <si>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</si>
  <si>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</si>
  <si>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</si>
  <si>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</si>
  <si>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</si>
  <si>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</si>
  <si>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Owner manual review and full gates pending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</si>
  <si>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</si>
  <si>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</si>
  <si>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</si>
  <si>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</si>
  <si>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</si>
  <si>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</si>
  <si>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</si>
  <si>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</si>
  <si>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</si>
  <si>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</si>
  <si>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</si>
  <si>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</si>
  <si>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</si>
  <si>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</si>
  <si>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</si>
  <si>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</si>
  <si>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</si>
  <si>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</si>
  <si>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</si>
  <si>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</si>
  <si>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</si>
  <si>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</si>
  <si>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</si>
  <si>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</si>
  <si>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</si>
  <si>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</si>
  <si>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</si>
  <si>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</si>
  <si>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</si>
  <si>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</si>
  <si>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</si>
  <si>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</si>
  <si>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</si>
  <si>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</si>
  <si>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</si>
  <si>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</si>
  <si>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</si>
  <si>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</si>
  <si>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</si>
  <si>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@flowstack-ui/atom@0.3.5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</si>
  <si>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</si>
  <si>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</si>
  <si>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</si>
  <si>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HVC-18</t>
  </si>
  <si>
    <t xml:space="preserve">Physical Android Chrome link activation works without preview reliance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</si>
  <si>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</si>
  <si>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</si>
  <si>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</si>
  <si>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</si>
  <si>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</si>
  <si>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</si>
  <si>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</si>
  <si>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</si>
  <si>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</si>
  <si>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</si>
  <si>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</si>
  <si>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</si>
  <si>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</si>
  <si>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</si>
  <si>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</si>
  <si>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</si>
  <si>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</si>
  <si>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</si>
  <si>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</si>
  <si>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</si>
  <si>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</si>
  <si>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Owner screen-reader review pending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</si>
  <si>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</si>
  <si>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</si>
  <si>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</si>
  <si>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0.3.5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</si>
  <si>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</si>
  <si>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</si>
  <si>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</si>
  <si>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</si>
  <si>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</si>
  <si>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</si>
  <si>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</si>
  <si>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</si>
  <si>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</si>
  <si>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</si>
  <si>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</si>
  <si>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</si>
  <si>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</si>
  <si>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</si>
  <si>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</si>
  <si>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</si>
  <si>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</si>
  <si>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</si>
  <si>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</si>
  <si>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slice remains until owner manual and final replacement gates pass</t>
  </si>
  <si>
    <t xml:space="preserve">Owner manual and final retirement audit pending</t>
  </si>
  <si>
    <t xml:space="preserve">Popover Evidence Matrix</t>
  </si>
  <si>
    <t xml:space="preserve">Evidence gates for the adopted twelve-part Popover API, Atom 0.4.0 behavior boundary, package proof, Consumer cutover, owner review, and Sidebar-blocked Core retirement.</t>
  </si>
  <si>
    <t xml:space="preserve">POP-01</t>
  </si>
  <si>
    <t xml:space="preserve">Directly styles public Atom 0.4.0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</si>
  <si>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</si>
  <si>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</si>
  <si>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</si>
  <si>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</si>
  <si>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</si>
  <si>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</si>
  <si>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</si>
  <si>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</si>
  <si>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</si>
  <si>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</si>
  <si>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</si>
  <si>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</si>
  <si>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</si>
  <si>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</si>
  <si>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</si>
  <si>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</si>
  <si>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</si>
  <si>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</si>
  <si>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</si>
  <si>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</si>
  <si>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</si>
  <si>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</si>
  <si>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</si>
  <si>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</si>
  <si>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</si>
  <si>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</si>
  <si>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</si>
  <si>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</si>
  <si>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</si>
  <si>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</si>
  <si>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</si>
  <si>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</si>
  <si>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</si>
  <si>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</si>
  <si>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</si>
  <si>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</si>
  <si>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</si>
  <si>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</si>
  <si>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</si>
  <si>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</si>
  <si>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</si>
  <si>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0.4.0 owns initial/final focus controls and touch-safe default behavior</t>
  </si>
  <si>
    <t xml:space="preserve">@flowstack-ui/atom@0.4.0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</si>
  <si>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</si>
  <si>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</si>
  <si>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</si>
  <si>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</si>
  <si>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</si>
  <si>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</si>
  <si>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</si>
  <si>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</si>
  <si>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</si>
  <si>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</si>
  <si>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</si>
  <si>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</si>
  <si>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</si>
  <si>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</si>
  <si>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</si>
  <si>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POP-25</t>
  </si>
  <si>
    <t xml:space="preserve">Shared Arrow fill, border, and collision alignment are owner-approved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</si>
  <si>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</si>
  <si>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</si>
  <si>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</si>
  <si>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</si>
  <si>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</si>
  <si>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POP-28</t>
  </si>
  <si>
    <t xml:space="preserve">RTL internal alignment, action order, and collision placement are owner-approved</t>
  </si>
  <si>
    <t xml:space="preserve">POP-29</t>
  </si>
  <si>
    <t xml:space="preserve">Reduced-motion and forced-colors surface, Arrow, controls, and boundaries are owner-approved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</si>
  <si>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</si>
  <si>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</si>
  <si>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</si>
  <si>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</si>
  <si>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</si>
  <si>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0.4.0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</si>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</sst>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COUNTA(A8:A20)</f>
        <v>13</v>
      </c>
      <c r="C4" s="4" t="s">
        <v>3</v>
      </c>
      <c r="D4" s="5" t="n">
        <f aca="false">COUNTIF(N8:N20,"complete")</f>
        <v>2</v>
      </c>
      <c r="E4" s="4" t="s">
        <v>4</v>
      </c>
      <c r="F4" s="5" t="n">
        <f aca="false">SUM(H8:H20)</f>
        <v>7</v>
      </c>
      <c r="G4" s="4" t="s">
        <v>5</v>
      </c>
      <c r="H4" s="6" t="n">
        <f aca="false">IFERROR(SUMPRODUCT(B8:B20,J8:J20)/SUM(B8:B20),0)</f>
        <v>0.919753086419753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0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2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0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5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1</v>
      </c>
      <c r="K14" s="8" t="str">
        <f aca="false">IF(COUNTIFS(Avatar!E9:E47,"package",Avatar!M9:M47,"&lt;1")=0,"complete","open")</f>
        <v>complete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complete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1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6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0.974358974358974</v>
      </c>
      <c r="K15" s="8" t="str">
        <f aca="false">IF(COUNTIFS(Toggle!E9:E47,"package",Toggle!M9:M47,"&lt;1")=0,"complete","open")</f>
        <v>open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in progress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1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8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0.974358974358974</v>
      </c>
      <c r="K16" s="8" t="str">
        <f aca="false">IF(COUNTIFS(IconButton!E9:E47,"package",IconButton!M9:M47,"&lt;1")=0,"complete","open")</f>
        <v>open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in progress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1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7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0.974358974358974</v>
      </c>
      <c r="K17" s="8" t="str">
        <f aca="false">IF(COUNTIFS(AppBar!E9:E47,"package",AppBar!M9:M47,"&lt;1")=0,"complete","open")</f>
        <v>open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in progress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11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</v>
      </c>
      <c r="H18" s="8" t="n">
        <f aca="false">COUNTIF(Tooltip!H9:H47,"blocked")</f>
        <v>1</v>
      </c>
      <c r="I18" s="8" t="n">
        <f aca="false">COUNTIF(Tooltip!H9:H47,"not applicable")</f>
        <v>0</v>
      </c>
      <c r="J18" s="9" t="n">
        <f aca="false">IFERROR(SUM(Tooltip!M9:M47)/SUM(Tooltip!L9:L47),0)</f>
        <v>0.692307692307692</v>
      </c>
      <c r="K18" s="8" t="str">
        <f aca="false">IF(COUNTIFS(Tooltip!E9:E47,"package",Tooltip!M9:M47,"&lt;1")=0,"complete","open")</f>
        <v>open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11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</v>
      </c>
      <c r="H19" s="8" t="n">
        <f aca="false">COUNTIF(HoverCard!H9:H47,"blocked")</f>
        <v>0</v>
      </c>
      <c r="I19" s="8" t="n">
        <f aca="false">COUNTIF(HoverCard!H9:H47,"not applicable")</f>
        <v>0</v>
      </c>
      <c r="J19" s="9" t="n">
        <f aca="false">IFERROR(SUM(HoverCard!M9:M47)/SUM(HoverCard!L9:L47),0)</f>
        <v>0.717948717948718</v>
      </c>
      <c r="K19" s="8" t="str">
        <f aca="false">IF(COUNTIFS(HoverCard!E9:E47,"package",HoverCard!M9:M47,"&lt;1")=0,"complete","open")</f>
        <v>open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open</v>
      </c>
      <c r="N19" s="1" t="str">
        <f aca="false">IF(H19&gt;0,"blocked",IF(AND(J19=1,K19="complete",L19="complete",M19="complete"),"complete",IF(J19=0,"not started","in progress")))</f>
        <v>in progress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6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1</v>
      </c>
      <c r="H20" s="8" t="n">
        <f aca="false">COUNTIF(Popover!H9:H47,"blocked")</f>
        <v>1</v>
      </c>
      <c r="I20" s="8" t="n">
        <f aca="false">COUNTIF(Popover!H9:H47,"not applicable")</f>
        <v>0</v>
      </c>
      <c r="J20" s="9" t="n">
        <f aca="false">IFERROR(SUM(Popover!M9:M47)/SUM(Popover!L9:L47),0)</f>
        <v>0.820512820512821</v>
      </c>
      <c r="K20" s="8" t="str">
        <f aca="false">IF(COUNTIFS(Popover!E9:E47,"package",Popover!M9:M47,"&lt;1")=0,"complete","open")</f>
        <v>open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32</v>
      </c>
      <c r="B1" s="2"/>
      <c r="C1" s="2"/>
      <c r="D1" s="2"/>
    </row>
    <row r="2" customFormat="false" ht="33.75" hidden="false" customHeight="true" outlineLevel="0" collapsed="false">
      <c r="A2" s="3" t="s">
        <v>33</v>
      </c>
      <c r="B2" s="3"/>
      <c r="C2" s="3"/>
      <c r="D2" s="3"/>
    </row>
    <row r="4" customFormat="false" ht="15" hidden="false" customHeight="true" outlineLevel="0" collapsed="false">
      <c r="A4" s="7" t="s">
        <v>34</v>
      </c>
      <c r="B4" s="7" t="s">
        <v>35</v>
      </c>
    </row>
    <row r="5" customFormat="false" ht="30" hidden="false" customHeight="true" outlineLevel="0" collapsed="false">
      <c r="A5" s="10" t="s">
        <v>36</v>
      </c>
      <c r="B5" s="11" t="s">
        <v>37</v>
      </c>
    </row>
    <row r="6" customFormat="false" ht="30" hidden="false" customHeight="true" outlineLevel="0" collapsed="false">
      <c r="A6" s="12" t="s">
        <v>18</v>
      </c>
      <c r="B6" s="13" t="s">
        <v>38</v>
      </c>
    </row>
    <row r="7" customFormat="false" ht="30" hidden="false" customHeight="true" outlineLevel="0" collapsed="false">
      <c r="A7" s="10" t="s">
        <v>18</v>
      </c>
      <c r="B7" s="11" t="s">
        <v>39</v>
      </c>
    </row>
    <row r="8" customFormat="false" ht="30" hidden="false" customHeight="true" outlineLevel="0" collapsed="false">
      <c r="A8" s="12" t="s">
        <v>18</v>
      </c>
      <c r="B8" s="13" t="s">
        <v>40</v>
      </c>
    </row>
    <row r="9" customFormat="false" ht="30" hidden="false" customHeight="true" outlineLevel="0" collapsed="false">
      <c r="A9" s="10" t="s">
        <v>18</v>
      </c>
      <c r="B9" s="11" t="s">
        <v>41</v>
      </c>
    </row>
    <row r="10" customFormat="false" ht="30" hidden="false" customHeight="true" outlineLevel="0" collapsed="false">
      <c r="A10" s="12" t="s">
        <v>18</v>
      </c>
      <c r="B10" s="13" t="s">
        <v>42</v>
      </c>
    </row>
    <row r="11" customFormat="false" ht="30" hidden="false" customHeight="true" outlineLevel="0" collapsed="false">
      <c r="A11" s="10" t="s">
        <v>18</v>
      </c>
      <c r="B11" s="11" t="s">
        <v>43</v>
      </c>
    </row>
    <row r="12" customFormat="false" ht="30" hidden="false" customHeight="true" outlineLevel="0" collapsed="false">
      <c r="A12" s="12" t="s">
        <v>18</v>
      </c>
      <c r="B12" s="13" t="s">
        <v>44</v>
      </c>
    </row>
    <row r="13" customFormat="false" ht="30" hidden="false" customHeight="true" outlineLevel="0" collapsed="false">
      <c r="A13" s="10" t="s">
        <v>14</v>
      </c>
      <c r="B13" s="11" t="s">
        <v>45</v>
      </c>
    </row>
    <row r="14" customFormat="false" ht="30" hidden="false" customHeight="true" outlineLevel="0" collapsed="false">
      <c r="A14" s="12" t="s">
        <v>15</v>
      </c>
      <c r="B14" s="13" t="s">
        <v>46</v>
      </c>
    </row>
    <row r="15" customFormat="false" ht="30" hidden="false" customHeight="true" outlineLevel="0" collapsed="false">
      <c r="A15" s="10" t="s">
        <v>16</v>
      </c>
      <c r="B15" s="11" t="s">
        <v>47</v>
      </c>
    </row>
    <row r="16" customFormat="false" ht="30" hidden="false" customHeight="true" outlineLevel="0" collapsed="false">
      <c r="A16" s="12" t="s">
        <v>17</v>
      </c>
      <c r="B16" s="13" t="s">
        <v>48</v>
      </c>
    </row>
    <row r="17" customFormat="false" ht="30" hidden="false" customHeight="true" outlineLevel="0" collapsed="false">
      <c r="A17" s="10" t="s">
        <v>49</v>
      </c>
      <c r="B17" s="11" t="s">
        <v>50</v>
      </c>
    </row>
    <row r="18" customFormat="false" ht="30" hidden="false" customHeight="true" outlineLevel="0" collapsed="false">
      <c r="A18" s="12" t="s">
        <v>51</v>
      </c>
      <c r="B18" s="13" t="s">
        <v>52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55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.75" hidden="false" customHeight="true" outlineLevel="0" collapsed="false">
      <c r="A9" s="15" t="s">
        <v>68</v>
      </c>
      <c r="B9" s="15" t="s">
        <v>69</v>
      </c>
      <c r="C9" s="15" t="s">
        <v>6</v>
      </c>
      <c r="D9" s="15" t="s">
        <v>70</v>
      </c>
      <c r="E9" s="15" t="s">
        <v>71</v>
      </c>
      <c r="F9" s="15" t="s">
        <v>72</v>
      </c>
      <c r="G9" s="16" t="s">
        <v>73</v>
      </c>
      <c r="H9" s="15" t="s">
        <v>74</v>
      </c>
      <c r="I9" s="15" t="s">
        <v>75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76</v>
      </c>
      <c r="B10" s="15" t="s">
        <v>77</v>
      </c>
      <c r="C10" s="15" t="s">
        <v>6</v>
      </c>
      <c r="D10" s="15" t="s">
        <v>78</v>
      </c>
      <c r="E10" s="15" t="s">
        <v>71</v>
      </c>
      <c r="F10" s="15" t="s">
        <v>79</v>
      </c>
      <c r="G10" s="16" t="s">
        <v>80</v>
      </c>
      <c r="H10" s="15" t="s">
        <v>81</v>
      </c>
      <c r="I10" s="15" t="s">
        <v>82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83</v>
      </c>
      <c r="B11" s="15" t="s">
        <v>69</v>
      </c>
      <c r="C11" s="15" t="s">
        <v>6</v>
      </c>
      <c r="D11" s="15" t="s">
        <v>84</v>
      </c>
      <c r="E11" s="15" t="s">
        <v>71</v>
      </c>
      <c r="F11" s="15" t="s">
        <v>85</v>
      </c>
      <c r="G11" s="16" t="s">
        <v>86</v>
      </c>
      <c r="H11" s="15" t="s">
        <v>74</v>
      </c>
      <c r="I11" s="15" t="s">
        <v>75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87</v>
      </c>
      <c r="B12" s="15" t="s">
        <v>69</v>
      </c>
      <c r="C12" s="15" t="s">
        <v>6</v>
      </c>
      <c r="D12" s="15" t="s">
        <v>88</v>
      </c>
      <c r="E12" s="15" t="s">
        <v>71</v>
      </c>
      <c r="F12" s="15" t="s">
        <v>85</v>
      </c>
      <c r="G12" s="16" t="s">
        <v>89</v>
      </c>
      <c r="H12" s="15" t="s">
        <v>74</v>
      </c>
      <c r="I12" s="15" t="s">
        <v>75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90</v>
      </c>
      <c r="B13" s="15" t="s">
        <v>91</v>
      </c>
      <c r="C13" s="15" t="s">
        <v>6</v>
      </c>
      <c r="D13" s="15" t="s">
        <v>92</v>
      </c>
      <c r="E13" s="15" t="s">
        <v>71</v>
      </c>
      <c r="F13" s="15" t="s">
        <v>72</v>
      </c>
      <c r="G13" s="16" t="s">
        <v>93</v>
      </c>
      <c r="H13" s="15" t="s">
        <v>74</v>
      </c>
      <c r="I13" s="15" t="s">
        <v>75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94</v>
      </c>
      <c r="B14" s="15" t="s">
        <v>91</v>
      </c>
      <c r="C14" s="15" t="s">
        <v>6</v>
      </c>
      <c r="D14" s="15" t="s">
        <v>95</v>
      </c>
      <c r="E14" s="15" t="s">
        <v>71</v>
      </c>
      <c r="F14" s="15" t="s">
        <v>72</v>
      </c>
      <c r="G14" s="16" t="s">
        <v>96</v>
      </c>
      <c r="H14" s="15" t="s">
        <v>81</v>
      </c>
      <c r="I14" s="15" t="s">
        <v>82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97</v>
      </c>
      <c r="B15" s="15" t="s">
        <v>98</v>
      </c>
      <c r="C15" s="15" t="s">
        <v>6</v>
      </c>
      <c r="D15" s="15" t="s">
        <v>99</v>
      </c>
      <c r="E15" s="15" t="s">
        <v>71</v>
      </c>
      <c r="F15" s="15" t="s">
        <v>100</v>
      </c>
      <c r="G15" s="16" t="s">
        <v>101</v>
      </c>
      <c r="H15" s="15" t="s">
        <v>81</v>
      </c>
      <c r="I15" s="15" t="s">
        <v>82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102</v>
      </c>
      <c r="B16" s="15" t="s">
        <v>98</v>
      </c>
      <c r="C16" s="15" t="s">
        <v>6</v>
      </c>
      <c r="D16" s="15" t="s">
        <v>103</v>
      </c>
      <c r="E16" s="15" t="s">
        <v>71</v>
      </c>
      <c r="F16" s="15" t="s">
        <v>100</v>
      </c>
      <c r="G16" s="16" t="s">
        <v>101</v>
      </c>
      <c r="H16" s="15" t="s">
        <v>81</v>
      </c>
      <c r="I16" s="15" t="s">
        <v>82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104</v>
      </c>
      <c r="B17" s="15" t="s">
        <v>98</v>
      </c>
      <c r="C17" s="15" t="s">
        <v>6</v>
      </c>
      <c r="D17" s="15" t="s">
        <v>105</v>
      </c>
      <c r="E17" s="15" t="s">
        <v>71</v>
      </c>
      <c r="F17" s="15" t="s">
        <v>100</v>
      </c>
      <c r="G17" s="16" t="s">
        <v>101</v>
      </c>
      <c r="H17" s="15" t="s">
        <v>81</v>
      </c>
      <c r="I17" s="15" t="s">
        <v>82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106</v>
      </c>
      <c r="B18" s="15" t="s">
        <v>98</v>
      </c>
      <c r="C18" s="15" t="s">
        <v>6</v>
      </c>
      <c r="D18" s="15" t="s">
        <v>107</v>
      </c>
      <c r="E18" s="15" t="s">
        <v>71</v>
      </c>
      <c r="F18" s="15" t="s">
        <v>100</v>
      </c>
      <c r="G18" s="16" t="s">
        <v>108</v>
      </c>
      <c r="H18" s="15" t="s">
        <v>81</v>
      </c>
      <c r="I18" s="15" t="s">
        <v>82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109</v>
      </c>
      <c r="B19" s="15" t="s">
        <v>98</v>
      </c>
      <c r="C19" s="15" t="s">
        <v>6</v>
      </c>
      <c r="D19" s="15" t="s">
        <v>110</v>
      </c>
      <c r="E19" s="15" t="s">
        <v>71</v>
      </c>
      <c r="F19" s="15" t="s">
        <v>100</v>
      </c>
      <c r="G19" s="16" t="s">
        <v>101</v>
      </c>
      <c r="H19" s="15" t="s">
        <v>81</v>
      </c>
      <c r="I19" s="15" t="s">
        <v>82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111</v>
      </c>
      <c r="B20" s="15" t="s">
        <v>98</v>
      </c>
      <c r="C20" s="15" t="s">
        <v>6</v>
      </c>
      <c r="D20" s="15" t="s">
        <v>112</v>
      </c>
      <c r="E20" s="15" t="s">
        <v>71</v>
      </c>
      <c r="F20" s="15" t="s">
        <v>100</v>
      </c>
      <c r="G20" s="16" t="s">
        <v>101</v>
      </c>
      <c r="H20" s="15" t="s">
        <v>81</v>
      </c>
      <c r="I20" s="15" t="s">
        <v>82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113</v>
      </c>
      <c r="B21" s="15" t="s">
        <v>98</v>
      </c>
      <c r="C21" s="15" t="s">
        <v>6</v>
      </c>
      <c r="D21" s="15" t="s">
        <v>114</v>
      </c>
      <c r="E21" s="15" t="s">
        <v>71</v>
      </c>
      <c r="F21" s="15" t="s">
        <v>100</v>
      </c>
      <c r="G21" s="16" t="s">
        <v>115</v>
      </c>
      <c r="H21" s="15" t="s">
        <v>74</v>
      </c>
      <c r="I21" s="15" t="s">
        <v>75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116</v>
      </c>
      <c r="B22" s="15" t="s">
        <v>117</v>
      </c>
      <c r="C22" s="15" t="s">
        <v>6</v>
      </c>
      <c r="D22" s="15" t="s">
        <v>118</v>
      </c>
      <c r="E22" s="15" t="s">
        <v>71</v>
      </c>
      <c r="F22" s="15" t="s">
        <v>119</v>
      </c>
      <c r="G22" s="16" t="s">
        <v>89</v>
      </c>
      <c r="H22" s="15" t="s">
        <v>74</v>
      </c>
      <c r="I22" s="15" t="s">
        <v>75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120</v>
      </c>
      <c r="B23" s="15" t="s">
        <v>117</v>
      </c>
      <c r="C23" s="15" t="s">
        <v>6</v>
      </c>
      <c r="D23" s="15" t="s">
        <v>121</v>
      </c>
      <c r="E23" s="15" t="s">
        <v>71</v>
      </c>
      <c r="F23" s="15" t="s">
        <v>119</v>
      </c>
      <c r="G23" s="16" t="s">
        <v>122</v>
      </c>
      <c r="H23" s="15" t="s">
        <v>74</v>
      </c>
      <c r="I23" s="15" t="s">
        <v>75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123</v>
      </c>
      <c r="B24" s="15" t="s">
        <v>117</v>
      </c>
      <c r="C24" s="15" t="s">
        <v>6</v>
      </c>
      <c r="D24" s="15" t="s">
        <v>124</v>
      </c>
      <c r="E24" s="15" t="s">
        <v>71</v>
      </c>
      <c r="F24" s="15" t="s">
        <v>119</v>
      </c>
      <c r="G24" s="16" t="s">
        <v>115</v>
      </c>
      <c r="H24" s="15" t="s">
        <v>74</v>
      </c>
      <c r="I24" s="15" t="s">
        <v>75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125</v>
      </c>
      <c r="B25" s="15" t="s">
        <v>117</v>
      </c>
      <c r="C25" s="15" t="s">
        <v>6</v>
      </c>
      <c r="D25" s="15" t="s">
        <v>126</v>
      </c>
      <c r="E25" s="15" t="s">
        <v>71</v>
      </c>
      <c r="F25" s="15" t="s">
        <v>119</v>
      </c>
      <c r="G25" s="16" t="s">
        <v>127</v>
      </c>
      <c r="H25" s="15" t="s">
        <v>74</v>
      </c>
      <c r="I25" s="15" t="s">
        <v>75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128</v>
      </c>
      <c r="B26" s="15" t="s">
        <v>117</v>
      </c>
      <c r="C26" s="15" t="s">
        <v>6</v>
      </c>
      <c r="D26" s="15" t="s">
        <v>129</v>
      </c>
      <c r="E26" s="15" t="s">
        <v>71</v>
      </c>
      <c r="F26" s="15" t="s">
        <v>119</v>
      </c>
      <c r="G26" s="15" t="s">
        <v>130</v>
      </c>
      <c r="H26" s="15" t="s">
        <v>81</v>
      </c>
      <c r="I26" s="15" t="s">
        <v>82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131</v>
      </c>
      <c r="B27" s="15" t="s">
        <v>117</v>
      </c>
      <c r="C27" s="15" t="s">
        <v>6</v>
      </c>
      <c r="D27" s="15" t="s">
        <v>132</v>
      </c>
      <c r="E27" s="15" t="s">
        <v>71</v>
      </c>
      <c r="F27" s="15" t="s">
        <v>119</v>
      </c>
      <c r="G27" s="16" t="s">
        <v>133</v>
      </c>
      <c r="H27" s="15" t="s">
        <v>74</v>
      </c>
      <c r="I27" s="15" t="s">
        <v>75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134</v>
      </c>
      <c r="B28" s="15" t="s">
        <v>117</v>
      </c>
      <c r="C28" s="15" t="s">
        <v>6</v>
      </c>
      <c r="D28" s="15" t="s">
        <v>135</v>
      </c>
      <c r="E28" s="15" t="s">
        <v>71</v>
      </c>
      <c r="F28" s="15" t="s">
        <v>119</v>
      </c>
      <c r="G28" s="16" t="s">
        <v>136</v>
      </c>
      <c r="H28" s="15" t="s">
        <v>74</v>
      </c>
      <c r="I28" s="15" t="s">
        <v>75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137</v>
      </c>
      <c r="B29" s="15" t="s">
        <v>138</v>
      </c>
      <c r="C29" s="15" t="s">
        <v>6</v>
      </c>
      <c r="D29" s="15" t="s">
        <v>139</v>
      </c>
      <c r="E29" s="15" t="s">
        <v>71</v>
      </c>
      <c r="F29" s="15" t="s">
        <v>140</v>
      </c>
      <c r="G29" s="16" t="s">
        <v>101</v>
      </c>
      <c r="H29" s="15" t="s">
        <v>74</v>
      </c>
      <c r="I29" s="15" t="s">
        <v>75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141</v>
      </c>
      <c r="B30" s="15" t="s">
        <v>138</v>
      </c>
      <c r="C30" s="15" t="s">
        <v>6</v>
      </c>
      <c r="D30" s="15" t="s">
        <v>142</v>
      </c>
      <c r="E30" s="15" t="s">
        <v>71</v>
      </c>
      <c r="F30" s="15" t="s">
        <v>140</v>
      </c>
      <c r="G30" s="15" t="s">
        <v>101</v>
      </c>
      <c r="H30" s="15" t="s">
        <v>81</v>
      </c>
      <c r="I30" s="15" t="s">
        <v>82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143</v>
      </c>
      <c r="B31" s="15" t="s">
        <v>144</v>
      </c>
      <c r="C31" s="15" t="s">
        <v>6</v>
      </c>
      <c r="D31" s="15" t="s">
        <v>145</v>
      </c>
      <c r="E31" s="15" t="s">
        <v>71</v>
      </c>
      <c r="F31" s="15" t="s">
        <v>146</v>
      </c>
      <c r="G31" s="16" t="s">
        <v>147</v>
      </c>
      <c r="H31" s="15" t="s">
        <v>81</v>
      </c>
      <c r="I31" s="15" t="s">
        <v>82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148</v>
      </c>
      <c r="B32" s="15" t="s">
        <v>144</v>
      </c>
      <c r="C32" s="15" t="s">
        <v>6</v>
      </c>
      <c r="D32" s="15" t="s">
        <v>149</v>
      </c>
      <c r="E32" s="15" t="s">
        <v>71</v>
      </c>
      <c r="F32" s="15" t="s">
        <v>146</v>
      </c>
      <c r="G32" s="16" t="s">
        <v>150</v>
      </c>
      <c r="H32" s="15" t="s">
        <v>74</v>
      </c>
      <c r="I32" s="15" t="s">
        <v>75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151</v>
      </c>
      <c r="B33" s="15" t="s">
        <v>152</v>
      </c>
      <c r="C33" s="15" t="s">
        <v>6</v>
      </c>
      <c r="D33" s="15" t="s">
        <v>153</v>
      </c>
      <c r="E33" s="15" t="s">
        <v>154</v>
      </c>
      <c r="F33" s="15" t="s">
        <v>154</v>
      </c>
      <c r="G33" s="15" t="s">
        <v>155</v>
      </c>
      <c r="H33" s="15" t="s">
        <v>81</v>
      </c>
      <c r="I33" s="15" t="s">
        <v>82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156</v>
      </c>
      <c r="B34" s="15" t="s">
        <v>157</v>
      </c>
      <c r="C34" s="15" t="s">
        <v>6</v>
      </c>
      <c r="D34" s="15" t="s">
        <v>158</v>
      </c>
      <c r="E34" s="15" t="s">
        <v>159</v>
      </c>
      <c r="F34" s="15" t="s">
        <v>160</v>
      </c>
      <c r="G34" s="15"/>
      <c r="H34" s="15" t="s">
        <v>161</v>
      </c>
      <c r="I34" s="15" t="s">
        <v>82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55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.75" hidden="false" customHeight="true" outlineLevel="0" collapsed="false">
      <c r="A9" s="15" t="s">
        <v>164</v>
      </c>
      <c r="B9" s="15" t="s">
        <v>69</v>
      </c>
      <c r="C9" s="15" t="s">
        <v>165</v>
      </c>
      <c r="D9" s="15" t="s">
        <v>166</v>
      </c>
      <c r="E9" s="15" t="s">
        <v>71</v>
      </c>
      <c r="F9" s="15" t="s">
        <v>72</v>
      </c>
      <c r="G9" s="15" t="s">
        <v>167</v>
      </c>
      <c r="H9" s="15" t="s">
        <v>74</v>
      </c>
      <c r="I9" s="15" t="s">
        <v>75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168</v>
      </c>
      <c r="B10" s="15" t="s">
        <v>77</v>
      </c>
      <c r="C10" s="15" t="s">
        <v>6</v>
      </c>
      <c r="D10" s="15" t="s">
        <v>169</v>
      </c>
      <c r="E10" s="15" t="s">
        <v>71</v>
      </c>
      <c r="F10" s="15" t="s">
        <v>79</v>
      </c>
      <c r="G10" s="15" t="s">
        <v>170</v>
      </c>
      <c r="H10" s="15" t="s">
        <v>81</v>
      </c>
      <c r="I10" s="15" t="s">
        <v>82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171</v>
      </c>
      <c r="B11" s="15" t="s">
        <v>69</v>
      </c>
      <c r="C11" s="15" t="s">
        <v>165</v>
      </c>
      <c r="D11" s="15" t="s">
        <v>172</v>
      </c>
      <c r="E11" s="15" t="s">
        <v>71</v>
      </c>
      <c r="F11" s="15" t="s">
        <v>85</v>
      </c>
      <c r="G11" s="15" t="s">
        <v>173</v>
      </c>
      <c r="H11" s="15" t="s">
        <v>74</v>
      </c>
      <c r="I11" s="15" t="s">
        <v>75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174</v>
      </c>
      <c r="B12" s="15" t="s">
        <v>69</v>
      </c>
      <c r="C12" s="15" t="s">
        <v>175</v>
      </c>
      <c r="D12" s="15" t="s">
        <v>176</v>
      </c>
      <c r="E12" s="15" t="s">
        <v>71</v>
      </c>
      <c r="F12" s="15" t="s">
        <v>119</v>
      </c>
      <c r="G12" s="15" t="s">
        <v>177</v>
      </c>
      <c r="H12" s="15" t="s">
        <v>74</v>
      </c>
      <c r="I12" s="15" t="s">
        <v>75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178</v>
      </c>
      <c r="B13" s="15" t="s">
        <v>49</v>
      </c>
      <c r="C13" s="15" t="s">
        <v>179</v>
      </c>
      <c r="D13" s="15" t="s">
        <v>180</v>
      </c>
      <c r="E13" s="15" t="s">
        <v>71</v>
      </c>
      <c r="F13" s="15" t="s">
        <v>119</v>
      </c>
      <c r="G13" s="15" t="s">
        <v>177</v>
      </c>
      <c r="H13" s="15" t="s">
        <v>74</v>
      </c>
      <c r="I13" s="15" t="s">
        <v>75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181</v>
      </c>
      <c r="B14" s="15" t="s">
        <v>49</v>
      </c>
      <c r="C14" s="15" t="s">
        <v>182</v>
      </c>
      <c r="D14" s="15" t="s">
        <v>183</v>
      </c>
      <c r="E14" s="15" t="s">
        <v>71</v>
      </c>
      <c r="F14" s="15" t="s">
        <v>140</v>
      </c>
      <c r="G14" s="15" t="s">
        <v>184</v>
      </c>
      <c r="H14" s="15" t="s">
        <v>81</v>
      </c>
      <c r="I14" s="15" t="s">
        <v>82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185</v>
      </c>
      <c r="B15" s="15" t="s">
        <v>49</v>
      </c>
      <c r="C15" s="15" t="s">
        <v>186</v>
      </c>
      <c r="D15" s="15" t="s">
        <v>187</v>
      </c>
      <c r="E15" s="15" t="s">
        <v>71</v>
      </c>
      <c r="F15" s="15" t="s">
        <v>119</v>
      </c>
      <c r="G15" s="15" t="s">
        <v>177</v>
      </c>
      <c r="H15" s="15" t="s">
        <v>74</v>
      </c>
      <c r="I15" s="15" t="s">
        <v>75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188</v>
      </c>
      <c r="B16" s="15" t="s">
        <v>49</v>
      </c>
      <c r="C16" s="15" t="s">
        <v>189</v>
      </c>
      <c r="D16" s="15" t="s">
        <v>190</v>
      </c>
      <c r="E16" s="15" t="s">
        <v>71</v>
      </c>
      <c r="F16" s="15" t="s">
        <v>119</v>
      </c>
      <c r="G16" s="15" t="s">
        <v>177</v>
      </c>
      <c r="H16" s="15" t="s">
        <v>74</v>
      </c>
      <c r="I16" s="15" t="s">
        <v>75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191</v>
      </c>
      <c r="B17" s="15" t="s">
        <v>49</v>
      </c>
      <c r="C17" s="15" t="s">
        <v>192</v>
      </c>
      <c r="D17" s="15" t="s">
        <v>193</v>
      </c>
      <c r="E17" s="15" t="s">
        <v>71</v>
      </c>
      <c r="F17" s="15" t="s">
        <v>119</v>
      </c>
      <c r="G17" s="15" t="s">
        <v>194</v>
      </c>
      <c r="H17" s="15" t="s">
        <v>74</v>
      </c>
      <c r="I17" s="15" t="s">
        <v>75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195</v>
      </c>
      <c r="B18" s="15" t="s">
        <v>49</v>
      </c>
      <c r="C18" s="15" t="s">
        <v>196</v>
      </c>
      <c r="D18" s="15" t="s">
        <v>197</v>
      </c>
      <c r="E18" s="15" t="s">
        <v>71</v>
      </c>
      <c r="F18" s="15" t="s">
        <v>119</v>
      </c>
      <c r="G18" s="15" t="s">
        <v>177</v>
      </c>
      <c r="H18" s="15" t="s">
        <v>74</v>
      </c>
      <c r="I18" s="15" t="s">
        <v>75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198</v>
      </c>
      <c r="B19" s="15" t="s">
        <v>49</v>
      </c>
      <c r="C19" s="15" t="s">
        <v>199</v>
      </c>
      <c r="D19" s="15" t="s">
        <v>200</v>
      </c>
      <c r="E19" s="15" t="s">
        <v>71</v>
      </c>
      <c r="F19" s="15" t="s">
        <v>140</v>
      </c>
      <c r="G19" s="15" t="s">
        <v>184</v>
      </c>
      <c r="H19" s="15" t="s">
        <v>81</v>
      </c>
      <c r="I19" s="15" t="s">
        <v>82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201</v>
      </c>
      <c r="B20" s="15" t="s">
        <v>91</v>
      </c>
      <c r="C20" s="15" t="s">
        <v>175</v>
      </c>
      <c r="D20" s="15" t="s">
        <v>202</v>
      </c>
      <c r="E20" s="15" t="s">
        <v>71</v>
      </c>
      <c r="F20" s="15" t="s">
        <v>72</v>
      </c>
      <c r="G20" s="15" t="s">
        <v>203</v>
      </c>
      <c r="H20" s="15" t="s">
        <v>74</v>
      </c>
      <c r="I20" s="15" t="s">
        <v>75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204</v>
      </c>
      <c r="B21" s="15" t="s">
        <v>91</v>
      </c>
      <c r="C21" s="15" t="s">
        <v>179</v>
      </c>
      <c r="D21" s="15" t="s">
        <v>205</v>
      </c>
      <c r="E21" s="15" t="s">
        <v>71</v>
      </c>
      <c r="F21" s="15" t="s">
        <v>140</v>
      </c>
      <c r="G21" s="15" t="s">
        <v>184</v>
      </c>
      <c r="H21" s="15" t="s">
        <v>81</v>
      </c>
      <c r="I21" s="15" t="s">
        <v>82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206</v>
      </c>
      <c r="B22" s="15" t="s">
        <v>98</v>
      </c>
      <c r="C22" s="15" t="s">
        <v>175</v>
      </c>
      <c r="D22" s="15" t="s">
        <v>207</v>
      </c>
      <c r="E22" s="15" t="s">
        <v>71</v>
      </c>
      <c r="F22" s="15" t="s">
        <v>100</v>
      </c>
      <c r="G22" s="15" t="s">
        <v>184</v>
      </c>
      <c r="H22" s="15" t="s">
        <v>81</v>
      </c>
      <c r="I22" s="15" t="s">
        <v>82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208</v>
      </c>
      <c r="B23" s="15" t="s">
        <v>98</v>
      </c>
      <c r="C23" s="15" t="s">
        <v>179</v>
      </c>
      <c r="D23" s="15" t="s">
        <v>209</v>
      </c>
      <c r="E23" s="15" t="s">
        <v>71</v>
      </c>
      <c r="F23" s="15" t="s">
        <v>100</v>
      </c>
      <c r="G23" s="15" t="s">
        <v>194</v>
      </c>
      <c r="H23" s="15" t="s">
        <v>81</v>
      </c>
      <c r="I23" s="15" t="s">
        <v>82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210</v>
      </c>
      <c r="B24" s="15" t="s">
        <v>98</v>
      </c>
      <c r="C24" s="15" t="s">
        <v>175</v>
      </c>
      <c r="D24" s="15" t="s">
        <v>211</v>
      </c>
      <c r="E24" s="15" t="s">
        <v>71</v>
      </c>
      <c r="F24" s="15" t="s">
        <v>140</v>
      </c>
      <c r="G24" s="15" t="s">
        <v>184</v>
      </c>
      <c r="H24" s="15" t="s">
        <v>81</v>
      </c>
      <c r="I24" s="15" t="s">
        <v>82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212</v>
      </c>
      <c r="B25" s="15" t="s">
        <v>98</v>
      </c>
      <c r="C25" s="15" t="s">
        <v>179</v>
      </c>
      <c r="D25" s="15" t="s">
        <v>213</v>
      </c>
      <c r="E25" s="15" t="s">
        <v>71</v>
      </c>
      <c r="F25" s="15" t="s">
        <v>119</v>
      </c>
      <c r="G25" s="15" t="s">
        <v>108</v>
      </c>
      <c r="H25" s="15" t="s">
        <v>81</v>
      </c>
      <c r="I25" s="15" t="s">
        <v>82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214</v>
      </c>
      <c r="B26" s="15" t="s">
        <v>98</v>
      </c>
      <c r="C26" s="15" t="s">
        <v>175</v>
      </c>
      <c r="D26" s="15" t="s">
        <v>215</v>
      </c>
      <c r="E26" s="15" t="s">
        <v>71</v>
      </c>
      <c r="F26" s="15" t="s">
        <v>140</v>
      </c>
      <c r="G26" s="15" t="s">
        <v>184</v>
      </c>
      <c r="H26" s="15" t="s">
        <v>81</v>
      </c>
      <c r="I26" s="15" t="s">
        <v>82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216</v>
      </c>
      <c r="B27" s="15" t="s">
        <v>98</v>
      </c>
      <c r="C27" s="15" t="s">
        <v>175</v>
      </c>
      <c r="D27" s="15" t="s">
        <v>217</v>
      </c>
      <c r="E27" s="15" t="s">
        <v>71</v>
      </c>
      <c r="F27" s="15" t="s">
        <v>140</v>
      </c>
      <c r="G27" s="15" t="s">
        <v>184</v>
      </c>
      <c r="H27" s="15" t="s">
        <v>81</v>
      </c>
      <c r="I27" s="15" t="s">
        <v>82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218</v>
      </c>
      <c r="B28" s="15" t="s">
        <v>98</v>
      </c>
      <c r="C28" s="15" t="s">
        <v>6</v>
      </c>
      <c r="D28" s="15" t="s">
        <v>219</v>
      </c>
      <c r="E28" s="15" t="s">
        <v>71</v>
      </c>
      <c r="F28" s="15" t="s">
        <v>100</v>
      </c>
      <c r="G28" s="15" t="s">
        <v>194</v>
      </c>
      <c r="H28" s="15" t="s">
        <v>74</v>
      </c>
      <c r="I28" s="15" t="s">
        <v>75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220</v>
      </c>
      <c r="B29" s="15" t="s">
        <v>117</v>
      </c>
      <c r="C29" s="15" t="s">
        <v>175</v>
      </c>
      <c r="D29" s="15" t="s">
        <v>221</v>
      </c>
      <c r="E29" s="15" t="s">
        <v>71</v>
      </c>
      <c r="F29" s="15" t="s">
        <v>119</v>
      </c>
      <c r="G29" s="15" t="s">
        <v>177</v>
      </c>
      <c r="H29" s="15" t="s">
        <v>74</v>
      </c>
      <c r="I29" s="15" t="s">
        <v>75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222</v>
      </c>
      <c r="B30" s="15" t="s">
        <v>117</v>
      </c>
      <c r="C30" s="15" t="s">
        <v>165</v>
      </c>
      <c r="D30" s="15" t="s">
        <v>223</v>
      </c>
      <c r="E30" s="15" t="s">
        <v>71</v>
      </c>
      <c r="F30" s="15" t="s">
        <v>119</v>
      </c>
      <c r="G30" s="15" t="s">
        <v>122</v>
      </c>
      <c r="H30" s="15" t="s">
        <v>74</v>
      </c>
      <c r="I30" s="15" t="s">
        <v>75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224</v>
      </c>
      <c r="B31" s="15" t="s">
        <v>117</v>
      </c>
      <c r="C31" s="15" t="s">
        <v>179</v>
      </c>
      <c r="D31" s="15" t="s">
        <v>225</v>
      </c>
      <c r="E31" s="15" t="s">
        <v>71</v>
      </c>
      <c r="F31" s="15" t="s">
        <v>119</v>
      </c>
      <c r="G31" s="15" t="s">
        <v>194</v>
      </c>
      <c r="H31" s="15" t="s">
        <v>74</v>
      </c>
      <c r="I31" s="15" t="s">
        <v>75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226</v>
      </c>
      <c r="B32" s="15" t="s">
        <v>117</v>
      </c>
      <c r="C32" s="15" t="s">
        <v>179</v>
      </c>
      <c r="D32" s="15" t="s">
        <v>227</v>
      </c>
      <c r="E32" s="15" t="s">
        <v>71</v>
      </c>
      <c r="F32" s="15" t="s">
        <v>119</v>
      </c>
      <c r="G32" s="15" t="s">
        <v>127</v>
      </c>
      <c r="H32" s="15" t="s">
        <v>74</v>
      </c>
      <c r="I32" s="15" t="s">
        <v>75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228</v>
      </c>
      <c r="B33" s="15" t="s">
        <v>117</v>
      </c>
      <c r="C33" s="15" t="s">
        <v>179</v>
      </c>
      <c r="D33" s="15" t="s">
        <v>229</v>
      </c>
      <c r="E33" s="15" t="s">
        <v>71</v>
      </c>
      <c r="F33" s="15" t="s">
        <v>119</v>
      </c>
      <c r="G33" s="15" t="s">
        <v>130</v>
      </c>
      <c r="H33" s="15" t="s">
        <v>81</v>
      </c>
      <c r="I33" s="15" t="s">
        <v>82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230</v>
      </c>
      <c r="B34" s="15" t="s">
        <v>117</v>
      </c>
      <c r="C34" s="15" t="s">
        <v>175</v>
      </c>
      <c r="D34" s="15" t="s">
        <v>231</v>
      </c>
      <c r="E34" s="15" t="s">
        <v>71</v>
      </c>
      <c r="F34" s="15" t="s">
        <v>119</v>
      </c>
      <c r="G34" s="15" t="s">
        <v>232</v>
      </c>
      <c r="H34" s="15" t="s">
        <v>74</v>
      </c>
      <c r="I34" s="15" t="s">
        <v>75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233</v>
      </c>
      <c r="B35" s="15" t="s">
        <v>117</v>
      </c>
      <c r="C35" s="15" t="s">
        <v>6</v>
      </c>
      <c r="D35" s="15" t="s">
        <v>234</v>
      </c>
      <c r="E35" s="15" t="s">
        <v>71</v>
      </c>
      <c r="F35" s="15" t="s">
        <v>119</v>
      </c>
      <c r="G35" s="15" t="s">
        <v>235</v>
      </c>
      <c r="H35" s="15" t="s">
        <v>74</v>
      </c>
      <c r="I35" s="15" t="s">
        <v>75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236</v>
      </c>
      <c r="B36" s="15" t="s">
        <v>138</v>
      </c>
      <c r="C36" s="15" t="s">
        <v>6</v>
      </c>
      <c r="D36" s="15" t="s">
        <v>237</v>
      </c>
      <c r="E36" s="15" t="s">
        <v>71</v>
      </c>
      <c r="F36" s="15" t="s">
        <v>140</v>
      </c>
      <c r="G36" s="15" t="s">
        <v>184</v>
      </c>
      <c r="H36" s="15" t="s">
        <v>74</v>
      </c>
      <c r="I36" s="15" t="s">
        <v>75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238</v>
      </c>
      <c r="B37" s="15" t="s">
        <v>138</v>
      </c>
      <c r="C37" s="15" t="s">
        <v>175</v>
      </c>
      <c r="D37" s="15" t="s">
        <v>239</v>
      </c>
      <c r="E37" s="15" t="s">
        <v>71</v>
      </c>
      <c r="F37" s="15" t="s">
        <v>140</v>
      </c>
      <c r="G37" s="15" t="s">
        <v>184</v>
      </c>
      <c r="H37" s="15" t="s">
        <v>81</v>
      </c>
      <c r="I37" s="15" t="s">
        <v>82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240</v>
      </c>
      <c r="B38" s="15" t="s">
        <v>144</v>
      </c>
      <c r="C38" s="15" t="s">
        <v>6</v>
      </c>
      <c r="D38" s="15" t="s">
        <v>241</v>
      </c>
      <c r="E38" s="15" t="s">
        <v>71</v>
      </c>
      <c r="F38" s="15" t="s">
        <v>146</v>
      </c>
      <c r="G38" s="15" t="s">
        <v>242</v>
      </c>
      <c r="H38" s="15" t="s">
        <v>81</v>
      </c>
      <c r="I38" s="15" t="s">
        <v>82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243</v>
      </c>
      <c r="B39" s="15" t="s">
        <v>144</v>
      </c>
      <c r="C39" s="15" t="s">
        <v>6</v>
      </c>
      <c r="D39" s="15" t="s">
        <v>244</v>
      </c>
      <c r="E39" s="15" t="s">
        <v>71</v>
      </c>
      <c r="F39" s="15" t="s">
        <v>146</v>
      </c>
      <c r="G39" s="15" t="s">
        <v>245</v>
      </c>
      <c r="H39" s="15" t="s">
        <v>74</v>
      </c>
      <c r="I39" s="15" t="s">
        <v>75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246</v>
      </c>
      <c r="B40" s="15" t="s">
        <v>152</v>
      </c>
      <c r="C40" s="15" t="s">
        <v>6</v>
      </c>
      <c r="D40" s="15" t="s">
        <v>247</v>
      </c>
      <c r="E40" s="15" t="s">
        <v>154</v>
      </c>
      <c r="F40" s="15" t="s">
        <v>154</v>
      </c>
      <c r="G40" s="15" t="s">
        <v>155</v>
      </c>
      <c r="H40" s="15" t="s">
        <v>81</v>
      </c>
      <c r="I40" s="15" t="s">
        <v>82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248</v>
      </c>
      <c r="B41" s="15" t="s">
        <v>157</v>
      </c>
      <c r="C41" s="15" t="s">
        <v>249</v>
      </c>
      <c r="D41" s="15" t="s">
        <v>250</v>
      </c>
      <c r="E41" s="15" t="s">
        <v>159</v>
      </c>
      <c r="F41" s="15" t="s">
        <v>160</v>
      </c>
      <c r="G41" s="15" t="s">
        <v>251</v>
      </c>
      <c r="H41" s="15" t="s">
        <v>252</v>
      </c>
      <c r="I41" s="15" t="s">
        <v>82</v>
      </c>
      <c r="J41" s="17" t="n">
        <v>46220</v>
      </c>
      <c r="K41" s="15" t="s">
        <v>253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55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256</v>
      </c>
      <c r="B9" s="15" t="s">
        <v>69</v>
      </c>
      <c r="C9" s="15" t="s">
        <v>6</v>
      </c>
      <c r="D9" s="15" t="s">
        <v>257</v>
      </c>
      <c r="E9" s="15" t="s">
        <v>71</v>
      </c>
      <c r="F9" s="15" t="s">
        <v>72</v>
      </c>
      <c r="G9" s="15" t="s">
        <v>258</v>
      </c>
      <c r="H9" s="15" t="s">
        <v>74</v>
      </c>
      <c r="I9" s="15" t="s">
        <v>75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259</v>
      </c>
      <c r="B10" s="15" t="s">
        <v>77</v>
      </c>
      <c r="C10" s="15" t="s">
        <v>6</v>
      </c>
      <c r="D10" s="15" t="s">
        <v>260</v>
      </c>
      <c r="E10" s="15" t="s">
        <v>71</v>
      </c>
      <c r="F10" s="15" t="s">
        <v>79</v>
      </c>
      <c r="G10" s="15" t="s">
        <v>261</v>
      </c>
      <c r="H10" s="15" t="s">
        <v>81</v>
      </c>
      <c r="I10" s="15" t="s">
        <v>82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262</v>
      </c>
      <c r="B11" s="15" t="s">
        <v>69</v>
      </c>
      <c r="C11" s="15" t="s">
        <v>165</v>
      </c>
      <c r="D11" s="15" t="s">
        <v>263</v>
      </c>
      <c r="E11" s="15" t="s">
        <v>71</v>
      </c>
      <c r="F11" s="15" t="s">
        <v>85</v>
      </c>
      <c r="G11" s="15" t="s">
        <v>122</v>
      </c>
      <c r="H11" s="15" t="s">
        <v>74</v>
      </c>
      <c r="I11" s="15" t="s">
        <v>75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264</v>
      </c>
      <c r="B12" s="15" t="s">
        <v>49</v>
      </c>
      <c r="C12" s="15" t="s">
        <v>179</v>
      </c>
      <c r="D12" s="15" t="s">
        <v>265</v>
      </c>
      <c r="E12" s="15" t="s">
        <v>71</v>
      </c>
      <c r="F12" s="15" t="s">
        <v>119</v>
      </c>
      <c r="G12" s="15" t="s">
        <v>266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267</v>
      </c>
      <c r="B13" s="15" t="s">
        <v>49</v>
      </c>
      <c r="C13" s="15" t="s">
        <v>268</v>
      </c>
      <c r="D13" s="15" t="s">
        <v>269</v>
      </c>
      <c r="E13" s="15" t="s">
        <v>71</v>
      </c>
      <c r="F13" s="15" t="s">
        <v>119</v>
      </c>
      <c r="G13" s="15" t="s">
        <v>266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270</v>
      </c>
      <c r="B14" s="15" t="s">
        <v>49</v>
      </c>
      <c r="C14" s="15" t="s">
        <v>271</v>
      </c>
      <c r="D14" s="15" t="s">
        <v>272</v>
      </c>
      <c r="E14" s="15" t="s">
        <v>71</v>
      </c>
      <c r="F14" s="15" t="s">
        <v>119</v>
      </c>
      <c r="G14" s="15" t="s">
        <v>273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274</v>
      </c>
      <c r="B15" s="15" t="s">
        <v>49</v>
      </c>
      <c r="C15" s="15" t="s">
        <v>275</v>
      </c>
      <c r="D15" s="15" t="s">
        <v>276</v>
      </c>
      <c r="E15" s="15" t="s">
        <v>71</v>
      </c>
      <c r="F15" s="15" t="s">
        <v>119</v>
      </c>
      <c r="G15" s="15" t="s">
        <v>277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278</v>
      </c>
      <c r="B16" s="15" t="s">
        <v>49</v>
      </c>
      <c r="C16" s="15" t="s">
        <v>196</v>
      </c>
      <c r="D16" s="15" t="s">
        <v>279</v>
      </c>
      <c r="E16" s="15" t="s">
        <v>71</v>
      </c>
      <c r="F16" s="15" t="s">
        <v>119</v>
      </c>
      <c r="G16" s="15" t="s">
        <v>266</v>
      </c>
      <c r="H16" s="15" t="s">
        <v>74</v>
      </c>
      <c r="I16" s="15" t="s">
        <v>75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280</v>
      </c>
      <c r="B17" s="15" t="s">
        <v>49</v>
      </c>
      <c r="C17" s="15" t="s">
        <v>182</v>
      </c>
      <c r="D17" s="15" t="s">
        <v>281</v>
      </c>
      <c r="E17" s="15" t="s">
        <v>71</v>
      </c>
      <c r="F17" s="15" t="s">
        <v>119</v>
      </c>
      <c r="G17" s="15" t="s">
        <v>266</v>
      </c>
      <c r="H17" s="15" t="s">
        <v>74</v>
      </c>
      <c r="I17" s="15" t="s">
        <v>75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282</v>
      </c>
      <c r="B18" s="15" t="s">
        <v>49</v>
      </c>
      <c r="C18" s="15" t="s">
        <v>186</v>
      </c>
      <c r="D18" s="15" t="s">
        <v>283</v>
      </c>
      <c r="E18" s="15" t="s">
        <v>71</v>
      </c>
      <c r="F18" s="15" t="s">
        <v>119</v>
      </c>
      <c r="G18" s="15" t="s">
        <v>266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284</v>
      </c>
      <c r="B19" s="15" t="s">
        <v>49</v>
      </c>
      <c r="C19" s="15" t="s">
        <v>189</v>
      </c>
      <c r="D19" s="15" t="s">
        <v>285</v>
      </c>
      <c r="E19" s="15" t="s">
        <v>71</v>
      </c>
      <c r="F19" s="15" t="s">
        <v>119</v>
      </c>
      <c r="G19" s="15" t="s">
        <v>266</v>
      </c>
      <c r="H19" s="15" t="s">
        <v>74</v>
      </c>
      <c r="I19" s="15" t="s">
        <v>75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286</v>
      </c>
      <c r="B20" s="15" t="s">
        <v>49</v>
      </c>
      <c r="C20" s="15" t="s">
        <v>287</v>
      </c>
      <c r="D20" s="15" t="s">
        <v>288</v>
      </c>
      <c r="E20" s="15" t="s">
        <v>71</v>
      </c>
      <c r="F20" s="15" t="s">
        <v>140</v>
      </c>
      <c r="G20" s="15" t="s">
        <v>289</v>
      </c>
      <c r="H20" s="15" t="s">
        <v>81</v>
      </c>
      <c r="I20" s="15" t="s">
        <v>82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290</v>
      </c>
      <c r="B21" s="15" t="s">
        <v>49</v>
      </c>
      <c r="C21" s="15" t="s">
        <v>199</v>
      </c>
      <c r="D21" s="15" t="s">
        <v>291</v>
      </c>
      <c r="E21" s="15" t="s">
        <v>71</v>
      </c>
      <c r="F21" s="15" t="s">
        <v>140</v>
      </c>
      <c r="G21" s="15" t="s">
        <v>289</v>
      </c>
      <c r="H21" s="15" t="s">
        <v>81</v>
      </c>
      <c r="I21" s="15" t="s">
        <v>82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292</v>
      </c>
      <c r="B22" s="15" t="s">
        <v>49</v>
      </c>
      <c r="C22" s="15" t="s">
        <v>293</v>
      </c>
      <c r="D22" s="15" t="s">
        <v>294</v>
      </c>
      <c r="E22" s="15" t="s">
        <v>71</v>
      </c>
      <c r="F22" s="15" t="s">
        <v>119</v>
      </c>
      <c r="G22" s="15" t="s">
        <v>266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295</v>
      </c>
      <c r="B23" s="15" t="s">
        <v>49</v>
      </c>
      <c r="C23" s="15" t="s">
        <v>296</v>
      </c>
      <c r="D23" s="15" t="s">
        <v>297</v>
      </c>
      <c r="E23" s="15" t="s">
        <v>71</v>
      </c>
      <c r="F23" s="15" t="s">
        <v>119</v>
      </c>
      <c r="G23" s="15" t="s">
        <v>266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298</v>
      </c>
      <c r="B24" s="15" t="s">
        <v>91</v>
      </c>
      <c r="C24" s="15" t="s">
        <v>175</v>
      </c>
      <c r="D24" s="15" t="s">
        <v>299</v>
      </c>
      <c r="E24" s="15" t="s">
        <v>71</v>
      </c>
      <c r="F24" s="15" t="s">
        <v>72</v>
      </c>
      <c r="G24" s="15" t="s">
        <v>300</v>
      </c>
      <c r="H24" s="15" t="s">
        <v>74</v>
      </c>
      <c r="I24" s="15" t="s">
        <v>75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301</v>
      </c>
      <c r="B25" s="15" t="s">
        <v>91</v>
      </c>
      <c r="C25" s="15" t="s">
        <v>196</v>
      </c>
      <c r="D25" s="15" t="s">
        <v>302</v>
      </c>
      <c r="E25" s="15" t="s">
        <v>71</v>
      </c>
      <c r="F25" s="15" t="s">
        <v>140</v>
      </c>
      <c r="G25" s="15" t="s">
        <v>289</v>
      </c>
      <c r="H25" s="15" t="s">
        <v>81</v>
      </c>
      <c r="I25" s="15" t="s">
        <v>82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303</v>
      </c>
      <c r="B26" s="15" t="s">
        <v>98</v>
      </c>
      <c r="C26" s="15" t="s">
        <v>175</v>
      </c>
      <c r="D26" s="15" t="s">
        <v>304</v>
      </c>
      <c r="E26" s="15" t="s">
        <v>71</v>
      </c>
      <c r="F26" s="15" t="s">
        <v>100</v>
      </c>
      <c r="G26" s="15" t="s">
        <v>289</v>
      </c>
      <c r="H26" s="15" t="s">
        <v>81</v>
      </c>
      <c r="I26" s="15" t="s">
        <v>82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305</v>
      </c>
      <c r="B27" s="15" t="s">
        <v>98</v>
      </c>
      <c r="C27" s="15" t="s">
        <v>6</v>
      </c>
      <c r="D27" s="15" t="s">
        <v>306</v>
      </c>
      <c r="E27" s="15" t="s">
        <v>71</v>
      </c>
      <c r="F27" s="15" t="s">
        <v>100</v>
      </c>
      <c r="G27" s="15" t="s">
        <v>277</v>
      </c>
      <c r="H27" s="15" t="s">
        <v>81</v>
      </c>
      <c r="I27" s="15" t="s">
        <v>82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307</v>
      </c>
      <c r="B28" s="15" t="s">
        <v>98</v>
      </c>
      <c r="C28" s="15" t="s">
        <v>196</v>
      </c>
      <c r="D28" s="15" t="s">
        <v>308</v>
      </c>
      <c r="E28" s="15" t="s">
        <v>71</v>
      </c>
      <c r="F28" s="15" t="s">
        <v>140</v>
      </c>
      <c r="G28" s="15" t="s">
        <v>289</v>
      </c>
      <c r="H28" s="15" t="s">
        <v>81</v>
      </c>
      <c r="I28" s="15" t="s">
        <v>82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309</v>
      </c>
      <c r="B29" s="15" t="s">
        <v>98</v>
      </c>
      <c r="C29" s="15" t="s">
        <v>175</v>
      </c>
      <c r="D29" s="15" t="s">
        <v>310</v>
      </c>
      <c r="E29" s="15" t="s">
        <v>71</v>
      </c>
      <c r="F29" s="15" t="s">
        <v>119</v>
      </c>
      <c r="G29" s="15" t="s">
        <v>130</v>
      </c>
      <c r="H29" s="15" t="s">
        <v>81</v>
      </c>
      <c r="I29" s="15" t="s">
        <v>82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311</v>
      </c>
      <c r="B30" s="15" t="s">
        <v>98</v>
      </c>
      <c r="C30" s="15" t="s">
        <v>175</v>
      </c>
      <c r="D30" s="15" t="s">
        <v>312</v>
      </c>
      <c r="E30" s="15" t="s">
        <v>71</v>
      </c>
      <c r="F30" s="15" t="s">
        <v>140</v>
      </c>
      <c r="G30" s="15" t="s">
        <v>289</v>
      </c>
      <c r="H30" s="15" t="s">
        <v>81</v>
      </c>
      <c r="I30" s="15" t="s">
        <v>82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313</v>
      </c>
      <c r="B31" s="15" t="s">
        <v>98</v>
      </c>
      <c r="C31" s="15" t="s">
        <v>175</v>
      </c>
      <c r="D31" s="15" t="s">
        <v>314</v>
      </c>
      <c r="E31" s="15" t="s">
        <v>71</v>
      </c>
      <c r="F31" s="15" t="s">
        <v>140</v>
      </c>
      <c r="G31" s="15" t="s">
        <v>289</v>
      </c>
      <c r="H31" s="15" t="s">
        <v>81</v>
      </c>
      <c r="I31" s="15" t="s">
        <v>82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315</v>
      </c>
      <c r="B32" s="15" t="s">
        <v>98</v>
      </c>
      <c r="C32" s="15" t="s">
        <v>6</v>
      </c>
      <c r="D32" s="15" t="s">
        <v>316</v>
      </c>
      <c r="E32" s="15" t="s">
        <v>71</v>
      </c>
      <c r="F32" s="15" t="s">
        <v>100</v>
      </c>
      <c r="G32" s="15" t="s">
        <v>277</v>
      </c>
      <c r="H32" s="15" t="s">
        <v>74</v>
      </c>
      <c r="I32" s="15" t="s">
        <v>75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317</v>
      </c>
      <c r="B33" s="15" t="s">
        <v>117</v>
      </c>
      <c r="C33" s="15" t="s">
        <v>175</v>
      </c>
      <c r="D33" s="15" t="s">
        <v>318</v>
      </c>
      <c r="E33" s="15" t="s">
        <v>71</v>
      </c>
      <c r="F33" s="15" t="s">
        <v>119</v>
      </c>
      <c r="G33" s="15" t="s">
        <v>266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319</v>
      </c>
      <c r="B34" s="15" t="s">
        <v>117</v>
      </c>
      <c r="C34" s="15" t="s">
        <v>165</v>
      </c>
      <c r="D34" s="15" t="s">
        <v>320</v>
      </c>
      <c r="E34" s="15" t="s">
        <v>71</v>
      </c>
      <c r="F34" s="15" t="s">
        <v>119</v>
      </c>
      <c r="G34" s="15" t="s">
        <v>122</v>
      </c>
      <c r="H34" s="15" t="s">
        <v>74</v>
      </c>
      <c r="I34" s="15" t="s">
        <v>75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321</v>
      </c>
      <c r="B35" s="15" t="s">
        <v>117</v>
      </c>
      <c r="C35" s="15" t="s">
        <v>6</v>
      </c>
      <c r="D35" s="15" t="s">
        <v>322</v>
      </c>
      <c r="E35" s="15" t="s">
        <v>71</v>
      </c>
      <c r="F35" s="15" t="s">
        <v>119</v>
      </c>
      <c r="G35" s="15" t="s">
        <v>277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323</v>
      </c>
      <c r="B36" s="15" t="s">
        <v>117</v>
      </c>
      <c r="C36" s="15" t="s">
        <v>196</v>
      </c>
      <c r="D36" s="15" t="s">
        <v>324</v>
      </c>
      <c r="E36" s="15" t="s">
        <v>71</v>
      </c>
      <c r="F36" s="15" t="s">
        <v>119</v>
      </c>
      <c r="G36" s="15" t="s">
        <v>277</v>
      </c>
      <c r="H36" s="15" t="s">
        <v>74</v>
      </c>
      <c r="I36" s="15" t="s">
        <v>75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325</v>
      </c>
      <c r="B37" s="15" t="s">
        <v>117</v>
      </c>
      <c r="C37" s="15" t="s">
        <v>175</v>
      </c>
      <c r="D37" s="15" t="s">
        <v>326</v>
      </c>
      <c r="E37" s="15" t="s">
        <v>71</v>
      </c>
      <c r="F37" s="15" t="s">
        <v>119</v>
      </c>
      <c r="G37" s="15" t="s">
        <v>130</v>
      </c>
      <c r="H37" s="15" t="s">
        <v>81</v>
      </c>
      <c r="I37" s="15" t="s">
        <v>82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327</v>
      </c>
      <c r="B38" s="15" t="s">
        <v>117</v>
      </c>
      <c r="C38" s="15" t="s">
        <v>175</v>
      </c>
      <c r="D38" s="15" t="s">
        <v>328</v>
      </c>
      <c r="E38" s="15" t="s">
        <v>71</v>
      </c>
      <c r="F38" s="15" t="s">
        <v>119</v>
      </c>
      <c r="G38" s="15" t="s">
        <v>232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329</v>
      </c>
      <c r="B39" s="15" t="s">
        <v>117</v>
      </c>
      <c r="C39" s="15" t="s">
        <v>6</v>
      </c>
      <c r="D39" s="15" t="s">
        <v>234</v>
      </c>
      <c r="E39" s="15" t="s">
        <v>71</v>
      </c>
      <c r="F39" s="15" t="s">
        <v>119</v>
      </c>
      <c r="G39" s="15" t="s">
        <v>136</v>
      </c>
      <c r="H39" s="15" t="s">
        <v>74</v>
      </c>
      <c r="I39" s="15" t="s">
        <v>75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330</v>
      </c>
      <c r="B40" s="15" t="s">
        <v>138</v>
      </c>
      <c r="C40" s="15" t="s">
        <v>6</v>
      </c>
      <c r="D40" s="15" t="s">
        <v>331</v>
      </c>
      <c r="E40" s="15" t="s">
        <v>71</v>
      </c>
      <c r="F40" s="15" t="s">
        <v>140</v>
      </c>
      <c r="G40" s="15" t="s">
        <v>289</v>
      </c>
      <c r="H40" s="15" t="s">
        <v>74</v>
      </c>
      <c r="I40" s="15" t="s">
        <v>75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332</v>
      </c>
      <c r="B41" s="15" t="s">
        <v>138</v>
      </c>
      <c r="C41" s="15" t="s">
        <v>175</v>
      </c>
      <c r="D41" s="15" t="s">
        <v>333</v>
      </c>
      <c r="E41" s="15" t="s">
        <v>71</v>
      </c>
      <c r="F41" s="15" t="s">
        <v>140</v>
      </c>
      <c r="G41" s="15" t="s">
        <v>289</v>
      </c>
      <c r="H41" s="15" t="s">
        <v>81</v>
      </c>
      <c r="I41" s="15" t="s">
        <v>82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334</v>
      </c>
      <c r="B42" s="15" t="s">
        <v>144</v>
      </c>
      <c r="C42" s="15" t="s">
        <v>6</v>
      </c>
      <c r="D42" s="15" t="s">
        <v>335</v>
      </c>
      <c r="E42" s="15" t="s">
        <v>71</v>
      </c>
      <c r="F42" s="15" t="s">
        <v>146</v>
      </c>
      <c r="G42" s="15" t="s">
        <v>336</v>
      </c>
      <c r="H42" s="15" t="s">
        <v>81</v>
      </c>
      <c r="I42" s="15" t="s">
        <v>82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337</v>
      </c>
      <c r="B43" s="15" t="s">
        <v>144</v>
      </c>
      <c r="C43" s="15" t="s">
        <v>6</v>
      </c>
      <c r="D43" s="15" t="s">
        <v>338</v>
      </c>
      <c r="E43" s="15" t="s">
        <v>71</v>
      </c>
      <c r="F43" s="15" t="s">
        <v>146</v>
      </c>
      <c r="G43" s="15" t="s">
        <v>339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340</v>
      </c>
      <c r="B44" s="15" t="s">
        <v>152</v>
      </c>
      <c r="C44" s="15" t="s">
        <v>6</v>
      </c>
      <c r="D44" s="15" t="s">
        <v>341</v>
      </c>
      <c r="E44" s="15" t="s">
        <v>154</v>
      </c>
      <c r="F44" s="15" t="s">
        <v>154</v>
      </c>
      <c r="G44" s="15" t="s">
        <v>155</v>
      </c>
      <c r="H44" s="15" t="s">
        <v>81</v>
      </c>
      <c r="I44" s="15" t="s">
        <v>82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342</v>
      </c>
      <c r="B45" s="15" t="s">
        <v>157</v>
      </c>
      <c r="C45" s="15" t="s">
        <v>343</v>
      </c>
      <c r="D45" s="15" t="s">
        <v>344</v>
      </c>
      <c r="E45" s="15" t="s">
        <v>159</v>
      </c>
      <c r="F45" s="15" t="s">
        <v>160</v>
      </c>
      <c r="G45" s="15" t="s">
        <v>251</v>
      </c>
      <c r="H45" s="15" t="s">
        <v>252</v>
      </c>
      <c r="I45" s="15" t="s">
        <v>82</v>
      </c>
      <c r="J45" s="19" t="n">
        <v>46220</v>
      </c>
      <c r="K45" s="15" t="s">
        <v>345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161</v>
      </c>
      <c r="B1" s="1" t="s">
        <v>82</v>
      </c>
    </row>
    <row r="2" customFormat="false" ht="15" hidden="false" customHeight="true" outlineLevel="0" collapsed="false">
      <c r="A2" s="1" t="s">
        <v>346</v>
      </c>
      <c r="B2" s="1" t="s">
        <v>75</v>
      </c>
    </row>
    <row r="3" customFormat="false" ht="15" hidden="false" customHeight="true" outlineLevel="0" collapsed="false">
      <c r="A3" s="1" t="s">
        <v>347</v>
      </c>
    </row>
    <row r="4" customFormat="false" ht="15" hidden="false" customHeight="true" outlineLevel="0" collapsed="false">
      <c r="A4" s="1" t="s">
        <v>74</v>
      </c>
    </row>
    <row r="5" customFormat="false" ht="15" hidden="false" customHeight="true" outlineLevel="0" collapsed="false">
      <c r="A5" s="1" t="s">
        <v>81</v>
      </c>
    </row>
    <row r="6" customFormat="false" ht="15" hidden="false" customHeight="true" outlineLevel="0" collapsed="false">
      <c r="A6" s="1" t="s">
        <v>252</v>
      </c>
    </row>
    <row r="7" customFormat="false" ht="15" hidden="false" customHeight="true" outlineLevel="0" collapsed="false">
      <c r="A7" s="1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351</v>
      </c>
      <c r="B9" s="15" t="s">
        <v>69</v>
      </c>
      <c r="C9" s="15" t="s">
        <v>6</v>
      </c>
      <c r="D9" s="15" t="s">
        <v>352</v>
      </c>
      <c r="E9" s="15" t="s">
        <v>71</v>
      </c>
      <c r="F9" s="15" t="s">
        <v>72</v>
      </c>
      <c r="G9" s="16" t="s">
        <v>353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354</v>
      </c>
      <c r="B10" s="15" t="s">
        <v>77</v>
      </c>
      <c r="C10" s="15" t="s">
        <v>6</v>
      </c>
      <c r="D10" s="15" t="s">
        <v>355</v>
      </c>
      <c r="E10" s="15" t="s">
        <v>71</v>
      </c>
      <c r="F10" s="15" t="s">
        <v>79</v>
      </c>
      <c r="G10" s="16" t="s">
        <v>356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357</v>
      </c>
      <c r="B11" s="15" t="s">
        <v>69</v>
      </c>
      <c r="C11" s="15" t="s">
        <v>165</v>
      </c>
      <c r="D11" s="15" t="s">
        <v>358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359</v>
      </c>
      <c r="B12" s="15" t="s">
        <v>49</v>
      </c>
      <c r="C12" s="15" t="s">
        <v>179</v>
      </c>
      <c r="D12" s="15" t="s">
        <v>360</v>
      </c>
      <c r="E12" s="15" t="s">
        <v>71</v>
      </c>
      <c r="F12" s="15" t="s">
        <v>119</v>
      </c>
      <c r="G12" s="16" t="s">
        <v>361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362</v>
      </c>
      <c r="B13" s="15" t="s">
        <v>49</v>
      </c>
      <c r="C13" s="15" t="s">
        <v>268</v>
      </c>
      <c r="D13" s="15" t="s">
        <v>269</v>
      </c>
      <c r="E13" s="15" t="s">
        <v>71</v>
      </c>
      <c r="F13" s="15" t="s">
        <v>119</v>
      </c>
      <c r="G13" s="16" t="s">
        <v>361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363</v>
      </c>
      <c r="B14" s="15" t="s">
        <v>49</v>
      </c>
      <c r="C14" s="15" t="s">
        <v>271</v>
      </c>
      <c r="D14" s="15" t="s">
        <v>272</v>
      </c>
      <c r="E14" s="15" t="s">
        <v>71</v>
      </c>
      <c r="F14" s="15" t="s">
        <v>119</v>
      </c>
      <c r="G14" s="16" t="s">
        <v>361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364</v>
      </c>
      <c r="B15" s="15" t="s">
        <v>49</v>
      </c>
      <c r="C15" s="15" t="s">
        <v>275</v>
      </c>
      <c r="D15" s="15" t="s">
        <v>365</v>
      </c>
      <c r="E15" s="15" t="s">
        <v>71</v>
      </c>
      <c r="F15" s="15" t="s">
        <v>119</v>
      </c>
      <c r="G15" s="16" t="s">
        <v>366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367</v>
      </c>
      <c r="B16" s="15" t="s">
        <v>49</v>
      </c>
      <c r="C16" s="15" t="s">
        <v>196</v>
      </c>
      <c r="D16" s="15" t="s">
        <v>368</v>
      </c>
      <c r="E16" s="15" t="s">
        <v>71</v>
      </c>
      <c r="F16" s="15" t="s">
        <v>119</v>
      </c>
      <c r="G16" s="16" t="s">
        <v>361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369</v>
      </c>
      <c r="B17" s="15" t="s">
        <v>49</v>
      </c>
      <c r="C17" s="15" t="s">
        <v>182</v>
      </c>
      <c r="D17" s="15" t="s">
        <v>370</v>
      </c>
      <c r="E17" s="15" t="s">
        <v>71</v>
      </c>
      <c r="F17" s="15" t="s">
        <v>119</v>
      </c>
      <c r="G17" s="16" t="s">
        <v>361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371</v>
      </c>
      <c r="B18" s="15" t="s">
        <v>49</v>
      </c>
      <c r="C18" s="15" t="s">
        <v>186</v>
      </c>
      <c r="D18" s="15" t="s">
        <v>283</v>
      </c>
      <c r="E18" s="15" t="s">
        <v>71</v>
      </c>
      <c r="F18" s="15" t="s">
        <v>119</v>
      </c>
      <c r="G18" s="16" t="s">
        <v>361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372</v>
      </c>
      <c r="B19" s="15" t="s">
        <v>49</v>
      </c>
      <c r="C19" s="15" t="s">
        <v>189</v>
      </c>
      <c r="D19" s="15" t="s">
        <v>373</v>
      </c>
      <c r="E19" s="15" t="s">
        <v>71</v>
      </c>
      <c r="F19" s="15" t="s">
        <v>119</v>
      </c>
      <c r="G19" s="16" t="s">
        <v>361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374</v>
      </c>
      <c r="B20" s="15" t="s">
        <v>49</v>
      </c>
      <c r="C20" s="15" t="s">
        <v>287</v>
      </c>
      <c r="D20" s="15" t="s">
        <v>375</v>
      </c>
      <c r="E20" s="15" t="s">
        <v>71</v>
      </c>
      <c r="F20" s="15" t="s">
        <v>140</v>
      </c>
      <c r="G20" s="16" t="s">
        <v>376</v>
      </c>
      <c r="H20" s="15" t="s">
        <v>81</v>
      </c>
      <c r="I20" s="15" t="s">
        <v>82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377</v>
      </c>
      <c r="B21" s="15" t="s">
        <v>49</v>
      </c>
      <c r="C21" s="15" t="s">
        <v>199</v>
      </c>
      <c r="D21" s="15" t="s">
        <v>378</v>
      </c>
      <c r="E21" s="15" t="s">
        <v>71</v>
      </c>
      <c r="F21" s="15" t="s">
        <v>140</v>
      </c>
      <c r="G21" s="16" t="s">
        <v>376</v>
      </c>
      <c r="H21" s="15" t="s">
        <v>81</v>
      </c>
      <c r="I21" s="15" t="s">
        <v>82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379</v>
      </c>
      <c r="B22" s="15" t="s">
        <v>49</v>
      </c>
      <c r="C22" s="15" t="s">
        <v>380</v>
      </c>
      <c r="D22" s="15" t="s">
        <v>381</v>
      </c>
      <c r="E22" s="15" t="s">
        <v>71</v>
      </c>
      <c r="F22" s="15" t="s">
        <v>119</v>
      </c>
      <c r="G22" s="16" t="s">
        <v>382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383</v>
      </c>
      <c r="B23" s="15" t="s">
        <v>49</v>
      </c>
      <c r="C23" s="15" t="s">
        <v>192</v>
      </c>
      <c r="D23" s="15" t="s">
        <v>384</v>
      </c>
      <c r="E23" s="15" t="s">
        <v>71</v>
      </c>
      <c r="F23" s="15" t="s">
        <v>119</v>
      </c>
      <c r="G23" s="16" t="s">
        <v>382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385</v>
      </c>
      <c r="B24" s="15" t="s">
        <v>91</v>
      </c>
      <c r="C24" s="15" t="s">
        <v>175</v>
      </c>
      <c r="D24" s="15" t="s">
        <v>386</v>
      </c>
      <c r="E24" s="15" t="s">
        <v>71</v>
      </c>
      <c r="F24" s="15" t="s">
        <v>72</v>
      </c>
      <c r="G24" s="16" t="s">
        <v>387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388</v>
      </c>
      <c r="B25" s="15" t="s">
        <v>91</v>
      </c>
      <c r="C25" s="15" t="s">
        <v>196</v>
      </c>
      <c r="D25" s="15" t="s">
        <v>389</v>
      </c>
      <c r="E25" s="15" t="s">
        <v>71</v>
      </c>
      <c r="F25" s="15" t="s">
        <v>140</v>
      </c>
      <c r="G25" s="16" t="s">
        <v>376</v>
      </c>
      <c r="H25" s="15" t="s">
        <v>81</v>
      </c>
      <c r="I25" s="15" t="s">
        <v>82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390</v>
      </c>
      <c r="B26" s="15" t="s">
        <v>98</v>
      </c>
      <c r="C26" s="15" t="s">
        <v>175</v>
      </c>
      <c r="D26" s="15" t="s">
        <v>391</v>
      </c>
      <c r="E26" s="15" t="s">
        <v>71</v>
      </c>
      <c r="F26" s="15" t="s">
        <v>100</v>
      </c>
      <c r="G26" s="16" t="s">
        <v>392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393</v>
      </c>
      <c r="B27" s="15" t="s">
        <v>98</v>
      </c>
      <c r="C27" s="15" t="s">
        <v>6</v>
      </c>
      <c r="D27" s="15" t="s">
        <v>394</v>
      </c>
      <c r="E27" s="15" t="s">
        <v>71</v>
      </c>
      <c r="F27" s="15" t="s">
        <v>100</v>
      </c>
      <c r="G27" s="16" t="s">
        <v>366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395</v>
      </c>
      <c r="B28" s="15" t="s">
        <v>98</v>
      </c>
      <c r="C28" s="15" t="s">
        <v>196</v>
      </c>
      <c r="D28" s="15" t="s">
        <v>396</v>
      </c>
      <c r="E28" s="15" t="s">
        <v>71</v>
      </c>
      <c r="F28" s="15" t="s">
        <v>119</v>
      </c>
      <c r="G28" s="16" t="s">
        <v>366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397</v>
      </c>
      <c r="B29" s="15" t="s">
        <v>98</v>
      </c>
      <c r="C29" s="15" t="s">
        <v>175</v>
      </c>
      <c r="D29" s="15" t="s">
        <v>310</v>
      </c>
      <c r="E29" s="15" t="s">
        <v>71</v>
      </c>
      <c r="F29" s="15" t="s">
        <v>140</v>
      </c>
      <c r="G29" s="16" t="s">
        <v>376</v>
      </c>
      <c r="H29" s="15" t="s">
        <v>81</v>
      </c>
      <c r="I29" s="15" t="s">
        <v>82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398</v>
      </c>
      <c r="B30" s="15" t="s">
        <v>98</v>
      </c>
      <c r="C30" s="15" t="s">
        <v>175</v>
      </c>
      <c r="D30" s="15" t="s">
        <v>312</v>
      </c>
      <c r="E30" s="15" t="s">
        <v>71</v>
      </c>
      <c r="F30" s="15" t="s">
        <v>140</v>
      </c>
      <c r="G30" s="16" t="s">
        <v>376</v>
      </c>
      <c r="H30" s="15" t="s">
        <v>81</v>
      </c>
      <c r="I30" s="15" t="s">
        <v>82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399</v>
      </c>
      <c r="B31" s="15" t="s">
        <v>98</v>
      </c>
      <c r="C31" s="15" t="s">
        <v>175</v>
      </c>
      <c r="D31" s="15" t="s">
        <v>400</v>
      </c>
      <c r="E31" s="15" t="s">
        <v>71</v>
      </c>
      <c r="F31" s="15" t="s">
        <v>140</v>
      </c>
      <c r="G31" s="16" t="s">
        <v>376</v>
      </c>
      <c r="H31" s="15" t="s">
        <v>81</v>
      </c>
      <c r="I31" s="15" t="s">
        <v>82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401</v>
      </c>
      <c r="B32" s="15" t="s">
        <v>98</v>
      </c>
      <c r="C32" s="15" t="s">
        <v>6</v>
      </c>
      <c r="D32" s="15" t="s">
        <v>402</v>
      </c>
      <c r="E32" s="15" t="s">
        <v>71</v>
      </c>
      <c r="F32" s="15" t="s">
        <v>100</v>
      </c>
      <c r="G32" s="16" t="s">
        <v>366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403</v>
      </c>
      <c r="B33" s="15" t="s">
        <v>117</v>
      </c>
      <c r="C33" s="15" t="s">
        <v>175</v>
      </c>
      <c r="D33" s="15" t="s">
        <v>404</v>
      </c>
      <c r="E33" s="15" t="s">
        <v>71</v>
      </c>
      <c r="F33" s="15" t="s">
        <v>119</v>
      </c>
      <c r="G33" s="16" t="s">
        <v>361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405</v>
      </c>
      <c r="B34" s="15" t="s">
        <v>117</v>
      </c>
      <c r="C34" s="15" t="s">
        <v>165</v>
      </c>
      <c r="D34" s="15" t="s">
        <v>406</v>
      </c>
      <c r="E34" s="15" t="s">
        <v>71</v>
      </c>
      <c r="F34" s="15" t="s">
        <v>119</v>
      </c>
      <c r="G34" s="16" t="s">
        <v>122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407</v>
      </c>
      <c r="B35" s="15" t="s">
        <v>117</v>
      </c>
      <c r="C35" s="15" t="s">
        <v>6</v>
      </c>
      <c r="D35" s="15" t="s">
        <v>408</v>
      </c>
      <c r="E35" s="15" t="s">
        <v>71</v>
      </c>
      <c r="F35" s="15" t="s">
        <v>119</v>
      </c>
      <c r="G35" s="16" t="s">
        <v>366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409</v>
      </c>
      <c r="B36" s="15" t="s">
        <v>117</v>
      </c>
      <c r="C36" s="15" t="s">
        <v>410</v>
      </c>
      <c r="D36" s="15" t="s">
        <v>411</v>
      </c>
      <c r="E36" s="15" t="s">
        <v>71</v>
      </c>
      <c r="F36" s="15" t="s">
        <v>119</v>
      </c>
      <c r="G36" s="16" t="s">
        <v>366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412</v>
      </c>
      <c r="B37" s="15" t="s">
        <v>117</v>
      </c>
      <c r="C37" s="15" t="s">
        <v>6</v>
      </c>
      <c r="D37" s="15" t="s">
        <v>413</v>
      </c>
      <c r="E37" s="15" t="s">
        <v>71</v>
      </c>
      <c r="F37" s="15" t="s">
        <v>119</v>
      </c>
      <c r="G37" s="16" t="s">
        <v>366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414</v>
      </c>
      <c r="B38" s="15" t="s">
        <v>117</v>
      </c>
      <c r="C38" s="15" t="s">
        <v>196</v>
      </c>
      <c r="D38" s="15" t="s">
        <v>415</v>
      </c>
      <c r="E38" s="15" t="s">
        <v>71</v>
      </c>
      <c r="F38" s="15" t="s">
        <v>119</v>
      </c>
      <c r="G38" s="16" t="s">
        <v>366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416</v>
      </c>
      <c r="B39" s="15" t="s">
        <v>117</v>
      </c>
      <c r="C39" s="15" t="s">
        <v>175</v>
      </c>
      <c r="D39" s="15" t="s">
        <v>326</v>
      </c>
      <c r="E39" s="15" t="s">
        <v>71</v>
      </c>
      <c r="F39" s="15" t="s">
        <v>119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417</v>
      </c>
      <c r="B40" s="15" t="s">
        <v>117</v>
      </c>
      <c r="C40" s="15" t="s">
        <v>175</v>
      </c>
      <c r="D40" s="15" t="s">
        <v>418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419</v>
      </c>
      <c r="B41" s="15" t="s">
        <v>117</v>
      </c>
      <c r="C41" s="15" t="s">
        <v>6</v>
      </c>
      <c r="D41" s="15" t="s">
        <v>420</v>
      </c>
      <c r="E41" s="15" t="s">
        <v>71</v>
      </c>
      <c r="F41" s="15" t="s">
        <v>119</v>
      </c>
      <c r="G41" s="16" t="s">
        <v>136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421</v>
      </c>
      <c r="B42" s="15" t="s">
        <v>138</v>
      </c>
      <c r="C42" s="15" t="s">
        <v>6</v>
      </c>
      <c r="D42" s="15" t="s">
        <v>422</v>
      </c>
      <c r="E42" s="15" t="s">
        <v>71</v>
      </c>
      <c r="F42" s="15" t="s">
        <v>140</v>
      </c>
      <c r="G42" s="16" t="s">
        <v>376</v>
      </c>
      <c r="H42" s="15" t="s">
        <v>74</v>
      </c>
      <c r="I42" s="15" t="s">
        <v>75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423</v>
      </c>
      <c r="B43" s="15" t="s">
        <v>138</v>
      </c>
      <c r="C43" s="15" t="s">
        <v>175</v>
      </c>
      <c r="D43" s="15" t="s">
        <v>424</v>
      </c>
      <c r="E43" s="15" t="s">
        <v>71</v>
      </c>
      <c r="F43" s="15" t="s">
        <v>140</v>
      </c>
      <c r="G43" s="16" t="s">
        <v>376</v>
      </c>
      <c r="H43" s="15" t="s">
        <v>81</v>
      </c>
      <c r="I43" s="15" t="s">
        <v>82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425</v>
      </c>
      <c r="B44" s="15" t="s">
        <v>144</v>
      </c>
      <c r="C44" s="15" t="s">
        <v>6</v>
      </c>
      <c r="D44" s="15" t="s">
        <v>426</v>
      </c>
      <c r="E44" s="15" t="s">
        <v>71</v>
      </c>
      <c r="F44" s="15" t="s">
        <v>146</v>
      </c>
      <c r="G44" s="16" t="s">
        <v>427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428</v>
      </c>
      <c r="B45" s="15" t="s">
        <v>144</v>
      </c>
      <c r="C45" s="15" t="s">
        <v>6</v>
      </c>
      <c r="D45" s="15" t="s">
        <v>429</v>
      </c>
      <c r="E45" s="15" t="s">
        <v>71</v>
      </c>
      <c r="F45" s="15" t="s">
        <v>146</v>
      </c>
      <c r="G45" s="16" t="s">
        <v>430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431</v>
      </c>
      <c r="B46" s="15" t="s">
        <v>152</v>
      </c>
      <c r="C46" s="15" t="s">
        <v>6</v>
      </c>
      <c r="D46" s="15" t="s">
        <v>432</v>
      </c>
      <c r="E46" s="15" t="s">
        <v>154</v>
      </c>
      <c r="F46" s="15" t="s">
        <v>154</v>
      </c>
      <c r="G46" s="16" t="s">
        <v>155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433</v>
      </c>
      <c r="B47" s="15" t="s">
        <v>157</v>
      </c>
      <c r="C47" s="15" t="s">
        <v>434</v>
      </c>
      <c r="D47" s="15" t="s">
        <v>435</v>
      </c>
      <c r="E47" s="15" t="s">
        <v>159</v>
      </c>
      <c r="F47" s="15" t="s">
        <v>160</v>
      </c>
      <c r="G47" s="16" t="s">
        <v>251</v>
      </c>
      <c r="H47" s="15" t="s">
        <v>252</v>
      </c>
      <c r="I47" s="15" t="s">
        <v>82</v>
      </c>
      <c r="J47" s="19" t="n">
        <v>46222</v>
      </c>
      <c r="K47" s="15" t="s">
        <v>436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2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439</v>
      </c>
      <c r="B9" s="15" t="s">
        <v>69</v>
      </c>
      <c r="C9" s="15" t="s">
        <v>6</v>
      </c>
      <c r="D9" s="15" t="s">
        <v>440</v>
      </c>
      <c r="E9" s="15" t="s">
        <v>71</v>
      </c>
      <c r="F9" s="15" t="s">
        <v>72</v>
      </c>
      <c r="G9" s="16" t="s">
        <v>441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442</v>
      </c>
      <c r="B10" s="15" t="s">
        <v>77</v>
      </c>
      <c r="C10" s="15" t="s">
        <v>6</v>
      </c>
      <c r="D10" s="15" t="s">
        <v>443</v>
      </c>
      <c r="E10" s="15" t="s">
        <v>71</v>
      </c>
      <c r="F10" s="15" t="s">
        <v>79</v>
      </c>
      <c r="G10" s="16" t="s">
        <v>444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445</v>
      </c>
      <c r="B11" s="15" t="s">
        <v>77</v>
      </c>
      <c r="C11" s="15" t="s">
        <v>6</v>
      </c>
      <c r="D11" s="15" t="s">
        <v>446</v>
      </c>
      <c r="E11" s="15" t="s">
        <v>71</v>
      </c>
      <c r="F11" s="15" t="s">
        <v>79</v>
      </c>
      <c r="G11" s="16" t="s">
        <v>447</v>
      </c>
      <c r="H11" s="15" t="s">
        <v>81</v>
      </c>
      <c r="I11" s="15" t="s">
        <v>82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448</v>
      </c>
      <c r="B12" s="15" t="s">
        <v>69</v>
      </c>
      <c r="C12" s="15" t="s">
        <v>165</v>
      </c>
      <c r="D12" s="15" t="s">
        <v>449</v>
      </c>
      <c r="E12" s="15" t="s">
        <v>71</v>
      </c>
      <c r="F12" s="15" t="s">
        <v>85</v>
      </c>
      <c r="G12" s="16" t="s">
        <v>122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450</v>
      </c>
      <c r="B13" s="15" t="s">
        <v>49</v>
      </c>
      <c r="C13" s="15" t="s">
        <v>179</v>
      </c>
      <c r="D13" s="15" t="s">
        <v>451</v>
      </c>
      <c r="E13" s="15" t="s">
        <v>71</v>
      </c>
      <c r="F13" s="15" t="s">
        <v>119</v>
      </c>
      <c r="G13" s="16" t="s">
        <v>452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453</v>
      </c>
      <c r="B14" s="15" t="s">
        <v>49</v>
      </c>
      <c r="C14" s="15" t="s">
        <v>268</v>
      </c>
      <c r="D14" s="15" t="s">
        <v>454</v>
      </c>
      <c r="E14" s="15" t="s">
        <v>71</v>
      </c>
      <c r="F14" s="15" t="s">
        <v>119</v>
      </c>
      <c r="G14" s="16" t="s">
        <v>452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455</v>
      </c>
      <c r="B15" s="15" t="s">
        <v>49</v>
      </c>
      <c r="C15" s="15" t="s">
        <v>271</v>
      </c>
      <c r="D15" s="15" t="s">
        <v>456</v>
      </c>
      <c r="E15" s="15" t="s">
        <v>71</v>
      </c>
      <c r="F15" s="15" t="s">
        <v>119</v>
      </c>
      <c r="G15" s="16" t="s">
        <v>452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457</v>
      </c>
      <c r="B16" s="15" t="s">
        <v>49</v>
      </c>
      <c r="C16" s="15" t="s">
        <v>275</v>
      </c>
      <c r="D16" s="15" t="s">
        <v>458</v>
      </c>
      <c r="E16" s="15" t="s">
        <v>71</v>
      </c>
      <c r="F16" s="15" t="s">
        <v>119</v>
      </c>
      <c r="G16" s="16" t="s">
        <v>459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460</v>
      </c>
      <c r="B17" s="15" t="s">
        <v>49</v>
      </c>
      <c r="C17" s="15" t="s">
        <v>196</v>
      </c>
      <c r="D17" s="15" t="s">
        <v>461</v>
      </c>
      <c r="E17" s="15" t="s">
        <v>71</v>
      </c>
      <c r="F17" s="15" t="s">
        <v>119</v>
      </c>
      <c r="G17" s="16" t="s">
        <v>452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462</v>
      </c>
      <c r="B18" s="15" t="s">
        <v>49</v>
      </c>
      <c r="C18" s="15" t="s">
        <v>182</v>
      </c>
      <c r="D18" s="15" t="s">
        <v>463</v>
      </c>
      <c r="E18" s="15" t="s">
        <v>71</v>
      </c>
      <c r="F18" s="15" t="s">
        <v>119</v>
      </c>
      <c r="G18" s="16" t="s">
        <v>452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464</v>
      </c>
      <c r="B19" s="15" t="s">
        <v>49</v>
      </c>
      <c r="C19" s="15" t="s">
        <v>186</v>
      </c>
      <c r="D19" s="15" t="s">
        <v>465</v>
      </c>
      <c r="E19" s="15" t="s">
        <v>71</v>
      </c>
      <c r="F19" s="15" t="s">
        <v>119</v>
      </c>
      <c r="G19" s="16" t="s">
        <v>452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466</v>
      </c>
      <c r="B20" s="15" t="s">
        <v>49</v>
      </c>
      <c r="C20" s="15" t="s">
        <v>189</v>
      </c>
      <c r="D20" s="15" t="s">
        <v>467</v>
      </c>
      <c r="E20" s="15" t="s">
        <v>71</v>
      </c>
      <c r="F20" s="15" t="s">
        <v>119</v>
      </c>
      <c r="G20" s="16" t="s">
        <v>452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468</v>
      </c>
      <c r="B21" s="15" t="s">
        <v>49</v>
      </c>
      <c r="C21" s="15" t="s">
        <v>287</v>
      </c>
      <c r="D21" s="15" t="s">
        <v>469</v>
      </c>
      <c r="E21" s="15" t="s">
        <v>71</v>
      </c>
      <c r="F21" s="15" t="s">
        <v>119</v>
      </c>
      <c r="G21" s="16" t="s">
        <v>459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470</v>
      </c>
      <c r="B22" s="15" t="s">
        <v>49</v>
      </c>
      <c r="C22" s="15" t="s">
        <v>199</v>
      </c>
      <c r="D22" s="15" t="s">
        <v>471</v>
      </c>
      <c r="E22" s="15" t="s">
        <v>71</v>
      </c>
      <c r="F22" s="15" t="s">
        <v>119</v>
      </c>
      <c r="G22" s="16" t="s">
        <v>459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472</v>
      </c>
      <c r="B23" s="15" t="s">
        <v>49</v>
      </c>
      <c r="C23" s="15" t="s">
        <v>293</v>
      </c>
      <c r="D23" s="15" t="s">
        <v>473</v>
      </c>
      <c r="E23" s="15" t="s">
        <v>71</v>
      </c>
      <c r="F23" s="15" t="s">
        <v>119</v>
      </c>
      <c r="G23" s="16" t="s">
        <v>452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474</v>
      </c>
      <c r="B24" s="15" t="s">
        <v>49</v>
      </c>
      <c r="C24" s="15" t="s">
        <v>296</v>
      </c>
      <c r="D24" s="15" t="s">
        <v>475</v>
      </c>
      <c r="E24" s="15" t="s">
        <v>71</v>
      </c>
      <c r="F24" s="15" t="s">
        <v>119</v>
      </c>
      <c r="G24" s="16" t="s">
        <v>459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476</v>
      </c>
      <c r="B25" s="15" t="s">
        <v>91</v>
      </c>
      <c r="C25" s="15" t="s">
        <v>196</v>
      </c>
      <c r="D25" s="15" t="s">
        <v>477</v>
      </c>
      <c r="E25" s="15" t="s">
        <v>71</v>
      </c>
      <c r="F25" s="15" t="s">
        <v>119</v>
      </c>
      <c r="G25" s="16" t="s">
        <v>459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478</v>
      </c>
      <c r="B26" s="15" t="s">
        <v>91</v>
      </c>
      <c r="C26" s="15" t="s">
        <v>196</v>
      </c>
      <c r="D26" s="15" t="s">
        <v>479</v>
      </c>
      <c r="E26" s="15" t="s">
        <v>71</v>
      </c>
      <c r="F26" s="15" t="s">
        <v>119</v>
      </c>
      <c r="G26" s="16" t="s">
        <v>452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480</v>
      </c>
      <c r="B27" s="15" t="s">
        <v>91</v>
      </c>
      <c r="C27" s="15" t="s">
        <v>196</v>
      </c>
      <c r="D27" s="15" t="s">
        <v>481</v>
      </c>
      <c r="E27" s="15" t="s">
        <v>71</v>
      </c>
      <c r="F27" s="15" t="s">
        <v>119</v>
      </c>
      <c r="G27" s="16" t="s">
        <v>459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482</v>
      </c>
      <c r="B28" s="15" t="s">
        <v>91</v>
      </c>
      <c r="C28" s="15" t="s">
        <v>175</v>
      </c>
      <c r="D28" s="15" t="s">
        <v>483</v>
      </c>
      <c r="E28" s="15" t="s">
        <v>71</v>
      </c>
      <c r="F28" s="15" t="s">
        <v>484</v>
      </c>
      <c r="G28" s="16" t="s">
        <v>130</v>
      </c>
      <c r="H28" s="15" t="s">
        <v>81</v>
      </c>
      <c r="I28" s="15" t="s">
        <v>82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485</v>
      </c>
      <c r="B29" s="15" t="s">
        <v>91</v>
      </c>
      <c r="C29" s="15" t="s">
        <v>175</v>
      </c>
      <c r="D29" s="15" t="s">
        <v>486</v>
      </c>
      <c r="E29" s="15" t="s">
        <v>71</v>
      </c>
      <c r="F29" s="15" t="s">
        <v>484</v>
      </c>
      <c r="G29" s="16" t="s">
        <v>130</v>
      </c>
      <c r="H29" s="15" t="s">
        <v>81</v>
      </c>
      <c r="I29" s="15" t="s">
        <v>82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487</v>
      </c>
      <c r="B30" s="15" t="s">
        <v>91</v>
      </c>
      <c r="C30" s="15" t="s">
        <v>196</v>
      </c>
      <c r="D30" s="15" t="s">
        <v>488</v>
      </c>
      <c r="E30" s="15" t="s">
        <v>71</v>
      </c>
      <c r="F30" s="15" t="s">
        <v>119</v>
      </c>
      <c r="G30" s="16" t="s">
        <v>459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489</v>
      </c>
      <c r="B31" s="15" t="s">
        <v>91</v>
      </c>
      <c r="C31" s="15" t="s">
        <v>175</v>
      </c>
      <c r="D31" s="15" t="s">
        <v>490</v>
      </c>
      <c r="E31" s="15" t="s">
        <v>71</v>
      </c>
      <c r="F31" s="15" t="s">
        <v>484</v>
      </c>
      <c r="G31" s="16" t="s">
        <v>130</v>
      </c>
      <c r="H31" s="15" t="s">
        <v>81</v>
      </c>
      <c r="I31" s="15" t="s">
        <v>82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491</v>
      </c>
      <c r="B32" s="15" t="s">
        <v>91</v>
      </c>
      <c r="C32" s="15" t="s">
        <v>196</v>
      </c>
      <c r="D32" s="15" t="s">
        <v>492</v>
      </c>
      <c r="E32" s="15" t="s">
        <v>71</v>
      </c>
      <c r="F32" s="15" t="s">
        <v>100</v>
      </c>
      <c r="G32" s="16" t="s">
        <v>392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493</v>
      </c>
      <c r="B33" s="15" t="s">
        <v>98</v>
      </c>
      <c r="C33" s="15" t="s">
        <v>175</v>
      </c>
      <c r="D33" s="15" t="s">
        <v>494</v>
      </c>
      <c r="E33" s="15" t="s">
        <v>71</v>
      </c>
      <c r="F33" s="15" t="s">
        <v>100</v>
      </c>
      <c r="G33" s="16" t="s">
        <v>392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495</v>
      </c>
      <c r="B34" s="15" t="s">
        <v>98</v>
      </c>
      <c r="C34" s="15" t="s">
        <v>175</v>
      </c>
      <c r="D34" s="15" t="s">
        <v>496</v>
      </c>
      <c r="E34" s="15" t="s">
        <v>71</v>
      </c>
      <c r="F34" s="15" t="s">
        <v>100</v>
      </c>
      <c r="G34" s="16" t="s">
        <v>392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497</v>
      </c>
      <c r="B35" s="15" t="s">
        <v>117</v>
      </c>
      <c r="C35" s="15" t="s">
        <v>6</v>
      </c>
      <c r="D35" s="15" t="s">
        <v>498</v>
      </c>
      <c r="E35" s="15" t="s">
        <v>71</v>
      </c>
      <c r="F35" s="15" t="s">
        <v>119</v>
      </c>
      <c r="G35" s="16" t="s">
        <v>452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499</v>
      </c>
      <c r="B36" s="15" t="s">
        <v>117</v>
      </c>
      <c r="C36" s="15" t="s">
        <v>165</v>
      </c>
      <c r="D36" s="15" t="s">
        <v>500</v>
      </c>
      <c r="E36" s="15" t="s">
        <v>71</v>
      </c>
      <c r="F36" s="15" t="s">
        <v>85</v>
      </c>
      <c r="G36" s="16" t="s">
        <v>122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501</v>
      </c>
      <c r="B37" s="15" t="s">
        <v>117</v>
      </c>
      <c r="C37" s="15" t="s">
        <v>6</v>
      </c>
      <c r="D37" s="15" t="s">
        <v>502</v>
      </c>
      <c r="E37" s="15" t="s">
        <v>71</v>
      </c>
      <c r="F37" s="15" t="s">
        <v>119</v>
      </c>
      <c r="G37" s="16" t="s">
        <v>503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504</v>
      </c>
      <c r="B38" s="15" t="s">
        <v>117</v>
      </c>
      <c r="C38" s="15" t="s">
        <v>6</v>
      </c>
      <c r="D38" s="15" t="s">
        <v>505</v>
      </c>
      <c r="E38" s="15" t="s">
        <v>71</v>
      </c>
      <c r="F38" s="15" t="s">
        <v>119</v>
      </c>
      <c r="G38" s="16" t="s">
        <v>459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506</v>
      </c>
      <c r="B39" s="15" t="s">
        <v>117</v>
      </c>
      <c r="C39" s="15" t="s">
        <v>196</v>
      </c>
      <c r="D39" s="15" t="s">
        <v>507</v>
      </c>
      <c r="E39" s="15" t="s">
        <v>71</v>
      </c>
      <c r="F39" s="15" t="s">
        <v>119</v>
      </c>
      <c r="G39" s="16" t="s">
        <v>459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508</v>
      </c>
      <c r="B40" s="15" t="s">
        <v>117</v>
      </c>
      <c r="C40" s="15" t="s">
        <v>175</v>
      </c>
      <c r="D40" s="15" t="s">
        <v>509</v>
      </c>
      <c r="E40" s="15" t="s">
        <v>71</v>
      </c>
      <c r="F40" s="15" t="s">
        <v>484</v>
      </c>
      <c r="G40" s="16" t="s">
        <v>130</v>
      </c>
      <c r="H40" s="15" t="s">
        <v>81</v>
      </c>
      <c r="I40" s="15" t="s">
        <v>82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510</v>
      </c>
      <c r="B41" s="15" t="s">
        <v>117</v>
      </c>
      <c r="C41" s="15" t="s">
        <v>6</v>
      </c>
      <c r="D41" s="15" t="s">
        <v>511</v>
      </c>
      <c r="E41" s="15" t="s">
        <v>71</v>
      </c>
      <c r="F41" s="15" t="s">
        <v>71</v>
      </c>
      <c r="G41" s="16" t="s">
        <v>136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512</v>
      </c>
      <c r="B42" s="15" t="s">
        <v>138</v>
      </c>
      <c r="C42" s="15" t="s">
        <v>6</v>
      </c>
      <c r="D42" s="15" t="s">
        <v>513</v>
      </c>
      <c r="E42" s="15" t="s">
        <v>71</v>
      </c>
      <c r="F42" s="15" t="s">
        <v>140</v>
      </c>
      <c r="G42" s="16" t="s">
        <v>514</v>
      </c>
      <c r="H42" s="15" t="s">
        <v>74</v>
      </c>
      <c r="I42" s="15" t="s">
        <v>75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515</v>
      </c>
      <c r="B43" s="15" t="s">
        <v>138</v>
      </c>
      <c r="C43" s="15" t="s">
        <v>6</v>
      </c>
      <c r="D43" s="15" t="s">
        <v>516</v>
      </c>
      <c r="E43" s="15" t="s">
        <v>71</v>
      </c>
      <c r="F43" s="15" t="s">
        <v>140</v>
      </c>
      <c r="G43" s="16" t="s">
        <v>514</v>
      </c>
      <c r="H43" s="15" t="s">
        <v>252</v>
      </c>
      <c r="I43" s="15" t="s">
        <v>82</v>
      </c>
      <c r="J43" s="19" t="n">
        <v>46222</v>
      </c>
      <c r="K43" s="15" t="s">
        <v>517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518</v>
      </c>
      <c r="B44" s="15" t="s">
        <v>144</v>
      </c>
      <c r="C44" s="15" t="s">
        <v>6</v>
      </c>
      <c r="D44" s="15" t="s">
        <v>519</v>
      </c>
      <c r="E44" s="15" t="s">
        <v>71</v>
      </c>
      <c r="F44" s="15" t="s">
        <v>146</v>
      </c>
      <c r="G44" s="16" t="s">
        <v>520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521</v>
      </c>
      <c r="B45" s="15" t="s">
        <v>144</v>
      </c>
      <c r="C45" s="15" t="s">
        <v>6</v>
      </c>
      <c r="D45" s="15" t="s">
        <v>522</v>
      </c>
      <c r="E45" s="15" t="s">
        <v>71</v>
      </c>
      <c r="F45" s="15" t="s">
        <v>146</v>
      </c>
      <c r="G45" s="16" t="s">
        <v>523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524</v>
      </c>
      <c r="B46" s="15" t="s">
        <v>152</v>
      </c>
      <c r="C46" s="15" t="s">
        <v>6</v>
      </c>
      <c r="D46" s="15" t="s">
        <v>525</v>
      </c>
      <c r="E46" s="15" t="s">
        <v>154</v>
      </c>
      <c r="F46" s="15" t="s">
        <v>154</v>
      </c>
      <c r="G46" s="16" t="s">
        <v>155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526</v>
      </c>
      <c r="B47" s="15" t="s">
        <v>157</v>
      </c>
      <c r="C47" s="15" t="s">
        <v>527</v>
      </c>
      <c r="D47" s="15" t="s">
        <v>528</v>
      </c>
      <c r="E47" s="15" t="s">
        <v>159</v>
      </c>
      <c r="F47" s="15" t="s">
        <v>160</v>
      </c>
      <c r="G47" s="16" t="s">
        <v>251</v>
      </c>
      <c r="H47" s="15" t="s">
        <v>252</v>
      </c>
      <c r="I47" s="15" t="s">
        <v>75</v>
      </c>
      <c r="J47" s="19" t="n">
        <v>46221</v>
      </c>
      <c r="K47" s="15" t="s">
        <v>529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532</v>
      </c>
      <c r="B9" s="15" t="s">
        <v>69</v>
      </c>
      <c r="C9" s="15" t="s">
        <v>24</v>
      </c>
      <c r="D9" s="15" t="s">
        <v>533</v>
      </c>
      <c r="E9" s="15" t="s">
        <v>71</v>
      </c>
      <c r="F9" s="15" t="s">
        <v>72</v>
      </c>
      <c r="G9" s="16" t="s">
        <v>534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535</v>
      </c>
      <c r="B10" s="15" t="s">
        <v>77</v>
      </c>
      <c r="C10" s="15" t="s">
        <v>536</v>
      </c>
      <c r="D10" s="15" t="s">
        <v>537</v>
      </c>
      <c r="E10" s="15" t="s">
        <v>71</v>
      </c>
      <c r="F10" s="15" t="s">
        <v>79</v>
      </c>
      <c r="G10" s="16" t="s">
        <v>538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539</v>
      </c>
      <c r="B11" s="15" t="s">
        <v>69</v>
      </c>
      <c r="C11" s="15" t="s">
        <v>536</v>
      </c>
      <c r="D11" s="15" t="s">
        <v>540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541</v>
      </c>
      <c r="B12" s="15" t="s">
        <v>49</v>
      </c>
      <c r="C12" s="15" t="s">
        <v>24</v>
      </c>
      <c r="D12" s="15" t="s">
        <v>542</v>
      </c>
      <c r="E12" s="15" t="s">
        <v>71</v>
      </c>
      <c r="F12" s="15" t="s">
        <v>119</v>
      </c>
      <c r="G12" s="16" t="s">
        <v>543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544</v>
      </c>
      <c r="B13" s="15" t="s">
        <v>91</v>
      </c>
      <c r="C13" s="15" t="s">
        <v>24</v>
      </c>
      <c r="D13" s="15" t="s">
        <v>545</v>
      </c>
      <c r="E13" s="15" t="s">
        <v>71</v>
      </c>
      <c r="F13" s="15" t="s">
        <v>119</v>
      </c>
      <c r="G13" s="16" t="s">
        <v>543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546</v>
      </c>
      <c r="B14" s="15" t="s">
        <v>69</v>
      </c>
      <c r="C14" s="15" t="s">
        <v>24</v>
      </c>
      <c r="D14" s="15" t="s">
        <v>547</v>
      </c>
      <c r="E14" s="15" t="s">
        <v>71</v>
      </c>
      <c r="F14" s="15" t="s">
        <v>119</v>
      </c>
      <c r="G14" s="16" t="s">
        <v>543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548</v>
      </c>
      <c r="B15" s="15" t="s">
        <v>549</v>
      </c>
      <c r="C15" s="15" t="s">
        <v>24</v>
      </c>
      <c r="D15" s="15" t="s">
        <v>550</v>
      </c>
      <c r="E15" s="15" t="s">
        <v>71</v>
      </c>
      <c r="F15" s="15" t="s">
        <v>119</v>
      </c>
      <c r="G15" s="16" t="s">
        <v>543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551</v>
      </c>
      <c r="B16" s="15" t="s">
        <v>49</v>
      </c>
      <c r="C16" s="15" t="s">
        <v>552</v>
      </c>
      <c r="D16" s="15" t="s">
        <v>553</v>
      </c>
      <c r="E16" s="15" t="s">
        <v>71</v>
      </c>
      <c r="F16" s="15" t="s">
        <v>85</v>
      </c>
      <c r="G16" s="16" t="s">
        <v>122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554</v>
      </c>
      <c r="B17" s="15" t="s">
        <v>555</v>
      </c>
      <c r="C17" s="15" t="s">
        <v>552</v>
      </c>
      <c r="D17" s="15" t="s">
        <v>556</v>
      </c>
      <c r="E17" s="15" t="s">
        <v>71</v>
      </c>
      <c r="F17" s="15" t="s">
        <v>119</v>
      </c>
      <c r="G17" s="16" t="s">
        <v>543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557</v>
      </c>
      <c r="B18" s="15" t="s">
        <v>555</v>
      </c>
      <c r="C18" s="15" t="s">
        <v>552</v>
      </c>
      <c r="D18" s="15" t="s">
        <v>558</v>
      </c>
      <c r="E18" s="15" t="s">
        <v>71</v>
      </c>
      <c r="F18" s="15" t="s">
        <v>119</v>
      </c>
      <c r="G18" s="16" t="s">
        <v>543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559</v>
      </c>
      <c r="B19" s="15" t="s">
        <v>560</v>
      </c>
      <c r="C19" s="15" t="s">
        <v>552</v>
      </c>
      <c r="D19" s="15" t="s">
        <v>561</v>
      </c>
      <c r="E19" s="15" t="s">
        <v>71</v>
      </c>
      <c r="F19" s="15" t="s">
        <v>119</v>
      </c>
      <c r="G19" s="16" t="s">
        <v>543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562</v>
      </c>
      <c r="B20" s="15" t="s">
        <v>549</v>
      </c>
      <c r="C20" s="15" t="s">
        <v>552</v>
      </c>
      <c r="D20" s="15" t="s">
        <v>563</v>
      </c>
      <c r="E20" s="15" t="s">
        <v>71</v>
      </c>
      <c r="F20" s="15" t="s">
        <v>119</v>
      </c>
      <c r="G20" s="16" t="s">
        <v>564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565</v>
      </c>
      <c r="B21" s="15" t="s">
        <v>91</v>
      </c>
      <c r="C21" s="15" t="s">
        <v>536</v>
      </c>
      <c r="D21" s="15" t="s">
        <v>566</v>
      </c>
      <c r="E21" s="15" t="s">
        <v>71</v>
      </c>
      <c r="F21" s="15" t="s">
        <v>72</v>
      </c>
      <c r="G21" s="16" t="s">
        <v>567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568</v>
      </c>
      <c r="B22" s="15" t="s">
        <v>91</v>
      </c>
      <c r="C22" s="15" t="s">
        <v>536</v>
      </c>
      <c r="D22" s="15" t="s">
        <v>569</v>
      </c>
      <c r="E22" s="15" t="s">
        <v>71</v>
      </c>
      <c r="F22" s="15" t="s">
        <v>484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570</v>
      </c>
      <c r="B23" s="15" t="s">
        <v>91</v>
      </c>
      <c r="C23" s="15" t="s">
        <v>536</v>
      </c>
      <c r="D23" s="15" t="s">
        <v>571</v>
      </c>
      <c r="E23" s="15" t="s">
        <v>71</v>
      </c>
      <c r="F23" s="15" t="s">
        <v>119</v>
      </c>
      <c r="G23" s="16" t="s">
        <v>564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572</v>
      </c>
      <c r="B24" s="15" t="s">
        <v>91</v>
      </c>
      <c r="C24" s="15" t="s">
        <v>552</v>
      </c>
      <c r="D24" s="15" t="s">
        <v>573</v>
      </c>
      <c r="E24" s="15" t="s">
        <v>71</v>
      </c>
      <c r="F24" s="15" t="s">
        <v>119</v>
      </c>
      <c r="G24" s="16" t="s">
        <v>564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574</v>
      </c>
      <c r="B25" s="15" t="s">
        <v>91</v>
      </c>
      <c r="C25" s="15" t="s">
        <v>536</v>
      </c>
      <c r="D25" s="15" t="s">
        <v>575</v>
      </c>
      <c r="E25" s="15" t="s">
        <v>71</v>
      </c>
      <c r="F25" s="15" t="s">
        <v>119</v>
      </c>
      <c r="G25" s="16" t="s">
        <v>564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576</v>
      </c>
      <c r="B26" s="15" t="s">
        <v>577</v>
      </c>
      <c r="C26" s="15" t="s">
        <v>552</v>
      </c>
      <c r="D26" s="15" t="s">
        <v>578</v>
      </c>
      <c r="E26" s="15" t="s">
        <v>71</v>
      </c>
      <c r="F26" s="15" t="s">
        <v>119</v>
      </c>
      <c r="G26" s="16" t="s">
        <v>564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579</v>
      </c>
      <c r="B27" s="15" t="s">
        <v>580</v>
      </c>
      <c r="C27" s="15" t="s">
        <v>536</v>
      </c>
      <c r="D27" s="15" t="s">
        <v>581</v>
      </c>
      <c r="E27" s="15" t="s">
        <v>71</v>
      </c>
      <c r="F27" s="15" t="s">
        <v>100</v>
      </c>
      <c r="G27" s="16" t="s">
        <v>392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582</v>
      </c>
      <c r="B28" s="15" t="s">
        <v>98</v>
      </c>
      <c r="C28" s="15" t="s">
        <v>536</v>
      </c>
      <c r="D28" s="15" t="s">
        <v>583</v>
      </c>
      <c r="E28" s="15" t="s">
        <v>71</v>
      </c>
      <c r="F28" s="15" t="s">
        <v>100</v>
      </c>
      <c r="G28" s="16" t="s">
        <v>392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584</v>
      </c>
      <c r="B29" s="15" t="s">
        <v>98</v>
      </c>
      <c r="C29" s="15" t="s">
        <v>552</v>
      </c>
      <c r="D29" s="15" t="s">
        <v>585</v>
      </c>
      <c r="E29" s="15" t="s">
        <v>71</v>
      </c>
      <c r="F29" s="15" t="s">
        <v>100</v>
      </c>
      <c r="G29" s="16" t="s">
        <v>392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586</v>
      </c>
      <c r="B30" s="15" t="s">
        <v>98</v>
      </c>
      <c r="C30" s="15" t="s">
        <v>536</v>
      </c>
      <c r="D30" s="15" t="s">
        <v>587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588</v>
      </c>
      <c r="B31" s="15" t="s">
        <v>117</v>
      </c>
      <c r="C31" s="15" t="s">
        <v>24</v>
      </c>
      <c r="D31" s="15" t="s">
        <v>589</v>
      </c>
      <c r="E31" s="15" t="s">
        <v>71</v>
      </c>
      <c r="F31" s="15" t="s">
        <v>119</v>
      </c>
      <c r="G31" s="16" t="s">
        <v>543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590</v>
      </c>
      <c r="B32" s="15" t="s">
        <v>117</v>
      </c>
      <c r="C32" s="15" t="s">
        <v>552</v>
      </c>
      <c r="D32" s="15" t="s">
        <v>591</v>
      </c>
      <c r="E32" s="15" t="s">
        <v>71</v>
      </c>
      <c r="F32" s="15" t="s">
        <v>119</v>
      </c>
      <c r="G32" s="16" t="s">
        <v>543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592</v>
      </c>
      <c r="B33" s="15" t="s">
        <v>117</v>
      </c>
      <c r="C33" s="15" t="s">
        <v>536</v>
      </c>
      <c r="D33" s="15" t="s">
        <v>593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594</v>
      </c>
      <c r="B34" s="15" t="s">
        <v>117</v>
      </c>
      <c r="C34" s="15" t="s">
        <v>536</v>
      </c>
      <c r="D34" s="15" t="s">
        <v>595</v>
      </c>
      <c r="E34" s="15" t="s">
        <v>71</v>
      </c>
      <c r="F34" s="15" t="s">
        <v>119</v>
      </c>
      <c r="G34" s="16" t="s">
        <v>503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596</v>
      </c>
      <c r="B35" s="15" t="s">
        <v>117</v>
      </c>
      <c r="C35" s="15" t="s">
        <v>24</v>
      </c>
      <c r="D35" s="15" t="s">
        <v>597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598</v>
      </c>
      <c r="B36" s="15" t="s">
        <v>117</v>
      </c>
      <c r="C36" s="15" t="s">
        <v>536</v>
      </c>
      <c r="D36" s="15" t="s">
        <v>599</v>
      </c>
      <c r="E36" s="15" t="s">
        <v>71</v>
      </c>
      <c r="F36" s="15" t="s">
        <v>119</v>
      </c>
      <c r="G36" s="16" t="s">
        <v>543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600</v>
      </c>
      <c r="B37" s="15" t="s">
        <v>117</v>
      </c>
      <c r="C37" s="15" t="s">
        <v>536</v>
      </c>
      <c r="D37" s="15" t="s">
        <v>601</v>
      </c>
      <c r="E37" s="15" t="s">
        <v>71</v>
      </c>
      <c r="F37" s="15" t="s">
        <v>119</v>
      </c>
      <c r="G37" s="16" t="s">
        <v>564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602</v>
      </c>
      <c r="B38" s="15" t="s">
        <v>117</v>
      </c>
      <c r="C38" s="15" t="s">
        <v>536</v>
      </c>
      <c r="D38" s="15" t="s">
        <v>603</v>
      </c>
      <c r="E38" s="15" t="s">
        <v>71</v>
      </c>
      <c r="F38" s="15" t="s">
        <v>119</v>
      </c>
      <c r="G38" s="16" t="s">
        <v>564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604</v>
      </c>
      <c r="B39" s="15" t="s">
        <v>117</v>
      </c>
      <c r="C39" s="15" t="s">
        <v>536</v>
      </c>
      <c r="D39" s="15" t="s">
        <v>605</v>
      </c>
      <c r="E39" s="15" t="s">
        <v>71</v>
      </c>
      <c r="F39" s="15" t="s">
        <v>484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606</v>
      </c>
      <c r="B40" s="15" t="s">
        <v>117</v>
      </c>
      <c r="C40" s="15" t="s">
        <v>536</v>
      </c>
      <c r="D40" s="15" t="s">
        <v>607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608</v>
      </c>
      <c r="B41" s="15" t="s">
        <v>138</v>
      </c>
      <c r="C41" s="15" t="s">
        <v>536</v>
      </c>
      <c r="D41" s="15" t="s">
        <v>609</v>
      </c>
      <c r="E41" s="15" t="s">
        <v>71</v>
      </c>
      <c r="F41" s="15" t="s">
        <v>140</v>
      </c>
      <c r="G41" s="16" t="s">
        <v>610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611</v>
      </c>
      <c r="B42" s="15" t="s">
        <v>138</v>
      </c>
      <c r="C42" s="15" t="s">
        <v>536</v>
      </c>
      <c r="D42" s="15" t="s">
        <v>612</v>
      </c>
      <c r="E42" s="15" t="s">
        <v>71</v>
      </c>
      <c r="F42" s="15" t="s">
        <v>140</v>
      </c>
      <c r="G42" s="16" t="s">
        <v>610</v>
      </c>
      <c r="H42" s="15" t="s">
        <v>81</v>
      </c>
      <c r="I42" s="15" t="s">
        <v>82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613</v>
      </c>
      <c r="B43" s="15" t="s">
        <v>144</v>
      </c>
      <c r="C43" s="15" t="s">
        <v>536</v>
      </c>
      <c r="D43" s="15" t="s">
        <v>614</v>
      </c>
      <c r="E43" s="15" t="s">
        <v>71</v>
      </c>
      <c r="F43" s="15" t="s">
        <v>146</v>
      </c>
      <c r="G43" s="16" t="s">
        <v>615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616</v>
      </c>
      <c r="B44" s="15" t="s">
        <v>144</v>
      </c>
      <c r="C44" s="15" t="s">
        <v>536</v>
      </c>
      <c r="D44" s="15" t="s">
        <v>617</v>
      </c>
      <c r="E44" s="15" t="s">
        <v>71</v>
      </c>
      <c r="F44" s="15" t="s">
        <v>146</v>
      </c>
      <c r="G44" s="16" t="s">
        <v>618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619</v>
      </c>
      <c r="B45" s="15" t="s">
        <v>152</v>
      </c>
      <c r="C45" s="15" t="s">
        <v>536</v>
      </c>
      <c r="D45" s="15" t="s">
        <v>620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621</v>
      </c>
      <c r="B46" s="15" t="s">
        <v>157</v>
      </c>
      <c r="C46" s="15" t="s">
        <v>622</v>
      </c>
      <c r="D46" s="15" t="s">
        <v>623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624</v>
      </c>
      <c r="B47" s="15" t="s">
        <v>625</v>
      </c>
      <c r="C47" s="15" t="s">
        <v>626</v>
      </c>
      <c r="D47" s="15" t="s">
        <v>627</v>
      </c>
      <c r="E47" s="15" t="s">
        <v>71</v>
      </c>
      <c r="F47" s="15" t="s">
        <v>79</v>
      </c>
      <c r="G47" s="16" t="s">
        <v>538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629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630</v>
      </c>
      <c r="B9" s="15" t="s">
        <v>69</v>
      </c>
      <c r="C9" s="15" t="s">
        <v>25</v>
      </c>
      <c r="D9" s="15" t="s">
        <v>631</v>
      </c>
      <c r="E9" s="15" t="s">
        <v>71</v>
      </c>
      <c r="F9" s="15" t="s">
        <v>72</v>
      </c>
      <c r="G9" s="16" t="s">
        <v>632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633</v>
      </c>
      <c r="B10" s="15" t="s">
        <v>77</v>
      </c>
      <c r="C10" s="15" t="s">
        <v>25</v>
      </c>
      <c r="D10" s="15" t="s">
        <v>634</v>
      </c>
      <c r="E10" s="15" t="s">
        <v>71</v>
      </c>
      <c r="F10" s="15" t="s">
        <v>79</v>
      </c>
      <c r="G10" s="16" t="s">
        <v>635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636</v>
      </c>
      <c r="B11" s="15" t="s">
        <v>69</v>
      </c>
      <c r="C11" s="15" t="s">
        <v>25</v>
      </c>
      <c r="D11" s="15" t="s">
        <v>637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638</v>
      </c>
      <c r="B12" s="15" t="s">
        <v>49</v>
      </c>
      <c r="C12" s="15" t="s">
        <v>179</v>
      </c>
      <c r="D12" s="15" t="s">
        <v>639</v>
      </c>
      <c r="E12" s="15" t="s">
        <v>71</v>
      </c>
      <c r="F12" s="15" t="s">
        <v>119</v>
      </c>
      <c r="G12" s="16" t="s">
        <v>640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641</v>
      </c>
      <c r="B13" s="15" t="s">
        <v>49</v>
      </c>
      <c r="C13" s="15" t="s">
        <v>642</v>
      </c>
      <c r="D13" s="15" t="s">
        <v>643</v>
      </c>
      <c r="E13" s="15" t="s">
        <v>71</v>
      </c>
      <c r="F13" s="15" t="s">
        <v>119</v>
      </c>
      <c r="G13" s="16" t="s">
        <v>640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644</v>
      </c>
      <c r="B14" s="15" t="s">
        <v>49</v>
      </c>
      <c r="C14" s="15" t="s">
        <v>645</v>
      </c>
      <c r="D14" s="15" t="s">
        <v>646</v>
      </c>
      <c r="E14" s="15" t="s">
        <v>71</v>
      </c>
      <c r="F14" s="15" t="s">
        <v>119</v>
      </c>
      <c r="G14" s="16" t="s">
        <v>640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647</v>
      </c>
      <c r="B15" s="15" t="s">
        <v>648</v>
      </c>
      <c r="C15" s="15" t="s">
        <v>25</v>
      </c>
      <c r="D15" s="15" t="s">
        <v>649</v>
      </c>
      <c r="E15" s="15" t="s">
        <v>71</v>
      </c>
      <c r="F15" s="15" t="s">
        <v>119</v>
      </c>
      <c r="G15" s="16" t="s">
        <v>640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650</v>
      </c>
      <c r="B16" s="15" t="s">
        <v>648</v>
      </c>
      <c r="C16" s="15" t="s">
        <v>25</v>
      </c>
      <c r="D16" s="15" t="s">
        <v>651</v>
      </c>
      <c r="E16" s="15" t="s">
        <v>71</v>
      </c>
      <c r="F16" s="15" t="s">
        <v>119</v>
      </c>
      <c r="G16" s="16" t="s">
        <v>640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652</v>
      </c>
      <c r="B17" s="15" t="s">
        <v>69</v>
      </c>
      <c r="C17" s="15" t="s">
        <v>179</v>
      </c>
      <c r="D17" s="15" t="s">
        <v>653</v>
      </c>
      <c r="E17" s="15" t="s">
        <v>71</v>
      </c>
      <c r="F17" s="15" t="s">
        <v>119</v>
      </c>
      <c r="G17" s="16" t="s">
        <v>640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654</v>
      </c>
      <c r="B18" s="15" t="s">
        <v>91</v>
      </c>
      <c r="C18" s="15" t="s">
        <v>25</v>
      </c>
      <c r="D18" s="15" t="s">
        <v>655</v>
      </c>
      <c r="E18" s="15" t="s">
        <v>71</v>
      </c>
      <c r="F18" s="15" t="s">
        <v>119</v>
      </c>
      <c r="G18" s="16" t="s">
        <v>656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657</v>
      </c>
      <c r="B19" s="15" t="s">
        <v>91</v>
      </c>
      <c r="C19" s="15" t="s">
        <v>25</v>
      </c>
      <c r="D19" s="15" t="s">
        <v>658</v>
      </c>
      <c r="E19" s="15" t="s">
        <v>71</v>
      </c>
      <c r="F19" s="15" t="s">
        <v>119</v>
      </c>
      <c r="G19" s="16" t="s">
        <v>656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659</v>
      </c>
      <c r="B20" s="15" t="s">
        <v>18</v>
      </c>
      <c r="C20" s="15" t="s">
        <v>25</v>
      </c>
      <c r="D20" s="15" t="s">
        <v>660</v>
      </c>
      <c r="E20" s="15" t="s">
        <v>71</v>
      </c>
      <c r="F20" s="15" t="s">
        <v>119</v>
      </c>
      <c r="G20" s="16" t="s">
        <v>656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661</v>
      </c>
      <c r="B21" s="15" t="s">
        <v>18</v>
      </c>
      <c r="C21" s="15" t="s">
        <v>25</v>
      </c>
      <c r="D21" s="15" t="s">
        <v>662</v>
      </c>
      <c r="E21" s="15" t="s">
        <v>71</v>
      </c>
      <c r="F21" s="15" t="s">
        <v>119</v>
      </c>
      <c r="G21" s="16" t="s">
        <v>656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663</v>
      </c>
      <c r="B22" s="15" t="s">
        <v>549</v>
      </c>
      <c r="C22" s="15" t="s">
        <v>25</v>
      </c>
      <c r="D22" s="15" t="s">
        <v>664</v>
      </c>
      <c r="E22" s="15" t="s">
        <v>71</v>
      </c>
      <c r="F22" s="15" t="s">
        <v>119</v>
      </c>
      <c r="G22" s="16" t="s">
        <v>656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665</v>
      </c>
      <c r="B23" s="15" t="s">
        <v>549</v>
      </c>
      <c r="C23" s="15" t="s">
        <v>18</v>
      </c>
      <c r="D23" s="15" t="s">
        <v>666</v>
      </c>
      <c r="E23" s="15" t="s">
        <v>71</v>
      </c>
      <c r="F23" s="15" t="s">
        <v>100</v>
      </c>
      <c r="G23" s="16" t="s">
        <v>392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667</v>
      </c>
      <c r="B24" s="15" t="s">
        <v>668</v>
      </c>
      <c r="C24" s="15" t="s">
        <v>552</v>
      </c>
      <c r="D24" s="15" t="s">
        <v>669</v>
      </c>
      <c r="E24" s="15" t="s">
        <v>71</v>
      </c>
      <c r="F24" s="15" t="s">
        <v>119</v>
      </c>
      <c r="G24" s="16" t="s">
        <v>656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670</v>
      </c>
      <c r="B25" s="15" t="s">
        <v>91</v>
      </c>
      <c r="C25" s="15" t="s">
        <v>25</v>
      </c>
      <c r="D25" s="15" t="s">
        <v>671</v>
      </c>
      <c r="E25" s="15" t="s">
        <v>71</v>
      </c>
      <c r="F25" s="15" t="s">
        <v>72</v>
      </c>
      <c r="G25" s="16" t="s">
        <v>672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673</v>
      </c>
      <c r="B26" s="15" t="s">
        <v>91</v>
      </c>
      <c r="C26" s="15" t="s">
        <v>25</v>
      </c>
      <c r="D26" s="15" t="s">
        <v>674</v>
      </c>
      <c r="E26" s="15" t="s">
        <v>71</v>
      </c>
      <c r="F26" s="15" t="s">
        <v>484</v>
      </c>
      <c r="G26" s="16" t="s">
        <v>130</v>
      </c>
      <c r="H26" s="15" t="s">
        <v>81</v>
      </c>
      <c r="I26" s="15" t="s">
        <v>82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675</v>
      </c>
      <c r="B27" s="15" t="s">
        <v>91</v>
      </c>
      <c r="C27" s="15" t="s">
        <v>25</v>
      </c>
      <c r="D27" s="15" t="s">
        <v>676</v>
      </c>
      <c r="E27" s="15" t="s">
        <v>71</v>
      </c>
      <c r="F27" s="15" t="s">
        <v>119</v>
      </c>
      <c r="G27" s="16" t="s">
        <v>656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677</v>
      </c>
      <c r="B28" s="15" t="s">
        <v>91</v>
      </c>
      <c r="C28" s="15" t="s">
        <v>25</v>
      </c>
      <c r="D28" s="15" t="s">
        <v>678</v>
      </c>
      <c r="E28" s="15" t="s">
        <v>71</v>
      </c>
      <c r="F28" s="15" t="s">
        <v>119</v>
      </c>
      <c r="G28" s="16" t="s">
        <v>656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679</v>
      </c>
      <c r="B29" s="15" t="s">
        <v>580</v>
      </c>
      <c r="C29" s="15" t="s">
        <v>25</v>
      </c>
      <c r="D29" s="15" t="s">
        <v>680</v>
      </c>
      <c r="E29" s="15" t="s">
        <v>71</v>
      </c>
      <c r="F29" s="15" t="s">
        <v>100</v>
      </c>
      <c r="G29" s="16" t="s">
        <v>392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681</v>
      </c>
      <c r="B30" s="15" t="s">
        <v>98</v>
      </c>
      <c r="C30" s="15" t="s">
        <v>25</v>
      </c>
      <c r="D30" s="15" t="s">
        <v>682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683</v>
      </c>
      <c r="B31" s="15" t="s">
        <v>98</v>
      </c>
      <c r="C31" s="15" t="s">
        <v>25</v>
      </c>
      <c r="D31" s="15" t="s">
        <v>684</v>
      </c>
      <c r="E31" s="15" t="s">
        <v>71</v>
      </c>
      <c r="F31" s="15" t="s">
        <v>100</v>
      </c>
      <c r="G31" s="16" t="s">
        <v>392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685</v>
      </c>
      <c r="B32" s="15" t="s">
        <v>117</v>
      </c>
      <c r="C32" s="15" t="s">
        <v>25</v>
      </c>
      <c r="D32" s="15" t="s">
        <v>686</v>
      </c>
      <c r="E32" s="15" t="s">
        <v>71</v>
      </c>
      <c r="F32" s="15" t="s">
        <v>119</v>
      </c>
      <c r="G32" s="16" t="s">
        <v>640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687</v>
      </c>
      <c r="B33" s="15" t="s">
        <v>117</v>
      </c>
      <c r="C33" s="15" t="s">
        <v>25</v>
      </c>
      <c r="D33" s="15" t="s">
        <v>688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689</v>
      </c>
      <c r="B34" s="15" t="s">
        <v>117</v>
      </c>
      <c r="C34" s="15" t="s">
        <v>25</v>
      </c>
      <c r="D34" s="15" t="s">
        <v>690</v>
      </c>
      <c r="E34" s="15" t="s">
        <v>71</v>
      </c>
      <c r="F34" s="15" t="s">
        <v>119</v>
      </c>
      <c r="G34" s="16" t="s">
        <v>503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691</v>
      </c>
      <c r="B35" s="15" t="s">
        <v>117</v>
      </c>
      <c r="C35" s="15" t="s">
        <v>25</v>
      </c>
      <c r="D35" s="15" t="s">
        <v>692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693</v>
      </c>
      <c r="B36" s="15" t="s">
        <v>117</v>
      </c>
      <c r="C36" s="15" t="s">
        <v>25</v>
      </c>
      <c r="D36" s="15" t="s">
        <v>599</v>
      </c>
      <c r="E36" s="15" t="s">
        <v>71</v>
      </c>
      <c r="F36" s="15" t="s">
        <v>119</v>
      </c>
      <c r="G36" s="16" t="s">
        <v>640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694</v>
      </c>
      <c r="B37" s="15" t="s">
        <v>117</v>
      </c>
      <c r="C37" s="15" t="s">
        <v>25</v>
      </c>
      <c r="D37" s="15" t="s">
        <v>695</v>
      </c>
      <c r="E37" s="15" t="s">
        <v>71</v>
      </c>
      <c r="F37" s="15" t="s">
        <v>119</v>
      </c>
      <c r="G37" s="16" t="s">
        <v>656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696</v>
      </c>
      <c r="B38" s="15" t="s">
        <v>117</v>
      </c>
      <c r="C38" s="15" t="s">
        <v>25</v>
      </c>
      <c r="D38" s="15" t="s">
        <v>697</v>
      </c>
      <c r="E38" s="15" t="s">
        <v>71</v>
      </c>
      <c r="F38" s="15" t="s">
        <v>119</v>
      </c>
      <c r="G38" s="16" t="s">
        <v>656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698</v>
      </c>
      <c r="B39" s="15" t="s">
        <v>117</v>
      </c>
      <c r="C39" s="15" t="s">
        <v>25</v>
      </c>
      <c r="D39" s="15" t="s">
        <v>699</v>
      </c>
      <c r="E39" s="15" t="s">
        <v>71</v>
      </c>
      <c r="F39" s="15" t="s">
        <v>484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700</v>
      </c>
      <c r="B40" s="15" t="s">
        <v>117</v>
      </c>
      <c r="C40" s="15" t="s">
        <v>25</v>
      </c>
      <c r="D40" s="15" t="s">
        <v>701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702</v>
      </c>
      <c r="B41" s="15" t="s">
        <v>138</v>
      </c>
      <c r="C41" s="15" t="s">
        <v>25</v>
      </c>
      <c r="D41" s="15" t="s">
        <v>703</v>
      </c>
      <c r="E41" s="15" t="s">
        <v>71</v>
      </c>
      <c r="F41" s="15" t="s">
        <v>140</v>
      </c>
      <c r="G41" s="16" t="s">
        <v>704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705</v>
      </c>
      <c r="B42" s="15" t="s">
        <v>138</v>
      </c>
      <c r="C42" s="15" t="s">
        <v>25</v>
      </c>
      <c r="D42" s="15" t="s">
        <v>706</v>
      </c>
      <c r="E42" s="15" t="s">
        <v>71</v>
      </c>
      <c r="F42" s="15" t="s">
        <v>140</v>
      </c>
      <c r="G42" s="16" t="s">
        <v>704</v>
      </c>
      <c r="H42" s="15" t="s">
        <v>81</v>
      </c>
      <c r="I42" s="15" t="s">
        <v>82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707</v>
      </c>
      <c r="B43" s="15" t="s">
        <v>144</v>
      </c>
      <c r="C43" s="15" t="s">
        <v>25</v>
      </c>
      <c r="D43" s="15" t="s">
        <v>708</v>
      </c>
      <c r="E43" s="15" t="s">
        <v>71</v>
      </c>
      <c r="F43" s="15" t="s">
        <v>146</v>
      </c>
      <c r="G43" s="16" t="s">
        <v>709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710</v>
      </c>
      <c r="B44" s="15" t="s">
        <v>144</v>
      </c>
      <c r="C44" s="15" t="s">
        <v>25</v>
      </c>
      <c r="D44" s="15" t="s">
        <v>711</v>
      </c>
      <c r="E44" s="15" t="s">
        <v>71</v>
      </c>
      <c r="F44" s="15" t="s">
        <v>146</v>
      </c>
      <c r="G44" s="16" t="s">
        <v>712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713</v>
      </c>
      <c r="B45" s="15" t="s">
        <v>152</v>
      </c>
      <c r="C45" s="15" t="s">
        <v>25</v>
      </c>
      <c r="D45" s="15" t="s">
        <v>714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715</v>
      </c>
      <c r="B46" s="15" t="s">
        <v>157</v>
      </c>
      <c r="C46" s="15" t="s">
        <v>716</v>
      </c>
      <c r="D46" s="15" t="s">
        <v>717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718</v>
      </c>
      <c r="B47" s="15" t="s">
        <v>625</v>
      </c>
      <c r="C47" s="15" t="s">
        <v>719</v>
      </c>
      <c r="D47" s="15" t="s">
        <v>720</v>
      </c>
      <c r="E47" s="15" t="s">
        <v>71</v>
      </c>
      <c r="F47" s="15" t="s">
        <v>79</v>
      </c>
      <c r="G47" s="16" t="s">
        <v>635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723</v>
      </c>
      <c r="B9" s="15" t="s">
        <v>69</v>
      </c>
      <c r="C9" s="15" t="s">
        <v>26</v>
      </c>
      <c r="D9" s="15" t="s">
        <v>724</v>
      </c>
      <c r="E9" s="15" t="s">
        <v>71</v>
      </c>
      <c r="F9" s="15" t="s">
        <v>72</v>
      </c>
      <c r="G9" s="16" t="s">
        <v>725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726</v>
      </c>
      <c r="B10" s="15" t="s">
        <v>77</v>
      </c>
      <c r="C10" s="15" t="s">
        <v>536</v>
      </c>
      <c r="D10" s="15" t="s">
        <v>727</v>
      </c>
      <c r="E10" s="15" t="s">
        <v>71</v>
      </c>
      <c r="F10" s="15" t="s">
        <v>79</v>
      </c>
      <c r="G10" s="16" t="s">
        <v>728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729</v>
      </c>
      <c r="B11" s="15" t="s">
        <v>69</v>
      </c>
      <c r="C11" s="15" t="s">
        <v>536</v>
      </c>
      <c r="D11" s="15" t="s">
        <v>730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731</v>
      </c>
      <c r="B12" s="15" t="s">
        <v>49</v>
      </c>
      <c r="C12" s="15" t="s">
        <v>26</v>
      </c>
      <c r="D12" s="15" t="s">
        <v>732</v>
      </c>
      <c r="E12" s="15" t="s">
        <v>71</v>
      </c>
      <c r="F12" s="15" t="s">
        <v>119</v>
      </c>
      <c r="G12" s="16" t="s">
        <v>733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734</v>
      </c>
      <c r="B13" s="15" t="s">
        <v>735</v>
      </c>
      <c r="C13" s="15" t="s">
        <v>26</v>
      </c>
      <c r="D13" s="15" t="s">
        <v>736</v>
      </c>
      <c r="E13" s="15" t="s">
        <v>71</v>
      </c>
      <c r="F13" s="15" t="s">
        <v>119</v>
      </c>
      <c r="G13" s="16" t="s">
        <v>733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737</v>
      </c>
      <c r="B14" s="15" t="s">
        <v>69</v>
      </c>
      <c r="C14" s="15" t="s">
        <v>26</v>
      </c>
      <c r="D14" s="15" t="s">
        <v>738</v>
      </c>
      <c r="E14" s="15" t="s">
        <v>71</v>
      </c>
      <c r="F14" s="15" t="s">
        <v>119</v>
      </c>
      <c r="G14" s="16" t="s">
        <v>733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739</v>
      </c>
      <c r="B15" s="15" t="s">
        <v>91</v>
      </c>
      <c r="C15" s="15" t="s">
        <v>26</v>
      </c>
      <c r="D15" s="15" t="s">
        <v>740</v>
      </c>
      <c r="E15" s="15" t="s">
        <v>71</v>
      </c>
      <c r="F15" s="15" t="s">
        <v>119</v>
      </c>
      <c r="G15" s="16" t="s">
        <v>733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741</v>
      </c>
      <c r="B16" s="15" t="s">
        <v>742</v>
      </c>
      <c r="C16" s="15" t="s">
        <v>26</v>
      </c>
      <c r="D16" s="15" t="s">
        <v>743</v>
      </c>
      <c r="E16" s="15" t="s">
        <v>71</v>
      </c>
      <c r="F16" s="15" t="s">
        <v>119</v>
      </c>
      <c r="G16" s="16" t="s">
        <v>744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745</v>
      </c>
      <c r="B17" s="15" t="s">
        <v>49</v>
      </c>
      <c r="C17" s="15" t="s">
        <v>746</v>
      </c>
      <c r="D17" s="15" t="s">
        <v>747</v>
      </c>
      <c r="E17" s="15" t="s">
        <v>71</v>
      </c>
      <c r="F17" s="15" t="s">
        <v>119</v>
      </c>
      <c r="G17" s="16" t="s">
        <v>733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748</v>
      </c>
      <c r="B18" s="15" t="s">
        <v>749</v>
      </c>
      <c r="C18" s="15" t="s">
        <v>746</v>
      </c>
      <c r="D18" s="15" t="s">
        <v>750</v>
      </c>
      <c r="E18" s="15" t="s">
        <v>71</v>
      </c>
      <c r="F18" s="15" t="s">
        <v>85</v>
      </c>
      <c r="G18" s="16" t="s">
        <v>122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751</v>
      </c>
      <c r="B19" s="15" t="s">
        <v>49</v>
      </c>
      <c r="C19" s="15" t="s">
        <v>752</v>
      </c>
      <c r="D19" s="15" t="s">
        <v>753</v>
      </c>
      <c r="E19" s="15" t="s">
        <v>71</v>
      </c>
      <c r="F19" s="15" t="s">
        <v>119</v>
      </c>
      <c r="G19" s="16" t="s">
        <v>733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754</v>
      </c>
      <c r="B20" s="15" t="s">
        <v>755</v>
      </c>
      <c r="C20" s="15" t="s">
        <v>756</v>
      </c>
      <c r="D20" s="15" t="s">
        <v>757</v>
      </c>
      <c r="E20" s="15" t="s">
        <v>71</v>
      </c>
      <c r="F20" s="15" t="s">
        <v>119</v>
      </c>
      <c r="G20" s="16" t="s">
        <v>744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758</v>
      </c>
      <c r="B21" s="15" t="s">
        <v>759</v>
      </c>
      <c r="C21" s="15" t="s">
        <v>756</v>
      </c>
      <c r="D21" s="15" t="s">
        <v>760</v>
      </c>
      <c r="E21" s="15" t="s">
        <v>71</v>
      </c>
      <c r="F21" s="15" t="s">
        <v>119</v>
      </c>
      <c r="G21" s="16" t="s">
        <v>744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761</v>
      </c>
      <c r="B22" s="15" t="s">
        <v>560</v>
      </c>
      <c r="C22" s="15" t="s">
        <v>756</v>
      </c>
      <c r="D22" s="15" t="s">
        <v>762</v>
      </c>
      <c r="E22" s="15" t="s">
        <v>71</v>
      </c>
      <c r="F22" s="15" t="s">
        <v>484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763</v>
      </c>
      <c r="B23" s="15" t="s">
        <v>560</v>
      </c>
      <c r="C23" s="15" t="s">
        <v>756</v>
      </c>
      <c r="D23" s="15" t="s">
        <v>764</v>
      </c>
      <c r="E23" s="15" t="s">
        <v>71</v>
      </c>
      <c r="F23" s="15" t="s">
        <v>484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765</v>
      </c>
      <c r="B24" s="15" t="s">
        <v>766</v>
      </c>
      <c r="C24" s="15" t="s">
        <v>756</v>
      </c>
      <c r="D24" s="15" t="s">
        <v>767</v>
      </c>
      <c r="E24" s="15" t="s">
        <v>71</v>
      </c>
      <c r="F24" s="15" t="s">
        <v>119</v>
      </c>
      <c r="G24" s="16" t="s">
        <v>744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768</v>
      </c>
      <c r="B25" s="15" t="s">
        <v>549</v>
      </c>
      <c r="C25" s="15" t="s">
        <v>536</v>
      </c>
      <c r="D25" s="15" t="s">
        <v>769</v>
      </c>
      <c r="E25" s="15" t="s">
        <v>71</v>
      </c>
      <c r="F25" s="15" t="s">
        <v>119</v>
      </c>
      <c r="G25" s="16" t="s">
        <v>744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770</v>
      </c>
      <c r="B26" s="15" t="s">
        <v>91</v>
      </c>
      <c r="C26" s="15" t="s">
        <v>536</v>
      </c>
      <c r="D26" s="15" t="s">
        <v>771</v>
      </c>
      <c r="E26" s="15" t="s">
        <v>71</v>
      </c>
      <c r="F26" s="15" t="s">
        <v>72</v>
      </c>
      <c r="G26" s="16" t="s">
        <v>772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773</v>
      </c>
      <c r="B27" s="15" t="s">
        <v>91</v>
      </c>
      <c r="C27" s="15" t="s">
        <v>536</v>
      </c>
      <c r="D27" s="15" t="s">
        <v>774</v>
      </c>
      <c r="E27" s="15" t="s">
        <v>71</v>
      </c>
      <c r="F27" s="15" t="s">
        <v>484</v>
      </c>
      <c r="G27" s="16" t="s">
        <v>130</v>
      </c>
      <c r="H27" s="15" t="s">
        <v>81</v>
      </c>
      <c r="I27" s="15" t="s">
        <v>82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775</v>
      </c>
      <c r="B28" s="15" t="s">
        <v>91</v>
      </c>
      <c r="C28" s="15" t="s">
        <v>536</v>
      </c>
      <c r="D28" s="15" t="s">
        <v>776</v>
      </c>
      <c r="E28" s="15" t="s">
        <v>71</v>
      </c>
      <c r="F28" s="15" t="s">
        <v>119</v>
      </c>
      <c r="G28" s="16" t="s">
        <v>744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777</v>
      </c>
      <c r="B29" s="15" t="s">
        <v>778</v>
      </c>
      <c r="C29" s="15" t="s">
        <v>536</v>
      </c>
      <c r="D29" s="15" t="s">
        <v>779</v>
      </c>
      <c r="E29" s="15" t="s">
        <v>71</v>
      </c>
      <c r="F29" s="15" t="s">
        <v>119</v>
      </c>
      <c r="G29" s="16" t="s">
        <v>744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780</v>
      </c>
      <c r="B30" s="15" t="s">
        <v>580</v>
      </c>
      <c r="C30" s="15" t="s">
        <v>536</v>
      </c>
      <c r="D30" s="15" t="s">
        <v>781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782</v>
      </c>
      <c r="B31" s="15" t="s">
        <v>98</v>
      </c>
      <c r="C31" s="15" t="s">
        <v>536</v>
      </c>
      <c r="D31" s="15" t="s">
        <v>783</v>
      </c>
      <c r="E31" s="15" t="s">
        <v>71</v>
      </c>
      <c r="F31" s="15" t="s">
        <v>100</v>
      </c>
      <c r="G31" s="16" t="s">
        <v>392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784</v>
      </c>
      <c r="B32" s="15" t="s">
        <v>117</v>
      </c>
      <c r="C32" s="15" t="s">
        <v>536</v>
      </c>
      <c r="D32" s="15" t="s">
        <v>785</v>
      </c>
      <c r="E32" s="15" t="s">
        <v>71</v>
      </c>
      <c r="F32" s="15" t="s">
        <v>119</v>
      </c>
      <c r="G32" s="16" t="s">
        <v>733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786</v>
      </c>
      <c r="B33" s="15" t="s">
        <v>117</v>
      </c>
      <c r="C33" s="15" t="s">
        <v>536</v>
      </c>
      <c r="D33" s="15" t="s">
        <v>787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788</v>
      </c>
      <c r="B34" s="15" t="s">
        <v>117</v>
      </c>
      <c r="C34" s="15" t="s">
        <v>536</v>
      </c>
      <c r="D34" s="15" t="s">
        <v>789</v>
      </c>
      <c r="E34" s="15" t="s">
        <v>71</v>
      </c>
      <c r="F34" s="15" t="s">
        <v>119</v>
      </c>
      <c r="G34" s="16" t="s">
        <v>503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790</v>
      </c>
      <c r="B35" s="15" t="s">
        <v>117</v>
      </c>
      <c r="C35" s="15" t="s">
        <v>536</v>
      </c>
      <c r="D35" s="15" t="s">
        <v>791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792</v>
      </c>
      <c r="B36" s="15" t="s">
        <v>117</v>
      </c>
      <c r="C36" s="15" t="s">
        <v>536</v>
      </c>
      <c r="D36" s="15" t="s">
        <v>793</v>
      </c>
      <c r="E36" s="15" t="s">
        <v>71</v>
      </c>
      <c r="F36" s="15" t="s">
        <v>119</v>
      </c>
      <c r="G36" s="16" t="s">
        <v>733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794</v>
      </c>
      <c r="B37" s="15" t="s">
        <v>117</v>
      </c>
      <c r="C37" s="15" t="s">
        <v>536</v>
      </c>
      <c r="D37" s="15" t="s">
        <v>795</v>
      </c>
      <c r="E37" s="15" t="s">
        <v>71</v>
      </c>
      <c r="F37" s="15" t="s">
        <v>119</v>
      </c>
      <c r="G37" s="16" t="s">
        <v>744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796</v>
      </c>
      <c r="B38" s="15" t="s">
        <v>117</v>
      </c>
      <c r="C38" s="15" t="s">
        <v>536</v>
      </c>
      <c r="D38" s="15" t="s">
        <v>797</v>
      </c>
      <c r="E38" s="15" t="s">
        <v>71</v>
      </c>
      <c r="F38" s="15" t="s">
        <v>119</v>
      </c>
      <c r="G38" s="16" t="s">
        <v>744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798</v>
      </c>
      <c r="B39" s="15" t="s">
        <v>117</v>
      </c>
      <c r="C39" s="15" t="s">
        <v>536</v>
      </c>
      <c r="D39" s="15" t="s">
        <v>799</v>
      </c>
      <c r="E39" s="15" t="s">
        <v>71</v>
      </c>
      <c r="F39" s="15" t="s">
        <v>484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800</v>
      </c>
      <c r="B40" s="15" t="s">
        <v>117</v>
      </c>
      <c r="C40" s="15" t="s">
        <v>536</v>
      </c>
      <c r="D40" s="15" t="s">
        <v>801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802</v>
      </c>
      <c r="B41" s="15" t="s">
        <v>138</v>
      </c>
      <c r="C41" s="15" t="s">
        <v>536</v>
      </c>
      <c r="D41" s="15" t="s">
        <v>803</v>
      </c>
      <c r="E41" s="15" t="s">
        <v>71</v>
      </c>
      <c r="F41" s="15" t="s">
        <v>140</v>
      </c>
      <c r="G41" s="16" t="s">
        <v>804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805</v>
      </c>
      <c r="B42" s="15" t="s">
        <v>138</v>
      </c>
      <c r="C42" s="15" t="s">
        <v>536</v>
      </c>
      <c r="D42" s="15" t="s">
        <v>806</v>
      </c>
      <c r="E42" s="15" t="s">
        <v>71</v>
      </c>
      <c r="F42" s="15" t="s">
        <v>140</v>
      </c>
      <c r="G42" s="16" t="s">
        <v>804</v>
      </c>
      <c r="H42" s="15" t="s">
        <v>346</v>
      </c>
      <c r="I42" s="15" t="s">
        <v>82</v>
      </c>
      <c r="J42" s="19"/>
      <c r="K42" s="15" t="s">
        <v>807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808</v>
      </c>
      <c r="B43" s="15" t="s">
        <v>144</v>
      </c>
      <c r="C43" s="15" t="s">
        <v>26</v>
      </c>
      <c r="D43" s="15" t="s">
        <v>809</v>
      </c>
      <c r="E43" s="15" t="s">
        <v>71</v>
      </c>
      <c r="F43" s="15" t="s">
        <v>146</v>
      </c>
      <c r="G43" s="16" t="s">
        <v>810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811</v>
      </c>
      <c r="B44" s="15" t="s">
        <v>144</v>
      </c>
      <c r="C44" s="15" t="s">
        <v>756</v>
      </c>
      <c r="D44" s="15" t="s">
        <v>812</v>
      </c>
      <c r="E44" s="15" t="s">
        <v>71</v>
      </c>
      <c r="F44" s="15" t="s">
        <v>146</v>
      </c>
      <c r="G44" s="16" t="s">
        <v>813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814</v>
      </c>
      <c r="B45" s="15" t="s">
        <v>152</v>
      </c>
      <c r="C45" s="15" t="s">
        <v>536</v>
      </c>
      <c r="D45" s="15" t="s">
        <v>815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816</v>
      </c>
      <c r="B46" s="15" t="s">
        <v>157</v>
      </c>
      <c r="C46" s="15" t="s">
        <v>817</v>
      </c>
      <c r="D46" s="15" t="s">
        <v>818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819</v>
      </c>
      <c r="B47" s="15" t="s">
        <v>625</v>
      </c>
      <c r="C47" s="15" t="s">
        <v>536</v>
      </c>
      <c r="D47" s="15" t="s">
        <v>820</v>
      </c>
      <c r="E47" s="15" t="s">
        <v>71</v>
      </c>
      <c r="F47" s="15" t="s">
        <v>79</v>
      </c>
      <c r="G47" s="16" t="s">
        <v>728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823</v>
      </c>
      <c r="B9" s="15" t="s">
        <v>69</v>
      </c>
      <c r="C9" s="15" t="s">
        <v>27</v>
      </c>
      <c r="D9" s="15" t="s">
        <v>824</v>
      </c>
      <c r="E9" s="15" t="s">
        <v>71</v>
      </c>
      <c r="F9" s="15" t="s">
        <v>72</v>
      </c>
      <c r="G9" s="16" t="s">
        <v>825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826</v>
      </c>
      <c r="B10" s="15" t="s">
        <v>77</v>
      </c>
      <c r="C10" s="15" t="s">
        <v>27</v>
      </c>
      <c r="D10" s="15" t="s">
        <v>827</v>
      </c>
      <c r="E10" s="15" t="s">
        <v>71</v>
      </c>
      <c r="F10" s="15" t="s">
        <v>79</v>
      </c>
      <c r="G10" s="16" t="s">
        <v>828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829</v>
      </c>
      <c r="B11" s="15" t="s">
        <v>69</v>
      </c>
      <c r="C11" s="15" t="s">
        <v>27</v>
      </c>
      <c r="D11" s="15" t="s">
        <v>830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831</v>
      </c>
      <c r="B12" s="15" t="s">
        <v>49</v>
      </c>
      <c r="C12" s="15" t="s">
        <v>27</v>
      </c>
      <c r="D12" s="15" t="s">
        <v>832</v>
      </c>
      <c r="E12" s="15" t="s">
        <v>71</v>
      </c>
      <c r="F12" s="15" t="s">
        <v>119</v>
      </c>
      <c r="G12" s="16" t="s">
        <v>833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834</v>
      </c>
      <c r="B13" s="15" t="s">
        <v>835</v>
      </c>
      <c r="C13" s="15" t="s">
        <v>27</v>
      </c>
      <c r="D13" s="15" t="s">
        <v>836</v>
      </c>
      <c r="E13" s="15" t="s">
        <v>71</v>
      </c>
      <c r="F13" s="15" t="s">
        <v>119</v>
      </c>
      <c r="G13" s="16" t="s">
        <v>837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838</v>
      </c>
      <c r="B14" s="15" t="s">
        <v>839</v>
      </c>
      <c r="C14" s="15" t="s">
        <v>27</v>
      </c>
      <c r="D14" s="15" t="s">
        <v>840</v>
      </c>
      <c r="E14" s="15" t="s">
        <v>71</v>
      </c>
      <c r="F14" s="15" t="s">
        <v>119</v>
      </c>
      <c r="G14" s="16" t="s">
        <v>833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841</v>
      </c>
      <c r="B15" s="15" t="s">
        <v>735</v>
      </c>
      <c r="C15" s="15" t="s">
        <v>27</v>
      </c>
      <c r="D15" s="15" t="s">
        <v>842</v>
      </c>
      <c r="E15" s="15" t="s">
        <v>71</v>
      </c>
      <c r="F15" s="15" t="s">
        <v>119</v>
      </c>
      <c r="G15" s="16" t="s">
        <v>833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843</v>
      </c>
      <c r="B16" s="15" t="s">
        <v>91</v>
      </c>
      <c r="C16" s="15" t="s">
        <v>27</v>
      </c>
      <c r="D16" s="15" t="s">
        <v>844</v>
      </c>
      <c r="E16" s="15" t="s">
        <v>71</v>
      </c>
      <c r="F16" s="15" t="s">
        <v>484</v>
      </c>
      <c r="G16" s="16" t="s">
        <v>130</v>
      </c>
      <c r="H16" s="15" t="s">
        <v>81</v>
      </c>
      <c r="I16" s="15" t="s">
        <v>82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845</v>
      </c>
      <c r="B17" s="15" t="s">
        <v>91</v>
      </c>
      <c r="C17" s="15" t="s">
        <v>27</v>
      </c>
      <c r="D17" s="15" t="s">
        <v>846</v>
      </c>
      <c r="E17" s="15" t="s">
        <v>71</v>
      </c>
      <c r="F17" s="15" t="s">
        <v>484</v>
      </c>
      <c r="G17" s="16" t="s">
        <v>130</v>
      </c>
      <c r="H17" s="15" t="s">
        <v>81</v>
      </c>
      <c r="I17" s="15" t="s">
        <v>82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847</v>
      </c>
      <c r="B18" s="15" t="s">
        <v>560</v>
      </c>
      <c r="C18" s="15" t="s">
        <v>27</v>
      </c>
      <c r="D18" s="15" t="s">
        <v>848</v>
      </c>
      <c r="E18" s="15" t="s">
        <v>71</v>
      </c>
      <c r="F18" s="15" t="s">
        <v>119</v>
      </c>
      <c r="G18" s="16" t="s">
        <v>833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849</v>
      </c>
      <c r="B19" s="15" t="s">
        <v>850</v>
      </c>
      <c r="C19" s="15" t="s">
        <v>27</v>
      </c>
      <c r="D19" s="15" t="s">
        <v>851</v>
      </c>
      <c r="E19" s="15" t="s">
        <v>71</v>
      </c>
      <c r="F19" s="15" t="s">
        <v>119</v>
      </c>
      <c r="G19" s="16" t="s">
        <v>833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852</v>
      </c>
      <c r="B20" s="15" t="s">
        <v>742</v>
      </c>
      <c r="C20" s="15" t="s">
        <v>27</v>
      </c>
      <c r="D20" s="15" t="s">
        <v>853</v>
      </c>
      <c r="E20" s="15" t="s">
        <v>71</v>
      </c>
      <c r="F20" s="15" t="s">
        <v>484</v>
      </c>
      <c r="G20" s="16" t="s">
        <v>130</v>
      </c>
      <c r="H20" s="15" t="s">
        <v>81</v>
      </c>
      <c r="I20" s="15" t="s">
        <v>82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854</v>
      </c>
      <c r="B21" s="15" t="s">
        <v>648</v>
      </c>
      <c r="C21" s="15" t="s">
        <v>27</v>
      </c>
      <c r="D21" s="15" t="s">
        <v>855</v>
      </c>
      <c r="E21" s="15" t="s">
        <v>71</v>
      </c>
      <c r="F21" s="15" t="s">
        <v>119</v>
      </c>
      <c r="G21" s="16" t="s">
        <v>833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856</v>
      </c>
      <c r="B22" s="15" t="s">
        <v>549</v>
      </c>
      <c r="C22" s="15" t="s">
        <v>27</v>
      </c>
      <c r="D22" s="15" t="s">
        <v>857</v>
      </c>
      <c r="E22" s="15" t="s">
        <v>71</v>
      </c>
      <c r="F22" s="15" t="s">
        <v>119</v>
      </c>
      <c r="G22" s="16" t="s">
        <v>837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858</v>
      </c>
      <c r="B23" s="15" t="s">
        <v>859</v>
      </c>
      <c r="C23" s="15" t="s">
        <v>27</v>
      </c>
      <c r="D23" s="15" t="s">
        <v>860</v>
      </c>
      <c r="E23" s="15" t="s">
        <v>71</v>
      </c>
      <c r="F23" s="15" t="s">
        <v>484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861</v>
      </c>
      <c r="B24" s="15" t="s">
        <v>862</v>
      </c>
      <c r="C24" s="15" t="s">
        <v>27</v>
      </c>
      <c r="D24" s="15" t="s">
        <v>863</v>
      </c>
      <c r="E24" s="15" t="s">
        <v>71</v>
      </c>
      <c r="F24" s="15" t="s">
        <v>119</v>
      </c>
      <c r="G24" s="16" t="s">
        <v>837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864</v>
      </c>
      <c r="B25" s="15" t="s">
        <v>778</v>
      </c>
      <c r="C25" s="15" t="s">
        <v>27</v>
      </c>
      <c r="D25" s="15" t="s">
        <v>865</v>
      </c>
      <c r="E25" s="15" t="s">
        <v>71</v>
      </c>
      <c r="F25" s="15" t="s">
        <v>119</v>
      </c>
      <c r="G25" s="16" t="s">
        <v>837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866</v>
      </c>
      <c r="B26" s="15" t="s">
        <v>580</v>
      </c>
      <c r="C26" s="15" t="s">
        <v>27</v>
      </c>
      <c r="D26" s="15" t="s">
        <v>867</v>
      </c>
      <c r="E26" s="15" t="s">
        <v>71</v>
      </c>
      <c r="F26" s="15" t="s">
        <v>100</v>
      </c>
      <c r="G26" s="16" t="s">
        <v>392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868</v>
      </c>
      <c r="B27" s="15" t="s">
        <v>91</v>
      </c>
      <c r="C27" s="15" t="s">
        <v>27</v>
      </c>
      <c r="D27" s="15" t="s">
        <v>869</v>
      </c>
      <c r="E27" s="15" t="s">
        <v>71</v>
      </c>
      <c r="F27" s="15" t="s">
        <v>72</v>
      </c>
      <c r="G27" s="16" t="s">
        <v>870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871</v>
      </c>
      <c r="B28" s="15" t="s">
        <v>98</v>
      </c>
      <c r="C28" s="15" t="s">
        <v>27</v>
      </c>
      <c r="D28" s="15" t="s">
        <v>872</v>
      </c>
      <c r="E28" s="15" t="s">
        <v>71</v>
      </c>
      <c r="F28" s="15" t="s">
        <v>100</v>
      </c>
      <c r="G28" s="16" t="s">
        <v>392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873</v>
      </c>
      <c r="B29" s="15" t="s">
        <v>117</v>
      </c>
      <c r="C29" s="15" t="s">
        <v>27</v>
      </c>
      <c r="D29" s="15" t="s">
        <v>874</v>
      </c>
      <c r="E29" s="15" t="s">
        <v>71</v>
      </c>
      <c r="F29" s="15" t="s">
        <v>119</v>
      </c>
      <c r="G29" s="16" t="s">
        <v>833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875</v>
      </c>
      <c r="B30" s="15" t="s">
        <v>117</v>
      </c>
      <c r="C30" s="15" t="s">
        <v>27</v>
      </c>
      <c r="D30" s="15" t="s">
        <v>876</v>
      </c>
      <c r="E30" s="15" t="s">
        <v>71</v>
      </c>
      <c r="F30" s="15" t="s">
        <v>85</v>
      </c>
      <c r="G30" s="16" t="s">
        <v>122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877</v>
      </c>
      <c r="B31" s="15" t="s">
        <v>117</v>
      </c>
      <c r="C31" s="15" t="s">
        <v>27</v>
      </c>
      <c r="D31" s="15" t="s">
        <v>878</v>
      </c>
      <c r="E31" s="15" t="s">
        <v>71</v>
      </c>
      <c r="F31" s="15" t="s">
        <v>119</v>
      </c>
      <c r="G31" s="16" t="s">
        <v>503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879</v>
      </c>
      <c r="B32" s="15" t="s">
        <v>117</v>
      </c>
      <c r="C32" s="15" t="s">
        <v>27</v>
      </c>
      <c r="D32" s="15" t="s">
        <v>880</v>
      </c>
      <c r="E32" s="15" t="s">
        <v>71</v>
      </c>
      <c r="F32" s="15" t="s">
        <v>71</v>
      </c>
      <c r="G32" s="16" t="s">
        <v>136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881</v>
      </c>
      <c r="B33" s="15" t="s">
        <v>117</v>
      </c>
      <c r="C33" s="15" t="s">
        <v>27</v>
      </c>
      <c r="D33" s="15" t="s">
        <v>882</v>
      </c>
      <c r="E33" s="15" t="s">
        <v>71</v>
      </c>
      <c r="F33" s="15" t="s">
        <v>119</v>
      </c>
      <c r="G33" s="16" t="s">
        <v>833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883</v>
      </c>
      <c r="B34" s="15" t="s">
        <v>117</v>
      </c>
      <c r="C34" s="15" t="s">
        <v>27</v>
      </c>
      <c r="D34" s="15" t="s">
        <v>884</v>
      </c>
      <c r="E34" s="15" t="s">
        <v>71</v>
      </c>
      <c r="F34" s="15" t="s">
        <v>119</v>
      </c>
      <c r="G34" s="16" t="s">
        <v>837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885</v>
      </c>
      <c r="B35" s="15" t="s">
        <v>117</v>
      </c>
      <c r="C35" s="15" t="s">
        <v>27</v>
      </c>
      <c r="D35" s="15" t="s">
        <v>886</v>
      </c>
      <c r="E35" s="15" t="s">
        <v>71</v>
      </c>
      <c r="F35" s="15" t="s">
        <v>119</v>
      </c>
      <c r="G35" s="16" t="s">
        <v>232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887</v>
      </c>
      <c r="B36" s="15" t="s">
        <v>117</v>
      </c>
      <c r="C36" s="15" t="s">
        <v>27</v>
      </c>
      <c r="D36" s="15" t="s">
        <v>888</v>
      </c>
      <c r="E36" s="15" t="s">
        <v>71</v>
      </c>
      <c r="F36" s="15" t="s">
        <v>484</v>
      </c>
      <c r="G36" s="16" t="s">
        <v>130</v>
      </c>
      <c r="H36" s="15" t="s">
        <v>81</v>
      </c>
      <c r="I36" s="15" t="s">
        <v>82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889</v>
      </c>
      <c r="B37" s="15" t="s">
        <v>138</v>
      </c>
      <c r="C37" s="15" t="s">
        <v>27</v>
      </c>
      <c r="D37" s="15" t="s">
        <v>890</v>
      </c>
      <c r="E37" s="15" t="s">
        <v>71</v>
      </c>
      <c r="F37" s="15" t="s">
        <v>140</v>
      </c>
      <c r="G37" s="16" t="s">
        <v>891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892</v>
      </c>
      <c r="B38" s="15" t="s">
        <v>138</v>
      </c>
      <c r="C38" s="15" t="s">
        <v>27</v>
      </c>
      <c r="D38" s="15" t="s">
        <v>893</v>
      </c>
      <c r="E38" s="15" t="s">
        <v>71</v>
      </c>
      <c r="F38" s="15" t="s">
        <v>140</v>
      </c>
      <c r="G38" s="16" t="s">
        <v>891</v>
      </c>
      <c r="H38" s="15" t="s">
        <v>346</v>
      </c>
      <c r="I38" s="15" t="s">
        <v>82</v>
      </c>
      <c r="J38" s="19" t="n">
        <v>46221</v>
      </c>
      <c r="K38" s="15" t="s">
        <v>807</v>
      </c>
      <c r="L38" s="18" t="n">
        <v>1</v>
      </c>
      <c r="M38" s="18" t="n">
        <f aca="false">IF(H38="not applicable",IF(K38&lt;&gt;"",1,0),IF(I38="yes",IF(H38="verified",1,0),IF(OR(H38="tested",H38="verified"),1,0)))</f>
        <v>0</v>
      </c>
    </row>
    <row r="39" customFormat="false" ht="42" hidden="false" customHeight="true" outlineLevel="0" collapsed="false">
      <c r="A39" s="15" t="s">
        <v>894</v>
      </c>
      <c r="B39" s="15" t="s">
        <v>144</v>
      </c>
      <c r="C39" s="15" t="s">
        <v>27</v>
      </c>
      <c r="D39" s="15" t="s">
        <v>895</v>
      </c>
      <c r="E39" s="15" t="s">
        <v>71</v>
      </c>
      <c r="F39" s="15" t="s">
        <v>146</v>
      </c>
      <c r="G39" s="16" t="s">
        <v>896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897</v>
      </c>
      <c r="B40" s="15" t="s">
        <v>144</v>
      </c>
      <c r="C40" s="15" t="s">
        <v>27</v>
      </c>
      <c r="D40" s="15" t="s">
        <v>898</v>
      </c>
      <c r="E40" s="15" t="s">
        <v>71</v>
      </c>
      <c r="F40" s="15" t="s">
        <v>146</v>
      </c>
      <c r="G40" s="16" t="s">
        <v>899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900</v>
      </c>
      <c r="B41" s="15" t="s">
        <v>152</v>
      </c>
      <c r="C41" s="15" t="s">
        <v>27</v>
      </c>
      <c r="D41" s="15" t="s">
        <v>901</v>
      </c>
      <c r="E41" s="15" t="s">
        <v>154</v>
      </c>
      <c r="F41" s="15" t="s">
        <v>154</v>
      </c>
      <c r="G41" s="16" t="s">
        <v>902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903</v>
      </c>
      <c r="B42" s="15" t="s">
        <v>152</v>
      </c>
      <c r="C42" s="15" t="s">
        <v>27</v>
      </c>
      <c r="D42" s="15" t="s">
        <v>904</v>
      </c>
      <c r="E42" s="15" t="s">
        <v>154</v>
      </c>
      <c r="F42" s="15" t="s">
        <v>119</v>
      </c>
      <c r="G42" s="16" t="s">
        <v>155</v>
      </c>
      <c r="H42" s="15" t="s">
        <v>74</v>
      </c>
      <c r="I42" s="15" t="s">
        <v>75</v>
      </c>
      <c r="J42" s="19" t="n">
        <v>46221</v>
      </c>
      <c r="K42" s="15" t="s">
        <v>807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905</v>
      </c>
      <c r="B43" s="15" t="s">
        <v>157</v>
      </c>
      <c r="C43" s="15" t="s">
        <v>906</v>
      </c>
      <c r="D43" s="15" t="s">
        <v>907</v>
      </c>
      <c r="E43" s="15" t="s">
        <v>159</v>
      </c>
      <c r="F43" s="15" t="s">
        <v>79</v>
      </c>
      <c r="G43" s="16" t="s">
        <v>251</v>
      </c>
      <c r="H43" s="15" t="s">
        <v>348</v>
      </c>
      <c r="I43" s="15" t="s">
        <v>75</v>
      </c>
      <c r="J43" s="19" t="n">
        <v>46221</v>
      </c>
      <c r="K43" s="15" t="s">
        <v>908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909</v>
      </c>
      <c r="B44" s="15" t="s">
        <v>625</v>
      </c>
      <c r="C44" s="15" t="s">
        <v>27</v>
      </c>
      <c r="D44" s="15" t="s">
        <v>910</v>
      </c>
      <c r="E44" s="15" t="s">
        <v>71</v>
      </c>
      <c r="F44" s="15" t="s">
        <v>79</v>
      </c>
      <c r="G44" s="16" t="s">
        <v>828</v>
      </c>
      <c r="H44" s="15" t="s">
        <v>81</v>
      </c>
      <c r="I44" s="15" t="s">
        <v>82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911</v>
      </c>
      <c r="B45" s="15" t="s">
        <v>912</v>
      </c>
      <c r="C45" s="15" t="s">
        <v>27</v>
      </c>
      <c r="D45" s="15" t="s">
        <v>913</v>
      </c>
      <c r="E45" s="15" t="s">
        <v>71</v>
      </c>
      <c r="F45" s="15" t="s">
        <v>71</v>
      </c>
      <c r="G45" s="16" t="s">
        <v>914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915</v>
      </c>
      <c r="B46" s="15" t="s">
        <v>916</v>
      </c>
      <c r="C46" s="15" t="s">
        <v>27</v>
      </c>
      <c r="D46" s="15" t="s">
        <v>917</v>
      </c>
      <c r="E46" s="15" t="s">
        <v>71</v>
      </c>
      <c r="F46" s="15" t="s">
        <v>72</v>
      </c>
      <c r="G46" s="16" t="s">
        <v>392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918</v>
      </c>
      <c r="B47" s="15" t="s">
        <v>919</v>
      </c>
      <c r="C47" s="15" t="s">
        <v>27</v>
      </c>
      <c r="D47" s="15" t="s">
        <v>920</v>
      </c>
      <c r="E47" s="15" t="s">
        <v>71</v>
      </c>
      <c r="F47" s="15" t="s">
        <v>79</v>
      </c>
      <c r="G47" s="16" t="s">
        <v>921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-app-bar.md"/>
    <hyperlink ref="G38" r:id="rId30" display="manual-tests/icon-button-app-bar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924</v>
      </c>
      <c r="B9" s="15" t="s">
        <v>69</v>
      </c>
      <c r="C9" s="15" t="s">
        <v>925</v>
      </c>
      <c r="D9" s="15" t="s">
        <v>926</v>
      </c>
      <c r="E9" s="15" t="s">
        <v>71</v>
      </c>
      <c r="F9" s="15" t="s">
        <v>72</v>
      </c>
      <c r="G9" s="16" t="s">
        <v>927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928</v>
      </c>
      <c r="B10" s="15" t="s">
        <v>77</v>
      </c>
      <c r="C10" s="15" t="s">
        <v>28</v>
      </c>
      <c r="D10" s="15" t="s">
        <v>929</v>
      </c>
      <c r="E10" s="15" t="s">
        <v>71</v>
      </c>
      <c r="F10" s="15" t="s">
        <v>79</v>
      </c>
      <c r="G10" s="16" t="s">
        <v>930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931</v>
      </c>
      <c r="B11" s="15" t="s">
        <v>69</v>
      </c>
      <c r="C11" s="15" t="s">
        <v>28</v>
      </c>
      <c r="D11" s="15" t="s">
        <v>932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933</v>
      </c>
      <c r="B12" s="15" t="s">
        <v>49</v>
      </c>
      <c r="C12" s="15" t="s">
        <v>28</v>
      </c>
      <c r="D12" s="15" t="s">
        <v>934</v>
      </c>
      <c r="E12" s="15" t="s">
        <v>71</v>
      </c>
      <c r="F12" s="15" t="s">
        <v>119</v>
      </c>
      <c r="G12" s="16" t="s">
        <v>833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935</v>
      </c>
      <c r="B13" s="15" t="s">
        <v>49</v>
      </c>
      <c r="C13" s="15" t="s">
        <v>925</v>
      </c>
      <c r="D13" s="15" t="s">
        <v>936</v>
      </c>
      <c r="E13" s="15" t="s">
        <v>71</v>
      </c>
      <c r="F13" s="15" t="s">
        <v>119</v>
      </c>
      <c r="G13" s="16" t="s">
        <v>833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937</v>
      </c>
      <c r="B14" s="15" t="s">
        <v>49</v>
      </c>
      <c r="C14" s="15" t="s">
        <v>938</v>
      </c>
      <c r="D14" s="15" t="s">
        <v>939</v>
      </c>
      <c r="E14" s="15" t="s">
        <v>71</v>
      </c>
      <c r="F14" s="15" t="s">
        <v>119</v>
      </c>
      <c r="G14" s="16" t="s">
        <v>837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940</v>
      </c>
      <c r="B15" s="15" t="s">
        <v>49</v>
      </c>
      <c r="C15" s="15" t="s">
        <v>941</v>
      </c>
      <c r="D15" s="15" t="s">
        <v>942</v>
      </c>
      <c r="E15" s="15" t="s">
        <v>71</v>
      </c>
      <c r="F15" s="15" t="s">
        <v>119</v>
      </c>
      <c r="G15" s="16" t="s">
        <v>833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943</v>
      </c>
      <c r="B16" s="15" t="s">
        <v>49</v>
      </c>
      <c r="C16" s="15" t="s">
        <v>944</v>
      </c>
      <c r="D16" s="15" t="s">
        <v>945</v>
      </c>
      <c r="E16" s="15" t="s">
        <v>71</v>
      </c>
      <c r="F16" s="15" t="s">
        <v>119</v>
      </c>
      <c r="G16" s="16" t="s">
        <v>837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946</v>
      </c>
      <c r="B17" s="15" t="s">
        <v>49</v>
      </c>
      <c r="C17" s="15" t="s">
        <v>947</v>
      </c>
      <c r="D17" s="15" t="s">
        <v>948</v>
      </c>
      <c r="E17" s="15" t="s">
        <v>71</v>
      </c>
      <c r="F17" s="15" t="s">
        <v>119</v>
      </c>
      <c r="G17" s="16" t="s">
        <v>833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949</v>
      </c>
      <c r="B18" s="15" t="s">
        <v>950</v>
      </c>
      <c r="C18" s="15" t="s">
        <v>925</v>
      </c>
      <c r="D18" s="15" t="s">
        <v>951</v>
      </c>
      <c r="E18" s="15" t="s">
        <v>71</v>
      </c>
      <c r="F18" s="15" t="s">
        <v>119</v>
      </c>
      <c r="G18" s="16" t="s">
        <v>837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952</v>
      </c>
      <c r="B19" s="15" t="s">
        <v>950</v>
      </c>
      <c r="C19" s="15" t="s">
        <v>925</v>
      </c>
      <c r="D19" s="15" t="s">
        <v>953</v>
      </c>
      <c r="E19" s="15" t="s">
        <v>71</v>
      </c>
      <c r="F19" s="15" t="s">
        <v>119</v>
      </c>
      <c r="G19" s="16" t="s">
        <v>837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954</v>
      </c>
      <c r="B20" s="15" t="s">
        <v>950</v>
      </c>
      <c r="C20" s="15" t="s">
        <v>925</v>
      </c>
      <c r="D20" s="15" t="s">
        <v>955</v>
      </c>
      <c r="E20" s="15" t="s">
        <v>71</v>
      </c>
      <c r="F20" s="15" t="s">
        <v>119</v>
      </c>
      <c r="G20" s="16" t="s">
        <v>837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956</v>
      </c>
      <c r="B21" s="15" t="s">
        <v>950</v>
      </c>
      <c r="C21" s="15" t="s">
        <v>925</v>
      </c>
      <c r="D21" s="15" t="s">
        <v>957</v>
      </c>
      <c r="E21" s="15" t="s">
        <v>71</v>
      </c>
      <c r="F21" s="15" t="s">
        <v>119</v>
      </c>
      <c r="G21" s="16" t="s">
        <v>837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958</v>
      </c>
      <c r="B22" s="15" t="s">
        <v>91</v>
      </c>
      <c r="C22" s="15" t="s">
        <v>925</v>
      </c>
      <c r="D22" s="15" t="s">
        <v>959</v>
      </c>
      <c r="E22" s="15" t="s">
        <v>71</v>
      </c>
      <c r="F22" s="15" t="s">
        <v>484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960</v>
      </c>
      <c r="B23" s="15" t="s">
        <v>91</v>
      </c>
      <c r="C23" s="15" t="s">
        <v>925</v>
      </c>
      <c r="D23" s="15" t="s">
        <v>961</v>
      </c>
      <c r="E23" s="15" t="s">
        <v>71</v>
      </c>
      <c r="F23" s="15" t="s">
        <v>484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962</v>
      </c>
      <c r="B24" s="15" t="s">
        <v>560</v>
      </c>
      <c r="C24" s="15" t="s">
        <v>938</v>
      </c>
      <c r="D24" s="15" t="s">
        <v>963</v>
      </c>
      <c r="E24" s="15" t="s">
        <v>71</v>
      </c>
      <c r="F24" s="15" t="s">
        <v>484</v>
      </c>
      <c r="G24" s="16" t="s">
        <v>130</v>
      </c>
      <c r="H24" s="15" t="s">
        <v>81</v>
      </c>
      <c r="I24" s="15" t="s">
        <v>82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964</v>
      </c>
      <c r="B25" s="15" t="s">
        <v>668</v>
      </c>
      <c r="C25" s="15" t="s">
        <v>28</v>
      </c>
      <c r="D25" s="15" t="s">
        <v>965</v>
      </c>
      <c r="E25" s="15" t="s">
        <v>71</v>
      </c>
      <c r="F25" s="15" t="s">
        <v>100</v>
      </c>
      <c r="G25" s="16" t="s">
        <v>392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966</v>
      </c>
      <c r="B26" s="15" t="s">
        <v>778</v>
      </c>
      <c r="C26" s="15" t="s">
        <v>28</v>
      </c>
      <c r="D26" s="15" t="s">
        <v>967</v>
      </c>
      <c r="E26" s="15" t="s">
        <v>71</v>
      </c>
      <c r="F26" s="15" t="s">
        <v>119</v>
      </c>
      <c r="G26" s="16" t="s">
        <v>837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968</v>
      </c>
      <c r="B27" s="15" t="s">
        <v>759</v>
      </c>
      <c r="C27" s="15" t="s">
        <v>28</v>
      </c>
      <c r="D27" s="15" t="s">
        <v>969</v>
      </c>
      <c r="E27" s="15" t="s">
        <v>71</v>
      </c>
      <c r="F27" s="15" t="s">
        <v>119</v>
      </c>
      <c r="G27" s="16" t="s">
        <v>837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970</v>
      </c>
      <c r="B28" s="15" t="s">
        <v>549</v>
      </c>
      <c r="C28" s="15" t="s">
        <v>28</v>
      </c>
      <c r="D28" s="15" t="s">
        <v>971</v>
      </c>
      <c r="E28" s="15" t="s">
        <v>71</v>
      </c>
      <c r="F28" s="15" t="s">
        <v>119</v>
      </c>
      <c r="G28" s="16" t="s">
        <v>837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972</v>
      </c>
      <c r="B29" s="15" t="s">
        <v>862</v>
      </c>
      <c r="C29" s="15" t="s">
        <v>28</v>
      </c>
      <c r="D29" s="15" t="s">
        <v>973</v>
      </c>
      <c r="E29" s="15" t="s">
        <v>71</v>
      </c>
      <c r="F29" s="15" t="s">
        <v>484</v>
      </c>
      <c r="G29" s="16" t="s">
        <v>130</v>
      </c>
      <c r="H29" s="15" t="s">
        <v>81</v>
      </c>
      <c r="I29" s="15" t="s">
        <v>82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974</v>
      </c>
      <c r="B30" s="15" t="s">
        <v>580</v>
      </c>
      <c r="C30" s="15" t="s">
        <v>28</v>
      </c>
      <c r="D30" s="15" t="s">
        <v>975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976</v>
      </c>
      <c r="B31" s="15" t="s">
        <v>91</v>
      </c>
      <c r="C31" s="15" t="s">
        <v>28</v>
      </c>
      <c r="D31" s="15" t="s">
        <v>977</v>
      </c>
      <c r="E31" s="15" t="s">
        <v>71</v>
      </c>
      <c r="F31" s="15" t="s">
        <v>72</v>
      </c>
      <c r="G31" s="16" t="s">
        <v>978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979</v>
      </c>
      <c r="B32" s="15" t="s">
        <v>98</v>
      </c>
      <c r="C32" s="15" t="s">
        <v>28</v>
      </c>
      <c r="D32" s="15" t="s">
        <v>980</v>
      </c>
      <c r="E32" s="15" t="s">
        <v>71</v>
      </c>
      <c r="F32" s="15" t="s">
        <v>100</v>
      </c>
      <c r="G32" s="16" t="s">
        <v>392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981</v>
      </c>
      <c r="B33" s="15" t="s">
        <v>117</v>
      </c>
      <c r="C33" s="15" t="s">
        <v>28</v>
      </c>
      <c r="D33" s="15" t="s">
        <v>982</v>
      </c>
      <c r="E33" s="15" t="s">
        <v>71</v>
      </c>
      <c r="F33" s="15" t="s">
        <v>119</v>
      </c>
      <c r="G33" s="16" t="s">
        <v>833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983</v>
      </c>
      <c r="B34" s="15" t="s">
        <v>117</v>
      </c>
      <c r="C34" s="15" t="s">
        <v>28</v>
      </c>
      <c r="D34" s="15" t="s">
        <v>984</v>
      </c>
      <c r="E34" s="15" t="s">
        <v>71</v>
      </c>
      <c r="F34" s="15" t="s">
        <v>85</v>
      </c>
      <c r="G34" s="16" t="s">
        <v>122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985</v>
      </c>
      <c r="B35" s="15" t="s">
        <v>117</v>
      </c>
      <c r="C35" s="15" t="s">
        <v>28</v>
      </c>
      <c r="D35" s="15" t="s">
        <v>986</v>
      </c>
      <c r="E35" s="15" t="s">
        <v>71</v>
      </c>
      <c r="F35" s="15" t="s">
        <v>119</v>
      </c>
      <c r="G35" s="16" t="s">
        <v>503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987</v>
      </c>
      <c r="B36" s="15" t="s">
        <v>117</v>
      </c>
      <c r="C36" s="15" t="s">
        <v>28</v>
      </c>
      <c r="D36" s="15" t="s">
        <v>988</v>
      </c>
      <c r="E36" s="15" t="s">
        <v>71</v>
      </c>
      <c r="F36" s="15" t="s">
        <v>71</v>
      </c>
      <c r="G36" s="16" t="s">
        <v>136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989</v>
      </c>
      <c r="B37" s="15" t="s">
        <v>117</v>
      </c>
      <c r="C37" s="15" t="s">
        <v>28</v>
      </c>
      <c r="D37" s="15" t="s">
        <v>882</v>
      </c>
      <c r="E37" s="15" t="s">
        <v>71</v>
      </c>
      <c r="F37" s="15" t="s">
        <v>119</v>
      </c>
      <c r="G37" s="16" t="s">
        <v>833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990</v>
      </c>
      <c r="B38" s="15" t="s">
        <v>117</v>
      </c>
      <c r="C38" s="15" t="s">
        <v>28</v>
      </c>
      <c r="D38" s="15" t="s">
        <v>991</v>
      </c>
      <c r="E38" s="15" t="s">
        <v>71</v>
      </c>
      <c r="F38" s="15" t="s">
        <v>119</v>
      </c>
      <c r="G38" s="16" t="s">
        <v>837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992</v>
      </c>
      <c r="B39" s="15" t="s">
        <v>117</v>
      </c>
      <c r="C39" s="15" t="s">
        <v>28</v>
      </c>
      <c r="D39" s="15" t="s">
        <v>886</v>
      </c>
      <c r="E39" s="15" t="s">
        <v>71</v>
      </c>
      <c r="F39" s="15" t="s">
        <v>119</v>
      </c>
      <c r="G39" s="16" t="s">
        <v>232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993</v>
      </c>
      <c r="B40" s="15" t="s">
        <v>117</v>
      </c>
      <c r="C40" s="15" t="s">
        <v>28</v>
      </c>
      <c r="D40" s="15" t="s">
        <v>994</v>
      </c>
      <c r="E40" s="15" t="s">
        <v>71</v>
      </c>
      <c r="F40" s="15" t="s">
        <v>484</v>
      </c>
      <c r="G40" s="16" t="s">
        <v>130</v>
      </c>
      <c r="H40" s="15" t="s">
        <v>81</v>
      </c>
      <c r="I40" s="15" t="s">
        <v>82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995</v>
      </c>
      <c r="B41" s="15" t="s">
        <v>138</v>
      </c>
      <c r="C41" s="15" t="s">
        <v>28</v>
      </c>
      <c r="D41" s="15" t="s">
        <v>996</v>
      </c>
      <c r="E41" s="15" t="s">
        <v>71</v>
      </c>
      <c r="F41" s="15" t="s">
        <v>140</v>
      </c>
      <c r="G41" s="16" t="s">
        <v>891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997</v>
      </c>
      <c r="B42" s="15" t="s">
        <v>138</v>
      </c>
      <c r="C42" s="15" t="s">
        <v>28</v>
      </c>
      <c r="D42" s="15" t="s">
        <v>998</v>
      </c>
      <c r="E42" s="15" t="s">
        <v>71</v>
      </c>
      <c r="F42" s="15" t="s">
        <v>140</v>
      </c>
      <c r="G42" s="16" t="s">
        <v>891</v>
      </c>
      <c r="H42" s="15" t="s">
        <v>346</v>
      </c>
      <c r="I42" s="15" t="s">
        <v>82</v>
      </c>
      <c r="J42" s="19"/>
      <c r="K42" s="15" t="s">
        <v>807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999</v>
      </c>
      <c r="B43" s="15" t="s">
        <v>144</v>
      </c>
      <c r="C43" s="15" t="s">
        <v>28</v>
      </c>
      <c r="D43" s="15" t="s">
        <v>1000</v>
      </c>
      <c r="E43" s="15" t="s">
        <v>71</v>
      </c>
      <c r="F43" s="15" t="s">
        <v>146</v>
      </c>
      <c r="G43" s="16" t="s">
        <v>1001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1002</v>
      </c>
      <c r="B44" s="15" t="s">
        <v>144</v>
      </c>
      <c r="C44" s="15" t="s">
        <v>28</v>
      </c>
      <c r="D44" s="15" t="s">
        <v>898</v>
      </c>
      <c r="E44" s="15" t="s">
        <v>71</v>
      </c>
      <c r="F44" s="15" t="s">
        <v>146</v>
      </c>
      <c r="G44" s="16" t="s">
        <v>1003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1004</v>
      </c>
      <c r="B45" s="15" t="s">
        <v>152</v>
      </c>
      <c r="C45" s="15" t="s">
        <v>28</v>
      </c>
      <c r="D45" s="15" t="s">
        <v>1005</v>
      </c>
      <c r="E45" s="15" t="s">
        <v>154</v>
      </c>
      <c r="F45" s="15" t="s">
        <v>154</v>
      </c>
      <c r="G45" s="16" t="s">
        <v>902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1006</v>
      </c>
      <c r="B46" s="15" t="s">
        <v>157</v>
      </c>
      <c r="C46" s="15" t="s">
        <v>1007</v>
      </c>
      <c r="D46" s="15" t="s">
        <v>1008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1009</v>
      </c>
      <c r="B47" s="15" t="s">
        <v>625</v>
      </c>
      <c r="C47" s="15" t="s">
        <v>28</v>
      </c>
      <c r="D47" s="15" t="s">
        <v>1010</v>
      </c>
      <c r="E47" s="15" t="s">
        <v>71</v>
      </c>
      <c r="F47" s="15" t="s">
        <v>79</v>
      </c>
      <c r="G47" s="16" t="s">
        <v>930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icon-button-app-bar.md"/>
    <hyperlink ref="G42" r:id="rId34" display="manual-tests/icon-button-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27</v>
      </c>
      <c r="E4" s="4" t="s">
        <v>14</v>
      </c>
      <c r="F4" s="6" t="n">
        <f aca="false">IFERROR(D4/SUM(L9:L47),0)</f>
        <v>0.692307692307692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1013</v>
      </c>
      <c r="B9" s="15" t="s">
        <v>69</v>
      </c>
      <c r="C9" s="15" t="s">
        <v>29</v>
      </c>
      <c r="D9" s="15" t="s">
        <v>1014</v>
      </c>
      <c r="E9" s="15" t="s">
        <v>71</v>
      </c>
      <c r="F9" s="15" t="s">
        <v>72</v>
      </c>
      <c r="G9" s="16" t="s">
        <v>1015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1016</v>
      </c>
      <c r="B10" s="15" t="s">
        <v>77</v>
      </c>
      <c r="C10" s="15" t="s">
        <v>29</v>
      </c>
      <c r="D10" s="15" t="s">
        <v>1017</v>
      </c>
      <c r="E10" s="15" t="s">
        <v>71</v>
      </c>
      <c r="F10" s="15" t="s">
        <v>79</v>
      </c>
      <c r="G10" s="16" t="s">
        <v>1018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1019</v>
      </c>
      <c r="B11" s="15" t="s">
        <v>1020</v>
      </c>
      <c r="C11" s="15" t="s">
        <v>29</v>
      </c>
      <c r="D11" s="15" t="s">
        <v>1021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1022</v>
      </c>
      <c r="B12" s="15" t="s">
        <v>49</v>
      </c>
      <c r="C12" s="15" t="s">
        <v>29</v>
      </c>
      <c r="D12" s="15" t="s">
        <v>1023</v>
      </c>
      <c r="E12" s="15" t="s">
        <v>71</v>
      </c>
      <c r="F12" s="15" t="s">
        <v>119</v>
      </c>
      <c r="G12" s="16" t="s">
        <v>1024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1025</v>
      </c>
      <c r="B13" s="15" t="s">
        <v>49</v>
      </c>
      <c r="C13" s="15" t="s">
        <v>1026</v>
      </c>
      <c r="D13" s="15" t="s">
        <v>1027</v>
      </c>
      <c r="E13" s="15" t="s">
        <v>71</v>
      </c>
      <c r="F13" s="15" t="s">
        <v>72</v>
      </c>
      <c r="G13" s="16" t="s">
        <v>1015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1028</v>
      </c>
      <c r="B14" s="15" t="s">
        <v>49</v>
      </c>
      <c r="C14" s="15" t="s">
        <v>179</v>
      </c>
      <c r="D14" s="15" t="s">
        <v>1029</v>
      </c>
      <c r="E14" s="15" t="s">
        <v>71</v>
      </c>
      <c r="F14" s="15" t="s">
        <v>119</v>
      </c>
      <c r="G14" s="16" t="s">
        <v>1024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1030</v>
      </c>
      <c r="B15" s="15" t="s">
        <v>49</v>
      </c>
      <c r="C15" s="15" t="s">
        <v>268</v>
      </c>
      <c r="D15" s="15" t="s">
        <v>1031</v>
      </c>
      <c r="E15" s="15" t="s">
        <v>71</v>
      </c>
      <c r="F15" s="15" t="s">
        <v>119</v>
      </c>
      <c r="G15" s="16" t="s">
        <v>1024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1032</v>
      </c>
      <c r="B16" s="15" t="s">
        <v>49</v>
      </c>
      <c r="C16" s="15" t="s">
        <v>271</v>
      </c>
      <c r="D16" s="15" t="s">
        <v>1033</v>
      </c>
      <c r="E16" s="15" t="s">
        <v>71</v>
      </c>
      <c r="F16" s="15" t="s">
        <v>72</v>
      </c>
      <c r="G16" s="16" t="s">
        <v>1015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1034</v>
      </c>
      <c r="B17" s="15" t="s">
        <v>49</v>
      </c>
      <c r="C17" s="15" t="s">
        <v>196</v>
      </c>
      <c r="D17" s="15" t="s">
        <v>1035</v>
      </c>
      <c r="E17" s="15" t="s">
        <v>71</v>
      </c>
      <c r="F17" s="15" t="s">
        <v>85</v>
      </c>
      <c r="G17" s="16" t="s">
        <v>122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1036</v>
      </c>
      <c r="B18" s="15" t="s">
        <v>49</v>
      </c>
      <c r="C18" s="15" t="s">
        <v>186</v>
      </c>
      <c r="D18" s="15" t="s">
        <v>1037</v>
      </c>
      <c r="E18" s="15" t="s">
        <v>71</v>
      </c>
      <c r="F18" s="15" t="s">
        <v>119</v>
      </c>
      <c r="G18" s="16" t="s">
        <v>1024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1038</v>
      </c>
      <c r="B19" s="15" t="s">
        <v>49</v>
      </c>
      <c r="C19" s="15" t="s">
        <v>189</v>
      </c>
      <c r="D19" s="15" t="s">
        <v>1039</v>
      </c>
      <c r="E19" s="15" t="s">
        <v>71</v>
      </c>
      <c r="F19" s="15" t="s">
        <v>119</v>
      </c>
      <c r="G19" s="16" t="s">
        <v>1024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1040</v>
      </c>
      <c r="B20" s="15" t="s">
        <v>49</v>
      </c>
      <c r="C20" s="15" t="s">
        <v>1041</v>
      </c>
      <c r="D20" s="15" t="s">
        <v>1042</v>
      </c>
      <c r="E20" s="15" t="s">
        <v>71</v>
      </c>
      <c r="F20" s="15" t="s">
        <v>119</v>
      </c>
      <c r="G20" s="16" t="s">
        <v>1024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1043</v>
      </c>
      <c r="B21" s="15" t="s">
        <v>835</v>
      </c>
      <c r="C21" s="15" t="s">
        <v>268</v>
      </c>
      <c r="D21" s="15" t="s">
        <v>1044</v>
      </c>
      <c r="E21" s="15" t="s">
        <v>71</v>
      </c>
      <c r="F21" s="15" t="s">
        <v>1045</v>
      </c>
      <c r="G21" s="16" t="s">
        <v>1046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1047</v>
      </c>
      <c r="B22" s="15" t="s">
        <v>835</v>
      </c>
      <c r="C22" s="15" t="s">
        <v>196</v>
      </c>
      <c r="D22" s="15" t="s">
        <v>1048</v>
      </c>
      <c r="E22" s="15" t="s">
        <v>71</v>
      </c>
      <c r="F22" s="15" t="s">
        <v>1045</v>
      </c>
      <c r="G22" s="16" t="s">
        <v>1046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1049</v>
      </c>
      <c r="B23" s="15" t="s">
        <v>735</v>
      </c>
      <c r="C23" s="15" t="s">
        <v>29</v>
      </c>
      <c r="D23" s="15" t="s">
        <v>1050</v>
      </c>
      <c r="E23" s="15" t="s">
        <v>71</v>
      </c>
      <c r="F23" s="15" t="s">
        <v>1045</v>
      </c>
      <c r="G23" s="16" t="s">
        <v>1046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1051</v>
      </c>
      <c r="B24" s="15" t="s">
        <v>735</v>
      </c>
      <c r="C24" s="15" t="s">
        <v>29</v>
      </c>
      <c r="D24" s="15" t="s">
        <v>1052</v>
      </c>
      <c r="E24" s="15" t="s">
        <v>71</v>
      </c>
      <c r="F24" s="15" t="s">
        <v>140</v>
      </c>
      <c r="G24" s="16" t="s">
        <v>1053</v>
      </c>
      <c r="H24" s="15" t="s">
        <v>346</v>
      </c>
      <c r="I24" s="15" t="s">
        <v>82</v>
      </c>
      <c r="J24" s="19" t="n">
        <v>46221</v>
      </c>
      <c r="K24" s="15" t="s">
        <v>1054</v>
      </c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" hidden="false" customHeight="true" outlineLevel="0" collapsed="false">
      <c r="A25" s="15" t="s">
        <v>1055</v>
      </c>
      <c r="B25" s="15" t="s">
        <v>1056</v>
      </c>
      <c r="C25" s="15" t="s">
        <v>29</v>
      </c>
      <c r="D25" s="15" t="s">
        <v>1057</v>
      </c>
      <c r="E25" s="15" t="s">
        <v>71</v>
      </c>
      <c r="F25" s="15" t="s">
        <v>140</v>
      </c>
      <c r="G25" s="16" t="s">
        <v>1053</v>
      </c>
      <c r="H25" s="15" t="s">
        <v>346</v>
      </c>
      <c r="I25" s="15" t="s">
        <v>82</v>
      </c>
      <c r="J25" s="19" t="n">
        <v>46221</v>
      </c>
      <c r="K25" s="15" t="s">
        <v>1058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1059</v>
      </c>
      <c r="B26" s="15" t="s">
        <v>1056</v>
      </c>
      <c r="C26" s="15" t="s">
        <v>29</v>
      </c>
      <c r="D26" s="15" t="s">
        <v>1060</v>
      </c>
      <c r="E26" s="15" t="s">
        <v>71</v>
      </c>
      <c r="F26" s="15" t="s">
        <v>140</v>
      </c>
      <c r="G26" s="16" t="s">
        <v>1053</v>
      </c>
      <c r="H26" s="15" t="s">
        <v>346</v>
      </c>
      <c r="I26" s="15" t="s">
        <v>82</v>
      </c>
      <c r="J26" s="19" t="n">
        <v>46221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1062</v>
      </c>
      <c r="B27" s="15" t="s">
        <v>859</v>
      </c>
      <c r="C27" s="15" t="s">
        <v>196</v>
      </c>
      <c r="D27" s="15" t="s">
        <v>1063</v>
      </c>
      <c r="E27" s="15" t="s">
        <v>71</v>
      </c>
      <c r="F27" s="15" t="s">
        <v>484</v>
      </c>
      <c r="G27" s="16" t="s">
        <v>1064</v>
      </c>
      <c r="H27" s="15" t="s">
        <v>346</v>
      </c>
      <c r="I27" s="15" t="s">
        <v>82</v>
      </c>
      <c r="J27" s="19" t="n">
        <v>46221</v>
      </c>
      <c r="K27" s="15" t="s">
        <v>1065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1066</v>
      </c>
      <c r="B28" s="15" t="s">
        <v>859</v>
      </c>
      <c r="C28" s="15" t="s">
        <v>196</v>
      </c>
      <c r="D28" s="15" t="s">
        <v>1067</v>
      </c>
      <c r="E28" s="15" t="s">
        <v>71</v>
      </c>
      <c r="F28" s="15" t="s">
        <v>484</v>
      </c>
      <c r="G28" s="16" t="s">
        <v>1064</v>
      </c>
      <c r="H28" s="15" t="s">
        <v>346</v>
      </c>
      <c r="I28" s="15" t="s">
        <v>82</v>
      </c>
      <c r="J28" s="19" t="n">
        <v>46221</v>
      </c>
      <c r="K28" s="15" t="s">
        <v>1065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1068</v>
      </c>
      <c r="B29" s="15" t="s">
        <v>859</v>
      </c>
      <c r="C29" s="15" t="s">
        <v>1041</v>
      </c>
      <c r="D29" s="15" t="s">
        <v>1069</v>
      </c>
      <c r="E29" s="15" t="s">
        <v>71</v>
      </c>
      <c r="F29" s="15" t="s">
        <v>484</v>
      </c>
      <c r="G29" s="16" t="s">
        <v>1064</v>
      </c>
      <c r="H29" s="15" t="s">
        <v>346</v>
      </c>
      <c r="I29" s="15" t="s">
        <v>82</v>
      </c>
      <c r="J29" s="19" t="n">
        <v>46221</v>
      </c>
      <c r="K29" s="15" t="s">
        <v>1065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1070</v>
      </c>
      <c r="B30" s="15" t="s">
        <v>1071</v>
      </c>
      <c r="C30" s="15" t="s">
        <v>29</v>
      </c>
      <c r="D30" s="15" t="s">
        <v>1072</v>
      </c>
      <c r="E30" s="15" t="s">
        <v>71</v>
      </c>
      <c r="F30" s="15" t="s">
        <v>1045</v>
      </c>
      <c r="G30" s="16" t="s">
        <v>1046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1073</v>
      </c>
      <c r="B31" s="15" t="s">
        <v>778</v>
      </c>
      <c r="C31" s="15" t="s">
        <v>196</v>
      </c>
      <c r="D31" s="15" t="s">
        <v>1074</v>
      </c>
      <c r="E31" s="15" t="s">
        <v>71</v>
      </c>
      <c r="F31" s="15" t="s">
        <v>1045</v>
      </c>
      <c r="G31" s="16" t="s">
        <v>1046</v>
      </c>
      <c r="H31" s="15" t="s">
        <v>74</v>
      </c>
      <c r="I31" s="15" t="s">
        <v>75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1075</v>
      </c>
      <c r="B32" s="15" t="s">
        <v>778</v>
      </c>
      <c r="C32" s="15" t="s">
        <v>196</v>
      </c>
      <c r="D32" s="15" t="s">
        <v>1076</v>
      </c>
      <c r="E32" s="15" t="s">
        <v>71</v>
      </c>
      <c r="F32" s="15" t="s">
        <v>140</v>
      </c>
      <c r="G32" s="16" t="s">
        <v>1053</v>
      </c>
      <c r="H32" s="15" t="s">
        <v>346</v>
      </c>
      <c r="I32" s="15" t="s">
        <v>82</v>
      </c>
      <c r="J32" s="19" t="n">
        <v>46221</v>
      </c>
      <c r="K32" s="15" t="s">
        <v>1077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1078</v>
      </c>
      <c r="B33" s="15" t="s">
        <v>1079</v>
      </c>
      <c r="C33" s="15" t="s">
        <v>196</v>
      </c>
      <c r="D33" s="15" t="s">
        <v>1080</v>
      </c>
      <c r="E33" s="15" t="s">
        <v>71</v>
      </c>
      <c r="F33" s="15" t="s">
        <v>1045</v>
      </c>
      <c r="G33" s="16" t="s">
        <v>1046</v>
      </c>
      <c r="H33" s="15" t="s">
        <v>74</v>
      </c>
      <c r="I33" s="15" t="s">
        <v>75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1081</v>
      </c>
      <c r="B34" s="15" t="s">
        <v>759</v>
      </c>
      <c r="C34" s="15" t="s">
        <v>29</v>
      </c>
      <c r="D34" s="15" t="s">
        <v>1082</v>
      </c>
      <c r="E34" s="15" t="s">
        <v>71</v>
      </c>
      <c r="F34" s="15" t="s">
        <v>140</v>
      </c>
      <c r="G34" s="16" t="s">
        <v>1053</v>
      </c>
      <c r="H34" s="15" t="s">
        <v>346</v>
      </c>
      <c r="I34" s="15" t="s">
        <v>82</v>
      </c>
      <c r="J34" s="19" t="n">
        <v>46221</v>
      </c>
      <c r="K34" s="15" t="s">
        <v>1083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1084</v>
      </c>
      <c r="B35" s="15" t="s">
        <v>862</v>
      </c>
      <c r="C35" s="15" t="s">
        <v>29</v>
      </c>
      <c r="D35" s="15" t="s">
        <v>1085</v>
      </c>
      <c r="E35" s="15" t="s">
        <v>71</v>
      </c>
      <c r="F35" s="15" t="s">
        <v>140</v>
      </c>
      <c r="G35" s="16" t="s">
        <v>1053</v>
      </c>
      <c r="H35" s="15" t="s">
        <v>346</v>
      </c>
      <c r="I35" s="15" t="s">
        <v>82</v>
      </c>
      <c r="J35" s="19" t="n">
        <v>46221</v>
      </c>
      <c r="K35" s="15" t="s">
        <v>1086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1087</v>
      </c>
      <c r="B36" s="15" t="s">
        <v>549</v>
      </c>
      <c r="C36" s="15" t="s">
        <v>29</v>
      </c>
      <c r="D36" s="15" t="s">
        <v>1088</v>
      </c>
      <c r="E36" s="15" t="s">
        <v>71</v>
      </c>
      <c r="F36" s="15" t="s">
        <v>1089</v>
      </c>
      <c r="G36" s="16" t="s">
        <v>1046</v>
      </c>
      <c r="H36" s="15" t="s">
        <v>74</v>
      </c>
      <c r="I36" s="15" t="s">
        <v>75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1090</v>
      </c>
      <c r="B37" s="15" t="s">
        <v>1091</v>
      </c>
      <c r="C37" s="15" t="s">
        <v>29</v>
      </c>
      <c r="D37" s="15" t="s">
        <v>1092</v>
      </c>
      <c r="E37" s="15" t="s">
        <v>71</v>
      </c>
      <c r="F37" s="15" t="s">
        <v>119</v>
      </c>
      <c r="G37" s="16" t="s">
        <v>503</v>
      </c>
      <c r="H37" s="15" t="s">
        <v>74</v>
      </c>
      <c r="I37" s="15" t="s">
        <v>75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1093</v>
      </c>
      <c r="B38" s="15" t="s">
        <v>912</v>
      </c>
      <c r="C38" s="15" t="s">
        <v>29</v>
      </c>
      <c r="D38" s="15" t="s">
        <v>1094</v>
      </c>
      <c r="E38" s="15" t="s">
        <v>71</v>
      </c>
      <c r="F38" s="15" t="s">
        <v>119</v>
      </c>
      <c r="G38" s="16" t="s">
        <v>503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1095</v>
      </c>
      <c r="B39" s="15" t="s">
        <v>1096</v>
      </c>
      <c r="C39" s="15" t="s">
        <v>29</v>
      </c>
      <c r="D39" s="15" t="s">
        <v>1097</v>
      </c>
      <c r="E39" s="15" t="s">
        <v>71</v>
      </c>
      <c r="F39" s="15" t="s">
        <v>154</v>
      </c>
      <c r="G39" s="16" t="s">
        <v>136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1098</v>
      </c>
      <c r="B40" s="15" t="s">
        <v>1099</v>
      </c>
      <c r="C40" s="15" t="s">
        <v>29</v>
      </c>
      <c r="D40" s="15" t="s">
        <v>1100</v>
      </c>
      <c r="E40" s="15" t="s">
        <v>71</v>
      </c>
      <c r="F40" s="15" t="s">
        <v>146</v>
      </c>
      <c r="G40" s="16" t="s">
        <v>1101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1102</v>
      </c>
      <c r="B41" s="15" t="s">
        <v>1099</v>
      </c>
      <c r="C41" s="15" t="s">
        <v>29</v>
      </c>
      <c r="D41" s="15" t="s">
        <v>1103</v>
      </c>
      <c r="E41" s="15" t="s">
        <v>71</v>
      </c>
      <c r="F41" s="15" t="s">
        <v>146</v>
      </c>
      <c r="G41" s="16" t="s">
        <v>1104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1105</v>
      </c>
      <c r="B42" s="15" t="s">
        <v>98</v>
      </c>
      <c r="C42" s="15" t="s">
        <v>29</v>
      </c>
      <c r="D42" s="15" t="s">
        <v>1106</v>
      </c>
      <c r="E42" s="15" t="s">
        <v>71</v>
      </c>
      <c r="F42" s="15" t="s">
        <v>72</v>
      </c>
      <c r="G42" s="16" t="s">
        <v>392</v>
      </c>
      <c r="H42" s="15" t="s">
        <v>74</v>
      </c>
      <c r="I42" s="15" t="s">
        <v>75</v>
      </c>
      <c r="J42" s="19" t="n">
        <v>46222</v>
      </c>
      <c r="K42" s="15" t="s">
        <v>807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1107</v>
      </c>
      <c r="B43" s="15" t="s">
        <v>1108</v>
      </c>
      <c r="C43" s="15" t="s">
        <v>29</v>
      </c>
      <c r="D43" s="15" t="s">
        <v>1109</v>
      </c>
      <c r="E43" s="15" t="s">
        <v>71</v>
      </c>
      <c r="F43" s="15" t="s">
        <v>140</v>
      </c>
      <c r="G43" s="16" t="s">
        <v>1053</v>
      </c>
      <c r="H43" s="15" t="s">
        <v>346</v>
      </c>
      <c r="I43" s="15" t="s">
        <v>82</v>
      </c>
      <c r="J43" s="19" t="n">
        <v>46221</v>
      </c>
      <c r="K43" s="15" t="s">
        <v>1110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1111</v>
      </c>
      <c r="B44" s="15" t="s">
        <v>152</v>
      </c>
      <c r="C44" s="15" t="s">
        <v>29</v>
      </c>
      <c r="D44" s="15" t="s">
        <v>1112</v>
      </c>
      <c r="E44" s="15" t="s">
        <v>154</v>
      </c>
      <c r="F44" s="15" t="s">
        <v>72</v>
      </c>
      <c r="G44" s="16" t="s">
        <v>1113</v>
      </c>
      <c r="H44" s="15" t="s">
        <v>74</v>
      </c>
      <c r="I44" s="15" t="s">
        <v>75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1114</v>
      </c>
      <c r="B45" s="15" t="s">
        <v>152</v>
      </c>
      <c r="C45" s="15" t="s">
        <v>29</v>
      </c>
      <c r="D45" s="15" t="s">
        <v>1115</v>
      </c>
      <c r="E45" s="15" t="s">
        <v>154</v>
      </c>
      <c r="F45" s="15" t="s">
        <v>119</v>
      </c>
      <c r="G45" s="16" t="s">
        <v>1116</v>
      </c>
      <c r="H45" s="15" t="s">
        <v>74</v>
      </c>
      <c r="I45" s="15" t="s">
        <v>75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1117</v>
      </c>
      <c r="B46" s="15" t="s">
        <v>157</v>
      </c>
      <c r="C46" s="15" t="s">
        <v>1118</v>
      </c>
      <c r="D46" s="15" t="s">
        <v>1119</v>
      </c>
      <c r="E46" s="15" t="s">
        <v>159</v>
      </c>
      <c r="F46" s="15" t="s">
        <v>1120</v>
      </c>
      <c r="G46" s="16" t="s">
        <v>251</v>
      </c>
      <c r="H46" s="15" t="s">
        <v>252</v>
      </c>
      <c r="I46" s="15" t="s">
        <v>82</v>
      </c>
      <c r="J46" s="19" t="n">
        <v>46221</v>
      </c>
      <c r="K46" s="15" t="s">
        <v>1121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1122</v>
      </c>
      <c r="B47" s="15" t="s">
        <v>1123</v>
      </c>
      <c r="C47" s="15" t="s">
        <v>29</v>
      </c>
      <c r="D47" s="15" t="s">
        <v>1124</v>
      </c>
      <c r="E47" s="15" t="s">
        <v>71</v>
      </c>
      <c r="F47" s="15" t="s">
        <v>1125</v>
      </c>
      <c r="G47" s="16" t="s">
        <v>1126</v>
      </c>
      <c r="H47" s="15" t="s">
        <v>346</v>
      </c>
      <c r="I47" s="15" t="s">
        <v>82</v>
      </c>
      <c r="J47" s="19" t="n">
        <v>46221</v>
      </c>
      <c r="K47" s="15" t="s">
        <v>1127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1129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28</v>
      </c>
      <c r="E4" s="4" t="s">
        <v>14</v>
      </c>
      <c r="F4" s="6" t="n">
        <f aca="false">IFERROR(D4/SUM(L9:L47),0)</f>
        <v>0.717948717948718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1130</v>
      </c>
      <c r="B9" s="15" t="s">
        <v>69</v>
      </c>
      <c r="C9" s="15" t="s">
        <v>30</v>
      </c>
      <c r="D9" s="15" t="s">
        <v>1131</v>
      </c>
      <c r="E9" s="15" t="s">
        <v>71</v>
      </c>
      <c r="F9" s="15" t="s">
        <v>72</v>
      </c>
      <c r="G9" s="16" t="s">
        <v>1132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1133</v>
      </c>
      <c r="B10" s="15" t="s">
        <v>77</v>
      </c>
      <c r="C10" s="15" t="s">
        <v>30</v>
      </c>
      <c r="D10" s="15" t="s">
        <v>1134</v>
      </c>
      <c r="E10" s="15" t="s">
        <v>71</v>
      </c>
      <c r="F10" s="15" t="s">
        <v>79</v>
      </c>
      <c r="G10" s="16" t="s">
        <v>1135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1136</v>
      </c>
      <c r="B11" s="15" t="s">
        <v>1020</v>
      </c>
      <c r="C11" s="15" t="s">
        <v>30</v>
      </c>
      <c r="D11" s="15" t="s">
        <v>1137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1138</v>
      </c>
      <c r="B12" s="15" t="s">
        <v>49</v>
      </c>
      <c r="C12" s="15" t="s">
        <v>30</v>
      </c>
      <c r="D12" s="15" t="s">
        <v>1139</v>
      </c>
      <c r="E12" s="15" t="s">
        <v>71</v>
      </c>
      <c r="F12" s="15" t="s">
        <v>119</v>
      </c>
      <c r="G12" s="16" t="s">
        <v>1140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1141</v>
      </c>
      <c r="B13" s="15" t="s">
        <v>49</v>
      </c>
      <c r="C13" s="15" t="s">
        <v>179</v>
      </c>
      <c r="D13" s="15" t="s">
        <v>1142</v>
      </c>
      <c r="E13" s="15" t="s">
        <v>71</v>
      </c>
      <c r="F13" s="15" t="s">
        <v>72</v>
      </c>
      <c r="G13" s="16" t="s">
        <v>1132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1143</v>
      </c>
      <c r="B14" s="15" t="s">
        <v>49</v>
      </c>
      <c r="C14" s="15" t="s">
        <v>268</v>
      </c>
      <c r="D14" s="15" t="s">
        <v>1144</v>
      </c>
      <c r="E14" s="15" t="s">
        <v>71</v>
      </c>
      <c r="F14" s="15" t="s">
        <v>119</v>
      </c>
      <c r="G14" s="16" t="s">
        <v>1140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1145</v>
      </c>
      <c r="B15" s="15" t="s">
        <v>49</v>
      </c>
      <c r="C15" s="15" t="s">
        <v>271</v>
      </c>
      <c r="D15" s="15" t="s">
        <v>1146</v>
      </c>
      <c r="E15" s="15" t="s">
        <v>71</v>
      </c>
      <c r="F15" s="15" t="s">
        <v>72</v>
      </c>
      <c r="G15" s="16" t="s">
        <v>1132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1147</v>
      </c>
      <c r="B16" s="15" t="s">
        <v>49</v>
      </c>
      <c r="C16" s="15" t="s">
        <v>196</v>
      </c>
      <c r="D16" s="15" t="s">
        <v>1148</v>
      </c>
      <c r="E16" s="15" t="s">
        <v>71</v>
      </c>
      <c r="F16" s="15" t="s">
        <v>85</v>
      </c>
      <c r="G16" s="16" t="s">
        <v>122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1149</v>
      </c>
      <c r="B17" s="15" t="s">
        <v>49</v>
      </c>
      <c r="C17" s="15" t="s">
        <v>1041</v>
      </c>
      <c r="D17" s="15" t="s">
        <v>1150</v>
      </c>
      <c r="E17" s="15" t="s">
        <v>71</v>
      </c>
      <c r="F17" s="15" t="s">
        <v>119</v>
      </c>
      <c r="G17" s="16" t="s">
        <v>1140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1151</v>
      </c>
      <c r="B18" s="15" t="s">
        <v>835</v>
      </c>
      <c r="C18" s="15" t="s">
        <v>268</v>
      </c>
      <c r="D18" s="15" t="s">
        <v>1152</v>
      </c>
      <c r="E18" s="15" t="s">
        <v>71</v>
      </c>
      <c r="F18" s="15" t="s">
        <v>1045</v>
      </c>
      <c r="G18" s="16" t="s">
        <v>1153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1154</v>
      </c>
      <c r="B19" s="15" t="s">
        <v>835</v>
      </c>
      <c r="C19" s="15" t="s">
        <v>196</v>
      </c>
      <c r="D19" s="15" t="s">
        <v>1155</v>
      </c>
      <c r="E19" s="15" t="s">
        <v>71</v>
      </c>
      <c r="F19" s="15" t="s">
        <v>1045</v>
      </c>
      <c r="G19" s="16" t="s">
        <v>1153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1156</v>
      </c>
      <c r="B20" s="15" t="s">
        <v>835</v>
      </c>
      <c r="C20" s="15" t="s">
        <v>196</v>
      </c>
      <c r="D20" s="15" t="s">
        <v>1157</v>
      </c>
      <c r="E20" s="15" t="s">
        <v>71</v>
      </c>
      <c r="F20" s="15" t="s">
        <v>1045</v>
      </c>
      <c r="G20" s="16" t="s">
        <v>1153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1158</v>
      </c>
      <c r="B21" s="15" t="s">
        <v>735</v>
      </c>
      <c r="C21" s="15" t="s">
        <v>30</v>
      </c>
      <c r="D21" s="15" t="s">
        <v>1159</v>
      </c>
      <c r="E21" s="15" t="s">
        <v>71</v>
      </c>
      <c r="F21" s="15" t="s">
        <v>1045</v>
      </c>
      <c r="G21" s="16" t="s">
        <v>1153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1160</v>
      </c>
      <c r="B22" s="15" t="s">
        <v>735</v>
      </c>
      <c r="C22" s="15" t="s">
        <v>30</v>
      </c>
      <c r="D22" s="15" t="s">
        <v>1161</v>
      </c>
      <c r="E22" s="15" t="s">
        <v>71</v>
      </c>
      <c r="F22" s="15" t="s">
        <v>1045</v>
      </c>
      <c r="G22" s="16" t="s">
        <v>1153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1162</v>
      </c>
      <c r="B23" s="15" t="s">
        <v>735</v>
      </c>
      <c r="C23" s="15" t="s">
        <v>30</v>
      </c>
      <c r="D23" s="15" t="s">
        <v>1163</v>
      </c>
      <c r="E23" s="15" t="s">
        <v>71</v>
      </c>
      <c r="F23" s="15" t="s">
        <v>1045</v>
      </c>
      <c r="G23" s="16" t="s">
        <v>1153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1164</v>
      </c>
      <c r="B24" s="15" t="s">
        <v>735</v>
      </c>
      <c r="C24" s="15" t="s">
        <v>30</v>
      </c>
      <c r="D24" s="15" t="s">
        <v>1165</v>
      </c>
      <c r="E24" s="15" t="s">
        <v>71</v>
      </c>
      <c r="F24" s="15" t="s">
        <v>1166</v>
      </c>
      <c r="G24" s="16" t="s">
        <v>1167</v>
      </c>
      <c r="H24" s="15" t="s">
        <v>74</v>
      </c>
      <c r="I24" s="15" t="s">
        <v>75</v>
      </c>
      <c r="J24" s="19" t="n">
        <v>46222</v>
      </c>
      <c r="K24" s="15" t="s">
        <v>1054</v>
      </c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1168</v>
      </c>
      <c r="B25" s="15" t="s">
        <v>1056</v>
      </c>
      <c r="C25" s="15" t="s">
        <v>268</v>
      </c>
      <c r="D25" s="15" t="s">
        <v>1169</v>
      </c>
      <c r="E25" s="15" t="s">
        <v>71</v>
      </c>
      <c r="F25" s="15" t="s">
        <v>140</v>
      </c>
      <c r="G25" s="16" t="s">
        <v>1170</v>
      </c>
      <c r="H25" s="15" t="s">
        <v>346</v>
      </c>
      <c r="I25" s="15" t="s">
        <v>82</v>
      </c>
      <c r="J25" s="19" t="n">
        <v>46221</v>
      </c>
      <c r="K25" s="15" t="s">
        <v>1058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1171</v>
      </c>
      <c r="B26" s="15" t="s">
        <v>1056</v>
      </c>
      <c r="C26" s="15" t="s">
        <v>268</v>
      </c>
      <c r="D26" s="15" t="s">
        <v>1172</v>
      </c>
      <c r="E26" s="15" t="s">
        <v>71</v>
      </c>
      <c r="F26" s="15" t="s">
        <v>140</v>
      </c>
      <c r="G26" s="16" t="s">
        <v>1170</v>
      </c>
      <c r="H26" s="15" t="s">
        <v>346</v>
      </c>
      <c r="I26" s="15" t="s">
        <v>82</v>
      </c>
      <c r="J26" s="19" t="n">
        <v>46221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1173</v>
      </c>
      <c r="B27" s="15" t="s">
        <v>859</v>
      </c>
      <c r="C27" s="15" t="s">
        <v>196</v>
      </c>
      <c r="D27" s="15" t="s">
        <v>1174</v>
      </c>
      <c r="E27" s="15" t="s">
        <v>71</v>
      </c>
      <c r="F27" s="15" t="s">
        <v>484</v>
      </c>
      <c r="G27" s="16" t="s">
        <v>1175</v>
      </c>
      <c r="H27" s="15" t="s">
        <v>346</v>
      </c>
      <c r="I27" s="15" t="s">
        <v>82</v>
      </c>
      <c r="J27" s="19" t="n">
        <v>46221</v>
      </c>
      <c r="K27" s="15" t="s">
        <v>1065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1176</v>
      </c>
      <c r="B28" s="15" t="s">
        <v>859</v>
      </c>
      <c r="C28" s="15" t="s">
        <v>196</v>
      </c>
      <c r="D28" s="15" t="s">
        <v>1177</v>
      </c>
      <c r="E28" s="15" t="s">
        <v>71</v>
      </c>
      <c r="F28" s="15" t="s">
        <v>484</v>
      </c>
      <c r="G28" s="16" t="s">
        <v>1175</v>
      </c>
      <c r="H28" s="15" t="s">
        <v>346</v>
      </c>
      <c r="I28" s="15" t="s">
        <v>82</v>
      </c>
      <c r="J28" s="19" t="n">
        <v>46221</v>
      </c>
      <c r="K28" s="15" t="s">
        <v>1065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1178</v>
      </c>
      <c r="B29" s="15" t="s">
        <v>859</v>
      </c>
      <c r="C29" s="15" t="s">
        <v>1041</v>
      </c>
      <c r="D29" s="15" t="s">
        <v>1179</v>
      </c>
      <c r="E29" s="15" t="s">
        <v>71</v>
      </c>
      <c r="F29" s="15" t="s">
        <v>484</v>
      </c>
      <c r="G29" s="16" t="s">
        <v>1175</v>
      </c>
      <c r="H29" s="15" t="s">
        <v>346</v>
      </c>
      <c r="I29" s="15" t="s">
        <v>82</v>
      </c>
      <c r="J29" s="19" t="n">
        <v>46221</v>
      </c>
      <c r="K29" s="15" t="s">
        <v>1065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1180</v>
      </c>
      <c r="B30" s="15" t="s">
        <v>778</v>
      </c>
      <c r="C30" s="15" t="s">
        <v>196</v>
      </c>
      <c r="D30" s="15" t="s">
        <v>1181</v>
      </c>
      <c r="E30" s="15" t="s">
        <v>71</v>
      </c>
      <c r="F30" s="15" t="s">
        <v>1045</v>
      </c>
      <c r="G30" s="16" t="s">
        <v>1153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1182</v>
      </c>
      <c r="B31" s="15" t="s">
        <v>778</v>
      </c>
      <c r="C31" s="15" t="s">
        <v>196</v>
      </c>
      <c r="D31" s="15" t="s">
        <v>1183</v>
      </c>
      <c r="E31" s="15" t="s">
        <v>71</v>
      </c>
      <c r="F31" s="15" t="s">
        <v>140</v>
      </c>
      <c r="G31" s="16" t="s">
        <v>1170</v>
      </c>
      <c r="H31" s="15" t="s">
        <v>346</v>
      </c>
      <c r="I31" s="15" t="s">
        <v>82</v>
      </c>
      <c r="J31" s="19" t="n">
        <v>46222</v>
      </c>
      <c r="K31" s="15" t="s">
        <v>1077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1184</v>
      </c>
      <c r="B32" s="15" t="s">
        <v>1079</v>
      </c>
      <c r="C32" s="15" t="s">
        <v>196</v>
      </c>
      <c r="D32" s="15" t="s">
        <v>1185</v>
      </c>
      <c r="E32" s="15" t="s">
        <v>71</v>
      </c>
      <c r="F32" s="15" t="s">
        <v>1045</v>
      </c>
      <c r="G32" s="16" t="s">
        <v>1153</v>
      </c>
      <c r="H32" s="15" t="s">
        <v>74</v>
      </c>
      <c r="I32" s="15" t="s">
        <v>75</v>
      </c>
      <c r="J32" s="19" t="n">
        <v>46222</v>
      </c>
      <c r="K32" s="15" t="s">
        <v>1077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1186</v>
      </c>
      <c r="B33" s="15" t="s">
        <v>759</v>
      </c>
      <c r="C33" s="15" t="s">
        <v>30</v>
      </c>
      <c r="D33" s="15" t="s">
        <v>1187</v>
      </c>
      <c r="E33" s="15" t="s">
        <v>71</v>
      </c>
      <c r="F33" s="15" t="s">
        <v>140</v>
      </c>
      <c r="G33" s="16" t="s">
        <v>1170</v>
      </c>
      <c r="H33" s="15" t="s">
        <v>346</v>
      </c>
      <c r="I33" s="15" t="s">
        <v>82</v>
      </c>
      <c r="J33" s="19" t="n">
        <v>46222</v>
      </c>
      <c r="K33" s="15" t="s">
        <v>1083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1188</v>
      </c>
      <c r="B34" s="15" t="s">
        <v>862</v>
      </c>
      <c r="C34" s="15" t="s">
        <v>30</v>
      </c>
      <c r="D34" s="15" t="s">
        <v>1189</v>
      </c>
      <c r="E34" s="15" t="s">
        <v>71</v>
      </c>
      <c r="F34" s="15" t="s">
        <v>140</v>
      </c>
      <c r="G34" s="16" t="s">
        <v>1170</v>
      </c>
      <c r="H34" s="15" t="s">
        <v>346</v>
      </c>
      <c r="I34" s="15" t="s">
        <v>82</v>
      </c>
      <c r="J34" s="19" t="n">
        <v>46221</v>
      </c>
      <c r="K34" s="15" t="s">
        <v>1086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1190</v>
      </c>
      <c r="B35" s="15" t="s">
        <v>549</v>
      </c>
      <c r="C35" s="15" t="s">
        <v>30</v>
      </c>
      <c r="D35" s="15" t="s">
        <v>1191</v>
      </c>
      <c r="E35" s="15" t="s">
        <v>71</v>
      </c>
      <c r="F35" s="15" t="s">
        <v>1089</v>
      </c>
      <c r="G35" s="16" t="s">
        <v>1153</v>
      </c>
      <c r="H35" s="15" t="s">
        <v>74</v>
      </c>
      <c r="I35" s="15" t="s">
        <v>75</v>
      </c>
      <c r="J35" s="19" t="n">
        <v>46222</v>
      </c>
      <c r="K35" s="15" t="s">
        <v>1086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1192</v>
      </c>
      <c r="B36" s="15" t="s">
        <v>549</v>
      </c>
      <c r="C36" s="15" t="s">
        <v>268</v>
      </c>
      <c r="D36" s="15" t="s">
        <v>1193</v>
      </c>
      <c r="E36" s="15" t="s">
        <v>71</v>
      </c>
      <c r="F36" s="15" t="s">
        <v>140</v>
      </c>
      <c r="G36" s="16" t="s">
        <v>1170</v>
      </c>
      <c r="H36" s="15" t="s">
        <v>346</v>
      </c>
      <c r="I36" s="15" t="s">
        <v>82</v>
      </c>
      <c r="J36" s="19" t="n">
        <v>46222</v>
      </c>
      <c r="K36" s="15" t="s">
        <v>1194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1195</v>
      </c>
      <c r="B37" s="15" t="s">
        <v>1091</v>
      </c>
      <c r="C37" s="15" t="s">
        <v>30</v>
      </c>
      <c r="D37" s="15" t="s">
        <v>1196</v>
      </c>
      <c r="E37" s="15" t="s">
        <v>71</v>
      </c>
      <c r="F37" s="15" t="s">
        <v>119</v>
      </c>
      <c r="G37" s="16" t="s">
        <v>503</v>
      </c>
      <c r="H37" s="15" t="s">
        <v>74</v>
      </c>
      <c r="I37" s="15" t="s">
        <v>75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1197</v>
      </c>
      <c r="B38" s="15" t="s">
        <v>912</v>
      </c>
      <c r="C38" s="15" t="s">
        <v>30</v>
      </c>
      <c r="D38" s="15" t="s">
        <v>1198</v>
      </c>
      <c r="E38" s="15" t="s">
        <v>71</v>
      </c>
      <c r="F38" s="15" t="s">
        <v>119</v>
      </c>
      <c r="G38" s="16" t="s">
        <v>503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1199</v>
      </c>
      <c r="B39" s="15" t="s">
        <v>1096</v>
      </c>
      <c r="C39" s="15" t="s">
        <v>30</v>
      </c>
      <c r="D39" s="15" t="s">
        <v>1200</v>
      </c>
      <c r="E39" s="15" t="s">
        <v>71</v>
      </c>
      <c r="F39" s="15" t="s">
        <v>154</v>
      </c>
      <c r="G39" s="16" t="s">
        <v>136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1201</v>
      </c>
      <c r="B40" s="15" t="s">
        <v>1202</v>
      </c>
      <c r="C40" s="15" t="s">
        <v>268</v>
      </c>
      <c r="D40" s="15" t="s">
        <v>1203</v>
      </c>
      <c r="E40" s="15" t="s">
        <v>71</v>
      </c>
      <c r="F40" s="15" t="s">
        <v>119</v>
      </c>
      <c r="G40" s="16" t="s">
        <v>235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1204</v>
      </c>
      <c r="B41" s="15" t="s">
        <v>1099</v>
      </c>
      <c r="C41" s="15" t="s">
        <v>30</v>
      </c>
      <c r="D41" s="15" t="s">
        <v>1205</v>
      </c>
      <c r="E41" s="15" t="s">
        <v>71</v>
      </c>
      <c r="F41" s="15" t="s">
        <v>146</v>
      </c>
      <c r="G41" s="16" t="s">
        <v>1206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1207</v>
      </c>
      <c r="B42" s="15" t="s">
        <v>1099</v>
      </c>
      <c r="C42" s="15" t="s">
        <v>30</v>
      </c>
      <c r="D42" s="15" t="s">
        <v>1103</v>
      </c>
      <c r="E42" s="15" t="s">
        <v>71</v>
      </c>
      <c r="F42" s="15" t="s">
        <v>146</v>
      </c>
      <c r="G42" s="16" t="s">
        <v>1208</v>
      </c>
      <c r="H42" s="15" t="s">
        <v>74</v>
      </c>
      <c r="I42" s="15" t="s">
        <v>75</v>
      </c>
      <c r="J42" s="19" t="n">
        <v>46222</v>
      </c>
      <c r="K42" s="15" t="s">
        <v>807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1209</v>
      </c>
      <c r="B43" s="15" t="s">
        <v>98</v>
      </c>
      <c r="C43" s="15" t="s">
        <v>30</v>
      </c>
      <c r="D43" s="15" t="s">
        <v>1210</v>
      </c>
      <c r="E43" s="15" t="s">
        <v>71</v>
      </c>
      <c r="F43" s="15" t="s">
        <v>72</v>
      </c>
      <c r="G43" s="16" t="s">
        <v>392</v>
      </c>
      <c r="H43" s="15" t="s">
        <v>74</v>
      </c>
      <c r="I43" s="15" t="s">
        <v>75</v>
      </c>
      <c r="J43" s="19" t="n">
        <v>46222</v>
      </c>
      <c r="K43" s="15" t="s">
        <v>1110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1211</v>
      </c>
      <c r="B44" s="15" t="s">
        <v>1108</v>
      </c>
      <c r="C44" s="15" t="s">
        <v>30</v>
      </c>
      <c r="D44" s="15" t="s">
        <v>1109</v>
      </c>
      <c r="E44" s="15" t="s">
        <v>71</v>
      </c>
      <c r="F44" s="15" t="s">
        <v>140</v>
      </c>
      <c r="G44" s="16" t="s">
        <v>1170</v>
      </c>
      <c r="H44" s="15" t="s">
        <v>346</v>
      </c>
      <c r="I44" s="15" t="s">
        <v>82</v>
      </c>
      <c r="J44" s="19" t="n">
        <v>46222</v>
      </c>
      <c r="K44" s="15" t="s">
        <v>1110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1212</v>
      </c>
      <c r="B45" s="15" t="s">
        <v>152</v>
      </c>
      <c r="C45" s="15" t="s">
        <v>30</v>
      </c>
      <c r="D45" s="15" t="s">
        <v>1213</v>
      </c>
      <c r="E45" s="15" t="s">
        <v>154</v>
      </c>
      <c r="F45" s="15" t="s">
        <v>72</v>
      </c>
      <c r="G45" s="16" t="s">
        <v>1113</v>
      </c>
      <c r="H45" s="15" t="s">
        <v>74</v>
      </c>
      <c r="I45" s="15" t="s">
        <v>75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1214</v>
      </c>
      <c r="B46" s="15" t="s">
        <v>152</v>
      </c>
      <c r="C46" s="15" t="s">
        <v>30</v>
      </c>
      <c r="D46" s="15" t="s">
        <v>1215</v>
      </c>
      <c r="E46" s="15" t="s">
        <v>154</v>
      </c>
      <c r="F46" s="15" t="s">
        <v>119</v>
      </c>
      <c r="G46" s="16" t="s">
        <v>1116</v>
      </c>
      <c r="H46" s="15" t="s">
        <v>74</v>
      </c>
      <c r="I46" s="15" t="s">
        <v>75</v>
      </c>
      <c r="J46" s="19" t="n">
        <v>46222</v>
      </c>
      <c r="K46" s="15" t="s">
        <v>1121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1216</v>
      </c>
      <c r="B47" s="15" t="s">
        <v>157</v>
      </c>
      <c r="C47" s="15" t="s">
        <v>1217</v>
      </c>
      <c r="D47" s="15" t="s">
        <v>1218</v>
      </c>
      <c r="E47" s="15" t="s">
        <v>159</v>
      </c>
      <c r="F47" s="15" t="s">
        <v>1125</v>
      </c>
      <c r="G47" s="16" t="s">
        <v>251</v>
      </c>
      <c r="H47" s="15" t="s">
        <v>346</v>
      </c>
      <c r="I47" s="15" t="s">
        <v>82</v>
      </c>
      <c r="J47" s="19" t="n">
        <v>46221</v>
      </c>
      <c r="K47" s="15" t="s">
        <v>1219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3.5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32</v>
      </c>
      <c r="E4" s="4" t="s">
        <v>14</v>
      </c>
      <c r="F4" s="6" t="n">
        <f aca="false">IFERROR(D4/SUM(L9:L47),0)</f>
        <v>0.820512820512821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1222</v>
      </c>
      <c r="B9" s="15" t="s">
        <v>69</v>
      </c>
      <c r="C9" s="15" t="s">
        <v>31</v>
      </c>
      <c r="D9" s="15" t="s">
        <v>1223</v>
      </c>
      <c r="E9" s="15" t="s">
        <v>71</v>
      </c>
      <c r="F9" s="15" t="s">
        <v>72</v>
      </c>
      <c r="G9" s="16" t="s">
        <v>1224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1225</v>
      </c>
      <c r="B10" s="15" t="s">
        <v>77</v>
      </c>
      <c r="C10" s="15" t="s">
        <v>31</v>
      </c>
      <c r="D10" s="15" t="s">
        <v>1226</v>
      </c>
      <c r="E10" s="15" t="s">
        <v>71</v>
      </c>
      <c r="F10" s="15" t="s">
        <v>79</v>
      </c>
      <c r="G10" s="16" t="s">
        <v>1227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1228</v>
      </c>
      <c r="B11" s="15" t="s">
        <v>1020</v>
      </c>
      <c r="C11" s="15" t="s">
        <v>31</v>
      </c>
      <c r="D11" s="15" t="s">
        <v>1229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1230</v>
      </c>
      <c r="B12" s="15" t="s">
        <v>49</v>
      </c>
      <c r="C12" s="15" t="s">
        <v>31</v>
      </c>
      <c r="D12" s="15" t="s">
        <v>1231</v>
      </c>
      <c r="E12" s="15" t="s">
        <v>71</v>
      </c>
      <c r="F12" s="15" t="s">
        <v>119</v>
      </c>
      <c r="G12" s="16" t="s">
        <v>1232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1233</v>
      </c>
      <c r="B13" s="15" t="s">
        <v>49</v>
      </c>
      <c r="C13" s="15" t="s">
        <v>179</v>
      </c>
      <c r="D13" s="15" t="s">
        <v>1234</v>
      </c>
      <c r="E13" s="15" t="s">
        <v>71</v>
      </c>
      <c r="F13" s="15" t="s">
        <v>85</v>
      </c>
      <c r="G13" s="16" t="s">
        <v>122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1235</v>
      </c>
      <c r="B14" s="15" t="s">
        <v>49</v>
      </c>
      <c r="C14" s="15" t="s">
        <v>1236</v>
      </c>
      <c r="D14" s="15" t="s">
        <v>1237</v>
      </c>
      <c r="E14" s="15" t="s">
        <v>71</v>
      </c>
      <c r="F14" s="15" t="s">
        <v>119</v>
      </c>
      <c r="G14" s="16" t="s">
        <v>1232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1238</v>
      </c>
      <c r="B15" s="15" t="s">
        <v>49</v>
      </c>
      <c r="C15" s="15" t="s">
        <v>268</v>
      </c>
      <c r="D15" s="15" t="s">
        <v>1239</v>
      </c>
      <c r="E15" s="15" t="s">
        <v>71</v>
      </c>
      <c r="F15" s="15" t="s">
        <v>119</v>
      </c>
      <c r="G15" s="16" t="s">
        <v>1232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1240</v>
      </c>
      <c r="B16" s="15" t="s">
        <v>49</v>
      </c>
      <c r="C16" s="15" t="s">
        <v>271</v>
      </c>
      <c r="D16" s="15" t="s">
        <v>1241</v>
      </c>
      <c r="E16" s="15" t="s">
        <v>71</v>
      </c>
      <c r="F16" s="15" t="s">
        <v>72</v>
      </c>
      <c r="G16" s="16" t="s">
        <v>1224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1242</v>
      </c>
      <c r="B17" s="15" t="s">
        <v>49</v>
      </c>
      <c r="C17" s="15" t="s">
        <v>196</v>
      </c>
      <c r="D17" s="15" t="s">
        <v>1243</v>
      </c>
      <c r="E17" s="15" t="s">
        <v>71</v>
      </c>
      <c r="F17" s="15" t="s">
        <v>119</v>
      </c>
      <c r="G17" s="16" t="s">
        <v>1232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1244</v>
      </c>
      <c r="B18" s="15" t="s">
        <v>49</v>
      </c>
      <c r="C18" s="15" t="s">
        <v>182</v>
      </c>
      <c r="D18" s="15" t="s">
        <v>1245</v>
      </c>
      <c r="E18" s="15" t="s">
        <v>71</v>
      </c>
      <c r="F18" s="15" t="s">
        <v>119</v>
      </c>
      <c r="G18" s="16" t="s">
        <v>1232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1246</v>
      </c>
      <c r="B19" s="15" t="s">
        <v>49</v>
      </c>
      <c r="C19" s="15" t="s">
        <v>186</v>
      </c>
      <c r="D19" s="15" t="s">
        <v>1247</v>
      </c>
      <c r="E19" s="15" t="s">
        <v>71</v>
      </c>
      <c r="F19" s="15" t="s">
        <v>119</v>
      </c>
      <c r="G19" s="16" t="s">
        <v>235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1248</v>
      </c>
      <c r="B20" s="15" t="s">
        <v>49</v>
      </c>
      <c r="C20" s="15" t="s">
        <v>189</v>
      </c>
      <c r="D20" s="15" t="s">
        <v>1249</v>
      </c>
      <c r="E20" s="15" t="s">
        <v>71</v>
      </c>
      <c r="F20" s="15" t="s">
        <v>119</v>
      </c>
      <c r="G20" s="16" t="s">
        <v>235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1250</v>
      </c>
      <c r="B21" s="15" t="s">
        <v>49</v>
      </c>
      <c r="C21" s="15" t="s">
        <v>1251</v>
      </c>
      <c r="D21" s="15" t="s">
        <v>1252</v>
      </c>
      <c r="E21" s="15" t="s">
        <v>71</v>
      </c>
      <c r="F21" s="15" t="s">
        <v>72</v>
      </c>
      <c r="G21" s="16" t="s">
        <v>1224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1253</v>
      </c>
      <c r="B22" s="15" t="s">
        <v>49</v>
      </c>
      <c r="C22" s="15" t="s">
        <v>293</v>
      </c>
      <c r="D22" s="15" t="s">
        <v>1254</v>
      </c>
      <c r="E22" s="15" t="s">
        <v>71</v>
      </c>
      <c r="F22" s="15" t="s">
        <v>119</v>
      </c>
      <c r="G22" s="16" t="s">
        <v>1232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1255</v>
      </c>
      <c r="B23" s="15" t="s">
        <v>49</v>
      </c>
      <c r="C23" s="15" t="s">
        <v>1041</v>
      </c>
      <c r="D23" s="15" t="s">
        <v>1256</v>
      </c>
      <c r="E23" s="15" t="s">
        <v>71</v>
      </c>
      <c r="F23" s="15" t="s">
        <v>119</v>
      </c>
      <c r="G23" s="16" t="s">
        <v>1232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1257</v>
      </c>
      <c r="B24" s="15" t="s">
        <v>835</v>
      </c>
      <c r="C24" s="15" t="s">
        <v>196</v>
      </c>
      <c r="D24" s="15" t="s">
        <v>1258</v>
      </c>
      <c r="E24" s="15" t="s">
        <v>71</v>
      </c>
      <c r="F24" s="15" t="s">
        <v>1045</v>
      </c>
      <c r="G24" s="16" t="s">
        <v>1259</v>
      </c>
      <c r="H24" s="15" t="s">
        <v>74</v>
      </c>
      <c r="I24" s="15" t="s">
        <v>75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1260</v>
      </c>
      <c r="B25" s="15" t="s">
        <v>835</v>
      </c>
      <c r="C25" s="15" t="s">
        <v>182</v>
      </c>
      <c r="D25" s="15" t="s">
        <v>1261</v>
      </c>
      <c r="E25" s="15" t="s">
        <v>71</v>
      </c>
      <c r="F25" s="15" t="s">
        <v>146</v>
      </c>
      <c r="G25" s="16" t="s">
        <v>1262</v>
      </c>
      <c r="H25" s="15" t="s">
        <v>74</v>
      </c>
      <c r="I25" s="15" t="s">
        <v>75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1263</v>
      </c>
      <c r="B26" s="15" t="s">
        <v>1264</v>
      </c>
      <c r="C26" s="15" t="s">
        <v>196</v>
      </c>
      <c r="D26" s="15" t="s">
        <v>1265</v>
      </c>
      <c r="E26" s="15" t="s">
        <v>71</v>
      </c>
      <c r="F26" s="15" t="s">
        <v>1166</v>
      </c>
      <c r="G26" s="16" t="s">
        <v>1266</v>
      </c>
      <c r="H26" s="15" t="s">
        <v>74</v>
      </c>
      <c r="I26" s="15" t="s">
        <v>75</v>
      </c>
      <c r="J26" s="19" t="n">
        <v>46222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1267</v>
      </c>
      <c r="B27" s="15" t="s">
        <v>735</v>
      </c>
      <c r="C27" s="15" t="s">
        <v>31</v>
      </c>
      <c r="D27" s="15" t="s">
        <v>1268</v>
      </c>
      <c r="E27" s="15" t="s">
        <v>71</v>
      </c>
      <c r="F27" s="15" t="s">
        <v>1045</v>
      </c>
      <c r="G27" s="16" t="s">
        <v>1259</v>
      </c>
      <c r="H27" s="15" t="s">
        <v>74</v>
      </c>
      <c r="I27" s="15" t="s">
        <v>75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1269</v>
      </c>
      <c r="B28" s="15" t="s">
        <v>735</v>
      </c>
      <c r="C28" s="15" t="s">
        <v>31</v>
      </c>
      <c r="D28" s="15" t="s">
        <v>1270</v>
      </c>
      <c r="E28" s="15" t="s">
        <v>71</v>
      </c>
      <c r="F28" s="15" t="s">
        <v>1045</v>
      </c>
      <c r="G28" s="16" t="s">
        <v>1259</v>
      </c>
      <c r="H28" s="15" t="s">
        <v>74</v>
      </c>
      <c r="I28" s="15" t="s">
        <v>75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1271</v>
      </c>
      <c r="B29" s="15" t="s">
        <v>735</v>
      </c>
      <c r="C29" s="15" t="s">
        <v>1272</v>
      </c>
      <c r="D29" s="15" t="s">
        <v>1273</v>
      </c>
      <c r="E29" s="15" t="s">
        <v>71</v>
      </c>
      <c r="F29" s="15" t="s">
        <v>1045</v>
      </c>
      <c r="G29" s="16" t="s">
        <v>1259</v>
      </c>
      <c r="H29" s="15" t="s">
        <v>74</v>
      </c>
      <c r="I29" s="15" t="s">
        <v>75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1274</v>
      </c>
      <c r="B30" s="15" t="s">
        <v>735</v>
      </c>
      <c r="C30" s="15" t="s">
        <v>1275</v>
      </c>
      <c r="D30" s="15" t="s">
        <v>1276</v>
      </c>
      <c r="E30" s="15" t="s">
        <v>71</v>
      </c>
      <c r="F30" s="15" t="s">
        <v>1045</v>
      </c>
      <c r="G30" s="16" t="s">
        <v>1259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1277</v>
      </c>
      <c r="B31" s="15" t="s">
        <v>859</v>
      </c>
      <c r="C31" s="15" t="s">
        <v>196</v>
      </c>
      <c r="D31" s="15" t="s">
        <v>1278</v>
      </c>
      <c r="E31" s="15" t="s">
        <v>71</v>
      </c>
      <c r="F31" s="15" t="s">
        <v>1045</v>
      </c>
      <c r="G31" s="16" t="s">
        <v>1259</v>
      </c>
      <c r="H31" s="15" t="s">
        <v>74</v>
      </c>
      <c r="I31" s="15" t="s">
        <v>75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1279</v>
      </c>
      <c r="B32" s="15" t="s">
        <v>859</v>
      </c>
      <c r="C32" s="15" t="s">
        <v>196</v>
      </c>
      <c r="D32" s="15" t="s">
        <v>1280</v>
      </c>
      <c r="E32" s="15" t="s">
        <v>71</v>
      </c>
      <c r="F32" s="15" t="s">
        <v>484</v>
      </c>
      <c r="G32" s="16" t="s">
        <v>1281</v>
      </c>
      <c r="H32" s="15" t="s">
        <v>346</v>
      </c>
      <c r="I32" s="15" t="s">
        <v>82</v>
      </c>
      <c r="J32" s="19" t="n">
        <v>46222</v>
      </c>
      <c r="K32" s="15" t="s">
        <v>1065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1282</v>
      </c>
      <c r="B33" s="15" t="s">
        <v>859</v>
      </c>
      <c r="C33" s="15" t="s">
        <v>1041</v>
      </c>
      <c r="D33" s="15" t="s">
        <v>1283</v>
      </c>
      <c r="E33" s="15" t="s">
        <v>71</v>
      </c>
      <c r="F33" s="15" t="s">
        <v>484</v>
      </c>
      <c r="G33" s="16" t="s">
        <v>1281</v>
      </c>
      <c r="H33" s="15" t="s">
        <v>346</v>
      </c>
      <c r="I33" s="15" t="s">
        <v>82</v>
      </c>
      <c r="J33" s="19" t="n">
        <v>46222</v>
      </c>
      <c r="K33" s="15" t="s">
        <v>1065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1284</v>
      </c>
      <c r="B34" s="15" t="s">
        <v>778</v>
      </c>
      <c r="C34" s="15" t="s">
        <v>196</v>
      </c>
      <c r="D34" s="15" t="s">
        <v>1285</v>
      </c>
      <c r="E34" s="15" t="s">
        <v>71</v>
      </c>
      <c r="F34" s="15" t="s">
        <v>1045</v>
      </c>
      <c r="G34" s="16" t="s">
        <v>1259</v>
      </c>
      <c r="H34" s="15" t="s">
        <v>74</v>
      </c>
      <c r="I34" s="15" t="s">
        <v>75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1286</v>
      </c>
      <c r="B35" s="15" t="s">
        <v>778</v>
      </c>
      <c r="C35" s="15" t="s">
        <v>196</v>
      </c>
      <c r="D35" s="15" t="s">
        <v>1287</v>
      </c>
      <c r="E35" s="15" t="s">
        <v>71</v>
      </c>
      <c r="F35" s="15" t="s">
        <v>140</v>
      </c>
      <c r="G35" s="16" t="s">
        <v>1288</v>
      </c>
      <c r="H35" s="15" t="s">
        <v>346</v>
      </c>
      <c r="I35" s="15" t="s">
        <v>82</v>
      </c>
      <c r="J35" s="19" t="n">
        <v>46222</v>
      </c>
      <c r="K35" s="15" t="s">
        <v>1077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1289</v>
      </c>
      <c r="B36" s="15" t="s">
        <v>759</v>
      </c>
      <c r="C36" s="15" t="s">
        <v>31</v>
      </c>
      <c r="D36" s="15" t="s">
        <v>1290</v>
      </c>
      <c r="E36" s="15" t="s">
        <v>71</v>
      </c>
      <c r="F36" s="15" t="s">
        <v>140</v>
      </c>
      <c r="G36" s="16" t="s">
        <v>1288</v>
      </c>
      <c r="H36" s="15" t="s">
        <v>346</v>
      </c>
      <c r="I36" s="15" t="s">
        <v>82</v>
      </c>
      <c r="J36" s="19" t="n">
        <v>46222</v>
      </c>
      <c r="K36" s="15" t="s">
        <v>1083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1291</v>
      </c>
      <c r="B37" s="15" t="s">
        <v>862</v>
      </c>
      <c r="C37" s="15" t="s">
        <v>31</v>
      </c>
      <c r="D37" s="15" t="s">
        <v>1292</v>
      </c>
      <c r="E37" s="15" t="s">
        <v>71</v>
      </c>
      <c r="F37" s="15" t="s">
        <v>140</v>
      </c>
      <c r="G37" s="16" t="s">
        <v>1288</v>
      </c>
      <c r="H37" s="15" t="s">
        <v>346</v>
      </c>
      <c r="I37" s="15" t="s">
        <v>82</v>
      </c>
      <c r="J37" s="19" t="n">
        <v>46222</v>
      </c>
      <c r="K37" s="15" t="s">
        <v>1086</v>
      </c>
      <c r="L37" s="18" t="n">
        <v>1</v>
      </c>
      <c r="M37" s="18" t="n">
        <f aca="false">IF(H37="not applicable",IF(K37&lt;&gt;"",1,0),IF(I37="yes",IF(H37="verified",1,0),IF(OR(H37="tested",H37="verified"),1,0)))</f>
        <v>0</v>
      </c>
    </row>
    <row r="38" customFormat="false" ht="42" hidden="false" customHeight="true" outlineLevel="0" collapsed="false">
      <c r="A38" s="15" t="s">
        <v>1293</v>
      </c>
      <c r="B38" s="15" t="s">
        <v>549</v>
      </c>
      <c r="C38" s="15" t="s">
        <v>31</v>
      </c>
      <c r="D38" s="15" t="s">
        <v>1294</v>
      </c>
      <c r="E38" s="15" t="s">
        <v>71</v>
      </c>
      <c r="F38" s="15" t="s">
        <v>1089</v>
      </c>
      <c r="G38" s="16" t="s">
        <v>1259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1295</v>
      </c>
      <c r="B39" s="15" t="s">
        <v>1091</v>
      </c>
      <c r="C39" s="15" t="s">
        <v>31</v>
      </c>
      <c r="D39" s="15" t="s">
        <v>1296</v>
      </c>
      <c r="E39" s="15" t="s">
        <v>71</v>
      </c>
      <c r="F39" s="15" t="s">
        <v>119</v>
      </c>
      <c r="G39" s="16" t="s">
        <v>503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1297</v>
      </c>
      <c r="B40" s="15" t="s">
        <v>912</v>
      </c>
      <c r="C40" s="15" t="s">
        <v>31</v>
      </c>
      <c r="D40" s="15" t="s">
        <v>1298</v>
      </c>
      <c r="E40" s="15" t="s">
        <v>71</v>
      </c>
      <c r="F40" s="15" t="s">
        <v>119</v>
      </c>
      <c r="G40" s="16" t="s">
        <v>503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1299</v>
      </c>
      <c r="B41" s="15" t="s">
        <v>1096</v>
      </c>
      <c r="C41" s="15" t="s">
        <v>31</v>
      </c>
      <c r="D41" s="15" t="s">
        <v>1300</v>
      </c>
      <c r="E41" s="15" t="s">
        <v>71</v>
      </c>
      <c r="F41" s="15" t="s">
        <v>154</v>
      </c>
      <c r="G41" s="16" t="s">
        <v>136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1301</v>
      </c>
      <c r="B42" s="15" t="s">
        <v>1202</v>
      </c>
      <c r="C42" s="15" t="s">
        <v>196</v>
      </c>
      <c r="D42" s="15" t="s">
        <v>1302</v>
      </c>
      <c r="E42" s="15" t="s">
        <v>71</v>
      </c>
      <c r="F42" s="15" t="s">
        <v>119</v>
      </c>
      <c r="G42" s="16" t="s">
        <v>235</v>
      </c>
      <c r="H42" s="15" t="s">
        <v>74</v>
      </c>
      <c r="I42" s="15" t="s">
        <v>75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1303</v>
      </c>
      <c r="B43" s="15" t="s">
        <v>1099</v>
      </c>
      <c r="C43" s="15" t="s">
        <v>31</v>
      </c>
      <c r="D43" s="15" t="s">
        <v>1304</v>
      </c>
      <c r="E43" s="15" t="s">
        <v>71</v>
      </c>
      <c r="F43" s="15" t="s">
        <v>146</v>
      </c>
      <c r="G43" s="16" t="s">
        <v>1262</v>
      </c>
      <c r="H43" s="15" t="s">
        <v>74</v>
      </c>
      <c r="I43" s="15" t="s">
        <v>75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1305</v>
      </c>
      <c r="B44" s="15" t="s">
        <v>98</v>
      </c>
      <c r="C44" s="15" t="s">
        <v>31</v>
      </c>
      <c r="D44" s="15" t="s">
        <v>1306</v>
      </c>
      <c r="E44" s="15" t="s">
        <v>71</v>
      </c>
      <c r="F44" s="15" t="s">
        <v>72</v>
      </c>
      <c r="G44" s="16" t="s">
        <v>392</v>
      </c>
      <c r="H44" s="15" t="s">
        <v>74</v>
      </c>
      <c r="I44" s="15" t="s">
        <v>75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1307</v>
      </c>
      <c r="B45" s="15" t="s">
        <v>1108</v>
      </c>
      <c r="C45" s="15" t="s">
        <v>31</v>
      </c>
      <c r="D45" s="15" t="s">
        <v>1308</v>
      </c>
      <c r="E45" s="15" t="s">
        <v>71</v>
      </c>
      <c r="F45" s="15" t="s">
        <v>140</v>
      </c>
      <c r="G45" s="16" t="s">
        <v>1288</v>
      </c>
      <c r="H45" s="15" t="s">
        <v>346</v>
      </c>
      <c r="I45" s="15" t="s">
        <v>82</v>
      </c>
      <c r="J45" s="19" t="n">
        <v>46222</v>
      </c>
      <c r="K45" s="15" t="s">
        <v>1110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  <row r="46" customFormat="false" ht="42" hidden="false" customHeight="true" outlineLevel="0" collapsed="false">
      <c r="A46" s="15" t="s">
        <v>1309</v>
      </c>
      <c r="B46" s="15" t="s">
        <v>152</v>
      </c>
      <c r="C46" s="15" t="s">
        <v>31</v>
      </c>
      <c r="D46" s="15" t="s">
        <v>1310</v>
      </c>
      <c r="E46" s="15" t="s">
        <v>154</v>
      </c>
      <c r="F46" s="15" t="s">
        <v>119</v>
      </c>
      <c r="G46" s="16" t="s">
        <v>1116</v>
      </c>
      <c r="H46" s="15" t="s">
        <v>74</v>
      </c>
      <c r="I46" s="15" t="s">
        <v>75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1311</v>
      </c>
      <c r="B47" s="15" t="s">
        <v>157</v>
      </c>
      <c r="C47" s="15" t="s">
        <v>1312</v>
      </c>
      <c r="D47" s="15" t="s">
        <v>1313</v>
      </c>
      <c r="E47" s="15" t="s">
        <v>159</v>
      </c>
      <c r="F47" s="15" t="s">
        <v>1120</v>
      </c>
      <c r="G47" s="16" t="s">
        <v>251</v>
      </c>
      <c r="H47" s="15" t="s">
        <v>252</v>
      </c>
      <c r="I47" s="15" t="s">
        <v>82</v>
      </c>
      <c r="J47" s="19" t="n">
        <v>46222</v>
      </c>
      <c r="K47" s="15" t="s">
        <v>1121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4.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2026-07-20T12:14:02Z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