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  <sheet name="AlertDialog" sheetId="7" state="visible" r:id="rId9"/>
    <sheet name="Drawer" sheetId="8" state="visible" r:id="rId10"/>
    <sheet name="Badge" sheetId="9" state="visible" r:id="rId11"/>
    <sheet name="Avatar" sheetId="10" state="visible" r:id="rId12"/>
    <sheet name="Toggle" sheetId="11" state="visible" r:id="rId13"/>
    <sheet name="IconButton" sheetId="12" state="visible" r:id="rId14"/>
    <sheet name="AppBar" sheetId="13" state="visible" r:id="rId15"/>
    <sheet name="Tooltip" sheetId="14" state="visible" r:id="rId16"/>
    <sheet name="HoverCard" sheetId="15" state="visible" r:id="rId17"/>
    <sheet name="Popover" sheetId="16" state="visible" r:id="rId18"/>
    <sheet name="Form Foundation" sheetId="17" state="visible" r:id="rId19"/>
    <sheet name="Checkbox Family" sheetId="18" state="visible" r:id="rId20"/>
  </sheets>
  <definedNames>
    <definedName function="false" hidden="false" localSheetId="6" name="_xlnm.Print_Area" vbProcedure="false">AlertDialog!$A$1:$M$47</definedName>
    <definedName function="false" hidden="true" localSheetId="6" name="_xlnm._FilterDatabase" vbProcedure="false">AlertDialog!$A$8:$M$47</definedName>
    <definedName function="false" hidden="false" localSheetId="9" name="_xlnm.Print_Area" vbProcedure="false">Avatar!$A$1:$M$47</definedName>
    <definedName function="false" hidden="true" localSheetId="9" name="_xlnm._FilterDatabase" vbProcedure="false">Avatar!$A$8:$M$47</definedName>
    <definedName function="false" hidden="false" localSheetId="8" name="_xlnm.Print_Area" vbProcedure="false">Badge!$A$1:$M$47</definedName>
    <definedName function="false" hidden="true" localSheetId="8" name="_xlnm._FilterDatabase" vbProcedure="false">Badge!$A$8:$M$47</definedName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17" name="_xlnm.Print_Area" vbProcedure="false">'Checkbox Family'!$A$1:$M$47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7" name="_xlnm.Print_Area" vbProcedure="false">Drawer!$A$1:$M$47</definedName>
    <definedName function="false" hidden="true" localSheetId="7" name="_xlnm._FilterDatabase" vbProcedure="false">Drawer!$A$8:$M$47</definedName>
    <definedName function="false" hidden="false" localSheetId="0" name="_xlnm.Print_Area" vbProcedure="false">Index!$A$1:$N$22</definedName>
    <definedName function="false" hidden="true" localSheetId="0" name="_xlnm._FilterDatabase" vbProcedure="false">Index!$A$7:$N$20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  <definedName function="false" hidden="false" localSheetId="10" name="_xlnm.Print_Area" vbProcedure="false">Toggle!$A$1:$M$47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<sst xmlns="http://schemas.openxmlformats.org/spreadsheetml/2006/main" count="5513" uniqueCount="1552">
  <si>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</si>
  <si>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</si>
  <si>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</si>
  <si>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</si>
  <si>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</si>
  <si>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</si>
  <si>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</si>
  <si>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</si>
  <si>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</si>
  <si>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</si>
  <si>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</si>
  <si>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</si>
  <si>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</si>
  <si>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</si>
  <si>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</si>
  <si>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</si>
  <si>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</si>
  <si>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</si>
  <si>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</si>
  <si>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</si>
  <si>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</si>
  <si>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</si>
  <si>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AlertDialog</t>
  </si>
  <si>
    <t xml:space="preserve">Drawer</t>
  </si>
  <si>
    <t xml:space="preserve">Badge</t>
  </si>
  <si>
    <t xml:space="preserve">Avatar</t>
  </si>
  <si>
    <t xml:space="preserve">Toggle</t>
  </si>
  <si>
    <t xml:space="preserve">IconButton</t>
  </si>
  <si>
    <t xml:space="preserve">AppBar</t>
  </si>
  <si>
    <t xml:space="preserve">Tooltip</t>
  </si>
  <si>
    <t xml:space="preserve">HoverCard</t>
  </si>
  <si>
    <t xml:space="preserve">Popover</t>
  </si>
  <si>
    <t xml:space="preserve">Form Foundation</t>
  </si>
  <si>
    <t xml:space="preserve">Checkbox Family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</si>
  <si>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</si>
  <si>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</si>
  <si>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</si>
  <si>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</si>
  <si>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</si>
  <si>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</si>
  <si>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</si>
  <si>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</si>
  <si>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</si>
  <si>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</si>
  <si>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</si>
  <si>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</si>
  <si>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</si>
  <si>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</si>
  <si>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</si>
  <si>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</si>
  <si>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</si>
  <si>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</si>
  <si>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</si>
  <si>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</si>
  <si>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</si>
  <si>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</si>
  <si>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</si>
  <si>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</si>
  <si>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</si>
  <si>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</si>
  <si>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</si>
  <si>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</si>
  <si>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</si>
  <si>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</si>
  <si>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</si>
  <si>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</si>
  <si>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</si>
  <si>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</si>
  <si>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</si>
  <si>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</si>
  <si>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</si>
  <si>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</si>
  <si>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</si>
  <si>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</si>
  <si>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</si>
  <si>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</si>
  <si>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</si>
  <si>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</si>
  <si>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</si>
  <si>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</si>
  <si>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</si>
  <si>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</si>
  <si>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</si>
  <si>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</si>
  <si>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</si>
  <si>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</si>
  <si>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</si>
  <si>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</si>
  <si>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</si>
  <si>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</si>
  <si>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</si>
  <si>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</si>
  <si>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</si>
  <si>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</si>
  <si>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</si>
  <si>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</si>
  <si>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</si>
  <si>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</si>
  <si>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</si>
  <si>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</si>
  <si>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</si>
  <si>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</si>
  <si>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</si>
  <si>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</si>
  <si>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</si>
  <si>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</si>
  <si>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</si>
  <si>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</si>
  <si>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</si>
  <si>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</si>
  <si>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</si>
  <si>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</si>
  <si>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</si>
  <si>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</si>
  <si>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</si>
  <si>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</si>
  <si>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</si>
  <si>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</si>
  <si>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</si>
  <si>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</si>
  <si>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</si>
  <si>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</si>
  <si>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</si>
  <si>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</si>
  <si>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</si>
  <si>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</si>
  <si>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</si>
  <si>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</si>
  <si>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</si>
  <si>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</si>
  <si>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</si>
  <si>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</si>
  <si>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</si>
  <si>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</si>
  <si>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</si>
  <si>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</si>
  <si>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</si>
  <si>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</si>
  <si>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</si>
  <si>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</si>
  <si>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</si>
  <si>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</si>
  <si>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</si>
  <si>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</si>
  <si>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</si>
  <si>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</si>
  <si>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</si>
  <si>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</si>
  <si>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</si>
  <si>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</si>
  <si>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</si>
  <si>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</si>
  <si>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</si>
  <si>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</si>
  <si>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</si>
  <si>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</si>
  <si>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</si>
  <si>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</si>
  <si>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</si>
  <si>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</si>
  <si>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</si>
  <si>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</si>
  <si>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</si>
  <si>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</si>
  <si>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</si>
  <si>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</si>
  <si>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</si>
  <si>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</si>
  <si>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</si>
  <si>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</si>
  <si>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</si>
  <si>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</si>
  <si>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</si>
  <si>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</si>
  <si>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</si>
  <si>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</si>
  <si>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</si>
  <si>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</si>
  <si>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</si>
  <si>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</si>
  <si>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</si>
  <si>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</si>
  <si>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</si>
  <si>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</si>
  <si>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</si>
  <si>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</si>
  <si>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</si>
  <si>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</si>
  <si>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</si>
  <si>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</si>
  <si>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</si>
  <si>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</si>
  <si>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</si>
  <si>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</si>
  <si>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</si>
  <si>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</si>
  <si>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</si>
  <si>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</si>
  <si>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</si>
  <si>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</si>
  <si>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</si>
  <si>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</si>
  <si>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</si>
  <si>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</si>
  <si>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</si>
  <si>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</si>
  <si>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</si>
  <si>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</si>
  <si>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</si>
  <si>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</si>
  <si>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</si>
  <si>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</si>
  <si>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</si>
  <si>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</si>
  <si>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</si>
  <si>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</si>
  <si>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</si>
  <si>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</si>
  <si>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</si>
  <si>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</si>
  <si>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</si>
  <si>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</si>
  <si>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</si>
  <si>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</si>
  <si>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</si>
  <si>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</si>
  <si>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</si>
  <si>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</si>
  <si>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</si>
  <si>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</si>
  <si>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</si>
  <si>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</si>
  <si>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</si>
  <si>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</si>
  <si>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</si>
  <si>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</si>
  <si>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</si>
  <si>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</si>
  <si>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</si>
  <si>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</si>
  <si>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</si>
  <si>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</si>
  <si>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</si>
  <si>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</si>
  <si>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</si>
  <si>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</si>
  <si>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</si>
  <si>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</si>
  <si>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</si>
  <si>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</si>
  <si>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</si>
  <si>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</si>
  <si>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</si>
  <si>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</si>
  <si>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</si>
  <si>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</si>
  <si>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</si>
  <si>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</si>
  <si>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</si>
  <si>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</si>
  <si>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</si>
  <si>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</si>
  <si>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</si>
  <si>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</si>
  <si>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</si>
  <si>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</si>
  <si>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</si>
  <si>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</si>
  <si>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</si>
  <si>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</si>
  <si>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</si>
  <si>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</si>
  <si>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</si>
  <si>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</si>
  <si>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</si>
  <si>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</si>
  <si>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</si>
  <si>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</si>
  <si>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</si>
  <si>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</si>
  <si>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</si>
  <si>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</si>
  <si>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</si>
  <si>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</si>
  <si>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</si>
  <si>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</si>
  <si>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</si>
  <si>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</si>
  <si>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</si>
  <si>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</si>
  <si>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</si>
  <si>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</si>
  <si>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</si>
  <si>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</si>
  <si>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</si>
  <si>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</si>
  <si>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</si>
  <si>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</si>
  <si>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</si>
  <si>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</si>
  <si>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</si>
  <si>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</si>
  <si>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</si>
  <si>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</si>
  <si>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</si>
  <si>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</si>
  <si>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</si>
  <si>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</si>
  <si>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</si>
  <si>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</si>
  <si>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</si>
  <si>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</si>
  <si>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</si>
  <si>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</si>
  <si>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</si>
  <si>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</si>
  <si>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</si>
  <si>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</si>
  <si>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</si>
  <si>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</si>
  <si>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</si>
  <si>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</si>
  <si>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</si>
  <si>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</si>
  <si>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</si>
  <si>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</si>
  <si>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</si>
  <si>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</si>
  <si>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</si>
  <si>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</si>
  <si>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</si>
  <si>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</si>
  <si>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</si>
  <si>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</si>
  <si>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</si>
  <si>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</si>
  <si>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</si>
  <si>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</si>
  <si>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</si>
  <si>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</si>
  <si>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</si>
  <si>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</si>
  <si>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</si>
  <si>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</si>
  <si>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</si>
  <si>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</si>
  <si>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</si>
  <si>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</si>
  <si>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</si>
  <si>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</si>
  <si>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</si>
  <si>
    <t xml:space="preserve">AlertDialog Evidence Matrix</t>
  </si>
  <si>
    <t xml:space="preserve">Evidence gates for the adopted urgent-decision compound, its twelve public parts, package proof, consumer cutover, and dependency-led legacy retirement.</t>
  </si>
  <si>
    <t xml:space="preserve">ALD-01</t>
  </si>
  <si>
    <t xml:space="preserve">Implementation directly composes public Atom 0.3.2 AlertDialog behavior without Core or local headless wrappers</t>
  </si>
  <si>
    <t xml:space="preserve">../src/components/alert-dialog/AlertDialog.tsx</t>
  </si>
  <si>
    <t xml:space="preserve">ALD-02</t>
  </si>
  <si>
    <t xml:space="preserve">Adopted capability audit covers alert semantics, required message, safe Cancel focus, modal layers, portals, isolation, scrolling, presence, and dismissal</t>
  </si>
  <si>
    <t xml:space="preserve">../../docs/alert-dialog-component-brief.md</t>
  </si>
  <si>
    <t xml:space="preserve">ALD-03</t>
  </si>
  <si>
    <t xml:space="preserve">Root and alert-dialog-subpath namespaces, direct part exports, declarations, and closed prop unions match the adopted brief</t>
  </si>
  <si>
    <t xml:space="preserve">ALD-04</t>
  </si>
  <si>
    <t xml:space="preserve">Atom owns controlled and uncontrolled state, Escape policy, disabled state, close reasons, and modal ownership; Brick forwards the public contract</t>
  </si>
  <si>
    <t xml:space="preserve">../test/components/alert-dialog.test.tsx</t>
  </si>
  <si>
    <t xml:space="preserve">ALD-05</t>
  </si>
  <si>
    <t xml:space="preserve">ALD-06</t>
  </si>
  <si>
    <t xml:space="preserve">ALD-07</t>
  </si>
  <si>
    <t xml:space="preserve">Overlay remains a sibling of Content, exposes the semantic scrim, never dismisses, and exposes no redundant disabled prop</t>
  </si>
  <si>
    <t xml:space="preserve">tests/alert-dialog.spec.ts</t>
  </si>
  <si>
    <t xml:space="preserve">ALD-08</t>
  </si>
  <si>
    <t xml:space="preserve">Alertdialog semantics, ARIA ownership, focus scope, native props, ref, stable hooks, and sm/md sizes follow the adopted contract</t>
  </si>
  <si>
    <t xml:space="preserve">ALD-09</t>
  </si>
  <si>
    <t xml:space="preserve">Header renders one native visual region for Title and required alert message without generated behavior</t>
  </si>
  <si>
    <t xml:space="preserve">ALD-10</t>
  </si>
  <si>
    <t xml:space="preserve">ALD-11</t>
  </si>
  <si>
    <t xml:space="preserve">Description supplies the required alert message and generated accessible description without inventing copy</t>
  </si>
  <si>
    <t xml:space="preserve">ALD-12</t>
  </si>
  <si>
    <t xml:space="preserve">Optional supplemental detail uses a bounded scroll region while the alert message and responses remain reachable</t>
  </si>
  <si>
    <t xml:space="preserve">manual-tests/alert-dialog.md</t>
  </si>
  <si>
    <t xml:space="preserve">ALD-13</t>
  </si>
  <si>
    <t xml:space="preserve">Consumer-selected responses preserve source order, wrap logically, and remain reachable at narrow and keyboard-constrained heights</t>
  </si>
  <si>
    <t xml:space="preserve">ALD-14</t>
  </si>
  <si>
    <t xml:space="preserve">Cancel</t>
  </si>
  <si>
    <t xml:space="preserve">Cancel preserves native props, ref, stable hooks, composition, cancel close reason, safe initial focus, and restoration</t>
  </si>
  <si>
    <t xml:space="preserve">../test/components/alert-dialog.test.tsx + tests/alert-dialog.spec.ts</t>
  </si>
  <si>
    <t xml:space="preserve">ALD-15</t>
  </si>
  <si>
    <t xml:space="preserve">Action preserves native props, ref, stable hooks, composition, action close reason, and preventDefault closure control without owning application work</t>
  </si>
  <si>
    <t xml:space="preserve">ALD-16</t>
  </si>
  <si>
    <t xml:space="preserve">Compiled CSS uses public Brick classes, component tokens, layers, logical properties, semantic colors, and direction-neutral centering</t>
  </si>
  <si>
    <t xml:space="preserve">../src/components/alert-dialog/alert-dialog.css</t>
  </si>
  <si>
    <t xml:space="preserve">ALD-17</t>
  </si>
  <si>
    <t xml:space="preserve">Overlay, surface, border, elevation, spacing, two sizes, focus, and reduced-motion treatment are visually coherent</t>
  </si>
  <si>
    <t xml:space="preserve">ALD-18</t>
  </si>
  <si>
    <t xml:space="preserve">The nine-section deterministic workbench uses public AlertDialog anatomy and explicit Brick Button composition</t>
  </si>
  <si>
    <t xml:space="preserve">../playground/src/main.tsx</t>
  </si>
  <si>
    <t xml:space="preserve">ALD-19</t>
  </si>
  <si>
    <t xml:space="preserve">Overview, sizes, anatomy, outcomes, disabled and pending state, nesting, scoped appearance, customization, long content, and RTL are represented</t>
  </si>
  <si>
    <t xml:space="preserve">ALD-20</t>
  </si>
  <si>
    <t xml:space="preserve">Mobile-first constrained and intentional wide layouts preserve viewport gaps, bounded height, Body scrolling, and reachable responses</t>
  </si>
  <si>
    <t xml:space="preserve">ALD-21</t>
  </si>
  <si>
    <t xml:space="preserve">ALD-22</t>
  </si>
  <si>
    <t xml:space="preserve">ALD-23</t>
  </si>
  <si>
    <t xml:space="preserve">Public tokens, stable classes, style, data attributes, and overridable part slots remain local and inspectable</t>
  </si>
  <si>
    <t xml:space="preserve">ALD-24</t>
  </si>
  <si>
    <t xml:space="preserve">Stable AlertDialog route and deterministic selectors support repeatable browser and visual checks</t>
  </si>
  <si>
    <t xml:space="preserve">ALD-25</t>
  </si>
  <si>
    <t xml:space="preserve">Vitest covers default DOM, ARIA, native contracts, disabled native and composed Triggers, sizes, close reasons, autofocus, composition, refs, portal container, heading override, prevention, and namespace identity</t>
  </si>
  <si>
    <t xml:space="preserve">ALD-26</t>
  </si>
  <si>
    <t xml:space="preserve">Public types, declarations, invalid size, callable API, backdrop prop, and Overlay-disabled exclusions plus root/subpath fixtures pass</t>
  </si>
  <si>
    <t xml:space="preserve">ALD-27</t>
  </si>
  <si>
    <t xml:space="preserve">Playwright verifies alert anatomy, Cancel focus, focus restoration, explicit outcomes, Escape policy, and blocked backdrop dismissal</t>
  </si>
  <si>
    <t xml:space="preserve">ALD-28</t>
  </si>
  <si>
    <t xml:space="preserve">Trigger and Action</t>
  </si>
  <si>
    <t xml:space="preserve">Playwright verifies disabled pointer/keyboard opening and prevented Action closure with application-owned pending feedback</t>
  </si>
  <si>
    <t xml:space="preserve">ALD-29</t>
  </si>
  <si>
    <t xml:space="preserve">Nested AlertDialog cleanup returns focus and control to its parent Dialog and leaves the application operable</t>
  </si>
  <si>
    <t xml:space="preserve">ALD-30</t>
  </si>
  <si>
    <t xml:space="preserve">Axe reports no automatically detectable violations for the canonical open AlertDialog state</t>
  </si>
  <si>
    <t xml:space="preserve">ALD-31</t>
  </si>
  <si>
    <t xml:space="preserve">ALD-32</t>
  </si>
  <si>
    <t xml:space="preserve">Chromium, Firefox, WebKit, Pixel, and iPhone AlertDialog release matrix passes</t>
  </si>
  <si>
    <t xml:space="preserve">ALD-33</t>
  </si>
  <si>
    <t xml:space="preserve">Package boundary, tarball, and clean React 18 and React 19 consumer verification include AlertDialog</t>
  </si>
  <si>
    <t xml:space="preserve">ALD-34</t>
  </si>
  <si>
    <t xml:space="preserve">Numbered nine-step AlertDialog manual-test protocol exists with assertion-specific owner checks</t>
  </si>
  <si>
    <t xml:space="preserve">ALD-35</t>
  </si>
  <si>
    <t xml:space="preserve">Latest owner run passes visual, keyboard, touch, nesting, real-phone, preference, reflow, RTL, screen-reader, and customization review</t>
  </si>
  <si>
    <t xml:space="preserve">ALD-36</t>
  </si>
  <si>
    <t xml:space="preserve">Public AlertDialog guide covers use boundaries, anatomy, API, required message, focus, dismissal, async prevention, nesting, responsiveness, tokens, composition, and customization</t>
  </si>
  <si>
    <t xml:space="preserve">../docs/components/alert-dialog/README.md</t>
  </si>
  <si>
    <t xml:space="preserve">ALD-37</t>
  </si>
  <si>
    <t xml:space="preserve">AlertDialog component and package changelogs record the initial contract and evidence</t>
  </si>
  <si>
    <t xml:space="preserve">../docs/components/alert-dialog/CHANGELOG.md</t>
  </si>
  <si>
    <t xml:space="preserve">ALD-38</t>
  </si>
  <si>
    <t xml:space="preserve">Independent Brick Consumer uses the public AlertDialog subpath and passes production, boundary, interaction, layout, desktop/mobile, and axe gates</t>
  </si>
  <si>
    <t xml:space="preserve">ALD-39</t>
  </si>
  <si>
    <t xml:space="preserve">Legacy AlertDialog</t>
  </si>
  <si>
    <t xml:space="preserve">Legacy Core AlertDialog source and feedback export are removed after the package and consumer gates pass</t>
  </si>
  <si>
    <t xml:space="preserve">Owner review and package gate pass; legacy removal awaits explicit dependency-led retirement authorization.</t>
  </si>
  <si>
    <t xml:space="preserve">Drawer Evidence Matrix</t>
  </si>
  <si>
    <t xml:space="preserve">Evidence gates for the adopted logical-edge modal compound, its twelve public parts, package proof, Consumer cutover, deferred owner review, and Sidebar-led legacy retirement.</t>
  </si>
  <si>
    <t xml:space="preserve">DRA-01</t>
  </si>
  <si>
    <t xml:space="preserve">Implementation directly composes public Atom 0.6.7 Drawer behavior and Modal.Branch without Core or local headless wrappers</t>
  </si>
  <si>
    <t xml:space="preserve">../src/components/drawer/Drawer.tsx</t>
  </si>
  <si>
    <t xml:space="preserve">DRA-02</t>
  </si>
  <si>
    <t xml:space="preserve">Owner-approved capability audit covers modal state, keyboard, pointer, touch activation, focus, dismissal, portals, isolation, scrolling, presence, direction, and constrained viewports</t>
  </si>
  <si>
    <t xml:space="preserve">../../docs/drawer-component-brief.md</t>
  </si>
  <si>
    <t xml:space="preserve">DRA-03</t>
  </si>
  <si>
    <t xml:space="preserve">Swipe, drag, snap, handle, and gesture behavior are excluded from this release and the named Gesture Drawer / Bottom Sheet audit is tracked before a gesture surface is selected</t>
  </si>
  <si>
    <t xml:space="preserve">../../TODO.md</t>
  </si>
  <si>
    <t xml:space="preserve">DRA-04</t>
  </si>
  <si>
    <t xml:space="preserve">Root and drawer-subpath namespaces, direct part exports, declarations, logical placement, and closed size unions match the adopted brief</t>
  </si>
  <si>
    <t xml:space="preserve">DRA-05</t>
  </si>
  <si>
    <t xml:space="preserve">Atom owns controlled/uncontrolled state, Escape/backdrop policy, disabled state, close reasons, modal layers, and cleanup; Brick forwards the public contract</t>
  </si>
  <si>
    <t xml:space="preserve">../test/components/drawer.test.tsx</t>
  </si>
  <si>
    <t xml:space="preserve">DRA-06</t>
  </si>
  <si>
    <t xml:space="preserve">Trigger preserves disabled state, native props, ref, stable hooks, and representative Atom asChild and render composition</t>
  </si>
  <si>
    <t xml:space="preserve">DRA-07</t>
  </si>
  <si>
    <t xml:space="preserve">Portal preserves body, inline, and custom-container composition without copying behavior into Brick</t>
  </si>
  <si>
    <t xml:space="preserve">DRA-08</t>
  </si>
  <si>
    <t xml:space="preserve">Visible Overlay preserves class/slot/ref/native props and enabled/disabled exact-target dismissal</t>
  </si>
  <si>
    <t xml:space="preserve">tests/drawer.spec.ts</t>
  </si>
  <si>
    <t xml:space="preserve">DRA-09</t>
  </si>
  <si>
    <t xml:space="preserve">Content preserves dialog semantics, accessible-name fallback, refs and native props while adding only placement, size, class, slot, and visual data</t>
  </si>
  <si>
    <t xml:space="preserve">DRA-10</t>
  </si>
  <si>
    <t xml:space="preserve">Header is one optional native visual region with stable class/slot and no generated semantic structure</t>
  </si>
  <si>
    <t xml:space="preserve">DRA-11</t>
  </si>
  <si>
    <t xml:space="preserve">Title preserves Atom registration, generated accessible naming, heading-level forwarding, ref, and visual hooks</t>
  </si>
  <si>
    <t xml:space="preserve">DRA-12</t>
  </si>
  <si>
    <t xml:space="preserve">Description preserves Atom registration and the optional generated accessible description while forwarding native props and ref</t>
  </si>
  <si>
    <t xml:space="preserve">DRA-13</t>
  </si>
  <si>
    <t xml:space="preserve">Body is the flexible independently scrollable native region and keeps long mobile content contained</t>
  </si>
  <si>
    <t xml:space="preserve">DRA-14</t>
  </si>
  <si>
    <t xml:space="preserve">Footer is a native wrapping action region in logical source order and stays reachable with long content</t>
  </si>
  <si>
    <t xml:space="preserve">DRA-15</t>
  </si>
  <si>
    <t xml:space="preserve">Close preserves close reason, native props, ref, stable hooks, and representative asChild/render composition</t>
  </si>
  <si>
    <t xml:space="preserve">DRA-16</t>
  </si>
  <si>
    <t xml:space="preserve">Branch preserves Atom registration, render composition, ref, and stable Drawer hooks for a body-portalled composite surface</t>
  </si>
  <si>
    <t xml:space="preserve">DRA-17</t>
  </si>
  <si>
    <t xml:space="preserve">Logical start, end, top, and bottom placement attach to the correct edge and remain viewport-bound</t>
  </si>
  <si>
    <t xml:space="preserve">DRA-18</t>
  </si>
  <si>
    <t xml:space="preserve">Small, medium, large, and full size recipes are closed, directional, and exposed through public CSS variables</t>
  </si>
  <si>
    <t xml:space="preserve">DRA-19</t>
  </si>
  <si>
    <t xml:space="preserve">Mobile side sizes remain strictly ordered; non-full sizes preserve Overlay context and only full occupies the viewport</t>
  </si>
  <si>
    <t xml:space="preserve">DRA-20</t>
  </si>
  <si>
    <t xml:space="preserve">Compiled CSS uses public classes, component tokens, logical properties, elevated surface hierarchy, and safe-area-aware edge treatment</t>
  </si>
  <si>
    <t xml:space="preserve">visual</t>
  </si>
  <si>
    <t xml:space="preserve">DRA-21</t>
  </si>
  <si>
    <t xml:space="preserve">Light and dark Drawer surfaces retain readable hierarchy, controls, scrim, and edge separation</t>
  </si>
  <si>
    <t xml:space="preserve">DRA-22</t>
  </si>
  <si>
    <t xml:space="preserve">RTL start resolves to the physical right with direction-correct title, body, footer, radius, shadow, and entrance</t>
  </si>
  <si>
    <t xml:space="preserve">DRA-23</t>
  </si>
  <si>
    <t xml:space="preserve">Reduced-motion baselines remove travel and forced colors retain a system boundary and operable controls</t>
  </si>
  <si>
    <t xml:space="preserve">DRA-24</t>
  </si>
  <si>
    <t xml:space="preserve">Public tokens, class, style, slot, scoped appearance, and inline Portal customization remain local and inspectable</t>
  </si>
  <si>
    <t xml:space="preserve">DRA-25</t>
  </si>
  <si>
    <t xml:space="preserve">The /drawer workbench exposes overview, anatomy, placements, sizes, state, appearance, responsive, customization, stress, and evidence scenarios</t>
  </si>
  <si>
    <t xml:space="preserve">DRA-26</t>
  </si>
  <si>
    <t xml:space="preserve">Nested modal, portalled Branch, long content, RTL, mobile, dismissal, disabled Trigger, and full-viewport cases are deterministic</t>
  </si>
  <si>
    <t xml:space="preserve">DRA-27</t>
  </si>
  <si>
    <t xml:space="preserve">Vitest and Testing Library adapter tests cover defaults, anatomy, props, refs, composition, disabled behavior, Portal, heading, placements, sizes, and exports</t>
  </si>
  <si>
    <t xml:space="preserve">DRA-28</t>
  </si>
  <si>
    <t xml:space="preserve">Public root/subpath types accept supported native and Atom props and reject physical placement, invalid sizes, and callable Drawer</t>
  </si>
  <si>
    <t xml:space="preserve">DRA-29</t>
  </si>
  <si>
    <t xml:space="preserve">Node boundary/export/CSS tests, strict typecheck, build, and 100% component-source coverage pass</t>
  </si>
  <si>
    <t xml:space="preserve">../test/package/package.test.mjs</t>
  </si>
  <si>
    <t xml:space="preserve">DRA-30</t>
  </si>
  <si>
    <t xml:space="preserve">Chromium, Firefox, WebKit, Pixel, and iPhone Drawer interaction matrix passes, including focused RTL travel and extreme-height reflow coverage</t>
  </si>
  <si>
    <t xml:space="preserve">DRA-31</t>
  </si>
  <si>
    <t xml:space="preserve">Canonical open Drawer and Consumer workflow have no automated axe violations</t>
  </si>
  <si>
    <t xml:space="preserve">DRA-32</t>
  </si>
  <si>
    <t xml:space="preserve">Five Chromium visual baselines are recorded and reviewed for light, dark, mobile RTL, full mobile, and forced colors</t>
  </si>
  <si>
    <t xml:space="preserve">DRA-33</t>
  </si>
  <si>
    <t xml:space="preserve">Dry-run pack, CSS size report, and clean React 18/19 tarball consumers verify published files and imports</t>
  </si>
  <si>
    <t xml:space="preserve">DRA-34</t>
  </si>
  <si>
    <t xml:space="preserve">Numbered Drawer manual-test protocol covers human visual, keyboard, touch, phone, zoom, VoiceOver, direction, preferences, Branch, and customization judgment</t>
  </si>
  <si>
    <t xml:space="preserve">manual-tests/drawer.md</t>
  </si>
  <si>
    <t xml:space="preserve">DRA-35</t>
  </si>
  <si>
    <t xml:space="preserve">Latest owner manual run records every numbered result and corrects any finding before package completion</t>
  </si>
  <si>
    <t xml:space="preserve">Owner run completed: eight steps pass. Exact Atom 0.6.7 root-overflow modal scroll-lock patch is installed; physical iPhone/iPad Safari confirmation remains pending.</t>
  </si>
  <si>
    <t xml:space="preserve">DRA-36</t>
  </si>
  <si>
    <t xml:space="preserve">Public Drawer guide covers role, imports, anatomy, API, placement, mobile sizes, tokens, responsive behavior, accessibility, composition, and gesture exclusion</t>
  </si>
  <si>
    <t xml:space="preserve">../docs/components/drawer/README.md</t>
  </si>
  <si>
    <t xml:space="preserve">DRA-37</t>
  </si>
  <si>
    <t xml:space="preserve">Drawer and package changelogs record the public component, mobile sizing, evidence, and named gesture follow-up</t>
  </si>
  <si>
    <t xml:space="preserve">../docs/components/drawer/CHANGELOG.md</t>
  </si>
  <si>
    <t xml:space="preserve">DRA-38</t>
  </si>
  <si>
    <t xml:space="preserve">Independent Consumer composes a public-subpath project-filter workflow and passes boundary, production, desktop/mobile interaction, layout, focus, and axe gates</t>
  </si>
  <si>
    <t xml:space="preserve">DRA-39</t>
  </si>
  <si>
    <t xml:space="preserve">Legacy Drawer</t>
  </si>
  <si>
    <t xml:space="preserve">Legacy Core Drawer remains until Sidebar stops importing DrawerContentBase and a later authorized cutover removes source, types, defaults, exports, CSS, and dead declarations</t>
  </si>
  <si>
    <t xml:space="preserve">Sidebar imports DrawerContentBase</t>
  </si>
  <si>
    <t xml:space="preserve">Badge Evidence Matrix</t>
  </si>
  <si>
    <t xml:space="preserve">Evidence gates for the adopted passive Badge and attached NotificationBadge family, package proof, Consumer cutover, and completed dependency-led Core retirement.</t>
  </si>
  <si>
    <t xml:space="preserve">BAD-01</t>
  </si>
  <si>
    <t xml:space="preserve">Badge directly composes the public Atom 0.3.3 Badge subpath without Core, framework, or local behavior wrappers</t>
  </si>
  <si>
    <t xml:space="preserve">../src/components/badge/Badge.tsx</t>
  </si>
  <si>
    <t xml:space="preserve">BAD-02</t>
  </si>
  <si>
    <t xml:space="preserve">Family</t>
  </si>
  <si>
    <t xml:space="preserve">Owner-approved Atom audit and released 0.3.3 server-safety patch cover semantic span output, native forwarding, ref, composition, and slots</t>
  </si>
  <si>
    <t xml:space="preserve">../../docs/badge-component-brief.md</t>
  </si>
  <si>
    <t xml:space="preserve">BAD-03</t>
  </si>
  <si>
    <t xml:space="preserve">Root and badge-subpath exports, declarations, required children, and all closed unions match the adopted brief</t>
  </si>
  <si>
    <t xml:space="preserve">BAD-04</t>
  </si>
  <si>
    <t xml:space="preserve">Default passive span emits stable class/slot plus soft, neutral, medium, and rounded metadata without invented role, state, or focus</t>
  </si>
  <si>
    <t xml:space="preserve">../test/components/badge.test.tsx</t>
  </si>
  <si>
    <t xml:space="preserve">BAD-05</t>
  </si>
  <si>
    <t xml:space="preserve">Soft, solid, and outline variants; six tones; three sizes; and rounded/pill shapes are complete and reject arbitrary color/radius</t>
  </si>
  <si>
    <t xml:space="preserve">BAD-06</t>
  </si>
  <si>
    <t xml:space="preserve">Children, native props/events, class, style, ref, slot override, asChild, and render composition preserve Atom ownership</t>
  </si>
  <si>
    <t xml:space="preserve">BAD-07</t>
  </si>
  <si>
    <t xml:space="preserve">Accessibility</t>
  </si>
  <si>
    <t xml:space="preserve">Passive Badge adds no role, live region, tab stop, disabled, selected, removable, or interactive behavior</t>
  </si>
  <si>
    <t xml:space="preserve">BAD-08</t>
  </si>
  <si>
    <t xml:space="preserve">NotificationBadge</t>
  </si>
  <si>
    <t xml:space="preserve">Wrapper requires one React element child and emits stable wrapper/indicator slots without mutating child semantics</t>
  </si>
  <si>
    <t xml:space="preserve">BAD-09</t>
  </si>
  <si>
    <t xml:space="preserve">Formatting</t>
  </si>
  <si>
    <t xml:space="preserve">Count formatting covers one-digit circles, multi-digit pills, configurable maximum, and overflow labels</t>
  </si>
  <si>
    <t xml:space="preserve">BAD-10</t>
  </si>
  <si>
    <t xml:space="preserve">Dot, showZero, zero suppression, and invisible state preserve layout while controlling indicator visibility</t>
  </si>
  <si>
    <t xml:space="preserve">BAD-11</t>
  </si>
  <si>
    <t xml:space="preserve">Geometry</t>
  </si>
  <si>
    <t xml:space="preserve">Four logical placements, circular/rectangular overlap, and three indicator sizes emit closed metadata</t>
  </si>
  <si>
    <t xml:space="preserve">BAD-12</t>
  </si>
  <si>
    <t xml:space="preserve">Indicator is aria-hidden and pointer-inert; owning content retains the full localized count/status name without automatic live announcements</t>
  </si>
  <si>
    <t xml:space="preserve">tests/badge.spec.ts</t>
  </si>
  <si>
    <t xml:space="preserve">BAD-13</t>
  </si>
  <si>
    <t xml:space="preserve">Compiled layered CSS uses Brick classes, semantic tokens, logical properties, and public component variables without global leakage</t>
  </si>
  <si>
    <t xml:space="preserve">../src/components/badge/badge.css</t>
  </si>
  <si>
    <t xml:space="preserve">BAD-14</t>
  </si>
  <si>
    <t xml:space="preserve">Reviewed light and dark matrices preserve tone, variant, inline hierarchy, count, dot, and anchor geometry</t>
  </si>
  <si>
    <t xml:space="preserve">BAD-15</t>
  </si>
  <si>
    <t xml:space="preserve">Forced-colors emulation preserves explicit system boundaries for inline and attached indicators</t>
  </si>
  <si>
    <t xml:space="preserve">BAD-16</t>
  </si>
  <si>
    <t xml:space="preserve">Logical start/end placement mirrors in RTL without physical-position props</t>
  </si>
  <si>
    <t xml:space="preserve">BAD-17</t>
  </si>
  <si>
    <t xml:space="preserve">Constrained, localized, mixed-direction, long-token, and inline-baseline scenarios stay contained without document overflow</t>
  </si>
  <si>
    <t xml:space="preserve">BAD-18</t>
  </si>
  <si>
    <t xml:space="preserve">Interaction boundary</t>
  </si>
  <si>
    <t xml:space="preserve">Indicator does not intercept pointer input or obscure the anchor focus ring; the owning control preserves at least a 44px target</t>
  </si>
  <si>
    <t xml:space="preserve">BAD-19</t>
  </si>
  <si>
    <t xml:space="preserve">Customization</t>
  </si>
  <si>
    <t xml:space="preserve">Class, style, slot, scoped appearance, and semantic/component-token overrides remain local and inspectable</t>
  </si>
  <si>
    <t xml:space="preserve">BAD-20</t>
  </si>
  <si>
    <t xml:space="preserve">The /badge workbench exposes defaults, complete recipes, shapes, sizes, passive-tag routing, and real contexts</t>
  </si>
  <si>
    <t xml:space="preserve">BAD-21</t>
  </si>
  <si>
    <t xml:space="preserve">Counts, dots, maximum, zero, invisible, placements, overlap, icon/navigation/Avatar anchors, and contextual names are deterministic</t>
  </si>
  <si>
    <t xml:space="preserve">BAD-22</t>
  </si>
  <si>
    <t xml:space="preserve">Light/dark, customization, localization, RTL, constrained width, stress, and forced-colors inspection anchors exist</t>
  </si>
  <si>
    <t xml:space="preserve">BAD-23</t>
  </si>
  <si>
    <t xml:space="preserve">Vitest and Testing Library cover defaults, recipes, native props, ref, composition, slots, and passive semantics</t>
  </si>
  <si>
    <t xml:space="preserve">BAD-24</t>
  </si>
  <si>
    <t xml:space="preserve">Vitest covers count/dot union, formatting, visibility, placements, overlap, sizes, arbitrary element targets, and pointer ownership</t>
  </si>
  <si>
    <t xml:space="preserve">BAD-25</t>
  </si>
  <si>
    <t xml:space="preserve">Public root/subpath types accept supported contracts and reject invalid variants, tones, shapes, counts, children, and Chip-like APIs</t>
  </si>
  <si>
    <t xml:space="preserve">BAD-26</t>
  </si>
  <si>
    <t xml:space="preserve">Node boundary, package export, server markup, stylesheet, declaration, and dry-pack checks include both Badge components</t>
  </si>
  <si>
    <t xml:space="preserve">BAD-27</t>
  </si>
  <si>
    <t xml:space="preserve">Explicit Atom Badge subpath remains server-safe and clean React 18/19 packed consumers import, render, and load CSS</t>
  </si>
  <si>
    <t xml:space="preserve">BAD-28</t>
  </si>
  <si>
    <t xml:space="preserve">Strict typecheck, build, CSS report, and 100% Brick component-source coverage pass</t>
  </si>
  <si>
    <t xml:space="preserve">BAD-29</t>
  </si>
  <si>
    <t xml:space="preserve">Browser checks cover recipes, formatting, focus/pointer ownership, RTL, stress, axe, and forced colors</t>
  </si>
  <si>
    <t xml:space="preserve">BAD-30</t>
  </si>
  <si>
    <t xml:space="preserve">Canonical Badge route has no automatically detectable axe violations</t>
  </si>
  <si>
    <t xml:space="preserve">BAD-31</t>
  </si>
  <si>
    <t xml:space="preserve">Seven reviewed Chromium baselines cover recipes, dark geometry, inline alignment, localization/RTL, and forced colors</t>
  </si>
  <si>
    <t xml:space="preserve">BAD-32</t>
  </si>
  <si>
    <t xml:space="preserve">Chromium, Firefox, WebKit, Pixel, and iPhone Badge release-matrix checks pass where applicable</t>
  </si>
  <si>
    <t xml:space="preserve">BAD-33</t>
  </si>
  <si>
    <t xml:space="preserve">Numbered Badge manual protocol covers hierarchy, recipes, zoom, VoiceOver, direction, system colors, touch/focus context, and customization</t>
  </si>
  <si>
    <t xml:space="preserve">manual-tests/badge.md</t>
  </si>
  <si>
    <t xml:space="preserve">BAD-34</t>
  </si>
  <si>
    <t xml:space="preserve">Latest owner run records every numbered Badge and NotificationBadge result and corrects any finding before package completion</t>
  </si>
  <si>
    <t xml:space="preserve">BAD-35</t>
  </si>
  <si>
    <t xml:space="preserve">Public guide covers both roles, use/avoid boundaries, recipes, formatting, accessibility context, composition, responsiveness, and customization</t>
  </si>
  <si>
    <t xml:space="preserve">../docs/components/badge/README.md</t>
  </si>
  <si>
    <t xml:space="preserve">BAD-36</t>
  </si>
  <si>
    <t xml:space="preserve">Badge component changelog records the initial public contract, Atom 0.3.3 boundary, and evidence</t>
  </si>
  <si>
    <t xml:space="preserve">../docs/components/badge/CHANGELOG.md</t>
  </si>
  <si>
    <t xml:space="preserve">BAD-37</t>
  </si>
  <si>
    <t xml:space="preserve">Independent Consumer uses public Badge and NotificationBadge subpaths and passes production, boundary, desktop/mobile, focus, layout, dark, and axe checks</t>
  </si>
  <si>
    <t xml:space="preserve">BAD-38</t>
  </si>
  <si>
    <t xml:space="preserve">Legacy Badge</t>
  </si>
  <si>
    <t xml:space="preserve">Fresh search after Avatar removal found no Core Badge dependent; source, types, defaults, resolver, base alias, and barrel export are removed and Core builds</t>
  </si>
  <si>
    <t xml:space="preserve">BAD-39</t>
  </si>
  <si>
    <t xml:space="preserve">Scope</t>
  </si>
  <si>
    <t xml:space="preserve">Chip / Tag</t>
  </si>
  <si>
    <t xml:space="preserve">Generic Chip, removable Tag, actions, and persistent selections remain excluded and route to Badge, Button, or future Toggle/Tag work</t>
  </si>
  <si>
    <t xml:space="preserve">Avatar Evidence Matrix</t>
  </si>
  <si>
    <t xml:space="preserve">Evidence gates for the adopted direct Avatar, explicit image/fallback semantics, status-ring geometry, package proof, Consumer cutover, and completed Core retirement.</t>
  </si>
  <si>
    <t xml:space="preserve">AVA-01</t>
  </si>
  <si>
    <t xml:space="preserve">Avatar directly composes the public Atom 0.3.3 Avatar subpath without Core, framework, or local behavior wrappers</t>
  </si>
  <si>
    <t xml:space="preserve">../src/components/avatar/Avatar.tsx</t>
  </si>
  <si>
    <t xml:space="preserve">AVA-02</t>
  </si>
  <si>
    <t xml:space="preserve">Owner-approved capability audit confirms Atom owns loading/error state, source preload, delayed fallback, native image semantics, and status callback</t>
  </si>
  <si>
    <t xml:space="preserve">../../docs/avatar-component-brief.md</t>
  </si>
  <si>
    <t xml:space="preserve">AVA-03</t>
  </si>
  <si>
    <t xml:space="preserve">Root and avatar-subpath exports, declarations, required alt/fallback, optional src, and closed size/shape/status unions match the brief</t>
  </si>
  <si>
    <t xml:space="preserve">AVA-04</t>
  </si>
  <si>
    <t xml:space="preserve">Shortest fallback-only render emits a passive span with stable class/slot and md/circle defaults without leaked visual props or root role/tab stop</t>
  </si>
  <si>
    <t xml:space="preserve">../test/components/avatar.test.tsx</t>
  </si>
  <si>
    <t xml:space="preserve">AVA-05</t>
  </si>
  <si>
    <t xml:space="preserve">Image</t>
  </si>
  <si>
    <t xml:space="preserve">One source reaches Atom Root and Image; loaded native image preserves src, required alt, crop hook, and mutual exclusion with fallback</t>
  </si>
  <si>
    <t xml:space="preserve">AVA-06</t>
  </si>
  <si>
    <t xml:space="preserve">Fallback</t>
  </si>
  <si>
    <t xml:space="preserve">Informative fallback exposes role img and the full alt label; deliberate empty alt makes loaded and fallback imagery decorative</t>
  </si>
  <si>
    <t xml:space="preserve">AVA-07</t>
  </si>
  <si>
    <t xml:space="preserve">Loading</t>
  </si>
  <si>
    <t xml:space="preserve">Successful and failed deterministic sources switch between Image and explicit fallback while preserving the frame and accessible identity</t>
  </si>
  <si>
    <t xml:space="preserve">AVA-08</t>
  </si>
  <si>
    <t xml:space="preserve">fallbackDelayMs and onLoadingStatusChange remain public Atom-owned inputs; loading and loaded callback states pass through Brick</t>
  </si>
  <si>
    <t xml:space="preserve">AVA-09</t>
  </si>
  <si>
    <t xml:space="preserve">Native span attributes, ARIA/data attributes, event, class, style, overridable slot, ReactNode fallback, and HTMLSpanElement ref are preserved</t>
  </si>
  <si>
    <t xml:space="preserve">AVA-10</t>
  </si>
  <si>
    <t xml:space="preserve">Five exact square sizes map to 24, 32, 40, 48, and 64 CSS pixels without responsive mutation</t>
  </si>
  <si>
    <t xml:space="preserve">tests/avatar.spec.ts</t>
  </si>
  <si>
    <t xml:space="preserve">AVA-11</t>
  </si>
  <si>
    <t xml:space="preserve">Circle and rounded shapes are closed recipes; image/fallback clipping and external ring inherit the selected radius</t>
  </si>
  <si>
    <t xml:space="preserve">AVA-12</t>
  </si>
  <si>
    <t xml:space="preserve">Online, away, busy, and offline map to success, warning, danger, and neutral semantic rings; absent status has no status metadata</t>
  </si>
  <si>
    <t xml:space="preserve">AVA-13</t>
  </si>
  <si>
    <t xml:space="preserve">Layered external ring follows both shapes without changing 48px test dimensions, adding semantic DOM, or intercepting input</t>
  </si>
  <si>
    <t xml:space="preserve">AVA-14</t>
  </si>
  <si>
    <t xml:space="preserve">Avatar stays passive; informative/decorative contexts and Avatar inside a named control avoid duplicate focus and speech</t>
  </si>
  <si>
    <t xml:space="preserve">AVA-15</t>
  </si>
  <si>
    <t xml:space="preserve">Visible localized text communicates each status; ring color is reinforcement and no automatic live announcement is added</t>
  </si>
  <si>
    <t xml:space="preserve">AVA-16</t>
  </si>
  <si>
    <t xml:space="preserve">Composition</t>
  </si>
  <si>
    <t xml:space="preserve">NotificationBadge wraps Avatar and a native image; a distinct count/dot coexists without obscuring Avatar status geometry</t>
  </si>
  <si>
    <t xml:space="preserve">AVA-17</t>
  </si>
  <si>
    <t xml:space="preserve">Compiled layered CSS uses Brick classes, semantic tokens, fixed logical geometry, and documented component variables without global leakage</t>
  </si>
  <si>
    <t xml:space="preserve">../src/components/avatar/avatar.css</t>
  </si>
  <si>
    <t xml:space="preserve">AVA-18</t>
  </si>
  <si>
    <t xml:space="preserve">Reviewed light/dark fallback, loaded image, shape, status, and NotificationBadge compositions preserve hierarchy</t>
  </si>
  <si>
    <t xml:space="preserve">AVA-19</t>
  </si>
  <si>
    <t xml:space="preserve">Forced-colors emulation preserves an explicit system frame and shape-following status outline while visible text keeps exact meaning</t>
  </si>
  <si>
    <t xml:space="preserve">AVA-20</t>
  </si>
  <si>
    <t xml:space="preserve">Constrained mobile, RTL, non-Latin fallback, and long localized status scenarios remain contained without document overflow</t>
  </si>
  <si>
    <t xml:space="preserve">AVA-21</t>
  </si>
  <si>
    <t xml:space="preserve">Root class, style, slot, scoped appearance, and public component-token overrides remain local and inspectable</t>
  </si>
  <si>
    <t xml:space="preserve">AVA-22</t>
  </si>
  <si>
    <t xml:space="preserve">The /avatar workbench exposes overview, all sizes, both shapes, all statuses, and loaded/broken/missing source states</t>
  </si>
  <si>
    <t xml:space="preserve">AVA-23</t>
  </si>
  <si>
    <t xml:space="preserve">Informative/decorative/control contexts, NotificationBadge/native-image targets, appearance, customization, mobile stress, and RTL are deterministic</t>
  </si>
  <si>
    <t xml:space="preserve">AVA-24</t>
  </si>
  <si>
    <t xml:space="preserve">Vitest and Testing Library cover defaults, informative/decorative fallback, loaded/error paths, closed metadata, native props, event, ref, and ReactNode</t>
  </si>
  <si>
    <t xml:space="preserve">AVA-25</t>
  </si>
  <si>
    <t xml:space="preserve">Public root/subpath types require alt/fallback, accept native/loading props, and reject invalid size, shape, status, color, badge, parts, and Group</t>
  </si>
  <si>
    <t xml:space="preserve">AVA-26</t>
  </si>
  <si>
    <t xml:space="preserve">Node boundary/export/CSS/declaration/SSR checks and dry-pack verification include the Avatar subpath and compiled styles</t>
  </si>
  <si>
    <t xml:space="preserve">AVA-27</t>
  </si>
  <si>
    <t xml:space="preserve">Clean React 18/19 packed consumers import root/subpath identity, render informative/decorative SSR fallback, typecheck, and load CSS</t>
  </si>
  <si>
    <t xml:space="preserve">AVA-28</t>
  </si>
  <si>
    <t xml:space="preserve">AVA-29</t>
  </si>
  <si>
    <t xml:space="preserve">Nine focused browser checks cover default/load, dimensions/shapes, status geometry, source states, semantics, composition, mobile/RTL, axe, and forced colors</t>
  </si>
  <si>
    <t xml:space="preserve">AVA-30</t>
  </si>
  <si>
    <t xml:space="preserve">Canonical Avatar route has no automatically detectable axe violations</t>
  </si>
  <si>
    <t xml:space="preserve">AVA-31</t>
  </si>
  <si>
    <t xml:space="preserve">Seven reviewed Chromium baselines cover sizes, shapes, statuses, dark overview/composition, mobile stress/RTL, and forced colors</t>
  </si>
  <si>
    <t xml:space="preserve">AVA-32</t>
  </si>
  <si>
    <t xml:space="preserve">Chromium, Firefox, WebKit, Pixel, and iPhone Avatar release-matrix checks pass where applicable</t>
  </si>
  <si>
    <t xml:space="preserve">AVA-33</t>
  </si>
  <si>
    <t xml:space="preserve">Numbered Avatar protocol covers crop, loading, statuses, composition, keyboard/touch context, zoom/mobile/RTL, VoiceOver, preferences, and customization</t>
  </si>
  <si>
    <t xml:space="preserve">manual-tests/avatar.md</t>
  </si>
  <si>
    <t xml:space="preserve">AVA-34</t>
  </si>
  <si>
    <t xml:space="preserve">Latest owner run records every numbered result and corrects any finding before package completion</t>
  </si>
  <si>
    <t xml:space="preserve">AVA-35</t>
  </si>
  <si>
    <t xml:space="preserve">Public guide covers use boundaries, explicit alt/fallback, sizes, shapes, status meaning, composition, loading, accessibility, native/ref, and CSS hooks</t>
  </si>
  <si>
    <t xml:space="preserve">../docs/components/avatar/README.md</t>
  </si>
  <si>
    <t xml:space="preserve">AVA-36</t>
  </si>
  <si>
    <t xml:space="preserve">Avatar component changelog records the initial direct contract, status rings, evidence, and deferred AvatarGroup</t>
  </si>
  <si>
    <t xml:space="preserve">../docs/components/avatar/CHANGELOG.md</t>
  </si>
  <si>
    <t xml:space="preserve">AVA-37</t>
  </si>
  <si>
    <t xml:space="preserve">Independent Consumer uses the public Avatar subpath for loaded and fallback collaborators, visible statuses, and NotificationBadge composition across desktop/mobile and axe</t>
  </si>
  <si>
    <t xml:space="preserve">AVA-38</t>
  </si>
  <si>
    <t xml:space="preserve">Legacy Avatar</t>
  </si>
  <si>
    <t xml:space="preserve">Fresh searches found no Core consumers; Avatar/AvatarGroup source, aliases, barrel export, and obsolete live examples are removed and Core builds</t>
  </si>
  <si>
    <t xml:space="preserve">AVA-39</t>
  </si>
  <si>
    <t xml:space="preserve">AvatarGroup</t>
  </si>
  <si>
    <t xml:space="preserve">AvatarGroup remains deliberately excluded until a real grouped-identity workflow defines semantics, order, overflow, hidden members, and Consumer proof</t>
  </si>
  <si>
    <t xml:space="preserve">Toggle Family Evidence Matrix</t>
  </si>
  <si>
    <t xml:space="preserve">Evidence gates for adopted Toggle and ToggleGroup APIs, Atom-owned interaction, package proof, Consumer cutover, and completed Core retirement.</t>
  </si>
  <si>
    <t xml:space="preserve">TOG-01</t>
  </si>
  <si>
    <t xml:space="preserve">Toggle directly composes public Atom 0.3.3 Toggle.Root without Core, framework, or local behavior state</t>
  </si>
  <si>
    <t xml:space="preserve">../src/components/toggle/Toggle.tsx</t>
  </si>
  <si>
    <t xml:space="preserve">TOG-02</t>
  </si>
  <si>
    <t xml:space="preserve">Owner-approved capability audit confirms Atom owns pressed/value state, activation, disabled semantics, roving focus, orientation, looping, RTL, composition, slots, and refs</t>
  </si>
  <si>
    <t xml:space="preserve">../../docs/toggle-component-brief.md</t>
  </si>
  <si>
    <t xml:space="preserve">TOG-03</t>
  </si>
  <si>
    <t xml:space="preserve">Root and toggle/toggle-group subpath exports, declarations, direct Toggle, compound Group namespace, named parts, and closed unions match the adopted brief</t>
  </si>
  <si>
    <t xml:space="preserve">TOG-04</t>
  </si>
  <si>
    <t xml:space="preserve">Shortest Toggle emits a native type=button with stable class/slot, false aria-pressed, off state, and soft/md/rounded defaults</t>
  </si>
  <si>
    <t xml:space="preserve">../test/components/toggle.test.tsx</t>
  </si>
  <si>
    <t xml:space="preserve">TOG-05</t>
  </si>
  <si>
    <t xml:space="preserve">Behavior</t>
  </si>
  <si>
    <t xml:space="preserve">Atom-owned uncontrolled pointer, Space, and controlled pressed paths update aria-pressed and onPressedChange without Brick state duplication</t>
  </si>
  <si>
    <t xml:space="preserve">TOG-06</t>
  </si>
  <si>
    <t xml:space="preserve">Native/ARIA/data props, class, style, slot, icon-only metadata, ref, asChild, and render composition are preserved</t>
  </si>
  <si>
    <t xml:space="preserve">TOG-07</t>
  </si>
  <si>
    <t xml:space="preserve">Solid, soft, outline, and ghost variants; sm/md/lg sizes; rounded/pill shapes; and icon-only geometry form closed recipes without tone or arbitrary radius</t>
  </si>
  <si>
    <t xml:space="preserve">TOG-08</t>
  </si>
  <si>
    <t xml:space="preserve">States</t>
  </si>
  <si>
    <t xml:space="preserve">Rest, hover, active, focus-visible, selected, disabled, and selected-disabled recipes use semantic tokens and preserve native disabled behavior</t>
  </si>
  <si>
    <t xml:space="preserve">tests/toggle.spec.ts</t>
  </si>
  <si>
    <t xml:space="preserve">TOG-09</t>
  </si>
  <si>
    <t xml:space="preserve">ToggleGroup.Root</t>
  </si>
  <si>
    <t xml:space="preserve">Root emits a named role=group with stable class/slot, separated horizontal layout, soft/md/rounded defaults, and no extra behavior layer</t>
  </si>
  <si>
    <t xml:space="preserve">TOG-10</t>
  </si>
  <si>
    <t xml:space="preserve">Selection</t>
  </si>
  <si>
    <t xml:space="preserve">Discriminated single string and multiple string-array contracts forward controlled/uncontrolled values and narrowed callbacks without a second store</t>
  </si>
  <si>
    <t xml:space="preserve">TOG-11</t>
  </si>
  <si>
    <t xml:space="preserve">ToggleGroup.Item</t>
  </si>
  <si>
    <t xml:space="preserve">Item requires value, emits native pressed button metadata, preserves disabled/native/composition/ref paths, and exposes only item iconOnly presentation</t>
  </si>
  <si>
    <t xml:space="preserve">TOG-12</t>
  </si>
  <si>
    <t xml:space="preserve">Keyboard</t>
  </si>
  <si>
    <t xml:space="preserve">ToggleGroup</t>
  </si>
  <si>
    <t xml:space="preserve">One roving Tab stop plus Arrow, Home, End, looping, activation, and disabled-item skipping remain Atom-owned and pass in real browsers</t>
  </si>
  <si>
    <t xml:space="preserve">TOG-13</t>
  </si>
  <si>
    <t xml:space="preserve">Direction</t>
  </si>
  <si>
    <t xml:space="preserve">Horizontal/vertical orientation metadata drives layout and Atom mirrors horizontal Arrow navigation in RTL</t>
  </si>
  <si>
    <t xml:space="preserve">TOG-14</t>
  </si>
  <si>
    <t xml:space="preserve">Separated default preserves inter-item gap and natural wrapping for localized multiple filter pills</t>
  </si>
  <si>
    <t xml:space="preserve">TOG-15</t>
  </si>
  <si>
    <t xml:space="preserve">Attached horizontal and vertical groups collapse adjacent borders and apply logical outer radii for rounded and pill shapes</t>
  </si>
  <si>
    <t xml:space="preserve">TOG-16</t>
  </si>
  <si>
    <t xml:space="preserve">Layout</t>
  </si>
  <si>
    <t xml:space="preserve">fullWidth fills available inline size and distributes items without changing Atom selection behavior</t>
  </si>
  <si>
    <t xml:space="preserve">TOG-17</t>
  </si>
  <si>
    <t xml:space="preserve">Stable visible or explicit icon labels, group naming, aria-pressed, disabled state, and controlled required-view handling preserve understandable semantics</t>
  </si>
  <si>
    <t xml:space="preserve">TOG-18</t>
  </si>
  <si>
    <t xml:space="preserve">Compiled layered CSS uses Brick classes, logical properties, semantic tokens, and documented --brick-toggle variables without global leakage</t>
  </si>
  <si>
    <t xml:space="preserve">../src/components/toggle/toggle.css</t>
  </si>
  <si>
    <t xml:space="preserve">TOG-19</t>
  </si>
  <si>
    <t xml:space="preserve">Reviewed light/dark baselines preserve neutral rest, accent selected hierarchy, sizes, shapes, and attached/separated group geometry</t>
  </si>
  <si>
    <t xml:space="preserve">TOG-20</t>
  </si>
  <si>
    <t xml:space="preserve">Forced-colors emulation preserves explicit selected, disabled, border, and focus boundaries without color-only state</t>
  </si>
  <si>
    <t xml:space="preserve">TOG-21</t>
  </si>
  <si>
    <t xml:space="preserve">Responsive</t>
  </si>
  <si>
    <t xml:space="preserve">Constrained mobile, long unbroken/localized labels, wrapping, mixed direction, and RTL remain contained without document overflow</t>
  </si>
  <si>
    <t xml:space="preserve">TOG-22</t>
  </si>
  <si>
    <t xml:space="preserve">Root class, style, slot, scoped appearance, group variables, and component-token overrides remain local and inspectable</t>
  </si>
  <si>
    <t xml:space="preserve">TOG-23</t>
  </si>
  <si>
    <t xml:space="preserve">The /toggle workbench exposes overview, complete standalone recipes, sizes/shapes/icons, attached single, separated multiple, vertical/disabled, customization, mobile stress, and RTL</t>
  </si>
  <si>
    <t xml:space="preserve">TOG-24</t>
  </si>
  <si>
    <t xml:space="preserve">Vitest and Testing Library cover defaults, recipes, activation, callbacks, native props, refs, disabled paths, composition, and discriminated values</t>
  </si>
  <si>
    <t xml:space="preserve">TOG-25</t>
  </si>
  <si>
    <t xml:space="preserve">Public root/subpath types accept supported contracts and reject standalone value, tone, invalid recipes, mismatched multiple values, item recipe overrides, and callable Group</t>
  </si>
  <si>
    <t xml:space="preserve">TOG-26</t>
  </si>
  <si>
    <t xml:space="preserve">Node package boundary, export identity, stylesheet, declarations, deterministic SSR, and dry-pack checks include both public subpaths</t>
  </si>
  <si>
    <t xml:space="preserve">TOG-27</t>
  </si>
  <si>
    <t xml:space="preserve">Clean packed React 18/19 consumers import root/subpath identities, SSR-render Toggle and ToggleGroup, typecheck, and load compiled CSS</t>
  </si>
  <si>
    <t xml:space="preserve">TOG-28</t>
  </si>
  <si>
    <t xml:space="preserve">Strict typecheck, production build, CSS report, and 100% Brick component-source line coverage pass</t>
  </si>
  <si>
    <t xml:space="preserve">TOG-29</t>
  </si>
  <si>
    <t xml:space="preserve">Seven focused browser checks cover standalone activation, recipes, single/multiple state, roving focus, disabled behavior, mobile/RTL, axe, and forced colors</t>
  </si>
  <si>
    <t xml:space="preserve">TOG-30</t>
  </si>
  <si>
    <t xml:space="preserve">Canonical Toggle route has no automatically detectable axe violations</t>
  </si>
  <si>
    <t xml:space="preserve">TOG-31</t>
  </si>
  <si>
    <t xml:space="preserve">Seven reviewed Chromium baselines cover recipes, sizes/shapes, attached single, dark standalone/multiple, mobile RTL stress, and forced colors</t>
  </si>
  <si>
    <t xml:space="preserve">TOG-32</t>
  </si>
  <si>
    <t xml:space="preserve">Chromium, Firefox, WebKit, Pixel, and iPhone focused release-matrix checks pass where applicable</t>
  </si>
  <si>
    <t xml:space="preserve">TOG-33</t>
  </si>
  <si>
    <t xml:space="preserve">Numbered Toggle protocol covers hierarchy, activation, keyboard/roving focus, selection modes, geometry, zoom/mobile/RTL, VoiceOver, preferences, and customization</t>
  </si>
  <si>
    <t xml:space="preserve">manual-tests/toggle.md</t>
  </si>
  <si>
    <t xml:space="preserve">TOG-34</t>
  </si>
  <si>
    <t xml:space="preserve">Latest owner run records every numbered Toggle and ToggleGroup result and corrects any finding before package completion</t>
  </si>
  <si>
    <t xml:space="preserve">TOG-35</t>
  </si>
  <si>
    <t xml:space="preserve">Public Toggle guide covers role boundaries, stable labels, behavior/native/ref contract, visual API, accessibility, CSS hooks, and preferences</t>
  </si>
  <si>
    <t xml:space="preserve">../docs/components/toggle/README.md</t>
  </si>
  <si>
    <t xml:space="preserve">TOG-36</t>
  </si>
  <si>
    <t xml:space="preserve">Public ToggleGroup guide and both changelogs cover discriminated selection, naming, keyboard, separated/attached/full-width geometry, ownership, and evidence</t>
  </si>
  <si>
    <t xml:space="preserve">../docs/components/toggle-group/README.md</t>
  </si>
  <si>
    <t xml:space="preserve">TOG-37</t>
  </si>
  <si>
    <t xml:space="preserve">Independent Consumer uses public Toggle and ToggleGroup subpaths for appearance and Cards/List view and passes production, boundary, desktop/mobile, state, layout, and axe checks</t>
  </si>
  <si>
    <t xml:space="preserve">TOG-38</t>
  </si>
  <si>
    <t xml:space="preserve">Legacy Toggle family</t>
  </si>
  <si>
    <t xml:space="preserve">Fresh searches found no live dependents; Core Toggle/ToggleGroup sources and input-barrel exports are removed and Core builds</t>
  </si>
  <si>
    <t xml:space="preserve">TOG-39</t>
  </si>
  <si>
    <t xml:space="preserve">Tone, generic Chip/Tag, required single-selection behavior, item-level recipe overrides, navigation, disclosure, and form-setting semantics remain deliberately excluded</t>
  </si>
  <si>
    <t xml:space="preserve">IconButton Evidence Matrix</t>
  </si>
  <si>
    <t xml:space="preserve">Evidence gates for the adopted IconButton API, Atom-owned action/link behavior, package proof, Consumer integration, and non-applicable legacy slice retirement.</t>
  </si>
  <si>
    <t xml:space="preserve">ICB-01</t>
  </si>
  <si>
    <t xml:space="preserve">IconButton directly styles public Atom 0.3.3 Button.Root without Core, framework, or local behavior state</t>
  </si>
  <si>
    <t xml:space="preserve">../src/components/icon-button/IconButton.tsx</t>
  </si>
  <si>
    <t xml:space="preserve">ICB-02</t>
  </si>
  <si>
    <t xml:space="preserve">Owner-approved audit confirms IconButton is an icon-only Button specialization and no separate IconLink is required</t>
  </si>
  <si>
    <t xml:space="preserve">../../docs/icon-button-component-brief.md</t>
  </si>
  <si>
    <t xml:space="preserve">ICB-03</t>
  </si>
  <si>
    <t xml:space="preserve">Root and icon-button subpath exports, declarations, direct component, closed recipes, and inherited native contracts match the adopted brief</t>
  </si>
  <si>
    <t xml:space="preserve">ICB-04</t>
  </si>
  <si>
    <t xml:space="preserve">Shortest action emits one native button with stable class/slot and ghost/neutral/md/rounded defaults</t>
  </si>
  <si>
    <t xml:space="preserve">../test/components/icon-button-app-bar.test.tsx</t>
  </si>
  <si>
    <t xml:space="preserve">ICB-05</t>
  </si>
  <si>
    <t xml:space="preserve">Semantics</t>
  </si>
  <si>
    <t xml:space="preserve">Every icon-only action requires an accessible name supplied by aria-label or aria-labelledby</t>
  </si>
  <si>
    <t xml:space="preserve">tests/icon-button-app-bar.spec.ts</t>
  </si>
  <si>
    <t xml:space="preserve">ICB-06</t>
  </si>
  <si>
    <t xml:space="preserve">Navigation</t>
  </si>
  <si>
    <t xml:space="preserve">href renders a genuine anchor and preserves target plus safe rel behavior through Atom Button</t>
  </si>
  <si>
    <t xml:space="preserve">ICB-07</t>
  </si>
  <si>
    <t xml:space="preserve">Pointer, keyboard, onPress, disabled, loading, native props, composition, and refs remain Atom-owned</t>
  </si>
  <si>
    <t xml:space="preserve">ICB-08</t>
  </si>
  <si>
    <t xml:space="preserve">Solid, soft, outline, and ghost variants form a closed presentation matrix</t>
  </si>
  <si>
    <t xml:space="preserve">ICB-09</t>
  </si>
  <si>
    <t xml:space="preserve">Neutral, accent, info, success, warning, and danger tones use semantic Brick tokens</t>
  </si>
  <si>
    <t xml:space="preserve">ICB-10</t>
  </si>
  <si>
    <t xml:space="preserve">xs through xl sizes retain square hit geometry and rounded/circle shapes without arbitrary radius</t>
  </si>
  <si>
    <t xml:space="preserve">ICB-11</t>
  </si>
  <si>
    <t xml:space="preserve">Icon</t>
  </si>
  <si>
    <t xml:space="preserve">The visual icon is presentation-only while the control name remains on the interactive element</t>
  </si>
  <si>
    <t xml:space="preserve">ICB-12</t>
  </si>
  <si>
    <t xml:space="preserve">Rest, hover, active, focus-visible, disabled, and loading recipes remain visibly distinct</t>
  </si>
  <si>
    <t xml:space="preserve">ICB-13</t>
  </si>
  <si>
    <t xml:space="preserve">Loading retains the accessible name, exposes Atom busy state, and replaces only the visual icon with a spinner</t>
  </si>
  <si>
    <t xml:space="preserve">ICB-14</t>
  </si>
  <si>
    <t xml:space="preserve">Focus visibility, native disabled semantics, link semantics, and named controls pass real-browser and axe checks</t>
  </si>
  <si>
    <t xml:space="preserve">ICB-15</t>
  </si>
  <si>
    <t xml:space="preserve">Appearance</t>
  </si>
  <si>
    <t xml:space="preserve">Reviewed light and dark baselines preserve hierarchy and icon contrast across variants and tones</t>
  </si>
  <si>
    <t xml:space="preserve">ICB-16</t>
  </si>
  <si>
    <t xml:space="preserve">Preferences</t>
  </si>
  <si>
    <t xml:space="preserve">Forced-colors preserves boundaries and loading indication; reduced-motion slows spinner animation</t>
  </si>
  <si>
    <t xml:space="preserve">ICB-17</t>
  </si>
  <si>
    <t xml:space="preserve">Narrow mobile and RTL stress examples remain contained without changing square control geometry</t>
  </si>
  <si>
    <t xml:space="preserve">ICB-18</t>
  </si>
  <si>
    <t xml:space="preserve">class, style, slot, scoped appearance, and documented component variables remain local and inspectable</t>
  </si>
  <si>
    <t xml:space="preserve">ICB-19</t>
  </si>
  <si>
    <t xml:space="preserve">Compiled layered CSS uses Brick classes, logical properties, semantic tokens, and no global leakage</t>
  </si>
  <si>
    <t xml:space="preserve">../src/components/icon-button/icon-button.css</t>
  </si>
  <si>
    <t xml:space="preserve">ICB-20</t>
  </si>
  <si>
    <t xml:space="preserve">The /icon-button workbench exposes overview, variants, tones, sizes, shapes, disabled/loading/link states, mobile stress, and RTL</t>
  </si>
  <si>
    <t xml:space="preserve">ICB-21</t>
  </si>
  <si>
    <t xml:space="preserve">Vitest covers defaults, recipes, links, events, disabled/loading behavior, composition, and refs</t>
  </si>
  <si>
    <t xml:space="preserve">ICB-22</t>
  </si>
  <si>
    <t xml:space="preserve">Public root/subpath types accept supported contracts and reject invalid variants, tones, sizes, and shapes</t>
  </si>
  <si>
    <t xml:space="preserve">ICB-23</t>
  </si>
  <si>
    <t xml:space="preserve">Node boundary, export identity, stylesheet, declarations, SSR, and dry-pack checks include the icon-button subpath</t>
  </si>
  <si>
    <t xml:space="preserve">ICB-24</t>
  </si>
  <si>
    <t xml:space="preserve">Clean packed React 18/19 consumers import, SSR-render, typecheck, and load IconButton CSS</t>
  </si>
  <si>
    <t xml:space="preserve">ICB-25</t>
  </si>
  <si>
    <t xml:space="preserve">Strict typecheck, production build, CSS report, and 100% component-source coverage pass</t>
  </si>
  <si>
    <t xml:space="preserve">ICB-26</t>
  </si>
  <si>
    <t xml:space="preserve">Focused browser checks cover action/link semantics, recipes, inactive states, mobile/RTL, axe, and forced colors</t>
  </si>
  <si>
    <t xml:space="preserve">ICB-27</t>
  </si>
  <si>
    <t xml:space="preserve">Chromium, Firefox, WebKit, Pixel, and iPhone release-matrix checks pass where applicable</t>
  </si>
  <si>
    <t xml:space="preserve">ICB-28</t>
  </si>
  <si>
    <t xml:space="preserve">Four reviewed Chromium baselines cover variants, dark tones, forced-colors states, and mobile RTL stress</t>
  </si>
  <si>
    <t xml:space="preserve">ICB-29</t>
  </si>
  <si>
    <t xml:space="preserve">Numbered protocol covers semantics, pointer/keyboard, link, recipes, states, zoom/mobile/RTL, VoiceOver, preferences, and customization</t>
  </si>
  <si>
    <t xml:space="preserve">manual-tests/icon-button.md</t>
  </si>
  <si>
    <t xml:space="preserve">ICB-30</t>
  </si>
  <si>
    <t xml:space="preserve">Latest owner run records every numbered IconButton result and corrects any finding before package completion</t>
  </si>
  <si>
    <t xml:space="preserve">ICB-31</t>
  </si>
  <si>
    <t xml:space="preserve">Public guide covers naming, action/link routing, Atom-owned behavior, recipes, accessibility, CSS hooks, and preferences</t>
  </si>
  <si>
    <t xml:space="preserve">../docs/components/icon-button/README.md</t>
  </si>
  <si>
    <t xml:space="preserve">ICB-32</t>
  </si>
  <si>
    <t xml:space="preserve">Component changelog records the initial public contract and evidence boundary</t>
  </si>
  <si>
    <t xml:space="preserve">../docs/components/icon-button/CHANGELOG.md</t>
  </si>
  <si>
    <t xml:space="preserve">ICB-33</t>
  </si>
  <si>
    <t xml:space="preserve">Independent Consumer uses the public icon-button subpath for a real AppBar anchor action</t>
  </si>
  <si>
    <t xml:space="preserve">../../../../apps/brick-consumer/src/App.tsx</t>
  </si>
  <si>
    <t xml:space="preserve">ICB-34</t>
  </si>
  <si>
    <t xml:space="preserve">Consumer boundary, production, desktop/mobile, layout, state, and axe gates pass with IconButton integration</t>
  </si>
  <si>
    <t xml:space="preserve">ICB-35</t>
  </si>
  <si>
    <t xml:space="preserve">Legacy icon-only styling</t>
  </si>
  <si>
    <t xml:space="preserve">Core has no standalone IconButton slice; deleting shared Button iconOnly support is outside this component's authority</t>
  </si>
  <si>
    <t xml:space="preserve">No standalone legacy component exists; shared Button dependencies remain</t>
  </si>
  <si>
    <t xml:space="preserve">ICB-36</t>
  </si>
  <si>
    <t xml:space="preserve">Toggle state, disclosure, tooltip generation, badges, arbitrary children, and application navigation policy remain excluded</t>
  </si>
  <si>
    <t xml:space="preserve">ICB-37</t>
  </si>
  <si>
    <t xml:space="preserve">Package</t>
  </si>
  <si>
    <t xml:space="preserve">Package metadata publishes the icon-button subpath and compiled CSS through stable public entrypoints</t>
  </si>
  <si>
    <t xml:space="preserve">../package.json</t>
  </si>
  <si>
    <t xml:space="preserve">ICB-38</t>
  </si>
  <si>
    <t xml:space="preserve">Integration</t>
  </si>
  <si>
    <t xml:space="preserve">AppBar composes the public IconButton rather than reproducing icon-only Button styling</t>
  </si>
  <si>
    <t xml:space="preserve">ICB-39</t>
  </si>
  <si>
    <t xml:space="preserve">Decision</t>
  </si>
  <si>
    <t xml:space="preserve">No Atom release is required because released Button behavior already satisfies the complete contract</t>
  </si>
  <si>
    <t xml:space="preserve">../../docs/icon-button-component-research.md</t>
  </si>
  <si>
    <t xml:space="preserve">AppBar Evidence Matrix</t>
  </si>
  <si>
    <t xml:space="preserve">Evidence gates for the adopted compound AppBar API, positioning/layout contract, package proof, Consumer cutover, and completed Core retirement.</t>
  </si>
  <si>
    <t xml:space="preserve">APB-01</t>
  </si>
  <si>
    <t xml:space="preserve">AppBar.Root</t>
  </si>
  <si>
    <t xml:space="preserve">Root directly styles public Atom 0.3.3 AppBar.Root without Core, framework, scroll listeners, or local behavior state</t>
  </si>
  <si>
    <t xml:space="preserve">../src/components/app-bar/AppBar.tsx</t>
  </si>
  <si>
    <t xml:space="preserve">APB-02</t>
  </si>
  <si>
    <t xml:space="preserve">Owner-approved audit defines AppBar as a top surface and one-row alignment structure rather than application navigation policy</t>
  </si>
  <si>
    <t xml:space="preserve">../../docs/app-bar-component-brief.md</t>
  </si>
  <si>
    <t xml:space="preserve">APB-03</t>
  </si>
  <si>
    <t xml:space="preserve">Root and app-bar subpath exports, declarations, exact frozen namespace, named parts, and closed unions match the adopted brief</t>
  </si>
  <si>
    <t xml:space="preserve">APB-04</t>
  </si>
  <si>
    <t xml:space="preserve">The namespace exposes exactly Root, Toolbar, Start, Center, and End and is not callable</t>
  </si>
  <si>
    <t xml:space="preserve">APB-05</t>
  </si>
  <si>
    <t xml:space="preserve">Shortest root emits a header landmark with stable class/slot and surface/static defaults</t>
  </si>
  <si>
    <t xml:space="preserve">APB-06</t>
  </si>
  <si>
    <t xml:space="preserve">AppBar.Toolbar</t>
  </si>
  <si>
    <t xml:space="preserve">Toolbar is a layout wrapper without an invented ARIA toolbar role and forwards compact/comfortable density</t>
  </si>
  <si>
    <t xml:space="preserve">APB-07</t>
  </si>
  <si>
    <t xml:space="preserve">AppBar.Start</t>
  </si>
  <si>
    <t xml:space="preserve">Start supplies the logical leading region with stable class and slot metadata</t>
  </si>
  <si>
    <t xml:space="preserve">APB-08</t>
  </si>
  <si>
    <t xml:space="preserve">AppBar.Center</t>
  </si>
  <si>
    <t xml:space="preserve">Center supplies the flexible middle region while application CSS may hide or replace navigation responsively</t>
  </si>
  <si>
    <t xml:space="preserve">APB-09</t>
  </si>
  <si>
    <t xml:space="preserve">AppBar.End</t>
  </si>
  <si>
    <t xml:space="preserve">End supplies the logical trailing action region with stable class and slot metadata</t>
  </si>
  <si>
    <t xml:space="preserve">APB-10</t>
  </si>
  <si>
    <t xml:space="preserve">Position</t>
  </si>
  <si>
    <t xml:space="preserve">Static remains the safe default and participates in normal document flow</t>
  </si>
  <si>
    <t xml:space="preserve">APB-11</t>
  </si>
  <si>
    <t xml:space="preserve">Absolute positions to the containing block while the application owns containment and offsets</t>
  </si>
  <si>
    <t xml:space="preserve">APB-12</t>
  </si>
  <si>
    <t xml:space="preserve">Sticky pins to the logical top within its scroll container</t>
  </si>
  <si>
    <t xml:space="preserve">APB-13</t>
  </si>
  <si>
    <t xml:space="preserve">Fixed pins to the viewport while the application explicitly owns content offset</t>
  </si>
  <si>
    <t xml:space="preserve">APB-14</t>
  </si>
  <si>
    <t xml:space="preserve">Solid, surface, and transparent variants form a closed background hierarchy</t>
  </si>
  <si>
    <t xml:space="preserve">APB-15</t>
  </si>
  <si>
    <t xml:space="preserve">Bordered, elevated, and blurred options compose independently without scroll-driven behavior</t>
  </si>
  <si>
    <t xml:space="preserve">APB-16</t>
  </si>
  <si>
    <t xml:space="preserve">Compact and comfortable densities preserve a deliberate one-row alignment contract</t>
  </si>
  <si>
    <t xml:space="preserve">APB-17</t>
  </si>
  <si>
    <t xml:space="preserve">Brand, links, Avatar, IconButton, and Toggle remain ordinary application-owned children</t>
  </si>
  <si>
    <t xml:space="preserve">APB-18</t>
  </si>
  <si>
    <t xml:space="preserve">Long brand text, narrow mobile layouts, hidden center policy, and RTL remain contained without forced second-row wrapping</t>
  </si>
  <si>
    <t xml:space="preserve">APB-19</t>
  </si>
  <si>
    <t xml:space="preserve">Logical Start/End alignment mirrors in RTL without reversing application content semantics</t>
  </si>
  <si>
    <t xml:space="preserve">APB-20</t>
  </si>
  <si>
    <t xml:space="preserve">Landmark labeling, ordinary navigation semantics, named controls, and axe checks pass without invented interaction roles</t>
  </si>
  <si>
    <t xml:space="preserve">APB-21</t>
  </si>
  <si>
    <t xml:space="preserve">Forced-colors preserves surface and action boundaries and blur degrades safely</t>
  </si>
  <si>
    <t xml:space="preserve">APB-22</t>
  </si>
  <si>
    <t xml:space="preserve">Root/part class, style, slot, scoped appearance, and documented component variables remain local and inspectable</t>
  </si>
  <si>
    <t xml:space="preserve">APB-23</t>
  </si>
  <si>
    <t xml:space="preserve">Compiled layered CSS uses Brick classes, logical properties, semantic tokens, and no global page-offset rules</t>
  </si>
  <si>
    <t xml:space="preserve">../src/components/app-bar/app-bar.css</t>
  </si>
  <si>
    <t xml:space="preserve">APB-24</t>
  </si>
  <si>
    <t xml:space="preserve">The /app-bar workbench exposes overview, variants, density, options, all position modes, mobile stress, and RTL</t>
  </si>
  <si>
    <t xml:space="preserve">APB-25</t>
  </si>
  <si>
    <t xml:space="preserve">Vitest covers exact anatomy, defaults, props, refs, composition, positions, variants, and options</t>
  </si>
  <si>
    <t xml:space="preserve">APB-26</t>
  </si>
  <si>
    <t xml:space="preserve">Public root/subpath types accept supported contracts and reject invalid variants, positions, density, and callable namespace use</t>
  </si>
  <si>
    <t xml:space="preserve">APB-27</t>
  </si>
  <si>
    <t xml:space="preserve">Node boundary, export identity, stylesheet, declarations, deterministic SSR, and dry-pack checks include app-bar</t>
  </si>
  <si>
    <t xml:space="preserve">APB-28</t>
  </si>
  <si>
    <t xml:space="preserve">Clean packed React 18/19 consumers import, SSR-render, typecheck, and load AppBar CSS</t>
  </si>
  <si>
    <t xml:space="preserve">APB-29</t>
  </si>
  <si>
    <t xml:space="preserve">APB-30</t>
  </si>
  <si>
    <t xml:space="preserve">Focused browser checks cover anatomy, positions, responsive/RTL containment, axe, and forced colors</t>
  </si>
  <si>
    <t xml:space="preserve">APB-31</t>
  </si>
  <si>
    <t xml:space="preserve">APB-32</t>
  </si>
  <si>
    <t xml:space="preserve">Four reviewed Chromium baselines cover light variants, dark options, mobile/RTL stress, and forced-colors density</t>
  </si>
  <si>
    <t xml:space="preserve">APB-33</t>
  </si>
  <si>
    <t xml:space="preserve">Numbered protocol covers hierarchy, anatomy, positions, keyboard/landmarks, zoom/mobile/RTL, VoiceOver, preferences, and customization</t>
  </si>
  <si>
    <t xml:space="preserve">manual-tests/app-bar.md</t>
  </si>
  <si>
    <t xml:space="preserve">APB-34</t>
  </si>
  <si>
    <t xml:space="preserve">Latest owner run records every numbered AppBar result and corrects any finding before package completion</t>
  </si>
  <si>
    <t xml:space="preserve">APB-35</t>
  </si>
  <si>
    <t xml:space="preserve">Public guide covers scope, exact anatomy, positions, fixed-offset ownership, responsive policy, semantics, CSS hooks, and preferences</t>
  </si>
  <si>
    <t xml:space="preserve">../docs/components/app-bar/README.md</t>
  </si>
  <si>
    <t xml:space="preserve">APB-36</t>
  </si>
  <si>
    <t xml:space="preserve">../docs/components/app-bar/CHANGELOG.md</t>
  </si>
  <si>
    <t xml:space="preserve">APB-37</t>
  </si>
  <si>
    <t xml:space="preserve">Independent Consumer uses public AppBar/IconButton subpaths for a sticky application header after correcting unrelated layout regressions</t>
  </si>
  <si>
    <t xml:space="preserve">APB-38</t>
  </si>
  <si>
    <t xml:space="preserve">Legacy AppBar</t>
  </si>
  <si>
    <t xml:space="preserve">Fresh searches found no live Core dependents; legacy AppBar sources and navigation-barrel export are removed and Core builds</t>
  </si>
  <si>
    <t xml:space="preserve">APB-39</t>
  </si>
  <si>
    <t xml:space="preserve">Automatic hide/elevate-on-scroll, generated navigation, responsive overflow menus, page offsets, and app-shell orchestration remain excluded</t>
  </si>
  <si>
    <t xml:space="preserve">Tooltip Evidence Matrix</t>
  </si>
  <si>
    <t xml:space="preserve">Evidence gates for the adopted eight-part Tooltip API, Atom 0.3.5 behavior boundary, package proof, Consumer cutover, manual review, and blocked Core retirement.</t>
  </si>
  <si>
    <t xml:space="preserve">TTP-01</t>
  </si>
  <si>
    <t xml:space="preserve">Directly styles public Atom 0.3.5 Tooltip without Core or local behavior</t>
  </si>
  <si>
    <t xml:space="preserve">../src/components/tooltip/Tooltip.tsx</t>
  </si>
  <si>
    <t xml:space="preserve">TTP-02</t>
  </si>
  <si>
    <t xml:space="preserve">Owner-adopted brief defines supplemental non-interactive plain and rich content</t>
  </si>
  <si>
    <t xml:space="preserve">../../docs/tooltip-component-brief.md</t>
  </si>
  <si>
    <t xml:space="preserve">TTP-03</t>
  </si>
  <si>
    <t xml:space="preserve">Exports</t>
  </si>
  <si>
    <t xml:space="preserve">Root and tooltip subpath exports and declarations match the adopted brief</t>
  </si>
  <si>
    <t xml:space="preserve">TTP-04</t>
  </si>
  <si>
    <t xml:space="preserve">Frozen namespace exposes exactly eight parts and is not callable</t>
  </si>
  <si>
    <t xml:space="preserve">../test/components/tooltip.test.tsx</t>
  </si>
  <si>
    <t xml:space="preserve">TTP-05</t>
  </si>
  <si>
    <t xml:space="preserve">Provider</t>
  </si>
  <si>
    <t xml:space="preserve">Provider forwards shared timing policy and renders no Brick wrapper</t>
  </si>
  <si>
    <t xml:space="preserve">TTP-06</t>
  </si>
  <si>
    <t xml:space="preserve">Root forwards state, delays, disabled, and plain/rich variant</t>
  </si>
  <si>
    <t xml:space="preserve">TTP-07</t>
  </si>
  <si>
    <t xml:space="preserve">Trigger supports asChild/render, ref, class, style, and stable slot</t>
  </si>
  <si>
    <t xml:space="preserve">TTP-08</t>
  </si>
  <si>
    <t xml:space="preserve">Portal forwards Atom container/disabled behavior without wrapper</t>
  </si>
  <si>
    <t xml:space="preserve">TTP-09</t>
  </si>
  <si>
    <t xml:space="preserve">Content owns stable hooks, defaults sideOffset to 8, and omits label overrides</t>
  </si>
  <si>
    <t xml:space="preserve">TTP-10</t>
  </si>
  <si>
    <t xml:space="preserve">Rich title is presentational, composable, native-prop and ref capable</t>
  </si>
  <si>
    <t xml:space="preserve">TTP-11</t>
  </si>
  <si>
    <t xml:space="preserve">Rich description is presentational, composable, native-prop and ref capable</t>
  </si>
  <si>
    <t xml:space="preserve">TTP-12</t>
  </si>
  <si>
    <t xml:space="preserve">Arrow</t>
  </si>
  <si>
    <t xml:space="preserve">Optional arrow forwards Atom geometry/composition with stable shared hook</t>
  </si>
  <si>
    <t xml:space="preserve">TTP-13</t>
  </si>
  <si>
    <t xml:space="preserve">Trigger retains an independent accessible name and Tooltip remains supplemental</t>
  </si>
  <si>
    <t xml:space="preserve">browser</t>
  </si>
  <si>
    <t xml:space="preserve">tests/tooltip.spec.ts</t>
  </si>
  <si>
    <t xml:space="preserve">TTP-14</t>
  </si>
  <si>
    <t xml:space="preserve">Plain and rich content remain non-interactive role=tooltip descriptions</t>
  </si>
  <si>
    <t xml:space="preserve">TTP-15</t>
  </si>
  <si>
    <t xml:space="preserve">Keyboard focus opens and Escape closes without moving trigger focus</t>
  </si>
  <si>
    <t xml:space="preserve">TTP-16</t>
  </si>
  <si>
    <t xml:space="preserve">Hover bridge, delays, pointer grace, and provider skip-delay match Atom 0.3.5</t>
  </si>
  <si>
    <t xml:space="preserve">manual-tests/tooltip.md</t>
  </si>
  <si>
    <t xml:space="preserve">TTP-17</t>
  </si>
  <si>
    <t xml:space="preserve">Touch</t>
  </si>
  <si>
    <t xml:space="preserve">Quick tap, deliberate hold, text selection prevention, release/outside/scroll dismissal pass on iPhone Safari</t>
  </si>
  <si>
    <t xml:space="preserve">TTP-18</t>
  </si>
  <si>
    <t xml:space="preserve">Android Chrome touch behavior matches the adopted mobile contract</t>
  </si>
  <si>
    <t xml:space="preserve">Android Chrome device unavailable; iPhone Safari passed published Atom 0.6.1 touch contract</t>
  </si>
  <si>
    <t xml:space="preserve">TTP-19</t>
  </si>
  <si>
    <t xml:space="preserve">Plain neutral inverse recipe is visually approved in light and dark</t>
  </si>
  <si>
    <t xml:space="preserve">/tooltip</t>
  </si>
  <si>
    <t xml:space="preserve">TTP-20</t>
  </si>
  <si>
    <t xml:space="preserve">Rich title/description recipe is visually approved in light and dark</t>
  </si>
  <si>
    <t xml:space="preserve">TTP-21</t>
  </si>
  <si>
    <t xml:space="preserve">Shared floating-arrow geometry and fill/border alignment are approved</t>
  </si>
  <si>
    <t xml:space="preserve">TTP-22</t>
  </si>
  <si>
    <t xml:space="preserve">Placement</t>
  </si>
  <si>
    <t xml:space="preserve">Top/right/bottom/left positioning and collision-resolved arrow remain aligned</t>
  </si>
  <si>
    <t xml:space="preserve">TTP-23</t>
  </si>
  <si>
    <t xml:space="preserve">256px RTL layout remains within viewport without page overflow</t>
  </si>
  <si>
    <t xml:space="preserve">TTP-24</t>
  </si>
  <si>
    <t xml:space="preserve">200% and 400% zoom wrapping and reachability are approved</t>
  </si>
  <si>
    <t xml:space="preserve">TTP-25</t>
  </si>
  <si>
    <t xml:space="preserve">Localization</t>
  </si>
  <si>
    <t xml:space="preserve">Long localized content wraps within closed plain/rich maximum widths</t>
  </si>
  <si>
    <t xml:space="preserve">TTP-26</t>
  </si>
  <si>
    <t xml:space="preserve">RTL trigger, content, and logical text alignment are approved</t>
  </si>
  <si>
    <t xml:space="preserve">TTP-27</t>
  </si>
  <si>
    <t xml:space="preserve">Reduced-motion behavior and visible forced-colors boundary are approved</t>
  </si>
  <si>
    <t xml:space="preserve">Reduced motion passed; forced colors unavailable without a Windows device</t>
  </si>
  <si>
    <t xml:space="preserve">TTP-28</t>
  </si>
  <si>
    <t xml:space="preserve">Focused playground surface has no axe violations excluding portalled landmark best-practice</t>
  </si>
  <si>
    <t xml:space="preserve">axe</t>
  </si>
  <si>
    <t xml:space="preserve">TTP-29</t>
  </si>
  <si>
    <t xml:space="preserve">CSS</t>
  </si>
  <si>
    <t xml:space="preserve">Production CSS includes tooltip recipes, shared arrow primitive, tokens, RTL/reflow/preference rules</t>
  </si>
  <si>
    <t xml:space="preserve">TTP-30</t>
  </si>
  <si>
    <t xml:space="preserve">Packed metadata exposes tooltip subpath and exact Atom 0.3.5 dependency</t>
  </si>
  <si>
    <t xml:space="preserve">TTP-31</t>
  </si>
  <si>
    <t xml:space="preserve">Consumers</t>
  </si>
  <si>
    <t xml:space="preserve">Generated React 18 and React 19 package consumers import Tooltip and CSS</t>
  </si>
  <si>
    <t xml:space="preserve">TTP-32</t>
  </si>
  <si>
    <t xml:space="preserve">Docs</t>
  </si>
  <si>
    <t xml:space="preserve">Public guide documents use, anatomy, rich boundary, hooks, and imports</t>
  </si>
  <si>
    <t xml:space="preserve">../docs/components/tooltip/README.md</t>
  </si>
  <si>
    <t xml:space="preserve">TTP-33</t>
  </si>
  <si>
    <t xml:space="preserve">Component and package changelogs record the addition</t>
  </si>
  <si>
    <t xml:space="preserve">../docs/components/tooltip/CHANGELOG.md</t>
  </si>
  <si>
    <t xml:space="preserve">TTP-34</t>
  </si>
  <si>
    <t xml:space="preserve">Deterministic workbench covers overview, placement, rich, stress, mobile, and RTL</t>
  </si>
  <si>
    <t xml:space="preserve">Owner manual review intentionally deferred</t>
  </si>
  <si>
    <t xml:space="preserve">TTP-35</t>
  </si>
  <si>
    <t xml:space="preserve">Manual</t>
  </si>
  <si>
    <t xml:space="preserve">Numbered desktop/mobile protocol has a completed owner run</t>
  </si>
  <si>
    <t xml:space="preserve">TTP-36</t>
  </si>
  <si>
    <t xml:space="preserve">Brick Consumer uses Tooltip on two real AppBar controls via public subpath</t>
  </si>
  <si>
    <t xml:space="preserve">../../../apps/brick-consumer/src/App.tsx</t>
  </si>
  <si>
    <t xml:space="preserve">TTP-37</t>
  </si>
  <si>
    <t xml:space="preserve">Consumer build, package boundary, and focused browser interaction pass</t>
  </si>
  <si>
    <t xml:space="preserve">../../../apps/brick-consumer/tests/consumer.spec.ts</t>
  </si>
  <si>
    <t xml:space="preserve">TTP-38</t>
  </si>
  <si>
    <t xml:space="preserve">Core Tooltip</t>
  </si>
  <si>
    <t xml:space="preserve">Legacy Core Tooltip remains because Sidebar imports its callable API</t>
  </si>
  <si>
    <t xml:space="preserve">blocker</t>
  </si>
  <si>
    <t xml:space="preserve">Blocked by later Sidebar redesign and cutover</t>
  </si>
  <si>
    <t xml:space="preserve">TTP-39</t>
  </si>
  <si>
    <t xml:space="preserve">Release gate</t>
  </si>
  <si>
    <t xml:space="preserve">Package, Consumer, workbook, and owner manual evidence are complete</t>
  </si>
  <si>
    <t xml:space="preserve">gate</t>
  </si>
  <si>
    <t xml:space="preserve">component-coverage.xlsx</t>
  </si>
  <si>
    <t xml:space="preserve">HoverCard Evidence Matrix</t>
  </si>
  <si>
    <t xml:space="preserve">Evidence gates for the adopted five-part HoverCard API, Atom 0.3.5 behavior boundary, package proof, Consumer cutover, owner review, and gated Core retirement.</t>
  </si>
  <si>
    <t xml:space="preserve">HVC-01</t>
  </si>
  <si>
    <t xml:space="preserve">Directly styles public Atom 0.3.5 HoverCard without Core or local behavior</t>
  </si>
  <si>
    <t xml:space="preserve">../src/components/hover-card/HoverCard.tsx</t>
  </si>
  <si>
    <t xml:space="preserve">HVC-02</t>
  </si>
  <si>
    <t xml:space="preserve">Owner-adopted brief defines a genuine-link, non-interactive, nonessential preview</t>
  </si>
  <si>
    <t xml:space="preserve">../../docs/hover-card-component-brief.md</t>
  </si>
  <si>
    <t xml:space="preserve">HVC-03</t>
  </si>
  <si>
    <t xml:space="preserve">Root and hover-card subpath exports and declarations match the adopted brief</t>
  </si>
  <si>
    <t xml:space="preserve">HVC-04</t>
  </si>
  <si>
    <t xml:space="preserve">Frozen namespace exposes exactly five parts and is not callable</t>
  </si>
  <si>
    <t xml:space="preserve">../test/components/hover-card.test.tsx</t>
  </si>
  <si>
    <t xml:space="preserve">HVC-05</t>
  </si>
  <si>
    <t xml:space="preserve">Root forwards state, 700/300 delays, disabled, and children without DOM</t>
  </si>
  <si>
    <t xml:space="preserve">HVC-06</t>
  </si>
  <si>
    <t xml:space="preserve">Trigger preserves link semantics plus asChild/render, refs, classes, and slots</t>
  </si>
  <si>
    <t xml:space="preserve">HVC-07</t>
  </si>
  <si>
    <t xml:space="preserve">Portal forwards Atom container/disabled behavior without a wrapper</t>
  </si>
  <si>
    <t xml:space="preserve">HVC-08</t>
  </si>
  <si>
    <t xml:space="preserve">Content has stable hooks, default 8px offset, closed sizes, and no label override</t>
  </si>
  <si>
    <t xml:space="preserve">HVC-09</t>
  </si>
  <si>
    <t xml:space="preserve">Optional Arrow forwards Atom geometry, ref, native props, and stable shared hook</t>
  </si>
  <si>
    <t xml:space="preserve">HVC-10</t>
  </si>
  <si>
    <t xml:space="preserve">Canonical triggers are genuine named links with destinations independent of preview</t>
  </si>
  <si>
    <t xml:space="preserve">tests/hover-card.spec.ts</t>
  </si>
  <si>
    <t xml:space="preserve">HVC-11</t>
  </si>
  <si>
    <t xml:space="preserve">Content remains generic with no role, name, expanded state, or trigger relationship</t>
  </si>
  <si>
    <t xml:space="preserve">HVC-12</t>
  </si>
  <si>
    <t xml:space="preserve">Canonical examples contain no focusable or interactive descendants</t>
  </si>
  <si>
    <t xml:space="preserve">HVC-13</t>
  </si>
  <si>
    <t xml:space="preserve">Keyboard focus opens; Escape closes without moving trigger focus</t>
  </si>
  <si>
    <t xml:space="preserve">HVC-14</t>
  </si>
  <si>
    <t xml:space="preserve">Pointer bridge keeps Content open across Trigger-to-Content movement</t>
  </si>
  <si>
    <t xml:space="preserve">HVC-15</t>
  </si>
  <si>
    <t xml:space="preserve">Disabled state blocks preview and controlled/default timing examples remain available</t>
  </si>
  <si>
    <t xml:space="preserve">HVC-16</t>
  </si>
  <si>
    <t xml:space="preserve">700/300 timing, collision, portal modes, presence, scroll, and resize remain released Atom behavior</t>
  </si>
  <si>
    <t xml:space="preserve">dependency</t>
  </si>
  <si>
    <t xml:space="preserve">@flowstack-ui/atom@0.6.6</t>
  </si>
  <si>
    <t xml:space="preserve">HVC-17</t>
  </si>
  <si>
    <t xml:space="preserve">Physical iPhone Safari link activation works without preview reliance</t>
  </si>
  <si>
    <t xml:space="preserve">manual-tests/hover-card.md</t>
  </si>
  <si>
    <t xml:space="preserve">Link activation passed; intermittent touch preview opening remains a non-blocking Atom follow-up.</t>
  </si>
  <si>
    <t xml:space="preserve">HVC-18</t>
  </si>
  <si>
    <t xml:space="preserve">Physical Android Chrome link activation works without preview reliance</t>
  </si>
  <si>
    <t xml:space="preserve">No physical Android device was available for this owner run; automated mobile Chromium coverage passed.</t>
  </si>
  <si>
    <t xml:space="preserve">HVC-19</t>
  </si>
  <si>
    <t xml:space="preserve">Elevated surface hierarchy is approved in light and dark</t>
  </si>
  <si>
    <t xml:space="preserve">/hover-card</t>
  </si>
  <si>
    <t xml:space="preserve">HVC-20</t>
  </si>
  <si>
    <t xml:space="preserve">sm, md, and lg bounded widths are visually distinct and intentional</t>
  </si>
  <si>
    <t xml:space="preserve">HVC-21</t>
  </si>
  <si>
    <t xml:space="preserve">Shared Arrow fill, border, optional absence, and collision alignment are approved</t>
  </si>
  <si>
    <t xml:space="preserve">HVC-22</t>
  </si>
  <si>
    <t xml:space="preserve">256px RTL content remains within the viewport without page overflow</t>
  </si>
  <si>
    <t xml:space="preserve">HVC-23</t>
  </si>
  <si>
    <t xml:space="preserve">200% and 400% zoom wrapping, overflow, reachability, and trigger visibility pass</t>
  </si>
  <si>
    <t xml:space="preserve">HVC-24</t>
  </si>
  <si>
    <t xml:space="preserve">Long unbroken and localized content wraps within dynamic viewport bounds</t>
  </si>
  <si>
    <t xml:space="preserve">HVC-25</t>
  </si>
  <si>
    <t xml:space="preserve">RTL internal composition and logical collision alignment are approved</t>
  </si>
  <si>
    <t xml:space="preserve">HVC-26</t>
  </si>
  <si>
    <t xml:space="preserve">Reduced-motion behavior and forced-colors surface/Arrow boundaries are approved</t>
  </si>
  <si>
    <t xml:space="preserve">HVC-27</t>
  </si>
  <si>
    <t xml:space="preserve">Focused playground surface has no axe violations after portalled-region exception</t>
  </si>
  <si>
    <t xml:space="preserve">HVC-28</t>
  </si>
  <si>
    <t xml:space="preserve">Screen reader announces the complete link without popup state or preview promise</t>
  </si>
  <si>
    <t xml:space="preserve">HVC-29</t>
  </si>
  <si>
    <t xml:space="preserve">Production CSS includes bounded sizes, shared Arrow, reflow, motion, and forced-colors rules</t>
  </si>
  <si>
    <t xml:space="preserve">HVC-30</t>
  </si>
  <si>
    <t xml:space="preserve">Packed metadata exposes hover-card subpath and exact Atom 0.6.6 dependency</t>
  </si>
  <si>
    <t xml:space="preserve">HVC-31</t>
  </si>
  <si>
    <t xml:space="preserve">Generated React 18 and React 19 package consumers import HoverCard and CSS</t>
  </si>
  <si>
    <t xml:space="preserve">HVC-32</t>
  </si>
  <si>
    <t xml:space="preserve">SSR</t>
  </si>
  <si>
    <t xml:space="preserve">Genuine link Trigger renders server-safe without popup ARIA</t>
  </si>
  <si>
    <t xml:space="preserve">HVC-33</t>
  </si>
  <si>
    <t xml:space="preserve">Public guide documents use, anatomy, noninteractive rule, hooks, and imports</t>
  </si>
  <si>
    <t xml:space="preserve">../docs/components/hover-card/README.md</t>
  </si>
  <si>
    <t xml:space="preserve">HVC-34</t>
  </si>
  <si>
    <t xml:space="preserve">../docs/components/hover-card/CHANGELOG.md</t>
  </si>
  <si>
    <t xml:space="preserve">HVC-35</t>
  </si>
  <si>
    <t xml:space="preserve">Workbench covers sizes, placement, state, composition, stress, mobile, and RTL</t>
  </si>
  <si>
    <t xml:space="preserve">HVC-36</t>
  </si>
  <si>
    <t xml:space="preserve">HVC-37</t>
  </si>
  <si>
    <t xml:space="preserve">Brick Consumer uses a public-subpath collaborator link preview</t>
  </si>
  <si>
    <t xml:space="preserve">HVC-38</t>
  </si>
  <si>
    <t xml:space="preserve">Consumer build, boundary, focused interaction, and genuine-link activation pass</t>
  </si>
  <si>
    <t xml:space="preserve">HVC-39</t>
  </si>
  <si>
    <t xml:space="preserve">Core HoverCard</t>
  </si>
  <si>
    <t xml:space="preserve">Legacy Core HoverCard slice is retired after owner manual and final replacement gates pass</t>
  </si>
  <si>
    <t xml:space="preserve">Popover Evidence Matrix</t>
  </si>
  <si>
    <t xml:space="preserve">Evidence gates for the adopted twelve-part Popover API, Atom 0.6.10 behavior boundary, package proof, Consumer cutover, owner review, and Sidebar-blocked Core retirement.</t>
  </si>
  <si>
    <t xml:space="preserve">POP-01</t>
  </si>
  <si>
    <t xml:space="preserve">Directly styles public Atom 0.6.10 Popover without Core or local behavior workarounds</t>
  </si>
  <si>
    <t xml:space="preserve">../src/components/popover/Popover.tsx</t>
  </si>
  <si>
    <t xml:space="preserve">POP-02</t>
  </si>
  <si>
    <t xml:space="preserve">Owner-adopted brief defines intentional compact interactive anchored content</t>
  </si>
  <si>
    <t xml:space="preserve">../../docs/popover-component-brief.md</t>
  </si>
  <si>
    <t xml:space="preserve">POP-03</t>
  </si>
  <si>
    <t xml:space="preserve">Root and popover subpath exports and declarations match the adopted brief</t>
  </si>
  <si>
    <t xml:space="preserve">POP-04</t>
  </si>
  <si>
    <t xml:space="preserve">Frozen non-callable namespace exposes exactly the twelve adopted parts</t>
  </si>
  <si>
    <t xml:space="preserve">../test/components/popover.test.tsx</t>
  </si>
  <si>
    <t xml:space="preserve">POP-05</t>
  </si>
  <si>
    <t xml:space="preserve">Root forwards state, modal, dismissal, and disabled while rejecting hover mode and delays</t>
  </si>
  <si>
    <t xml:space="preserve">POP-06</t>
  </si>
  <si>
    <t xml:space="preserve">Anchor</t>
  </si>
  <si>
    <t xml:space="preserve">Anchor forwards Atom composition, native hooks, and ref for separate positioning</t>
  </si>
  <si>
    <t xml:space="preserve">POP-07</t>
  </si>
  <si>
    <t xml:space="preserve">Trigger preserves button semantics, composition, refs, classes, and slots</t>
  </si>
  <si>
    <t xml:space="preserve">POP-08</t>
  </si>
  <si>
    <t xml:space="preserve">Portal forwards Atom container and disabled modes without a wrapper</t>
  </si>
  <si>
    <t xml:space="preserve">POP-09</t>
  </si>
  <si>
    <t xml:space="preserve">Content forwards native ARIA/focus/placement, default 8px offset, hooks, refs, and closed sizes</t>
  </si>
  <si>
    <t xml:space="preserve">POP-10</t>
  </si>
  <si>
    <t xml:space="preserve">Header is presentational and supports native props, refs, asChild, render, class, style, and slot</t>
  </si>
  <si>
    <t xml:space="preserve">POP-11</t>
  </si>
  <si>
    <t xml:space="preserve">Direct Atom Title supplies a server-stable generated accessible name</t>
  </si>
  <si>
    <t xml:space="preserve">POP-12</t>
  </si>
  <si>
    <t xml:space="preserve">Direct Atom Description supplies a server-stable generated accessible description</t>
  </si>
  <si>
    <t xml:space="preserve">POP-13</t>
  </si>
  <si>
    <t xml:space="preserve">Body / Footer</t>
  </si>
  <si>
    <t xml:space="preserve">Presentational Body scrolls and Footer wraps actions with native composition hooks</t>
  </si>
  <si>
    <t xml:space="preserve">POP-14</t>
  </si>
  <si>
    <t xml:space="preserve">Close forwards Atom button/composition behavior and stable Brick hooks</t>
  </si>
  <si>
    <t xml:space="preserve">POP-15</t>
  </si>
  <si>
    <t xml:space="preserve">Explicit Arrow forwards Atom geometry/ref/native props and shared styling</t>
  </si>
  <si>
    <t xml:space="preserve">POP-16</t>
  </si>
  <si>
    <t xml:space="preserve">Visible direct Title and Description generate dialog name and description relationships</t>
  </si>
  <si>
    <t xml:space="preserve">tests/popover.spec.ts</t>
  </si>
  <si>
    <t xml:space="preserve">POP-17</t>
  </si>
  <si>
    <t xml:space="preserve">Native heading and paragraph content use documented explicit relationships without Brick registration</t>
  </si>
  <si>
    <t xml:space="preserve">../docs/components/popover/README.md</t>
  </si>
  <si>
    <t xml:space="preserve">POP-18</t>
  </si>
  <si>
    <t xml:space="preserve">Focus</t>
  </si>
  <si>
    <t xml:space="preserve">Atom 0.6.10 owns initial/final focus, touch-safe outside dismissal, root-overflow modal locking, measured floating bounds, the non-clipping internal viewport, and portalled logical direction</t>
  </si>
  <si>
    <t xml:space="preserve">@flowstack-ui/atom@0.6.10</t>
  </si>
  <si>
    <t xml:space="preserve">POP-19</t>
  </si>
  <si>
    <t xml:space="preserve">Keyboard activation, Escape close, and trigger focus restoration pass</t>
  </si>
  <si>
    <t xml:space="preserve">POP-20</t>
  </si>
  <si>
    <t xml:space="preserve">Explicit Escape/outside dismissal policy is preserved</t>
  </si>
  <si>
    <t xml:space="preserve">POP-21</t>
  </si>
  <si>
    <t xml:space="preserve">Modal</t>
  </si>
  <si>
    <t xml:space="preserve">Modal mode exposes aria-modal and traps Tab until visible Close dismissal</t>
  </si>
  <si>
    <t xml:space="preserve">POP-22</t>
  </si>
  <si>
    <t xml:space="preserve">Nested</t>
  </si>
  <si>
    <t xml:space="preserve">Nested top-layer Escape closes child then parent in order</t>
  </si>
  <si>
    <t xml:space="preserve">POP-23</t>
  </si>
  <si>
    <t xml:space="preserve">sm, md, and lg expose bounded preferred widths and stable component-owned control heights</t>
  </si>
  <si>
    <t xml:space="preserve">POP-24</t>
  </si>
  <si>
    <t xml:space="preserve">Elevated surface hierarchy and compact structural spacing are owner-approved in light and dark</t>
  </si>
  <si>
    <t xml:space="preserve">/popover</t>
  </si>
  <si>
    <t xml:space="preserve">Owner approved the light and dark elevated surface hierarchy and spacing during the manual run.</t>
  </si>
  <si>
    <t xml:space="preserve">POP-25</t>
  </si>
  <si>
    <t xml:space="preserve">Shared Arrow fill, border, and collision alignment are owner-approved</t>
  </si>
  <si>
    <t xml:space="preserve">Owner approved Arrow fill, boundary, and resolved-side alignment during the manual run.</t>
  </si>
  <si>
    <t xml:space="preserve">POP-26</t>
  </si>
  <si>
    <t xml:space="preserve">256px RTL content remains within the viewport without horizontal page overflow</t>
  </si>
  <si>
    <t xml:space="preserve">POP-27</t>
  </si>
  <si>
    <t xml:space="preserve">200% and 400% zoom preserve scrolling, action reachability, and trigger visibility</t>
  </si>
  <si>
    <t xml:space="preserve">manual-tests/popover.md</t>
  </si>
  <si>
    <t xml:space="preserve">Owner confirmed 200% and 400% zoom scrolling and action reachability.</t>
  </si>
  <si>
    <t xml:space="preserve">POP-28</t>
  </si>
  <si>
    <t xml:space="preserve">RTL internal alignment, action order, and collision placement are owner-approved</t>
  </si>
  <si>
    <t xml:space="preserve">Owner confirmed RTL alignment, action order, and collision placement.</t>
  </si>
  <si>
    <t xml:space="preserve">POP-29</t>
  </si>
  <si>
    <t xml:space="preserve">Reduced-motion and forced-colors surface, Arrow, controls, and boundaries are owner-approved</t>
  </si>
  <si>
    <t xml:space="preserve">Forced-colors owner verification was not applicable because no Windows device was available; reduced motion passed.</t>
  </si>
  <si>
    <t xml:space="preserve">POP-30</t>
  </si>
  <si>
    <t xml:space="preserve">Focused 256px RTL surface has no axe violations</t>
  </si>
  <si>
    <t xml:space="preserve">POP-31</t>
  </si>
  <si>
    <t xml:space="preserve">Production CSS includes tokens, sizes, structure, Arrow, reflow, motion, and forced-colors rules</t>
  </si>
  <si>
    <t xml:space="preserve">POP-32</t>
  </si>
  <si>
    <t xml:space="preserve">Metadata exposes popover subpath and exact Atom 0.6.10 dependency</t>
  </si>
  <si>
    <t xml:space="preserve">POP-33</t>
  </si>
  <si>
    <t xml:space="preserve">Generated React 18 and React 19 packed consumers import root/subpath Popover and CSS</t>
  </si>
  <si>
    <t xml:space="preserve">POP-34</t>
  </si>
  <si>
    <t xml:space="preserve">Direct semantic parts render stable name/description IDs and relationships on the server</t>
  </si>
  <si>
    <t xml:space="preserve">POP-35</t>
  </si>
  <si>
    <t xml:space="preserve">Public guide and changelogs document routing, API, semantics, hooks, and customization</t>
  </si>
  <si>
    <t xml:space="preserve">POP-36</t>
  </si>
  <si>
    <t xml:space="preserve">Workbench covers anatomy, sizes, modal/state, Anchor, placement, nesting, stress, mobile, and RTL</t>
  </si>
  <si>
    <t xml:space="preserve">POP-37</t>
  </si>
  <si>
    <t xml:space="preserve">Numbered desktop, screen-reader, zoom, preference, and physical-mobile protocol has an owner run</t>
  </si>
  <si>
    <t xml:space="preserve">All 13 owner-run steps pass. iOS focus zoom from the raw sub-16px input fixture is assigned to future Brick Input work and does not block Popover.</t>
  </si>
  <si>
    <t xml:space="preserve">POP-38</t>
  </si>
  <si>
    <t xml:space="preserve">Brick Consumer public-subpath AppBar settings panel passes desktop/mobile browser and boundary suites</t>
  </si>
  <si>
    <t xml:space="preserve">POP-39</t>
  </si>
  <si>
    <t xml:space="preserve">Core Popover</t>
  </si>
  <si>
    <t xml:space="preserve">Legacy Core Popover remains while Sidebar imports its callable flyout API</t>
  </si>
  <si>
    <t xml:space="preserve">Form Foundation Evidence Matrix</t>
  </si>
  <si>
    <t xml:space="preserve">Evidence gates for the adopted direct Form and complete Field/Fieldset APIs, Atom 0.5.3 behavior boundary, package proof, Consumer integration, owner review, and dependency-led Core retirement.</t>
  </si>
  <si>
    <t xml:space="preserve">FFB-01</t>
  </si>
  <si>
    <t xml:space="preserve">Foundation</t>
  </si>
  <si>
    <t xml:space="preserve">Directly styles public Atom 0.5.3 Form, Field, and Fieldset without Core or local behavior workarounds</t>
  </si>
  <si>
    <t xml:space="preserve">../src/components/form/Form.tsx; ../src/components/field/Field.tsx; ../src/components/fieldset/Fieldset.tsx</t>
  </si>
  <si>
    <t xml:space="preserve">FFB-02</t>
  </si>
  <si>
    <t xml:space="preserve">Owner-adopted brief defines complete direct Form plus compound Field and Fieldset contracts</t>
  </si>
  <si>
    <t xml:space="preserve">../../docs/form-foundation-component-brief.md</t>
  </si>
  <si>
    <t xml:space="preserve">FFB-03</t>
  </si>
  <si>
    <t xml:space="preserve">Root, form, field, and fieldset subpath exports and declarations match the adopted anatomy</t>
  </si>
  <si>
    <t xml:space="preserve">../test/types/form-foundation.test.tsx</t>
  </si>
  <si>
    <t xml:space="preserve">FFB-04</t>
  </si>
  <si>
    <t xml:space="preserve">Form</t>
  </si>
  <si>
    <t xml:space="preserve">Form is direct, has no Root namespace, renders form, and forwards HTMLFormElement ref/native props</t>
  </si>
  <si>
    <t xml:space="preserve">../test/components/form-foundation.test.tsx</t>
  </si>
  <si>
    <t xml:space="preserve">FFB-05</t>
  </si>
  <si>
    <t xml:space="preserve">Field</t>
  </si>
  <si>
    <t xml:space="preserve">Frozen namespace exposes exactly Root, Label, Description, Error, and RequiredIndicator plus direct exports</t>
  </si>
  <si>
    <t xml:space="preserve">FFB-06</t>
  </si>
  <si>
    <t xml:space="preserve">Fieldset</t>
  </si>
  <si>
    <t xml:space="preserve">Frozen namespace exposes exactly Root, Legend, Description, and Error plus direct exports</t>
  </si>
  <si>
    <t xml:space="preserve">FFB-07</t>
  </si>
  <si>
    <t xml:space="preserve">Default, render, and strict asChild paths preserve native form semantics, props, classes, slots, and refs</t>
  </si>
  <si>
    <t xml:space="preserve">FFB-08</t>
  </si>
  <si>
    <t xml:space="preserve">Every Field part supports mutually exclusive render/asChild typing and preserves semantic adapters</t>
  </si>
  <si>
    <t xml:space="preserve">FFB-09</t>
  </si>
  <si>
    <t xml:space="preserve">Every Fieldset part supports mutually exclusive render/asChild typing and preserves native grouping</t>
  </si>
  <si>
    <t xml:space="preserve">FFB-10</t>
  </si>
  <si>
    <t xml:space="preserve">Default and Root asChild server markup retain styled Description/Error discovery and control relationships</t>
  </si>
  <si>
    <t xml:space="preserve">../test/components/form-foundation.test.tsx; ../test/package/ssr.test.mjs</t>
  </si>
  <si>
    <t xml:space="preserve">FFB-11</t>
  </si>
  <si>
    <t xml:space="preserve">Default and Root asChild server markup retain Legend/Description/Error discovery and group relationships</t>
  </si>
  <si>
    <t xml:space="preserve">FFB-12</t>
  </si>
  <si>
    <t xml:space="preserve">State</t>
  </si>
  <si>
    <t xml:space="preserve">Callback validation, submitting, submitted, rejected error visibility, and native reset metadata pass</t>
  </si>
  <si>
    <t xml:space="preserve">tests/form-foundation.spec.ts</t>
  </si>
  <si>
    <t xml:space="preserve">FFB-13</t>
  </si>
  <si>
    <t xml:space="preserve">Required, optional, disabled, read-only, invalid, forced, and matched Error states are implemented</t>
  </si>
  <si>
    <t xml:space="preserve">FFB-14</t>
  </si>
  <si>
    <t xml:space="preserve">Required, disabled, invalid, forced Error, and group-versus-item state preserve native semantics</t>
  </si>
  <si>
    <t xml:space="preserve">FFB-15</t>
  </si>
  <si>
    <t xml:space="preserve">Label activation and generated Description/Error relationships work while explicit native ARIA remains authoritative</t>
  </si>
  <si>
    <t xml:space="preserve">FFB-16</t>
  </si>
  <si>
    <t xml:space="preserve">Native fieldset/legend naming, disabled propagation, and grouped-control descriptions pass without invalid aria-required</t>
  </si>
  <si>
    <t xml:space="preserve">FFB-17</t>
  </si>
  <si>
    <t xml:space="preserve">Native URL/function action/callback models, FormData, external controls, and reset remain supported without Brick policy</t>
  </si>
  <si>
    <t xml:space="preserve">FFB-18</t>
  </si>
  <si>
    <t xml:space="preserve">Vertical source order and intrinsic horizontal two-to-one-column reflow pass exact browser geometry assertions</t>
  </si>
  <si>
    <t xml:space="preserve">FFB-19</t>
  </si>
  <si>
    <t xml:space="preserve">Plain borderless group rhythm supports grouped controls and nested Fields without becoming a Card</t>
  </si>
  <si>
    <t xml:space="preserve">../src/components/fieldset/fieldset.css</t>
  </si>
  <si>
    <t xml:space="preserve">FFB-20</t>
  </si>
  <si>
    <t xml:space="preserve">256 CSS-pixel English/RTL fixtures remain contained with no horizontal page overflow</t>
  </si>
  <si>
    <t xml:space="preserve">FFB-21</t>
  </si>
  <si>
    <t xml:space="preserve">Light/dark hierarchy, invalid boundaries, RTL stress, and forced colors have stable visual baselines</t>
  </si>
  <si>
    <t xml:space="preserve">FFB-22</t>
  </si>
  <si>
    <t xml:space="preserve">Required, invalid, disabled, grouped, constrained, and RTL fixtures have no axe violations</t>
  </si>
  <si>
    <t xml:space="preserve">FFB-23</t>
  </si>
  <si>
    <t xml:space="preserve">Announcements</t>
  </si>
  <si>
    <t xml:space="preserve">Error</t>
  </si>
  <si>
    <t xml:space="preserve">Field and Fieldset Error have no forced live role and accept deliberate native live-region props</t>
  </si>
  <si>
    <t xml:space="preserve">FFB-24</t>
  </si>
  <si>
    <t xml:space="preserve">Production CSS includes complete spacing tokens and visible callback-state treatment</t>
  </si>
  <si>
    <t xml:space="preserve">FFB-25</t>
  </si>
  <si>
    <t xml:space="preserve">Production CSS includes stable anatomy classes, slots, complete tokens, state, orientation, reflow, and forced colors</t>
  </si>
  <si>
    <t xml:space="preserve">FFB-26</t>
  </si>
  <si>
    <t xml:space="preserve">Production CSS includes stable anatomy classes, slots, complete tokens, native reset, state, and forced colors</t>
  </si>
  <si>
    <t xml:space="preserve">FFB-27</t>
  </si>
  <si>
    <t xml:space="preserve">Metadata exposes all three subpaths and pins exact public Atom 0.5.3</t>
  </si>
  <si>
    <t xml:space="preserve">FFB-28</t>
  </si>
  <si>
    <t xml:space="preserve">Generated React 18 and React 19 packed consumers import root/subpath APIs and CSS</t>
  </si>
  <si>
    <t xml:space="preserve">FFB-29</t>
  </si>
  <si>
    <t xml:space="preserve">Public Form guide/changelog document routing, native API, submission models, states, hooks, and customization</t>
  </si>
  <si>
    <t xml:space="preserve">../docs/components/form/README.md</t>
  </si>
  <si>
    <t xml:space="preserve">FFB-30</t>
  </si>
  <si>
    <t xml:space="preserve">Public Field guide/changelog document complete anatomy, state, relationships, composition, reflow, and tokens</t>
  </si>
  <si>
    <t xml:space="preserve">../docs/components/field/README.md</t>
  </si>
  <si>
    <t xml:space="preserve">FFB-31</t>
  </si>
  <si>
    <t xml:space="preserve">Public Fieldset guide/changelog document native grouping, anatomy, state, relationships, composition, and tokens</t>
  </si>
  <si>
    <t xml:space="preserve">../docs/components/fieldset/README.md</t>
  </si>
  <si>
    <t xml:space="preserve">FFB-32</t>
  </si>
  <si>
    <t xml:space="preserve">Nine-scenario workbench separates Form, Field, and Fieldset review sections plus shared integration, composition, appearance, relationships, and stress evidence</t>
  </si>
  <si>
    <t xml:space="preserve">FFB-33</t>
  </si>
  <si>
    <t xml:space="preserve">Fourteen-step owner protocol has dedicated Form, Field, and Fieldset sections plus foundation integration checks</t>
  </si>
  <si>
    <t xml:space="preserve">../../docs/manual-tests/form-foundation.md</t>
  </si>
  <si>
    <t xml:space="preserve">Owner protocol passed July 21, 2026; Windows forced colors not tested (no device)</t>
  </si>
  <si>
    <t xml:space="preserve">FFB-34</t>
  </si>
  <si>
    <t xml:space="preserve">Owner approves native submission models, callback state, reset, keyboard/touch behavior, and visible feedback</t>
  </si>
  <si>
    <t xml:space="preserve">Owner Form review passed July 21, 2026</t>
  </si>
  <si>
    <t xml:space="preserve">FFB-35</t>
  </si>
  <si>
    <t xml:space="preserve">Owner approves one-control anatomy, states, relationships, orientation, composition, touch, screen-reader, and zoom behavior</t>
  </si>
  <si>
    <t xml:space="preserve">Owner Field review passed July 21, 2026</t>
  </si>
  <si>
    <t xml:space="preserve">FFB-36</t>
  </si>
  <si>
    <t xml:space="preserve">Owner approves native group anatomy, states, relationships, composition, choice interaction, direction, and preferences where available</t>
  </si>
  <si>
    <t xml:space="preserve">Owner Fieldset review passed July 21, 2026; Windows forced colors not tested (no device)</t>
  </si>
  <si>
    <t xml:space="preserve">FFB-37</t>
  </si>
  <si>
    <t xml:space="preserve">Brick Consumer public subpaths implement invalid/valid/reset email Field and native role Fieldset across desktop/mobile</t>
  </si>
  <si>
    <t xml:space="preserve">FFB-38</t>
  </si>
  <si>
    <t xml:space="preserve">No legacy Core Form component exists to retire</t>
  </si>
  <si>
    <t xml:space="preserve">ledger</t>
  </si>
  <si>
    <t xml:space="preserve">No legacy Core Form implementation</t>
  </si>
  <si>
    <t xml:space="preserve">FFB-39</t>
  </si>
  <si>
    <t xml:space="preserve">Field / Fieldset</t>
  </si>
  <si>
    <t xml:space="preserve">Legacy Core Field and Fieldset remain until dependent controls migrate to the adopted Brick foundation</t>
  </si>
  <si>
    <t xml:space="preserve">Blocked by dependent control redesign and cutover</t>
  </si>
  <si>
    <t xml:space="preserve">Checkbox Family Evidence Matrix</t>
  </si>
  <si>
    <t xml:space="preserve">Evidence gates for direct Checkbox and the complete CheckboxGroup family, exact Atom 0.6.12 behavior, package proof, owner review, Consumer integration, and dependency-led Core retirement.</t>
  </si>
  <si>
    <t xml:space="preserve">CBF-01</t>
  </si>
  <si>
    <t xml:space="preserve">Directly styles public Atom Checkbox and CheckboxGroup without Core or local behavior workarounds</t>
  </si>
  <si>
    <t xml:space="preserve">../src/components/checkbox/Checkbox.tsx; ../src/components/checkbox-group/CheckboxGroup.tsx</t>
  </si>
  <si>
    <t xml:space="preserve">CBF-02</t>
  </si>
  <si>
    <t xml:space="preserve">Owner-adopted brief defines the direct Checkbox and five-part CheckboxGroup contract</t>
  </si>
  <si>
    <t xml:space="preserve">../../docs/checkbox-family-component-brief.md</t>
  </si>
  <si>
    <t xml:space="preserve">CBF-03</t>
  </si>
  <si>
    <t xml:space="preserve">Dependency</t>
  </si>
  <si>
    <t xml:space="preserve">Exact registry Atom 0.6.12 owns state, collection, form participation, native validity geometry, focus, and reset</t>
  </si>
  <si>
    <t xml:space="preserve">../package.json; ../package-lock.json</t>
  </si>
  <si>
    <t xml:space="preserve">CBF-04</t>
  </si>
  <si>
    <t xml:space="preserve">Root and checkbox/checkbox-group subpath exports match the adopted anatomy</t>
  </si>
  <si>
    <t xml:space="preserve">CBF-05</t>
  </si>
  <si>
    <t xml:space="preserve">Types</t>
  </si>
  <si>
    <t xml:space="preserve">Public props, refs, size narrowing, and composition branches type-check on React 18+</t>
  </si>
  <si>
    <t xml:space="preserve">../test/types/checkbox-family.test.tsx</t>
  </si>
  <si>
    <t xml:space="preserve">CBF-06</t>
  </si>
  <si>
    <t xml:space="preserve">Static CSS exposes stable classes, slots, tokens, state selectors, and logical layout</t>
  </si>
  <si>
    <t xml:space="preserve">css</t>
  </si>
  <si>
    <t xml:space="preserve">../src/styles/components/checkbox.css; ../test/css</t>
  </si>
  <si>
    <t xml:space="preserve">CBF-07</t>
  </si>
  <si>
    <t xml:space="preserve">Checkbox</t>
  </si>
  <si>
    <t xml:space="preserve">One semantic checkbox row contains one decorative control and built-in public Indicator artwork</t>
  </si>
  <si>
    <t xml:space="preserve">component</t>
  </si>
  <si>
    <t xml:space="preserve">../test/components/checkbox-family.test.tsx</t>
  </si>
  <si>
    <t xml:space="preserve">CBF-08</t>
  </si>
  <si>
    <t xml:space="preserve">CheckboxGroup</t>
  </si>
  <si>
    <t xml:space="preserve">Root, Item, ItemLabel, ItemDescription, and Parent preserve the frozen public namespace</t>
  </si>
  <si>
    <t xml:space="preserve">CBF-09</t>
  </si>
  <si>
    <t xml:space="preserve">Unchecked, checked, mixed, disabled, disabled-checked, read-only, invalid, and required states remain distinct</t>
  </si>
  <si>
    <t xml:space="preserve">../../docs/manual-tests/checkbox-family.md#1</t>
  </si>
  <si>
    <t xml:space="preserve">Owner passed step 1 on 2026-07-21.</t>
  </si>
  <si>
    <t xml:space="preserve">CBF-10</t>
  </si>
  <si>
    <t xml:space="preserve">Sizes</t>
  </si>
  <si>
    <t xml:space="preserve">Small, medium, and large coordinate control, artwork, gap, text, and a 44px row target</t>
  </si>
  <si>
    <t xml:space="preserve">../../docs/manual-tests/checkbox-family.md#2</t>
  </si>
  <si>
    <t xml:space="preserve">Owner passed step 2 on 2026-07-21.</t>
  </si>
  <si>
    <t xml:space="preserve">CBF-11</t>
  </si>
  <si>
    <t xml:space="preserve">Dark appearance preserves boundaries, marks, secondary copy, invalid treatment, and focus</t>
  </si>
  <si>
    <t xml:space="preserve">../../docs/manual-tests/checkbox-family.md#3</t>
  </si>
  <si>
    <t xml:space="preserve">Owner passed step 3 on 2026-07-21.</t>
  </si>
  <si>
    <t xml:space="preserve">CBF-12</t>
  </si>
  <si>
    <t xml:space="preserve">Pointer</t>
  </si>
  <si>
    <t xml:space="preserve">Full label and description rows activate exactly once</t>
  </si>
  <si>
    <t xml:space="preserve">../../docs/manual-tests/checkbox-family.md#4</t>
  </si>
  <si>
    <t xml:space="preserve">Owner passed step 4 on 2026-07-21.</t>
  </si>
  <si>
    <t xml:space="preserve">CBF-13</t>
  </si>
  <si>
    <t xml:space="preserve">Tab, Space, Enter, disabled skipping, read-only blocking, and visible focus behave consistently</t>
  </si>
  <si>
    <t xml:space="preserve">../../docs/manual-tests/checkbox-family.md#5</t>
  </si>
  <si>
    <t xml:space="preserve">Owner passed step 5 on 2026-07-21.</t>
  </si>
  <si>
    <t xml:space="preserve">CBF-14</t>
  </si>
  <si>
    <t xml:space="preserve">Collection</t>
  </si>
  <si>
    <t xml:space="preserve">Parent</t>
  </si>
  <si>
    <t xml:space="preserve">Parent deterministically represents and changes none, some, and all selectable values</t>
  </si>
  <si>
    <t xml:space="preserve">../playground/tests/checkbox-family.spec.ts</t>
  </si>
  <si>
    <t xml:space="preserve">CBF-15</t>
  </si>
  <si>
    <t xml:space="preserve">Relationships</t>
  </si>
  <si>
    <t xml:space="preserve">Item</t>
  </si>
  <si>
    <t xml:space="preserve">Structured ItemLabel and ItemDescription relationships exist before interaction and remain announced</t>
  </si>
  <si>
    <t xml:space="preserve">CBF-16</t>
  </si>
  <si>
    <t xml:space="preserve">Field naming, instructions, required/invalid state, and Error compose without an automatic wrapper</t>
  </si>
  <si>
    <t xml:space="preserve">CBF-17</t>
  </si>
  <si>
    <t xml:space="preserve">Fieldset Legend, Description, required/invalid state, and Error reach the group and Items</t>
  </si>
  <si>
    <t xml:space="preserve">CBF-18</t>
  </si>
  <si>
    <t xml:space="preserve">Forms</t>
  </si>
  <si>
    <t xml:space="preserve">FormData, disabled omission, external form ownership, and uncontrolled reset follow native behavior</t>
  </si>
  <si>
    <t xml:space="preserve">CBF-19</t>
  </si>
  <si>
    <t xml:space="preserve">Validity</t>
  </si>
  <si>
    <t xml:space="preserve">Required validation proxy shares visible Checkbox bounds and redirects validation focus to it</t>
  </si>
  <si>
    <t xml:space="preserve">CBF-20</t>
  </si>
  <si>
    <t xml:space="preserve">One required proxy shares first enabled Item bounds and redirects validation focus to that Item</t>
  </si>
  <si>
    <t xml:space="preserve">CBF-21</t>
  </si>
  <si>
    <t xml:space="preserve">Controlled and uncontrolled Checkbox/CheckboxGroup state remain Atom-owned</t>
  </si>
  <si>
    <t xml:space="preserve">CBF-22</t>
  </si>
  <si>
    <t xml:space="preserve">render and asChild retain one checkbox/tab stop, Brick artwork, native props, and refs</t>
  </si>
  <si>
    <t xml:space="preserve">CBF-23</t>
  </si>
  <si>
    <t xml:space="preserve">Server output preserves stable visual anatomy and structured relationships</t>
  </si>
  <si>
    <t xml:space="preserve">ssr</t>
  </si>
  <si>
    <t xml:space="preserve">CBF-24</t>
  </si>
  <si>
    <t xml:space="preserve">Focused axe scan has no violations and decorative artwork stays hidden</t>
  </si>
  <si>
    <t xml:space="preserve">CBF-25</t>
  </si>
  <si>
    <t xml:space="preserve">Automated 256px containment and logical RTL checks prevent page-level horizontal overflow</t>
  </si>
  <si>
    <t xml:space="preserve">CBF-26</t>
  </si>
  <si>
    <t xml:space="preserve">Visual</t>
  </si>
  <si>
    <t xml:space="preserve">Reviewed baselines cover light states/sizes, dark structured group, mobile RTL, and forced colors</t>
  </si>
  <si>
    <t xml:space="preserve">../playground/tests/visual.spec.ts; ../playground/tests/__screenshots__</t>
  </si>
  <si>
    <t xml:space="preserve">Reviewed Chromium baselines from implementation qualification.</t>
  </si>
  <si>
    <t xml:space="preserve">CBF-27</t>
  </si>
  <si>
    <t xml:space="preserve">Real-device full-row activation is immediate, selection-free, and comfortable</t>
  </si>
  <si>
    <t xml:space="preserve">../../docs/manual-tests/checkbox-family.md#10</t>
  </si>
  <si>
    <t xml:space="preserve">CBF-28</t>
  </si>
  <si>
    <t xml:space="preserve">Zoom</t>
  </si>
  <si>
    <t xml:space="preserve">200%/400% zoom and 256px layouts keep controls, actions, descriptions, and focus reachable</t>
  </si>
  <si>
    <t xml:space="preserve">../../docs/manual-tests/checkbox-family.md#11</t>
  </si>
  <si>
    <t xml:space="preserve">CBF-29</t>
  </si>
  <si>
    <t xml:space="preserve">Owner review confirms RTL order, alignment, invalid cues, wrapping, and focus offsets</t>
  </si>
  <si>
    <t xml:space="preserve">../../docs/manual-tests/checkbox-family.md#12</t>
  </si>
  <si>
    <t xml:space="preserve">CBF-30</t>
  </si>
  <si>
    <t xml:space="preserve">Reduced motion keeps state legible without animated dependence</t>
  </si>
  <si>
    <t xml:space="preserve">../../docs/manual-tests/checkbox-family.md#13</t>
  </si>
  <si>
    <t xml:space="preserve">CBF-31</t>
  </si>
  <si>
    <t xml:space="preserve">Windows forced colors preserves boundaries, marks, invalid cue, disabled state, and focus</t>
  </si>
  <si>
    <t xml:space="preserve">../../docs/manual-tests/checkbox-family.md#14</t>
  </si>
  <si>
    <t xml:space="preserve">CBF-32</t>
  </si>
  <si>
    <t xml:space="preserve">Owner review confirms render/asChild expose one operable and announced checkbox</t>
  </si>
  <si>
    <t xml:space="preserve">../../docs/manual-tests/checkbox-family.md#15</t>
  </si>
  <si>
    <t xml:space="preserve">CBF-33</t>
  </si>
  <si>
    <t xml:space="preserve">Owner verifies none/some/all Parent behavior and disabled Item policy</t>
  </si>
  <si>
    <t xml:space="preserve">../../docs/manual-tests/checkbox-family.md#6</t>
  </si>
  <si>
    <t xml:space="preserve">CBF-34</t>
  </si>
  <si>
    <t xml:space="preserve">Owner verifies native prompt anchoring/focus, successful submission, external choice, and reset</t>
  </si>
  <si>
    <t xml:space="preserve">../../docs/manual-tests/checkbox-family.md#7</t>
  </si>
  <si>
    <t xml:space="preserve">CBF-35</t>
  </si>
  <si>
    <t xml:space="preserve">Owner screen-reader review confirms Item name/description and Parent mixed announcement</t>
  </si>
  <si>
    <t xml:space="preserve">../../docs/manual-tests/checkbox-family.md#9</t>
  </si>
  <si>
    <t xml:space="preserve">CBF-36</t>
  </si>
  <si>
    <t xml:space="preserve">Matrix</t>
  </si>
  <si>
    <t xml:space="preserve">Release browser matrix repeats core pointer, keyboard, forms, responsive, RTL, and axe checks</t>
  </si>
  <si>
    <t xml:space="preserve">CBF-37</t>
  </si>
  <si>
    <t xml:space="preserve">Brick Consumer publishing-preferences workflow passes desktop/mobile submit, reset, and axe checks</t>
  </si>
  <si>
    <t xml:space="preserve">../../../apps/brick-consumer</t>
  </si>
  <si>
    <t xml:space="preserve">CBF-38</t>
  </si>
  <si>
    <t xml:space="preserve">Public READMEs, component changelogs, workbench, protocol, and adopted brief describe the exact boundary</t>
  </si>
  <si>
    <t xml:space="preserve">../docs/components/checkbox/README.md; ../docs/components/checkbox-group/README.md</t>
  </si>
  <si>
    <t xml:space="preserve">CBF-39</t>
  </si>
  <si>
    <t xml:space="preserve">Core</t>
  </si>
  <si>
    <t xml:space="preserve">Legacy Core Checkbox and CheckboxGroup retire only after remaining internal consumers migrate</t>
  </si>
  <si>
    <t xml:space="preserve">Internal Core consumers still depend on the legacy family.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</si>
</sst>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heckboxFamilyEvidence" displayName="CheckboxFamilyEvidence" ref="A8:M47" headerRowCount="1" totalsRowCount="0" totalsRowShown="0">
  <autoFilter ref="A8:M47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CoverageIndex" displayName="CoverageIndex" ref="A7:N15" headerRowCount="1" totalsRowCount="0" totalsRowShown="0">
  <autoFilter ref="A7:N15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5.xml><?xml version="1.0" encoding="utf-8"?>
<table xmlns="http://schemas.openxmlformats.org/spreadsheetml/2006/main" id="5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playground/component-coverage.xlsx" TargetMode="External"/><Relationship Id="rId2" Type="http://schemas.openxmlformats.org/officeDocument/2006/relationships/drawing" Target="../drawings/drawing1.xml"/><Relationship Id="rId3" Type="http://schemas.openxmlformats.org/officeDocument/2006/relationships/table" Target="../tables/table4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drawing" Target="../drawings/drawing3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drawing" Target="../drawings/drawing4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drawing" Target="../drawings/drawing5.xml"/><Relationship Id="rId39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playground/component-coverage.xlsx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COUNTA(A8:A22)</f>
        <v>15</v>
      </c>
      <c r="C4" s="4" t="s">
        <v>3</v>
      </c>
      <c r="D4" s="5" t="n">
        <f aca="false">COUNTIF(N8:N22,"complete")</f>
        <v>6</v>
      </c>
      <c r="E4" s="4" t="s">
        <v>4</v>
      </c>
      <c r="F4" s="5" t="n">
        <f aca="false">SUM(H8:H22)</f>
        <v>8</v>
      </c>
      <c r="G4" s="4" t="s">
        <v>5</v>
      </c>
      <c r="H4" s="6" t="n">
        <f aca="false">IFERROR(SUMPRODUCT(B8:B22,J8:J22)/SUM(B8:B22),0)</f>
        <v>0.966312056737589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  <row r="11" customFormat="false" ht="27.75" hidden="false" customHeight="true" outlineLevel="0" collapsed="false">
      <c r="A11" s="8" t="s">
        <v>22</v>
      </c>
      <c r="B11" s="8" t="n">
        <f aca="false">COUNTA(AlertDialog!A9:A47)</f>
        <v>39</v>
      </c>
      <c r="C11" s="8" t="n">
        <f aca="false">COUNTIF(AlertDialog!H9:H47,"not started")</f>
        <v>0</v>
      </c>
      <c r="D11" s="8" t="n">
        <f aca="false">COUNTIF(AlertDialog!H9:H47,"partial")</f>
        <v>0</v>
      </c>
      <c r="E11" s="8" t="n">
        <f aca="false">COUNTIF(AlertDialog!H9:H47,"implemented")</f>
        <v>0</v>
      </c>
      <c r="F11" s="8" t="n">
        <f aca="false">COUNTIF(AlertDialog!H9:H47,"tested")</f>
        <v>29</v>
      </c>
      <c r="G11" s="8" t="n">
        <f aca="false">COUNTIF(AlertDialog!H9:H47,"verified")</f>
        <v>9</v>
      </c>
      <c r="H11" s="8" t="n">
        <f aca="false">COUNTIF(AlertDialog!H9:H47,"blocked")</f>
        <v>1</v>
      </c>
      <c r="I11" s="8" t="n">
        <f aca="false">COUNTIF(AlertDialog!H9:H47,"not applicable")</f>
        <v>0</v>
      </c>
      <c r="J11" s="9" t="n">
        <f aca="false">IFERROR(SUM(AlertDialog!M9:M47)/SUM(AlertDialog!L9:L47),0)</f>
        <v>0.974358974358974</v>
      </c>
      <c r="K11" s="8" t="str">
        <f aca="false">IF(COUNTIFS(AlertDialog!E9:E47,"package",AlertDialog!M9:M47,"&lt;1")=0,"complete","open")</f>
        <v>complete</v>
      </c>
      <c r="L11" s="8" t="str">
        <f aca="false">IF(COUNTIFS(AlertDialog!E9:E47,"consumer",AlertDialog!M9:M47,"&lt;1")=0,"complete","open")</f>
        <v>complete</v>
      </c>
      <c r="M11" s="8" t="str">
        <f aca="false">IF(COUNTIFS(AlertDialog!E9:E47,"retirement",AlertDialog!M9:M47,"&lt;1")=0,"complete","open")</f>
        <v>open</v>
      </c>
      <c r="N11" s="1" t="str">
        <f aca="false">IF(H11&gt;0,"blocked",IF(AND(J11=1,K11="complete",L11="complete",M11="complete"),"complete",IF(J11=0,"not started","in progress")))</f>
        <v>blocked</v>
      </c>
    </row>
    <row r="12" customFormat="false" ht="15" hidden="false" customHeight="true" outlineLevel="0" collapsed="false">
      <c r="A12" s="8" t="s">
        <v>23</v>
      </c>
      <c r="B12" s="8" t="n">
        <f aca="false">COUNTA(Drawer!A9:A47)</f>
        <v>39</v>
      </c>
      <c r="C12" s="8" t="n">
        <f aca="false">COUNTIF(Drawer!H9:H47,"not started")</f>
        <v>0</v>
      </c>
      <c r="D12" s="8" t="n">
        <f aca="false">COUNTIF(Drawer!H9:H47,"partial")</f>
        <v>1</v>
      </c>
      <c r="E12" s="8" t="n">
        <f aca="false">COUNTIF(Drawer!H9:H47,"implemented")</f>
        <v>0</v>
      </c>
      <c r="F12" s="8" t="n">
        <f aca="false">COUNTIF(Drawer!H9:H47,"tested")</f>
        <v>31</v>
      </c>
      <c r="G12" s="8" t="n">
        <f aca="false">COUNTIF(Drawer!H9:H47,"verified")</f>
        <v>6</v>
      </c>
      <c r="H12" s="8" t="n">
        <f aca="false">COUNTIF(Drawer!H9:H47,"blocked")</f>
        <v>1</v>
      </c>
      <c r="I12" s="8" t="n">
        <f aca="false">COUNTIF(Drawer!H9:H47,"not applicable")</f>
        <v>0</v>
      </c>
      <c r="J12" s="9" t="n">
        <f aca="false">IFERROR(SUM(Drawer!M9:M47)/SUM(Drawer!L9:L47),0)</f>
        <v>0.948717948717949</v>
      </c>
      <c r="K12" s="8" t="str">
        <f aca="false">IF(COUNTIFS(Drawer!E9:E47,"package",Drawer!M9:M47,"&lt;1")=0,"complete","open")</f>
        <v>open</v>
      </c>
      <c r="L12" s="8" t="str">
        <f aca="false">IF(COUNTIFS(Drawer!E9:E47,"consumer",Drawer!M9:M47,"&lt;1")=0,"complete","open")</f>
        <v>complete</v>
      </c>
      <c r="M12" s="8" t="str">
        <f aca="false">IF(COUNTIFS(Drawer!E9:E47,"retirement",Drawer!M9:M47,"&lt;1")=0,"complete","open")</f>
        <v>open</v>
      </c>
      <c r="N12" s="1" t="str">
        <f aca="false">IF(H12&gt;0,"blocked",IF(AND(J12=1,K12="complete",L12="complete",M12="complete"),"complete",IF(J12=0,"not started","in progress")))</f>
        <v>blocked</v>
      </c>
    </row>
    <row r="13" customFormat="false" ht="15" hidden="false" customHeight="true" outlineLevel="0" collapsed="false">
      <c r="A13" s="8" t="s">
        <v>24</v>
      </c>
      <c r="B13" s="8" t="n">
        <f aca="false">COUNTA(Badge!A9:A47)</f>
        <v>39</v>
      </c>
      <c r="C13" s="8" t="n">
        <f aca="false">COUNTIF(Badge!H9:H47,"not started")</f>
        <v>0</v>
      </c>
      <c r="D13" s="8" t="n">
        <f aca="false">COUNTIF(Badge!H9:H47,"partial")</f>
        <v>0</v>
      </c>
      <c r="E13" s="8" t="n">
        <f aca="false">COUNTIF(Badge!H9:H47,"implemented")</f>
        <v>0</v>
      </c>
      <c r="F13" s="8" t="n">
        <f aca="false">COUNTIF(Badge!H9:H47,"tested")</f>
        <v>34</v>
      </c>
      <c r="G13" s="8" t="n">
        <f aca="false">COUNTIF(Badge!H9:H47,"verified")</f>
        <v>5</v>
      </c>
      <c r="H13" s="8" t="n">
        <f aca="false">COUNTIF(Badge!H9:H47,"blocked")</f>
        <v>0</v>
      </c>
      <c r="I13" s="8" t="n">
        <f aca="false">COUNTIF(Badge!H9:H47,"not applicable")</f>
        <v>0</v>
      </c>
      <c r="J13" s="9" t="n">
        <f aca="false">IFERROR(SUM(Badge!M9:M47)/SUM(Badge!L9:L47),0)</f>
        <v>1</v>
      </c>
      <c r="K13" s="8" t="str">
        <f aca="false">IF(COUNTIFS(Badge!E9:E47,"package",Badge!M9:M47,"&lt;1")=0,"complete","open")</f>
        <v>complete</v>
      </c>
      <c r="L13" s="8" t="str">
        <f aca="false">IF(COUNTIFS(Badge!E9:E47,"consumer",Badge!M9:M47,"&lt;1")=0,"complete","open")</f>
        <v>complete</v>
      </c>
      <c r="M13" s="8" t="str">
        <f aca="false">IF(COUNTIFS(Badge!E9:E47,"retirement",Badge!M9:M47,"&lt;1")=0,"complete","open")</f>
        <v>complete</v>
      </c>
      <c r="N13" s="1" t="str">
        <f aca="false">IF(H13&gt;0,"blocked",IF(AND(J13=1,K13="complete",L13="complete",M13="complete"),"complete",IF(J13=0,"not started","in progress")))</f>
        <v>complete</v>
      </c>
    </row>
    <row r="14" customFormat="false" ht="15" hidden="false" customHeight="true" outlineLevel="0" collapsed="false">
      <c r="A14" s="8" t="s">
        <v>25</v>
      </c>
      <c r="B14" s="8" t="n">
        <f aca="false">COUNTA(Avatar!A9:A47)</f>
        <v>39</v>
      </c>
      <c r="C14" s="8" t="n">
        <f aca="false">COUNTIF(Avatar!H9:H47,"not started")</f>
        <v>0</v>
      </c>
      <c r="D14" s="8" t="n">
        <f aca="false">COUNTIF(Avatar!H9:H47,"partial")</f>
        <v>0</v>
      </c>
      <c r="E14" s="8" t="n">
        <f aca="false">COUNTIF(Avatar!H9:H47,"implemented")</f>
        <v>0</v>
      </c>
      <c r="F14" s="8" t="n">
        <f aca="false">COUNTIF(Avatar!H9:H47,"tested")</f>
        <v>34</v>
      </c>
      <c r="G14" s="8" t="n">
        <f aca="false">COUNTIF(Avatar!H9:H47,"verified")</f>
        <v>5</v>
      </c>
      <c r="H14" s="8" t="n">
        <f aca="false">COUNTIF(Avatar!H9:H47,"blocked")</f>
        <v>0</v>
      </c>
      <c r="I14" s="8" t="n">
        <f aca="false">COUNTIF(Avatar!H9:H47,"not applicable")</f>
        <v>0</v>
      </c>
      <c r="J14" s="9" t="n">
        <f aca="false">IFERROR(SUM(Avatar!M9:M47)/SUM(Avatar!L9:L47),0)</f>
        <v>1</v>
      </c>
      <c r="K14" s="8" t="str">
        <f aca="false">IF(COUNTIFS(Avatar!E9:E47,"package",Avatar!M9:M47,"&lt;1")=0,"complete","open")</f>
        <v>complete</v>
      </c>
      <c r="L14" s="8" t="str">
        <f aca="false">IF(COUNTIFS(Avatar!E9:E47,"consumer",Avatar!M9:M47,"&lt;1")=0,"complete","open")</f>
        <v>complete</v>
      </c>
      <c r="M14" s="8" t="str">
        <f aca="false">IF(COUNTIFS(Avatar!E9:E47,"retirement",Avatar!M9:M47,"&lt;1")=0,"complete","open")</f>
        <v>complete</v>
      </c>
      <c r="N14" s="1" t="str">
        <f aca="false">IF(H14&gt;0,"blocked",IF(AND(J14=1,K14="complete",L14="complete",M14="complete"),"complete",IF(J14=0,"not started","in progress")))</f>
        <v>complete</v>
      </c>
    </row>
    <row r="15" customFormat="false" ht="15" hidden="false" customHeight="true" outlineLevel="0" collapsed="false">
      <c r="A15" s="8" t="s">
        <v>26</v>
      </c>
      <c r="B15" s="8" t="n">
        <f aca="false">COUNTA(Toggle!A9:A47)</f>
        <v>39</v>
      </c>
      <c r="C15" s="8" t="n">
        <f aca="false">COUNTIF(Toggle!H9:H47,"not started")</f>
        <v>0</v>
      </c>
      <c r="D15" s="8" t="n">
        <f aca="false">COUNTIF(Toggle!H9:H47,"partial")</f>
        <v>0</v>
      </c>
      <c r="E15" s="8" t="n">
        <f aca="false">COUNTIF(Toggle!H9:H47,"implemented")</f>
        <v>0</v>
      </c>
      <c r="F15" s="8" t="n">
        <f aca="false">COUNTIF(Toggle!H9:H47,"tested")</f>
        <v>32</v>
      </c>
      <c r="G15" s="8" t="n">
        <f aca="false">COUNTIF(Toggle!H9:H47,"verified")</f>
        <v>7</v>
      </c>
      <c r="H15" s="8" t="n">
        <f aca="false">COUNTIF(Toggle!H9:H47,"blocked")</f>
        <v>0</v>
      </c>
      <c r="I15" s="8" t="n">
        <f aca="false">COUNTIF(Toggle!H9:H47,"not applicable")</f>
        <v>0</v>
      </c>
      <c r="J15" s="9" t="n">
        <f aca="false">IFERROR(SUM(Toggle!M9:M47)/SUM(Toggle!L9:L47),0)</f>
        <v>1</v>
      </c>
      <c r="K15" s="8" t="str">
        <f aca="false">IF(COUNTIFS(Toggle!E9:E47,"package",Toggle!M9:M47,"&lt;1")=0,"complete","open")</f>
        <v>complete</v>
      </c>
      <c r="L15" s="8" t="str">
        <f aca="false">IF(COUNTIFS(Toggle!E9:E47,"consumer",Toggle!M9:M47,"&lt;1")=0,"complete","open")</f>
        <v>complete</v>
      </c>
      <c r="M15" s="8" t="str">
        <f aca="false">IF(COUNTIFS(Toggle!E9:E47,"retirement",Toggle!M9:M47,"&lt;1")=0,"complete","open")</f>
        <v>complete</v>
      </c>
      <c r="N15" s="1" t="str">
        <f aca="false">IF(H15&gt;0,"blocked",IF(AND(J15=1,K15="complete",L15="complete",M15="complete"),"complete",IF(J15=0,"not started","in progress")))</f>
        <v>complete</v>
      </c>
    </row>
    <row r="16" customFormat="false" ht="15" hidden="false" customHeight="true" outlineLevel="0" collapsed="false">
      <c r="A16" s="8" t="s">
        <v>27</v>
      </c>
      <c r="B16" s="8" t="n">
        <f aca="false">COUNTA(IconButton!A9:A47)</f>
        <v>39</v>
      </c>
      <c r="C16" s="8" t="n">
        <f aca="false">COUNTIF(IconButton!H9:H47,"not started")</f>
        <v>0</v>
      </c>
      <c r="D16" s="8" t="n">
        <f aca="false">COUNTIF(IconButton!H9:H47,"partial")</f>
        <v>0</v>
      </c>
      <c r="E16" s="8" t="n">
        <f aca="false">COUNTIF(IconButton!H9:H47,"implemented")</f>
        <v>0</v>
      </c>
      <c r="F16" s="8" t="n">
        <f aca="false">COUNTIF(IconButton!H9:H47,"tested")</f>
        <v>29</v>
      </c>
      <c r="G16" s="8" t="n">
        <f aca="false">COUNTIF(IconButton!H9:H47,"verified")</f>
        <v>9</v>
      </c>
      <c r="H16" s="8" t="n">
        <f aca="false">COUNTIF(IconButton!H9:H47,"blocked")</f>
        <v>0</v>
      </c>
      <c r="I16" s="8" t="n">
        <f aca="false">COUNTIF(IconButton!H9:H47,"not applicable")</f>
        <v>1</v>
      </c>
      <c r="J16" s="9" t="n">
        <f aca="false">IFERROR(SUM(IconButton!M9:M47)/SUM(IconButton!L9:L47),0)</f>
        <v>1</v>
      </c>
      <c r="K16" s="8" t="str">
        <f aca="false">IF(COUNTIFS(IconButton!E9:E47,"package",IconButton!M9:M47,"&lt;1")=0,"complete","open")</f>
        <v>complete</v>
      </c>
      <c r="L16" s="8" t="str">
        <f aca="false">IF(COUNTIFS(IconButton!E9:E47,"consumer",IconButton!M9:M47,"&lt;1")=0,"complete","open")</f>
        <v>complete</v>
      </c>
      <c r="M16" s="8" t="str">
        <f aca="false">IF(COUNTIFS(IconButton!E9:E47,"retirement",IconButton!M9:M47,"&lt;1")=0,"complete","open")</f>
        <v>complete</v>
      </c>
      <c r="N16" s="1" t="str">
        <f aca="false">IF(H16&gt;0,"blocked",IF(AND(J16=1,K16="complete",L16="complete",M16="complete"),"complete",IF(J16=0,"not started","in progress")))</f>
        <v>complete</v>
      </c>
    </row>
    <row r="17" customFormat="false" ht="15" hidden="false" customHeight="true" outlineLevel="0" collapsed="false">
      <c r="A17" s="8" t="s">
        <v>28</v>
      </c>
      <c r="B17" s="8" t="n">
        <f aca="false">COUNTA(AppBar!A9:A47)</f>
        <v>39</v>
      </c>
      <c r="C17" s="8" t="n">
        <f aca="false">COUNTIF(AppBar!H9:H47,"not started")</f>
        <v>0</v>
      </c>
      <c r="D17" s="8" t="n">
        <f aca="false">COUNTIF(AppBar!H9:H47,"partial")</f>
        <v>0</v>
      </c>
      <c r="E17" s="8" t="n">
        <f aca="false">COUNTIF(AppBar!H9:H47,"implemented")</f>
        <v>0</v>
      </c>
      <c r="F17" s="8" t="n">
        <f aca="false">COUNTIF(AppBar!H9:H47,"tested")</f>
        <v>31</v>
      </c>
      <c r="G17" s="8" t="n">
        <f aca="false">COUNTIF(AppBar!H9:H47,"verified")</f>
        <v>8</v>
      </c>
      <c r="H17" s="8" t="n">
        <f aca="false">COUNTIF(AppBar!H9:H47,"blocked")</f>
        <v>0</v>
      </c>
      <c r="I17" s="8" t="n">
        <f aca="false">COUNTIF(AppBar!H9:H47,"not applicable")</f>
        <v>0</v>
      </c>
      <c r="J17" s="9" t="n">
        <f aca="false">IFERROR(SUM(AppBar!M9:M47)/SUM(AppBar!L9:L47),0)</f>
        <v>1</v>
      </c>
      <c r="K17" s="8" t="str">
        <f aca="false">IF(COUNTIFS(AppBar!E9:E47,"package",AppBar!M9:M47,"&lt;1")=0,"complete","open")</f>
        <v>complete</v>
      </c>
      <c r="L17" s="8" t="str">
        <f aca="false">IF(COUNTIFS(AppBar!E9:E47,"consumer",AppBar!M9:M47,"&lt;1")=0,"complete","open")</f>
        <v>complete</v>
      </c>
      <c r="M17" s="8" t="str">
        <f aca="false">IF(COUNTIFS(AppBar!E9:E47,"retirement",AppBar!M9:M47,"&lt;1")=0,"complete","open")</f>
        <v>complete</v>
      </c>
      <c r="N17" s="1" t="str">
        <f aca="false">IF(H17&gt;0,"blocked",IF(AND(J17=1,K17="complete",L17="complete",M17="complete"),"complete",IF(J17=0,"not started","in progress")))</f>
        <v>complete</v>
      </c>
    </row>
    <row r="18" customFormat="false" ht="15" hidden="false" customHeight="true" outlineLevel="0" collapsed="false">
      <c r="A18" s="8" t="s">
        <v>29</v>
      </c>
      <c r="B18" s="8" t="n">
        <f aca="false">COUNTA(Tooltip!A9:A47)</f>
        <v>39</v>
      </c>
      <c r="C18" s="8" t="n">
        <f aca="false">COUNTIF(Tooltip!H9:H47,"not started")</f>
        <v>0</v>
      </c>
      <c r="D18" s="8" t="n">
        <f aca="false">COUNTIF(Tooltip!H9:H47,"partial")</f>
        <v>0</v>
      </c>
      <c r="E18" s="8" t="n">
        <f aca="false">COUNTIF(Tooltip!H9:H47,"implemented")</f>
        <v>0</v>
      </c>
      <c r="F18" s="8" t="n">
        <f aca="false">COUNTIF(Tooltip!H9:H47,"tested")</f>
        <v>26</v>
      </c>
      <c r="G18" s="8" t="n">
        <f aca="false">COUNTIF(Tooltip!H9:H47,"verified")</f>
        <v>11</v>
      </c>
      <c r="H18" s="8" t="n">
        <f aca="false">COUNTIF(Tooltip!H9:H47,"blocked")</f>
        <v>1</v>
      </c>
      <c r="I18" s="8" t="n">
        <f aca="false">COUNTIF(Tooltip!H9:H47,"not applicable")</f>
        <v>1</v>
      </c>
      <c r="J18" s="9" t="n">
        <f aca="false">IFERROR(SUM(Tooltip!M9:M47)/SUM(Tooltip!L9:L47),0)</f>
        <v>0.974358974358974</v>
      </c>
      <c r="K18" s="8" t="str">
        <f aca="false">IF(COUNTIFS(Tooltip!E9:E47,"package",Tooltip!M9:M47,"&lt;1")=0,"complete","open")</f>
        <v>complete</v>
      </c>
      <c r="L18" s="8" t="str">
        <f aca="false">IF(COUNTIFS(Tooltip!E9:E47,"consumer",Tooltip!M9:M47,"&lt;1")=0,"complete","open")</f>
        <v>complete</v>
      </c>
      <c r="M18" s="8" t="str">
        <f aca="false">IF(COUNTIFS(Tooltip!E9:E47,"retirement",Tooltip!M9:M47,"&lt;1")=0,"complete","open")</f>
        <v>open</v>
      </c>
      <c r="N18" s="1" t="str">
        <f aca="false">IF(H18&gt;0,"blocked",IF(AND(J18=1,K18="complete",L18="complete",M18="complete"),"complete",IF(J18=0,"not started","in progress")))</f>
        <v>blocked</v>
      </c>
    </row>
    <row r="19" customFormat="false" ht="15" hidden="false" customHeight="true" outlineLevel="0" collapsed="false">
      <c r="A19" s="8" t="s">
        <v>30</v>
      </c>
      <c r="B19" s="8" t="n">
        <f aca="false">COUNTA(HoverCard!A9:A47)</f>
        <v>39</v>
      </c>
      <c r="C19" s="8" t="n">
        <f aca="false">COUNTIF(HoverCard!H9:H47,"not started")</f>
        <v>0</v>
      </c>
      <c r="D19" s="8" t="n">
        <f aca="false">COUNTIF(HoverCard!H9:H47,"partial")</f>
        <v>0</v>
      </c>
      <c r="E19" s="8" t="n">
        <f aca="false">COUNTIF(HoverCard!H9:H47,"implemented")</f>
        <v>0</v>
      </c>
      <c r="F19" s="8" t="n">
        <f aca="false">COUNTIF(HoverCard!H9:H47,"tested")</f>
        <v>27</v>
      </c>
      <c r="G19" s="8" t="n">
        <f aca="false">COUNTIF(HoverCard!H9:H47,"verified")</f>
        <v>11</v>
      </c>
      <c r="H19" s="8" t="n">
        <f aca="false">COUNTIF(HoverCard!H9:H47,"blocked")</f>
        <v>0</v>
      </c>
      <c r="I19" s="8" t="n">
        <f aca="false">COUNTIF(HoverCard!H9:H47,"not applicable")</f>
        <v>1</v>
      </c>
      <c r="J19" s="9" t="n">
        <f aca="false">IFERROR(SUM(HoverCard!M9:M47)/SUM(HoverCard!L9:L47),0)</f>
        <v>1</v>
      </c>
      <c r="K19" s="8" t="str">
        <f aca="false">IF(COUNTIFS(HoverCard!E9:E47,"package",HoverCard!M9:M47,"&lt;1")=0,"complete","open")</f>
        <v>complete</v>
      </c>
      <c r="L19" s="8" t="str">
        <f aca="false">IF(COUNTIFS(HoverCard!E9:E47,"consumer",HoverCard!M9:M47,"&lt;1")=0,"complete","open")</f>
        <v>complete</v>
      </c>
      <c r="M19" s="8" t="str">
        <f aca="false">IF(COUNTIFS(HoverCard!E9:E47,"retirement",HoverCard!M9:M47,"&lt;1")=0,"complete","open")</f>
        <v>complete</v>
      </c>
      <c r="N19" s="1" t="str">
        <f aca="false">IF(H19&gt;0,"blocked",IF(AND(J19=1,K19="complete",L19="complete",M19="complete"),"complete",IF(J19=0,"not started","in progress")))</f>
        <v>complete</v>
      </c>
    </row>
    <row r="20" customFormat="false" ht="15" hidden="false" customHeight="true" outlineLevel="0" collapsed="false">
      <c r="A20" s="8" t="s">
        <v>31</v>
      </c>
      <c r="B20" s="8" t="n">
        <f aca="false">COUNTA(Popover!A9:A47)</f>
        <v>39</v>
      </c>
      <c r="C20" s="8" t="n">
        <f aca="false">COUNTIF(Popover!H9:H47,"not started")</f>
        <v>0</v>
      </c>
      <c r="D20" s="8" t="n">
        <f aca="false">COUNTIF(Popover!H9:H47,"partial")</f>
        <v>0</v>
      </c>
      <c r="E20" s="8" t="n">
        <f aca="false">COUNTIF(Popover!H9:H47,"implemented")</f>
        <v>0</v>
      </c>
      <c r="F20" s="8" t="n">
        <f aca="false">COUNTIF(Popover!H9:H47,"tested")</f>
        <v>31</v>
      </c>
      <c r="G20" s="8" t="n">
        <f aca="false">COUNTIF(Popover!H9:H47,"verified")</f>
        <v>6</v>
      </c>
      <c r="H20" s="8" t="n">
        <f aca="false">COUNTIF(Popover!H9:H47,"blocked")</f>
        <v>1</v>
      </c>
      <c r="I20" s="8" t="n">
        <f aca="false">COUNTIF(Popover!H9:H47,"not applicable")</f>
        <v>1</v>
      </c>
      <c r="J20" s="9" t="n">
        <f aca="false">IFERROR(SUM(Popover!M9:M47)/SUM(Popover!L9:L47),0)</f>
        <v>0.974358974358974</v>
      </c>
      <c r="K20" s="8" t="str">
        <f aca="false">IF(COUNTIFS(Popover!E9:E47,"package",Popover!M9:M47,"&lt;1")=0,"complete","open")</f>
        <v>complete</v>
      </c>
      <c r="L20" s="8" t="str">
        <f aca="false">IF(COUNTIFS(Popover!E9:E47,"consumer",Popover!M9:M47,"&lt;1")=0,"complete","open")</f>
        <v>complete</v>
      </c>
      <c r="M20" s="8" t="str">
        <f aca="false">IF(COUNTIFS(Popover!E9:E47,"retirement",Popover!M9:M47,"&lt;1")=0,"complete","open")</f>
        <v>open</v>
      </c>
      <c r="N20" s="1" t="str">
        <f aca="false">IF(H20&gt;0,"blocked",IF(AND(J20=1,K20="complete",L20="complete",M20="complete"),"complete",IF(J20=0,"not started","in progress")))</f>
        <v>blocked</v>
      </c>
    </row>
    <row r="21" customFormat="false" ht="15" hidden="false" customHeight="true" outlineLevel="0" collapsed="false">
      <c r="A21" s="8" t="s">
        <v>32</v>
      </c>
      <c r="B21" s="8" t="n">
        <f aca="false">COUNTA('Form Foundation'!A9:A47)</f>
        <v>39</v>
      </c>
      <c r="C21" s="8" t="n">
        <f aca="false">COUNTIF('Form Foundation'!H9:H47,"not started")</f>
        <v>0</v>
      </c>
      <c r="D21" s="8" t="n">
        <f aca="false">COUNTIF('Form Foundation'!H9:H47,"partial")</f>
        <v>0</v>
      </c>
      <c r="E21" s="8" t="n">
        <f aca="false">COUNTIF('Form Foundation'!H9:H47,"implemented")</f>
        <v>0</v>
      </c>
      <c r="F21" s="8" t="n">
        <f aca="false">COUNTIF('Form Foundation'!H9:H47,"tested")</f>
        <v>32</v>
      </c>
      <c r="G21" s="8" t="n">
        <f aca="false">COUNTIF('Form Foundation'!H9:H47,"verified")</f>
        <v>5</v>
      </c>
      <c r="H21" s="8" t="n">
        <f aca="false">COUNTIF('Form Foundation'!H9:H47,"blocked")</f>
        <v>1</v>
      </c>
      <c r="I21" s="8" t="n">
        <f aca="false">COUNTIF('Form Foundation'!H9:H47,"not applicable")</f>
        <v>1</v>
      </c>
      <c r="J21" s="9" t="n">
        <f aca="false">IFERROR(SUM('Form Foundation'!M9:M47)/SUM('Form Foundation'!L9:L47),0)</f>
        <v>0.974358974358974</v>
      </c>
      <c r="K21" s="8" t="str">
        <f aca="false">IF(COUNTIFS('Form Foundation'!E9:E47,"package",'Form Foundation'!M9:M47,"&lt;1")=0,"complete","open")</f>
        <v>complete</v>
      </c>
      <c r="L21" s="8" t="str">
        <f aca="false">IF(COUNTIFS('Form Foundation'!E9:E47,"consumer",'Form Foundation'!M9:M47,"&lt;1")=0,"complete","open")</f>
        <v>complete</v>
      </c>
      <c r="M21" s="8" t="str">
        <f aca="false">IF(COUNTIFS('Form Foundation'!E9:E47,"retirement",'Form Foundation'!M9:M47,"&lt;1")=0,"complete","open")</f>
        <v>open</v>
      </c>
      <c r="N21" s="1" t="str">
        <f aca="false">IF(H21&gt;0,"blocked",IF(AND(J21=1,K21="complete",L21="complete",M21="complete"),"complete",IF(J21=0,"not started","in progress")))</f>
        <v>blocked</v>
      </c>
    </row>
    <row r="22" customFormat="false" ht="15" hidden="false" customHeight="false" outlineLevel="0" collapsed="false">
      <c r="A22" s="8" t="s">
        <v>33</v>
      </c>
      <c r="B22" s="8" t="n">
        <f aca="false">COUNTA('Checkbox Family'!A9:A47)</f>
        <v>39</v>
      </c>
      <c r="C22" s="8" t="n">
        <f aca="false">COUNTIF('Checkbox Family'!H9:H47,"not started")</f>
        <v>9</v>
      </c>
      <c r="D22" s="8" t="n">
        <f aca="false">COUNTIF('Checkbox Family'!H9:H47,"partial")</f>
        <v>0</v>
      </c>
      <c r="E22" s="8" t="n">
        <f aca="false">COUNTIF('Checkbox Family'!H9:H47,"implemented")</f>
        <v>0</v>
      </c>
      <c r="F22" s="8" t="n">
        <f aca="false">COUNTIF('Checkbox Family'!H9:H47,"tested")</f>
        <v>22</v>
      </c>
      <c r="G22" s="8" t="n">
        <f aca="false">COUNTIF('Checkbox Family'!H9:H47,"verified")</f>
        <v>7</v>
      </c>
      <c r="H22" s="8" t="n">
        <f aca="false">COUNTIF('Checkbox Family'!H9:H47,"blocked")</f>
        <v>1</v>
      </c>
      <c r="I22" s="8" t="n">
        <f aca="false">COUNTIF('Checkbox Family'!H9:H47,"not applicable")</f>
        <v>0</v>
      </c>
      <c r="J22" s="9" t="n">
        <f aca="false">IFERROR(SUM('Checkbox Family'!M9:M47)/SUM('Checkbox Family'!L9:L47),0)</f>
        <v>0.743589743589744</v>
      </c>
      <c r="K22" s="8" t="str">
        <f aca="false">IF(COUNTIFS('Checkbox Family'!E9:E47,"package",'Checkbox Family'!M9:M47,"&lt;1")=0,"complete","open")</f>
        <v>open</v>
      </c>
      <c r="L22" s="8" t="str">
        <f aca="false">IF(COUNTIFS('Checkbox Family'!E9:E47,"consumer",'Checkbox Family'!M9:M47,"&lt;1")=0,"complete","open")</f>
        <v>complete</v>
      </c>
      <c r="M22" s="8" t="str">
        <f aca="false">IF(COUNTIFS('Checkbox Family'!E9:E47,"retirement",'Checkbox Family'!M9:M47,"&lt;1")=0,"complete","open")</f>
        <v>open</v>
      </c>
      <c r="N22" s="1" t="str">
        <f aca="false">IF(H22&gt;0,"blocked",IF(AND(J22=1,K22="complete",L22="complete",M22="complete"),"complete",IF(J22=0,"not started","in progress")))</f>
        <v>blocked</v>
      </c>
    </row>
  </sheetData>
  <autoFilter ref="A7:N20"/>
  <mergeCells count="2">
    <mergeCell ref="A1:N1"/>
    <mergeCell ref="A2:N2"/>
  </mergeCells>
  <conditionalFormatting sqref="N8:N1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location="'Badge'!A1" display="Badge"/>
    <hyperlink ref="A14" location="'Avatar'!A1" display="Avatar"/>
    <hyperlink ref="A22" r:id="rId1" location="'Checkbox%20Family'!A1" display="Checkbox Famil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tableParts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34</v>
      </c>
      <c r="B1" s="2"/>
      <c r="C1" s="2"/>
      <c r="D1" s="2"/>
    </row>
    <row r="2" customFormat="false" ht="33.75" hidden="false" customHeight="true" outlineLevel="0" collapsed="false">
      <c r="A2" s="3" t="s">
        <v>35</v>
      </c>
      <c r="B2" s="3"/>
      <c r="C2" s="3"/>
      <c r="D2" s="3"/>
    </row>
    <row r="4" customFormat="false" ht="15" hidden="false" customHeight="true" outlineLevel="0" collapsed="false">
      <c r="A4" s="7" t="s">
        <v>36</v>
      </c>
      <c r="B4" s="7" t="s">
        <v>37</v>
      </c>
    </row>
    <row r="5" customFormat="false" ht="30" hidden="false" customHeight="true" outlineLevel="0" collapsed="false">
      <c r="A5" s="10" t="s">
        <v>38</v>
      </c>
      <c r="B5" s="11" t="s">
        <v>39</v>
      </c>
    </row>
    <row r="6" customFormat="false" ht="30" hidden="false" customHeight="true" outlineLevel="0" collapsed="false">
      <c r="A6" s="12" t="s">
        <v>18</v>
      </c>
      <c r="B6" s="13" t="s">
        <v>40</v>
      </c>
    </row>
    <row r="7" customFormat="false" ht="30" hidden="false" customHeight="true" outlineLevel="0" collapsed="false">
      <c r="A7" s="10" t="s">
        <v>18</v>
      </c>
      <c r="B7" s="11" t="s">
        <v>41</v>
      </c>
    </row>
    <row r="8" customFormat="false" ht="30" hidden="false" customHeight="true" outlineLevel="0" collapsed="false">
      <c r="A8" s="12" t="s">
        <v>18</v>
      </c>
      <c r="B8" s="13" t="s">
        <v>42</v>
      </c>
    </row>
    <row r="9" customFormat="false" ht="30" hidden="false" customHeight="true" outlineLevel="0" collapsed="false">
      <c r="A9" s="10" t="s">
        <v>18</v>
      </c>
      <c r="B9" s="11" t="s">
        <v>43</v>
      </c>
    </row>
    <row r="10" customFormat="false" ht="30" hidden="false" customHeight="true" outlineLevel="0" collapsed="false">
      <c r="A10" s="12" t="s">
        <v>18</v>
      </c>
      <c r="B10" s="13" t="s">
        <v>44</v>
      </c>
    </row>
    <row r="11" customFormat="false" ht="30" hidden="false" customHeight="true" outlineLevel="0" collapsed="false">
      <c r="A11" s="10" t="s">
        <v>18</v>
      </c>
      <c r="B11" s="11" t="s">
        <v>45</v>
      </c>
    </row>
    <row r="12" customFormat="false" ht="30" hidden="false" customHeight="true" outlineLevel="0" collapsed="false">
      <c r="A12" s="12" t="s">
        <v>18</v>
      </c>
      <c r="B12" s="13" t="s">
        <v>46</v>
      </c>
    </row>
    <row r="13" customFormat="false" ht="30" hidden="false" customHeight="true" outlineLevel="0" collapsed="false">
      <c r="A13" s="10" t="s">
        <v>14</v>
      </c>
      <c r="B13" s="11" t="s">
        <v>47</v>
      </c>
    </row>
    <row r="14" customFormat="false" ht="30" hidden="false" customHeight="true" outlineLevel="0" collapsed="false">
      <c r="A14" s="12" t="s">
        <v>15</v>
      </c>
      <c r="B14" s="13" t="s">
        <v>48</v>
      </c>
    </row>
    <row r="15" customFormat="false" ht="30" hidden="false" customHeight="true" outlineLevel="0" collapsed="false">
      <c r="A15" s="10" t="s">
        <v>16</v>
      </c>
      <c r="B15" s="11" t="s">
        <v>49</v>
      </c>
    </row>
    <row r="16" customFormat="false" ht="30" hidden="false" customHeight="true" outlineLevel="0" collapsed="false">
      <c r="A16" s="12" t="s">
        <v>17</v>
      </c>
      <c r="B16" s="13" t="s">
        <v>50</v>
      </c>
    </row>
    <row r="17" customFormat="false" ht="30" hidden="false" customHeight="true" outlineLevel="0" collapsed="false">
      <c r="A17" s="10" t="s">
        <v>51</v>
      </c>
      <c r="B17" s="11" t="s">
        <v>52</v>
      </c>
    </row>
    <row r="18" customFormat="false" ht="30" hidden="false" customHeight="true" outlineLevel="0" collapsed="false">
      <c r="A18" s="12" t="s">
        <v>53</v>
      </c>
      <c r="B18" s="13" t="s">
        <v>54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57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.75" hidden="false" customHeight="true" outlineLevel="0" collapsed="false">
      <c r="A9" s="15" t="s">
        <v>70</v>
      </c>
      <c r="B9" s="15" t="s">
        <v>71</v>
      </c>
      <c r="C9" s="15" t="s">
        <v>6</v>
      </c>
      <c r="D9" s="15" t="s">
        <v>72</v>
      </c>
      <c r="E9" s="15" t="s">
        <v>73</v>
      </c>
      <c r="F9" s="15" t="s">
        <v>74</v>
      </c>
      <c r="G9" s="16" t="s">
        <v>75</v>
      </c>
      <c r="H9" s="15" t="s">
        <v>76</v>
      </c>
      <c r="I9" s="15" t="s">
        <v>77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78</v>
      </c>
      <c r="B10" s="15" t="s">
        <v>79</v>
      </c>
      <c r="C10" s="15" t="s">
        <v>6</v>
      </c>
      <c r="D10" s="15" t="s">
        <v>80</v>
      </c>
      <c r="E10" s="15" t="s">
        <v>73</v>
      </c>
      <c r="F10" s="15" t="s">
        <v>81</v>
      </c>
      <c r="G10" s="16" t="s">
        <v>82</v>
      </c>
      <c r="H10" s="15" t="s">
        <v>83</v>
      </c>
      <c r="I10" s="15" t="s">
        <v>84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85</v>
      </c>
      <c r="B11" s="15" t="s">
        <v>71</v>
      </c>
      <c r="C11" s="15" t="s">
        <v>6</v>
      </c>
      <c r="D11" s="15" t="s">
        <v>86</v>
      </c>
      <c r="E11" s="15" t="s">
        <v>73</v>
      </c>
      <c r="F11" s="15" t="s">
        <v>87</v>
      </c>
      <c r="G11" s="16" t="s">
        <v>88</v>
      </c>
      <c r="H11" s="15" t="s">
        <v>76</v>
      </c>
      <c r="I11" s="15" t="s">
        <v>77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89</v>
      </c>
      <c r="B12" s="15" t="s">
        <v>71</v>
      </c>
      <c r="C12" s="15" t="s">
        <v>6</v>
      </c>
      <c r="D12" s="15" t="s">
        <v>90</v>
      </c>
      <c r="E12" s="15" t="s">
        <v>73</v>
      </c>
      <c r="F12" s="15" t="s">
        <v>87</v>
      </c>
      <c r="G12" s="16" t="s">
        <v>91</v>
      </c>
      <c r="H12" s="15" t="s">
        <v>76</v>
      </c>
      <c r="I12" s="15" t="s">
        <v>77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92</v>
      </c>
      <c r="B13" s="15" t="s">
        <v>93</v>
      </c>
      <c r="C13" s="15" t="s">
        <v>6</v>
      </c>
      <c r="D13" s="15" t="s">
        <v>94</v>
      </c>
      <c r="E13" s="15" t="s">
        <v>73</v>
      </c>
      <c r="F13" s="15" t="s">
        <v>74</v>
      </c>
      <c r="G13" s="16" t="s">
        <v>95</v>
      </c>
      <c r="H13" s="15" t="s">
        <v>76</v>
      </c>
      <c r="I13" s="15" t="s">
        <v>77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96</v>
      </c>
      <c r="B14" s="15" t="s">
        <v>93</v>
      </c>
      <c r="C14" s="15" t="s">
        <v>6</v>
      </c>
      <c r="D14" s="15" t="s">
        <v>97</v>
      </c>
      <c r="E14" s="15" t="s">
        <v>73</v>
      </c>
      <c r="F14" s="15" t="s">
        <v>74</v>
      </c>
      <c r="G14" s="16" t="s">
        <v>98</v>
      </c>
      <c r="H14" s="15" t="s">
        <v>83</v>
      </c>
      <c r="I14" s="15" t="s">
        <v>84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99</v>
      </c>
      <c r="B15" s="15" t="s">
        <v>100</v>
      </c>
      <c r="C15" s="15" t="s">
        <v>6</v>
      </c>
      <c r="D15" s="15" t="s">
        <v>101</v>
      </c>
      <c r="E15" s="15" t="s">
        <v>73</v>
      </c>
      <c r="F15" s="15" t="s">
        <v>102</v>
      </c>
      <c r="G15" s="16" t="s">
        <v>103</v>
      </c>
      <c r="H15" s="15" t="s">
        <v>83</v>
      </c>
      <c r="I15" s="15" t="s">
        <v>84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104</v>
      </c>
      <c r="B16" s="15" t="s">
        <v>100</v>
      </c>
      <c r="C16" s="15" t="s">
        <v>6</v>
      </c>
      <c r="D16" s="15" t="s">
        <v>105</v>
      </c>
      <c r="E16" s="15" t="s">
        <v>73</v>
      </c>
      <c r="F16" s="15" t="s">
        <v>102</v>
      </c>
      <c r="G16" s="16" t="s">
        <v>103</v>
      </c>
      <c r="H16" s="15" t="s">
        <v>83</v>
      </c>
      <c r="I16" s="15" t="s">
        <v>84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106</v>
      </c>
      <c r="B17" s="15" t="s">
        <v>100</v>
      </c>
      <c r="C17" s="15" t="s">
        <v>6</v>
      </c>
      <c r="D17" s="15" t="s">
        <v>107</v>
      </c>
      <c r="E17" s="15" t="s">
        <v>73</v>
      </c>
      <c r="F17" s="15" t="s">
        <v>102</v>
      </c>
      <c r="G17" s="16" t="s">
        <v>103</v>
      </c>
      <c r="H17" s="15" t="s">
        <v>83</v>
      </c>
      <c r="I17" s="15" t="s">
        <v>84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108</v>
      </c>
      <c r="B18" s="15" t="s">
        <v>100</v>
      </c>
      <c r="C18" s="15" t="s">
        <v>6</v>
      </c>
      <c r="D18" s="15" t="s">
        <v>109</v>
      </c>
      <c r="E18" s="15" t="s">
        <v>73</v>
      </c>
      <c r="F18" s="15" t="s">
        <v>102</v>
      </c>
      <c r="G18" s="16" t="s">
        <v>110</v>
      </c>
      <c r="H18" s="15" t="s">
        <v>83</v>
      </c>
      <c r="I18" s="15" t="s">
        <v>84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111</v>
      </c>
      <c r="B19" s="15" t="s">
        <v>100</v>
      </c>
      <c r="C19" s="15" t="s">
        <v>6</v>
      </c>
      <c r="D19" s="15" t="s">
        <v>112</v>
      </c>
      <c r="E19" s="15" t="s">
        <v>73</v>
      </c>
      <c r="F19" s="15" t="s">
        <v>102</v>
      </c>
      <c r="G19" s="16" t="s">
        <v>103</v>
      </c>
      <c r="H19" s="15" t="s">
        <v>83</v>
      </c>
      <c r="I19" s="15" t="s">
        <v>84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113</v>
      </c>
      <c r="B20" s="15" t="s">
        <v>100</v>
      </c>
      <c r="C20" s="15" t="s">
        <v>6</v>
      </c>
      <c r="D20" s="15" t="s">
        <v>114</v>
      </c>
      <c r="E20" s="15" t="s">
        <v>73</v>
      </c>
      <c r="F20" s="15" t="s">
        <v>102</v>
      </c>
      <c r="G20" s="16" t="s">
        <v>103</v>
      </c>
      <c r="H20" s="15" t="s">
        <v>83</v>
      </c>
      <c r="I20" s="15" t="s">
        <v>84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115</v>
      </c>
      <c r="B21" s="15" t="s">
        <v>100</v>
      </c>
      <c r="C21" s="15" t="s">
        <v>6</v>
      </c>
      <c r="D21" s="15" t="s">
        <v>116</v>
      </c>
      <c r="E21" s="15" t="s">
        <v>73</v>
      </c>
      <c r="F21" s="15" t="s">
        <v>102</v>
      </c>
      <c r="G21" s="16" t="s">
        <v>117</v>
      </c>
      <c r="H21" s="15" t="s">
        <v>76</v>
      </c>
      <c r="I21" s="15" t="s">
        <v>77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118</v>
      </c>
      <c r="B22" s="15" t="s">
        <v>119</v>
      </c>
      <c r="C22" s="15" t="s">
        <v>6</v>
      </c>
      <c r="D22" s="15" t="s">
        <v>120</v>
      </c>
      <c r="E22" s="15" t="s">
        <v>73</v>
      </c>
      <c r="F22" s="15" t="s">
        <v>121</v>
      </c>
      <c r="G22" s="16" t="s">
        <v>91</v>
      </c>
      <c r="H22" s="15" t="s">
        <v>76</v>
      </c>
      <c r="I22" s="15" t="s">
        <v>77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122</v>
      </c>
      <c r="B23" s="15" t="s">
        <v>119</v>
      </c>
      <c r="C23" s="15" t="s">
        <v>6</v>
      </c>
      <c r="D23" s="15" t="s">
        <v>123</v>
      </c>
      <c r="E23" s="15" t="s">
        <v>73</v>
      </c>
      <c r="F23" s="15" t="s">
        <v>121</v>
      </c>
      <c r="G23" s="16" t="s">
        <v>124</v>
      </c>
      <c r="H23" s="15" t="s">
        <v>76</v>
      </c>
      <c r="I23" s="15" t="s">
        <v>77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125</v>
      </c>
      <c r="B24" s="15" t="s">
        <v>119</v>
      </c>
      <c r="C24" s="15" t="s">
        <v>6</v>
      </c>
      <c r="D24" s="15" t="s">
        <v>126</v>
      </c>
      <c r="E24" s="15" t="s">
        <v>73</v>
      </c>
      <c r="F24" s="15" t="s">
        <v>121</v>
      </c>
      <c r="G24" s="16" t="s">
        <v>117</v>
      </c>
      <c r="H24" s="15" t="s">
        <v>76</v>
      </c>
      <c r="I24" s="15" t="s">
        <v>77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127</v>
      </c>
      <c r="B25" s="15" t="s">
        <v>119</v>
      </c>
      <c r="C25" s="15" t="s">
        <v>6</v>
      </c>
      <c r="D25" s="15" t="s">
        <v>128</v>
      </c>
      <c r="E25" s="15" t="s">
        <v>73</v>
      </c>
      <c r="F25" s="15" t="s">
        <v>121</v>
      </c>
      <c r="G25" s="16" t="s">
        <v>129</v>
      </c>
      <c r="H25" s="15" t="s">
        <v>76</v>
      </c>
      <c r="I25" s="15" t="s">
        <v>77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130</v>
      </c>
      <c r="B26" s="15" t="s">
        <v>119</v>
      </c>
      <c r="C26" s="15" t="s">
        <v>6</v>
      </c>
      <c r="D26" s="15" t="s">
        <v>131</v>
      </c>
      <c r="E26" s="15" t="s">
        <v>73</v>
      </c>
      <c r="F26" s="15" t="s">
        <v>121</v>
      </c>
      <c r="G26" s="15" t="s">
        <v>132</v>
      </c>
      <c r="H26" s="15" t="s">
        <v>83</v>
      </c>
      <c r="I26" s="15" t="s">
        <v>84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133</v>
      </c>
      <c r="B27" s="15" t="s">
        <v>119</v>
      </c>
      <c r="C27" s="15" t="s">
        <v>6</v>
      </c>
      <c r="D27" s="15" t="s">
        <v>134</v>
      </c>
      <c r="E27" s="15" t="s">
        <v>73</v>
      </c>
      <c r="F27" s="15" t="s">
        <v>121</v>
      </c>
      <c r="G27" s="16" t="s">
        <v>135</v>
      </c>
      <c r="H27" s="15" t="s">
        <v>76</v>
      </c>
      <c r="I27" s="15" t="s">
        <v>77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136</v>
      </c>
      <c r="B28" s="15" t="s">
        <v>119</v>
      </c>
      <c r="C28" s="15" t="s">
        <v>6</v>
      </c>
      <c r="D28" s="15" t="s">
        <v>137</v>
      </c>
      <c r="E28" s="15" t="s">
        <v>73</v>
      </c>
      <c r="F28" s="15" t="s">
        <v>121</v>
      </c>
      <c r="G28" s="16" t="s">
        <v>138</v>
      </c>
      <c r="H28" s="15" t="s">
        <v>76</v>
      </c>
      <c r="I28" s="15" t="s">
        <v>77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139</v>
      </c>
      <c r="B29" s="15" t="s">
        <v>140</v>
      </c>
      <c r="C29" s="15" t="s">
        <v>6</v>
      </c>
      <c r="D29" s="15" t="s">
        <v>141</v>
      </c>
      <c r="E29" s="15" t="s">
        <v>73</v>
      </c>
      <c r="F29" s="15" t="s">
        <v>142</v>
      </c>
      <c r="G29" s="16" t="s">
        <v>103</v>
      </c>
      <c r="H29" s="15" t="s">
        <v>76</v>
      </c>
      <c r="I29" s="15" t="s">
        <v>77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143</v>
      </c>
      <c r="B30" s="15" t="s">
        <v>140</v>
      </c>
      <c r="C30" s="15" t="s">
        <v>6</v>
      </c>
      <c r="D30" s="15" t="s">
        <v>144</v>
      </c>
      <c r="E30" s="15" t="s">
        <v>73</v>
      </c>
      <c r="F30" s="15" t="s">
        <v>142</v>
      </c>
      <c r="G30" s="15" t="s">
        <v>103</v>
      </c>
      <c r="H30" s="15" t="s">
        <v>83</v>
      </c>
      <c r="I30" s="15" t="s">
        <v>84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145</v>
      </c>
      <c r="B31" s="15" t="s">
        <v>146</v>
      </c>
      <c r="C31" s="15" t="s">
        <v>6</v>
      </c>
      <c r="D31" s="15" t="s">
        <v>147</v>
      </c>
      <c r="E31" s="15" t="s">
        <v>73</v>
      </c>
      <c r="F31" s="15" t="s">
        <v>148</v>
      </c>
      <c r="G31" s="16" t="s">
        <v>149</v>
      </c>
      <c r="H31" s="15" t="s">
        <v>83</v>
      </c>
      <c r="I31" s="15" t="s">
        <v>84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150</v>
      </c>
      <c r="B32" s="15" t="s">
        <v>146</v>
      </c>
      <c r="C32" s="15" t="s">
        <v>6</v>
      </c>
      <c r="D32" s="15" t="s">
        <v>151</v>
      </c>
      <c r="E32" s="15" t="s">
        <v>73</v>
      </c>
      <c r="F32" s="15" t="s">
        <v>148</v>
      </c>
      <c r="G32" s="16" t="s">
        <v>152</v>
      </c>
      <c r="H32" s="15" t="s">
        <v>76</v>
      </c>
      <c r="I32" s="15" t="s">
        <v>77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153</v>
      </c>
      <c r="B33" s="15" t="s">
        <v>154</v>
      </c>
      <c r="C33" s="15" t="s">
        <v>6</v>
      </c>
      <c r="D33" s="15" t="s">
        <v>155</v>
      </c>
      <c r="E33" s="15" t="s">
        <v>156</v>
      </c>
      <c r="F33" s="15" t="s">
        <v>156</v>
      </c>
      <c r="G33" s="15" t="s">
        <v>157</v>
      </c>
      <c r="H33" s="15" t="s">
        <v>83</v>
      </c>
      <c r="I33" s="15" t="s">
        <v>84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158</v>
      </c>
      <c r="B34" s="15" t="s">
        <v>159</v>
      </c>
      <c r="C34" s="15" t="s">
        <v>6</v>
      </c>
      <c r="D34" s="15" t="s">
        <v>160</v>
      </c>
      <c r="E34" s="15" t="s">
        <v>161</v>
      </c>
      <c r="F34" s="15" t="s">
        <v>162</v>
      </c>
      <c r="G34" s="15"/>
      <c r="H34" s="15" t="s">
        <v>163</v>
      </c>
      <c r="I34" s="15" t="s">
        <v>84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165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57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.75" hidden="false" customHeight="true" outlineLevel="0" collapsed="false">
      <c r="A9" s="15" t="s">
        <v>166</v>
      </c>
      <c r="B9" s="15" t="s">
        <v>71</v>
      </c>
      <c r="C9" s="15" t="s">
        <v>167</v>
      </c>
      <c r="D9" s="15" t="s">
        <v>168</v>
      </c>
      <c r="E9" s="15" t="s">
        <v>73</v>
      </c>
      <c r="F9" s="15" t="s">
        <v>74</v>
      </c>
      <c r="G9" s="15" t="s">
        <v>169</v>
      </c>
      <c r="H9" s="15" t="s">
        <v>76</v>
      </c>
      <c r="I9" s="15" t="s">
        <v>77</v>
      </c>
      <c r="J9" s="17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170</v>
      </c>
      <c r="B10" s="15" t="s">
        <v>79</v>
      </c>
      <c r="C10" s="15" t="s">
        <v>6</v>
      </c>
      <c r="D10" s="15" t="s">
        <v>171</v>
      </c>
      <c r="E10" s="15" t="s">
        <v>73</v>
      </c>
      <c r="F10" s="15" t="s">
        <v>81</v>
      </c>
      <c r="G10" s="15" t="s">
        <v>172</v>
      </c>
      <c r="H10" s="15" t="s">
        <v>83</v>
      </c>
      <c r="I10" s="15" t="s">
        <v>84</v>
      </c>
      <c r="J10" s="17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173</v>
      </c>
      <c r="B11" s="15" t="s">
        <v>71</v>
      </c>
      <c r="C11" s="15" t="s">
        <v>167</v>
      </c>
      <c r="D11" s="15" t="s">
        <v>174</v>
      </c>
      <c r="E11" s="15" t="s">
        <v>73</v>
      </c>
      <c r="F11" s="15" t="s">
        <v>87</v>
      </c>
      <c r="G11" s="15" t="s">
        <v>175</v>
      </c>
      <c r="H11" s="15" t="s">
        <v>76</v>
      </c>
      <c r="I11" s="15" t="s">
        <v>77</v>
      </c>
      <c r="J11" s="17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176</v>
      </c>
      <c r="B12" s="15" t="s">
        <v>71</v>
      </c>
      <c r="C12" s="15" t="s">
        <v>177</v>
      </c>
      <c r="D12" s="15" t="s">
        <v>178</v>
      </c>
      <c r="E12" s="15" t="s">
        <v>73</v>
      </c>
      <c r="F12" s="15" t="s">
        <v>121</v>
      </c>
      <c r="G12" s="15" t="s">
        <v>179</v>
      </c>
      <c r="H12" s="15" t="s">
        <v>76</v>
      </c>
      <c r="I12" s="15" t="s">
        <v>77</v>
      </c>
      <c r="J12" s="17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180</v>
      </c>
      <c r="B13" s="15" t="s">
        <v>51</v>
      </c>
      <c r="C13" s="15" t="s">
        <v>181</v>
      </c>
      <c r="D13" s="15" t="s">
        <v>182</v>
      </c>
      <c r="E13" s="15" t="s">
        <v>73</v>
      </c>
      <c r="F13" s="15" t="s">
        <v>121</v>
      </c>
      <c r="G13" s="15" t="s">
        <v>179</v>
      </c>
      <c r="H13" s="15" t="s">
        <v>76</v>
      </c>
      <c r="I13" s="15" t="s">
        <v>77</v>
      </c>
      <c r="J13" s="17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183</v>
      </c>
      <c r="B14" s="15" t="s">
        <v>51</v>
      </c>
      <c r="C14" s="15" t="s">
        <v>184</v>
      </c>
      <c r="D14" s="15" t="s">
        <v>185</v>
      </c>
      <c r="E14" s="15" t="s">
        <v>73</v>
      </c>
      <c r="F14" s="15" t="s">
        <v>142</v>
      </c>
      <c r="G14" s="15" t="s">
        <v>186</v>
      </c>
      <c r="H14" s="15" t="s">
        <v>83</v>
      </c>
      <c r="I14" s="15" t="s">
        <v>84</v>
      </c>
      <c r="J14" s="17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187</v>
      </c>
      <c r="B15" s="15" t="s">
        <v>51</v>
      </c>
      <c r="C15" s="15" t="s">
        <v>188</v>
      </c>
      <c r="D15" s="15" t="s">
        <v>189</v>
      </c>
      <c r="E15" s="15" t="s">
        <v>73</v>
      </c>
      <c r="F15" s="15" t="s">
        <v>121</v>
      </c>
      <c r="G15" s="15" t="s">
        <v>179</v>
      </c>
      <c r="H15" s="15" t="s">
        <v>76</v>
      </c>
      <c r="I15" s="15" t="s">
        <v>77</v>
      </c>
      <c r="J15" s="17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190</v>
      </c>
      <c r="B16" s="15" t="s">
        <v>51</v>
      </c>
      <c r="C16" s="15" t="s">
        <v>191</v>
      </c>
      <c r="D16" s="15" t="s">
        <v>192</v>
      </c>
      <c r="E16" s="15" t="s">
        <v>73</v>
      </c>
      <c r="F16" s="15" t="s">
        <v>121</v>
      </c>
      <c r="G16" s="15" t="s">
        <v>179</v>
      </c>
      <c r="H16" s="15" t="s">
        <v>76</v>
      </c>
      <c r="I16" s="15" t="s">
        <v>77</v>
      </c>
      <c r="J16" s="17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193</v>
      </c>
      <c r="B17" s="15" t="s">
        <v>51</v>
      </c>
      <c r="C17" s="15" t="s">
        <v>194</v>
      </c>
      <c r="D17" s="15" t="s">
        <v>195</v>
      </c>
      <c r="E17" s="15" t="s">
        <v>73</v>
      </c>
      <c r="F17" s="15" t="s">
        <v>121</v>
      </c>
      <c r="G17" s="15" t="s">
        <v>196</v>
      </c>
      <c r="H17" s="15" t="s">
        <v>76</v>
      </c>
      <c r="I17" s="15" t="s">
        <v>77</v>
      </c>
      <c r="J17" s="17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197</v>
      </c>
      <c r="B18" s="15" t="s">
        <v>51</v>
      </c>
      <c r="C18" s="15" t="s">
        <v>198</v>
      </c>
      <c r="D18" s="15" t="s">
        <v>199</v>
      </c>
      <c r="E18" s="15" t="s">
        <v>73</v>
      </c>
      <c r="F18" s="15" t="s">
        <v>121</v>
      </c>
      <c r="G18" s="15" t="s">
        <v>179</v>
      </c>
      <c r="H18" s="15" t="s">
        <v>76</v>
      </c>
      <c r="I18" s="15" t="s">
        <v>77</v>
      </c>
      <c r="J18" s="17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200</v>
      </c>
      <c r="B19" s="15" t="s">
        <v>51</v>
      </c>
      <c r="C19" s="15" t="s">
        <v>201</v>
      </c>
      <c r="D19" s="15" t="s">
        <v>202</v>
      </c>
      <c r="E19" s="15" t="s">
        <v>73</v>
      </c>
      <c r="F19" s="15" t="s">
        <v>142</v>
      </c>
      <c r="G19" s="15" t="s">
        <v>186</v>
      </c>
      <c r="H19" s="15" t="s">
        <v>83</v>
      </c>
      <c r="I19" s="15" t="s">
        <v>84</v>
      </c>
      <c r="J19" s="17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203</v>
      </c>
      <c r="B20" s="15" t="s">
        <v>93</v>
      </c>
      <c r="C20" s="15" t="s">
        <v>177</v>
      </c>
      <c r="D20" s="15" t="s">
        <v>204</v>
      </c>
      <c r="E20" s="15" t="s">
        <v>73</v>
      </c>
      <c r="F20" s="15" t="s">
        <v>74</v>
      </c>
      <c r="G20" s="15" t="s">
        <v>205</v>
      </c>
      <c r="H20" s="15" t="s">
        <v>76</v>
      </c>
      <c r="I20" s="15" t="s">
        <v>77</v>
      </c>
      <c r="J20" s="17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206</v>
      </c>
      <c r="B21" s="15" t="s">
        <v>93</v>
      </c>
      <c r="C21" s="15" t="s">
        <v>181</v>
      </c>
      <c r="D21" s="15" t="s">
        <v>207</v>
      </c>
      <c r="E21" s="15" t="s">
        <v>73</v>
      </c>
      <c r="F21" s="15" t="s">
        <v>142</v>
      </c>
      <c r="G21" s="15" t="s">
        <v>186</v>
      </c>
      <c r="H21" s="15" t="s">
        <v>83</v>
      </c>
      <c r="I21" s="15" t="s">
        <v>84</v>
      </c>
      <c r="J21" s="17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208</v>
      </c>
      <c r="B22" s="15" t="s">
        <v>100</v>
      </c>
      <c r="C22" s="15" t="s">
        <v>177</v>
      </c>
      <c r="D22" s="15" t="s">
        <v>209</v>
      </c>
      <c r="E22" s="15" t="s">
        <v>73</v>
      </c>
      <c r="F22" s="15" t="s">
        <v>102</v>
      </c>
      <c r="G22" s="15" t="s">
        <v>186</v>
      </c>
      <c r="H22" s="15" t="s">
        <v>83</v>
      </c>
      <c r="I22" s="15" t="s">
        <v>84</v>
      </c>
      <c r="J22" s="17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210</v>
      </c>
      <c r="B23" s="15" t="s">
        <v>100</v>
      </c>
      <c r="C23" s="15" t="s">
        <v>181</v>
      </c>
      <c r="D23" s="15" t="s">
        <v>211</v>
      </c>
      <c r="E23" s="15" t="s">
        <v>73</v>
      </c>
      <c r="F23" s="15" t="s">
        <v>102</v>
      </c>
      <c r="G23" s="15" t="s">
        <v>196</v>
      </c>
      <c r="H23" s="15" t="s">
        <v>83</v>
      </c>
      <c r="I23" s="15" t="s">
        <v>84</v>
      </c>
      <c r="J23" s="17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212</v>
      </c>
      <c r="B24" s="15" t="s">
        <v>100</v>
      </c>
      <c r="C24" s="15" t="s">
        <v>177</v>
      </c>
      <c r="D24" s="15" t="s">
        <v>213</v>
      </c>
      <c r="E24" s="15" t="s">
        <v>73</v>
      </c>
      <c r="F24" s="15" t="s">
        <v>142</v>
      </c>
      <c r="G24" s="15" t="s">
        <v>186</v>
      </c>
      <c r="H24" s="15" t="s">
        <v>83</v>
      </c>
      <c r="I24" s="15" t="s">
        <v>84</v>
      </c>
      <c r="J24" s="17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214</v>
      </c>
      <c r="B25" s="15" t="s">
        <v>100</v>
      </c>
      <c r="C25" s="15" t="s">
        <v>181</v>
      </c>
      <c r="D25" s="15" t="s">
        <v>215</v>
      </c>
      <c r="E25" s="15" t="s">
        <v>73</v>
      </c>
      <c r="F25" s="15" t="s">
        <v>121</v>
      </c>
      <c r="G25" s="15" t="s">
        <v>110</v>
      </c>
      <c r="H25" s="15" t="s">
        <v>83</v>
      </c>
      <c r="I25" s="15" t="s">
        <v>84</v>
      </c>
      <c r="J25" s="17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216</v>
      </c>
      <c r="B26" s="15" t="s">
        <v>100</v>
      </c>
      <c r="C26" s="15" t="s">
        <v>177</v>
      </c>
      <c r="D26" s="15" t="s">
        <v>217</v>
      </c>
      <c r="E26" s="15" t="s">
        <v>73</v>
      </c>
      <c r="F26" s="15" t="s">
        <v>142</v>
      </c>
      <c r="G26" s="15" t="s">
        <v>186</v>
      </c>
      <c r="H26" s="15" t="s">
        <v>83</v>
      </c>
      <c r="I26" s="15" t="s">
        <v>84</v>
      </c>
      <c r="J26" s="17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218</v>
      </c>
      <c r="B27" s="15" t="s">
        <v>100</v>
      </c>
      <c r="C27" s="15" t="s">
        <v>177</v>
      </c>
      <c r="D27" s="15" t="s">
        <v>219</v>
      </c>
      <c r="E27" s="15" t="s">
        <v>73</v>
      </c>
      <c r="F27" s="15" t="s">
        <v>142</v>
      </c>
      <c r="G27" s="15" t="s">
        <v>186</v>
      </c>
      <c r="H27" s="15" t="s">
        <v>83</v>
      </c>
      <c r="I27" s="15" t="s">
        <v>84</v>
      </c>
      <c r="J27" s="17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220</v>
      </c>
      <c r="B28" s="15" t="s">
        <v>100</v>
      </c>
      <c r="C28" s="15" t="s">
        <v>6</v>
      </c>
      <c r="D28" s="15" t="s">
        <v>221</v>
      </c>
      <c r="E28" s="15" t="s">
        <v>73</v>
      </c>
      <c r="F28" s="15" t="s">
        <v>102</v>
      </c>
      <c r="G28" s="15" t="s">
        <v>196</v>
      </c>
      <c r="H28" s="15" t="s">
        <v>76</v>
      </c>
      <c r="I28" s="15" t="s">
        <v>77</v>
      </c>
      <c r="J28" s="17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222</v>
      </c>
      <c r="B29" s="15" t="s">
        <v>119</v>
      </c>
      <c r="C29" s="15" t="s">
        <v>177</v>
      </c>
      <c r="D29" s="15" t="s">
        <v>223</v>
      </c>
      <c r="E29" s="15" t="s">
        <v>73</v>
      </c>
      <c r="F29" s="15" t="s">
        <v>121</v>
      </c>
      <c r="G29" s="15" t="s">
        <v>179</v>
      </c>
      <c r="H29" s="15" t="s">
        <v>76</v>
      </c>
      <c r="I29" s="15" t="s">
        <v>77</v>
      </c>
      <c r="J29" s="17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224</v>
      </c>
      <c r="B30" s="15" t="s">
        <v>119</v>
      </c>
      <c r="C30" s="15" t="s">
        <v>167</v>
      </c>
      <c r="D30" s="15" t="s">
        <v>225</v>
      </c>
      <c r="E30" s="15" t="s">
        <v>73</v>
      </c>
      <c r="F30" s="15" t="s">
        <v>121</v>
      </c>
      <c r="G30" s="15" t="s">
        <v>124</v>
      </c>
      <c r="H30" s="15" t="s">
        <v>76</v>
      </c>
      <c r="I30" s="15" t="s">
        <v>77</v>
      </c>
      <c r="J30" s="17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226</v>
      </c>
      <c r="B31" s="15" t="s">
        <v>119</v>
      </c>
      <c r="C31" s="15" t="s">
        <v>181</v>
      </c>
      <c r="D31" s="15" t="s">
        <v>227</v>
      </c>
      <c r="E31" s="15" t="s">
        <v>73</v>
      </c>
      <c r="F31" s="15" t="s">
        <v>121</v>
      </c>
      <c r="G31" s="15" t="s">
        <v>196</v>
      </c>
      <c r="H31" s="15" t="s">
        <v>76</v>
      </c>
      <c r="I31" s="15" t="s">
        <v>77</v>
      </c>
      <c r="J31" s="17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228</v>
      </c>
      <c r="B32" s="15" t="s">
        <v>119</v>
      </c>
      <c r="C32" s="15" t="s">
        <v>181</v>
      </c>
      <c r="D32" s="15" t="s">
        <v>229</v>
      </c>
      <c r="E32" s="15" t="s">
        <v>73</v>
      </c>
      <c r="F32" s="15" t="s">
        <v>121</v>
      </c>
      <c r="G32" s="15" t="s">
        <v>129</v>
      </c>
      <c r="H32" s="15" t="s">
        <v>76</v>
      </c>
      <c r="I32" s="15" t="s">
        <v>77</v>
      </c>
      <c r="J32" s="17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230</v>
      </c>
      <c r="B33" s="15" t="s">
        <v>119</v>
      </c>
      <c r="C33" s="15" t="s">
        <v>181</v>
      </c>
      <c r="D33" s="15" t="s">
        <v>231</v>
      </c>
      <c r="E33" s="15" t="s">
        <v>73</v>
      </c>
      <c r="F33" s="15" t="s">
        <v>121</v>
      </c>
      <c r="G33" s="15" t="s">
        <v>132</v>
      </c>
      <c r="H33" s="15" t="s">
        <v>83</v>
      </c>
      <c r="I33" s="15" t="s">
        <v>84</v>
      </c>
      <c r="J33" s="17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232</v>
      </c>
      <c r="B34" s="15" t="s">
        <v>119</v>
      </c>
      <c r="C34" s="15" t="s">
        <v>177</v>
      </c>
      <c r="D34" s="15" t="s">
        <v>233</v>
      </c>
      <c r="E34" s="15" t="s">
        <v>73</v>
      </c>
      <c r="F34" s="15" t="s">
        <v>121</v>
      </c>
      <c r="G34" s="15" t="s">
        <v>234</v>
      </c>
      <c r="H34" s="15" t="s">
        <v>76</v>
      </c>
      <c r="I34" s="15" t="s">
        <v>77</v>
      </c>
      <c r="J34" s="17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5" t="s">
        <v>235</v>
      </c>
      <c r="B35" s="15" t="s">
        <v>119</v>
      </c>
      <c r="C35" s="15" t="s">
        <v>6</v>
      </c>
      <c r="D35" s="15" t="s">
        <v>236</v>
      </c>
      <c r="E35" s="15" t="s">
        <v>73</v>
      </c>
      <c r="F35" s="15" t="s">
        <v>121</v>
      </c>
      <c r="G35" s="15" t="s">
        <v>237</v>
      </c>
      <c r="H35" s="15" t="s">
        <v>76</v>
      </c>
      <c r="I35" s="15" t="s">
        <v>77</v>
      </c>
      <c r="J35" s="17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5" t="s">
        <v>238</v>
      </c>
      <c r="B36" s="15" t="s">
        <v>140</v>
      </c>
      <c r="C36" s="15" t="s">
        <v>6</v>
      </c>
      <c r="D36" s="15" t="s">
        <v>239</v>
      </c>
      <c r="E36" s="15" t="s">
        <v>73</v>
      </c>
      <c r="F36" s="15" t="s">
        <v>142</v>
      </c>
      <c r="G36" s="15" t="s">
        <v>186</v>
      </c>
      <c r="H36" s="15" t="s">
        <v>76</v>
      </c>
      <c r="I36" s="15" t="s">
        <v>77</v>
      </c>
      <c r="J36" s="17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5" t="s">
        <v>240</v>
      </c>
      <c r="B37" s="15" t="s">
        <v>140</v>
      </c>
      <c r="C37" s="15" t="s">
        <v>177</v>
      </c>
      <c r="D37" s="15" t="s">
        <v>241</v>
      </c>
      <c r="E37" s="15" t="s">
        <v>73</v>
      </c>
      <c r="F37" s="15" t="s">
        <v>142</v>
      </c>
      <c r="G37" s="15" t="s">
        <v>186</v>
      </c>
      <c r="H37" s="15" t="s">
        <v>83</v>
      </c>
      <c r="I37" s="15" t="s">
        <v>84</v>
      </c>
      <c r="J37" s="17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5" t="s">
        <v>242</v>
      </c>
      <c r="B38" s="15" t="s">
        <v>146</v>
      </c>
      <c r="C38" s="15" t="s">
        <v>6</v>
      </c>
      <c r="D38" s="15" t="s">
        <v>243</v>
      </c>
      <c r="E38" s="15" t="s">
        <v>73</v>
      </c>
      <c r="F38" s="15" t="s">
        <v>148</v>
      </c>
      <c r="G38" s="15" t="s">
        <v>244</v>
      </c>
      <c r="H38" s="15" t="s">
        <v>83</v>
      </c>
      <c r="I38" s="15" t="s">
        <v>84</v>
      </c>
      <c r="J38" s="17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5" t="s">
        <v>245</v>
      </c>
      <c r="B39" s="15" t="s">
        <v>146</v>
      </c>
      <c r="C39" s="15" t="s">
        <v>6</v>
      </c>
      <c r="D39" s="15" t="s">
        <v>246</v>
      </c>
      <c r="E39" s="15" t="s">
        <v>73</v>
      </c>
      <c r="F39" s="15" t="s">
        <v>148</v>
      </c>
      <c r="G39" s="15" t="s">
        <v>247</v>
      </c>
      <c r="H39" s="15" t="s">
        <v>76</v>
      </c>
      <c r="I39" s="15" t="s">
        <v>77</v>
      </c>
      <c r="J39" s="17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5" t="s">
        <v>248</v>
      </c>
      <c r="B40" s="15" t="s">
        <v>154</v>
      </c>
      <c r="C40" s="15" t="s">
        <v>6</v>
      </c>
      <c r="D40" s="15" t="s">
        <v>249</v>
      </c>
      <c r="E40" s="15" t="s">
        <v>156</v>
      </c>
      <c r="F40" s="15" t="s">
        <v>156</v>
      </c>
      <c r="G40" s="15" t="s">
        <v>157</v>
      </c>
      <c r="H40" s="15" t="s">
        <v>83</v>
      </c>
      <c r="I40" s="15" t="s">
        <v>84</v>
      </c>
      <c r="J40" s="17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5" t="s">
        <v>250</v>
      </c>
      <c r="B41" s="15" t="s">
        <v>159</v>
      </c>
      <c r="C41" s="15" t="s">
        <v>251</v>
      </c>
      <c r="D41" s="15" t="s">
        <v>252</v>
      </c>
      <c r="E41" s="15" t="s">
        <v>161</v>
      </c>
      <c r="F41" s="15" t="s">
        <v>162</v>
      </c>
      <c r="G41" s="15" t="s">
        <v>253</v>
      </c>
      <c r="H41" s="15" t="s">
        <v>254</v>
      </c>
      <c r="I41" s="15" t="s">
        <v>84</v>
      </c>
      <c r="J41" s="17" t="n">
        <v>46220</v>
      </c>
      <c r="K41" s="15" t="s">
        <v>255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257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57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258</v>
      </c>
      <c r="B9" s="15" t="s">
        <v>71</v>
      </c>
      <c r="C9" s="15" t="s">
        <v>6</v>
      </c>
      <c r="D9" s="15" t="s">
        <v>259</v>
      </c>
      <c r="E9" s="15" t="s">
        <v>73</v>
      </c>
      <c r="F9" s="15" t="s">
        <v>74</v>
      </c>
      <c r="G9" s="15" t="s">
        <v>260</v>
      </c>
      <c r="H9" s="15" t="s">
        <v>76</v>
      </c>
      <c r="I9" s="15" t="s">
        <v>77</v>
      </c>
      <c r="J9" s="19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261</v>
      </c>
      <c r="B10" s="15" t="s">
        <v>79</v>
      </c>
      <c r="C10" s="15" t="s">
        <v>6</v>
      </c>
      <c r="D10" s="15" t="s">
        <v>262</v>
      </c>
      <c r="E10" s="15" t="s">
        <v>73</v>
      </c>
      <c r="F10" s="15" t="s">
        <v>81</v>
      </c>
      <c r="G10" s="15" t="s">
        <v>263</v>
      </c>
      <c r="H10" s="15" t="s">
        <v>83</v>
      </c>
      <c r="I10" s="15" t="s">
        <v>84</v>
      </c>
      <c r="J10" s="19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264</v>
      </c>
      <c r="B11" s="15" t="s">
        <v>71</v>
      </c>
      <c r="C11" s="15" t="s">
        <v>167</v>
      </c>
      <c r="D11" s="15" t="s">
        <v>265</v>
      </c>
      <c r="E11" s="15" t="s">
        <v>73</v>
      </c>
      <c r="F11" s="15" t="s">
        <v>87</v>
      </c>
      <c r="G11" s="15" t="s">
        <v>124</v>
      </c>
      <c r="H11" s="15" t="s">
        <v>76</v>
      </c>
      <c r="I11" s="15" t="s">
        <v>77</v>
      </c>
      <c r="J11" s="19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266</v>
      </c>
      <c r="B12" s="15" t="s">
        <v>51</v>
      </c>
      <c r="C12" s="15" t="s">
        <v>181</v>
      </c>
      <c r="D12" s="15" t="s">
        <v>267</v>
      </c>
      <c r="E12" s="15" t="s">
        <v>73</v>
      </c>
      <c r="F12" s="15" t="s">
        <v>121</v>
      </c>
      <c r="G12" s="15" t="s">
        <v>268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269</v>
      </c>
      <c r="B13" s="15" t="s">
        <v>51</v>
      </c>
      <c r="C13" s="15" t="s">
        <v>270</v>
      </c>
      <c r="D13" s="15" t="s">
        <v>271</v>
      </c>
      <c r="E13" s="15" t="s">
        <v>73</v>
      </c>
      <c r="F13" s="15" t="s">
        <v>121</v>
      </c>
      <c r="G13" s="15" t="s">
        <v>268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272</v>
      </c>
      <c r="B14" s="15" t="s">
        <v>51</v>
      </c>
      <c r="C14" s="15" t="s">
        <v>273</v>
      </c>
      <c r="D14" s="15" t="s">
        <v>274</v>
      </c>
      <c r="E14" s="15" t="s">
        <v>73</v>
      </c>
      <c r="F14" s="15" t="s">
        <v>121</v>
      </c>
      <c r="G14" s="15" t="s">
        <v>275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276</v>
      </c>
      <c r="B15" s="15" t="s">
        <v>51</v>
      </c>
      <c r="C15" s="15" t="s">
        <v>277</v>
      </c>
      <c r="D15" s="15" t="s">
        <v>278</v>
      </c>
      <c r="E15" s="15" t="s">
        <v>73</v>
      </c>
      <c r="F15" s="15" t="s">
        <v>121</v>
      </c>
      <c r="G15" s="15" t="s">
        <v>279</v>
      </c>
      <c r="H15" s="15" t="s">
        <v>76</v>
      </c>
      <c r="I15" s="15" t="s">
        <v>77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280</v>
      </c>
      <c r="B16" s="15" t="s">
        <v>51</v>
      </c>
      <c r="C16" s="15" t="s">
        <v>198</v>
      </c>
      <c r="D16" s="15" t="s">
        <v>281</v>
      </c>
      <c r="E16" s="15" t="s">
        <v>73</v>
      </c>
      <c r="F16" s="15" t="s">
        <v>121</v>
      </c>
      <c r="G16" s="15" t="s">
        <v>268</v>
      </c>
      <c r="H16" s="15" t="s">
        <v>76</v>
      </c>
      <c r="I16" s="15" t="s">
        <v>77</v>
      </c>
      <c r="J16" s="19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282</v>
      </c>
      <c r="B17" s="15" t="s">
        <v>51</v>
      </c>
      <c r="C17" s="15" t="s">
        <v>184</v>
      </c>
      <c r="D17" s="15" t="s">
        <v>283</v>
      </c>
      <c r="E17" s="15" t="s">
        <v>73</v>
      </c>
      <c r="F17" s="15" t="s">
        <v>121</v>
      </c>
      <c r="G17" s="15" t="s">
        <v>268</v>
      </c>
      <c r="H17" s="15" t="s">
        <v>76</v>
      </c>
      <c r="I17" s="15" t="s">
        <v>77</v>
      </c>
      <c r="J17" s="19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284</v>
      </c>
      <c r="B18" s="15" t="s">
        <v>51</v>
      </c>
      <c r="C18" s="15" t="s">
        <v>188</v>
      </c>
      <c r="D18" s="15" t="s">
        <v>285</v>
      </c>
      <c r="E18" s="15" t="s">
        <v>73</v>
      </c>
      <c r="F18" s="15" t="s">
        <v>121</v>
      </c>
      <c r="G18" s="15" t="s">
        <v>268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286</v>
      </c>
      <c r="B19" s="15" t="s">
        <v>51</v>
      </c>
      <c r="C19" s="15" t="s">
        <v>191</v>
      </c>
      <c r="D19" s="15" t="s">
        <v>287</v>
      </c>
      <c r="E19" s="15" t="s">
        <v>73</v>
      </c>
      <c r="F19" s="15" t="s">
        <v>121</v>
      </c>
      <c r="G19" s="15" t="s">
        <v>268</v>
      </c>
      <c r="H19" s="15" t="s">
        <v>76</v>
      </c>
      <c r="I19" s="15" t="s">
        <v>77</v>
      </c>
      <c r="J19" s="19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288</v>
      </c>
      <c r="B20" s="15" t="s">
        <v>51</v>
      </c>
      <c r="C20" s="15" t="s">
        <v>289</v>
      </c>
      <c r="D20" s="15" t="s">
        <v>290</v>
      </c>
      <c r="E20" s="15" t="s">
        <v>73</v>
      </c>
      <c r="F20" s="15" t="s">
        <v>142</v>
      </c>
      <c r="G20" s="15" t="s">
        <v>291</v>
      </c>
      <c r="H20" s="15" t="s">
        <v>83</v>
      </c>
      <c r="I20" s="15" t="s">
        <v>84</v>
      </c>
      <c r="J20" s="19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292</v>
      </c>
      <c r="B21" s="15" t="s">
        <v>51</v>
      </c>
      <c r="C21" s="15" t="s">
        <v>201</v>
      </c>
      <c r="D21" s="15" t="s">
        <v>293</v>
      </c>
      <c r="E21" s="15" t="s">
        <v>73</v>
      </c>
      <c r="F21" s="15" t="s">
        <v>142</v>
      </c>
      <c r="G21" s="15" t="s">
        <v>291</v>
      </c>
      <c r="H21" s="15" t="s">
        <v>83</v>
      </c>
      <c r="I21" s="15" t="s">
        <v>84</v>
      </c>
      <c r="J21" s="19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294</v>
      </c>
      <c r="B22" s="15" t="s">
        <v>51</v>
      </c>
      <c r="C22" s="15" t="s">
        <v>295</v>
      </c>
      <c r="D22" s="15" t="s">
        <v>296</v>
      </c>
      <c r="E22" s="15" t="s">
        <v>73</v>
      </c>
      <c r="F22" s="15" t="s">
        <v>121</v>
      </c>
      <c r="G22" s="15" t="s">
        <v>268</v>
      </c>
      <c r="H22" s="15" t="s">
        <v>76</v>
      </c>
      <c r="I22" s="15" t="s">
        <v>77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297</v>
      </c>
      <c r="B23" s="15" t="s">
        <v>51</v>
      </c>
      <c r="C23" s="15" t="s">
        <v>298</v>
      </c>
      <c r="D23" s="15" t="s">
        <v>299</v>
      </c>
      <c r="E23" s="15" t="s">
        <v>73</v>
      </c>
      <c r="F23" s="15" t="s">
        <v>121</v>
      </c>
      <c r="G23" s="15" t="s">
        <v>268</v>
      </c>
      <c r="H23" s="15" t="s">
        <v>76</v>
      </c>
      <c r="I23" s="15" t="s">
        <v>77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300</v>
      </c>
      <c r="B24" s="15" t="s">
        <v>93</v>
      </c>
      <c r="C24" s="15" t="s">
        <v>177</v>
      </c>
      <c r="D24" s="15" t="s">
        <v>301</v>
      </c>
      <c r="E24" s="15" t="s">
        <v>73</v>
      </c>
      <c r="F24" s="15" t="s">
        <v>74</v>
      </c>
      <c r="G24" s="15" t="s">
        <v>302</v>
      </c>
      <c r="H24" s="15" t="s">
        <v>76</v>
      </c>
      <c r="I24" s="15" t="s">
        <v>77</v>
      </c>
      <c r="J24" s="19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303</v>
      </c>
      <c r="B25" s="15" t="s">
        <v>93</v>
      </c>
      <c r="C25" s="15" t="s">
        <v>198</v>
      </c>
      <c r="D25" s="15" t="s">
        <v>304</v>
      </c>
      <c r="E25" s="15" t="s">
        <v>73</v>
      </c>
      <c r="F25" s="15" t="s">
        <v>142</v>
      </c>
      <c r="G25" s="15" t="s">
        <v>291</v>
      </c>
      <c r="H25" s="15" t="s">
        <v>83</v>
      </c>
      <c r="I25" s="15" t="s">
        <v>84</v>
      </c>
      <c r="J25" s="19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305</v>
      </c>
      <c r="B26" s="15" t="s">
        <v>100</v>
      </c>
      <c r="C26" s="15" t="s">
        <v>177</v>
      </c>
      <c r="D26" s="15" t="s">
        <v>306</v>
      </c>
      <c r="E26" s="15" t="s">
        <v>73</v>
      </c>
      <c r="F26" s="15" t="s">
        <v>102</v>
      </c>
      <c r="G26" s="15" t="s">
        <v>291</v>
      </c>
      <c r="H26" s="15" t="s">
        <v>83</v>
      </c>
      <c r="I26" s="15" t="s">
        <v>84</v>
      </c>
      <c r="J26" s="19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307</v>
      </c>
      <c r="B27" s="15" t="s">
        <v>100</v>
      </c>
      <c r="C27" s="15" t="s">
        <v>6</v>
      </c>
      <c r="D27" s="15" t="s">
        <v>308</v>
      </c>
      <c r="E27" s="15" t="s">
        <v>73</v>
      </c>
      <c r="F27" s="15" t="s">
        <v>102</v>
      </c>
      <c r="G27" s="15" t="s">
        <v>279</v>
      </c>
      <c r="H27" s="15" t="s">
        <v>83</v>
      </c>
      <c r="I27" s="15" t="s">
        <v>84</v>
      </c>
      <c r="J27" s="19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309</v>
      </c>
      <c r="B28" s="15" t="s">
        <v>100</v>
      </c>
      <c r="C28" s="15" t="s">
        <v>198</v>
      </c>
      <c r="D28" s="15" t="s">
        <v>310</v>
      </c>
      <c r="E28" s="15" t="s">
        <v>73</v>
      </c>
      <c r="F28" s="15" t="s">
        <v>142</v>
      </c>
      <c r="G28" s="15" t="s">
        <v>291</v>
      </c>
      <c r="H28" s="15" t="s">
        <v>83</v>
      </c>
      <c r="I28" s="15" t="s">
        <v>84</v>
      </c>
      <c r="J28" s="19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311</v>
      </c>
      <c r="B29" s="15" t="s">
        <v>100</v>
      </c>
      <c r="C29" s="15" t="s">
        <v>177</v>
      </c>
      <c r="D29" s="15" t="s">
        <v>312</v>
      </c>
      <c r="E29" s="15" t="s">
        <v>73</v>
      </c>
      <c r="F29" s="15" t="s">
        <v>121</v>
      </c>
      <c r="G29" s="15" t="s">
        <v>132</v>
      </c>
      <c r="H29" s="15" t="s">
        <v>83</v>
      </c>
      <c r="I29" s="15" t="s">
        <v>84</v>
      </c>
      <c r="J29" s="19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313</v>
      </c>
      <c r="B30" s="15" t="s">
        <v>100</v>
      </c>
      <c r="C30" s="15" t="s">
        <v>177</v>
      </c>
      <c r="D30" s="15" t="s">
        <v>314</v>
      </c>
      <c r="E30" s="15" t="s">
        <v>73</v>
      </c>
      <c r="F30" s="15" t="s">
        <v>142</v>
      </c>
      <c r="G30" s="15" t="s">
        <v>291</v>
      </c>
      <c r="H30" s="15" t="s">
        <v>83</v>
      </c>
      <c r="I30" s="15" t="s">
        <v>84</v>
      </c>
      <c r="J30" s="19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315</v>
      </c>
      <c r="B31" s="15" t="s">
        <v>100</v>
      </c>
      <c r="C31" s="15" t="s">
        <v>177</v>
      </c>
      <c r="D31" s="15" t="s">
        <v>316</v>
      </c>
      <c r="E31" s="15" t="s">
        <v>73</v>
      </c>
      <c r="F31" s="15" t="s">
        <v>142</v>
      </c>
      <c r="G31" s="15" t="s">
        <v>291</v>
      </c>
      <c r="H31" s="15" t="s">
        <v>83</v>
      </c>
      <c r="I31" s="15" t="s">
        <v>84</v>
      </c>
      <c r="J31" s="19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317</v>
      </c>
      <c r="B32" s="15" t="s">
        <v>100</v>
      </c>
      <c r="C32" s="15" t="s">
        <v>6</v>
      </c>
      <c r="D32" s="15" t="s">
        <v>318</v>
      </c>
      <c r="E32" s="15" t="s">
        <v>73</v>
      </c>
      <c r="F32" s="15" t="s">
        <v>102</v>
      </c>
      <c r="G32" s="15" t="s">
        <v>279</v>
      </c>
      <c r="H32" s="15" t="s">
        <v>76</v>
      </c>
      <c r="I32" s="15" t="s">
        <v>77</v>
      </c>
      <c r="J32" s="19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319</v>
      </c>
      <c r="B33" s="15" t="s">
        <v>119</v>
      </c>
      <c r="C33" s="15" t="s">
        <v>177</v>
      </c>
      <c r="D33" s="15" t="s">
        <v>320</v>
      </c>
      <c r="E33" s="15" t="s">
        <v>73</v>
      </c>
      <c r="F33" s="15" t="s">
        <v>121</v>
      </c>
      <c r="G33" s="15" t="s">
        <v>268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321</v>
      </c>
      <c r="B34" s="15" t="s">
        <v>119</v>
      </c>
      <c r="C34" s="15" t="s">
        <v>167</v>
      </c>
      <c r="D34" s="15" t="s">
        <v>322</v>
      </c>
      <c r="E34" s="15" t="s">
        <v>73</v>
      </c>
      <c r="F34" s="15" t="s">
        <v>121</v>
      </c>
      <c r="G34" s="15" t="s">
        <v>124</v>
      </c>
      <c r="H34" s="15" t="s">
        <v>76</v>
      </c>
      <c r="I34" s="15" t="s">
        <v>77</v>
      </c>
      <c r="J34" s="19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323</v>
      </c>
      <c r="B35" s="15" t="s">
        <v>119</v>
      </c>
      <c r="C35" s="15" t="s">
        <v>6</v>
      </c>
      <c r="D35" s="15" t="s">
        <v>324</v>
      </c>
      <c r="E35" s="15" t="s">
        <v>73</v>
      </c>
      <c r="F35" s="15" t="s">
        <v>121</v>
      </c>
      <c r="G35" s="15" t="s">
        <v>279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325</v>
      </c>
      <c r="B36" s="15" t="s">
        <v>119</v>
      </c>
      <c r="C36" s="15" t="s">
        <v>198</v>
      </c>
      <c r="D36" s="15" t="s">
        <v>326</v>
      </c>
      <c r="E36" s="15" t="s">
        <v>73</v>
      </c>
      <c r="F36" s="15" t="s">
        <v>121</v>
      </c>
      <c r="G36" s="15" t="s">
        <v>279</v>
      </c>
      <c r="H36" s="15" t="s">
        <v>76</v>
      </c>
      <c r="I36" s="15" t="s">
        <v>77</v>
      </c>
      <c r="J36" s="19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327</v>
      </c>
      <c r="B37" s="15" t="s">
        <v>119</v>
      </c>
      <c r="C37" s="15" t="s">
        <v>177</v>
      </c>
      <c r="D37" s="15" t="s">
        <v>328</v>
      </c>
      <c r="E37" s="15" t="s">
        <v>73</v>
      </c>
      <c r="F37" s="15" t="s">
        <v>121</v>
      </c>
      <c r="G37" s="15" t="s">
        <v>132</v>
      </c>
      <c r="H37" s="15" t="s">
        <v>83</v>
      </c>
      <c r="I37" s="15" t="s">
        <v>84</v>
      </c>
      <c r="J37" s="19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329</v>
      </c>
      <c r="B38" s="15" t="s">
        <v>119</v>
      </c>
      <c r="C38" s="15" t="s">
        <v>177</v>
      </c>
      <c r="D38" s="15" t="s">
        <v>330</v>
      </c>
      <c r="E38" s="15" t="s">
        <v>73</v>
      </c>
      <c r="F38" s="15" t="s">
        <v>121</v>
      </c>
      <c r="G38" s="15" t="s">
        <v>234</v>
      </c>
      <c r="H38" s="15" t="s">
        <v>76</v>
      </c>
      <c r="I38" s="15" t="s">
        <v>77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331</v>
      </c>
      <c r="B39" s="15" t="s">
        <v>119</v>
      </c>
      <c r="C39" s="15" t="s">
        <v>6</v>
      </c>
      <c r="D39" s="15" t="s">
        <v>236</v>
      </c>
      <c r="E39" s="15" t="s">
        <v>73</v>
      </c>
      <c r="F39" s="15" t="s">
        <v>121</v>
      </c>
      <c r="G39" s="15" t="s">
        <v>138</v>
      </c>
      <c r="H39" s="15" t="s">
        <v>76</v>
      </c>
      <c r="I39" s="15" t="s">
        <v>77</v>
      </c>
      <c r="J39" s="19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332</v>
      </c>
      <c r="B40" s="15" t="s">
        <v>140</v>
      </c>
      <c r="C40" s="15" t="s">
        <v>6</v>
      </c>
      <c r="D40" s="15" t="s">
        <v>333</v>
      </c>
      <c r="E40" s="15" t="s">
        <v>73</v>
      </c>
      <c r="F40" s="15" t="s">
        <v>142</v>
      </c>
      <c r="G40" s="15" t="s">
        <v>291</v>
      </c>
      <c r="H40" s="15" t="s">
        <v>76</v>
      </c>
      <c r="I40" s="15" t="s">
        <v>77</v>
      </c>
      <c r="J40" s="19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334</v>
      </c>
      <c r="B41" s="15" t="s">
        <v>140</v>
      </c>
      <c r="C41" s="15" t="s">
        <v>177</v>
      </c>
      <c r="D41" s="15" t="s">
        <v>335</v>
      </c>
      <c r="E41" s="15" t="s">
        <v>73</v>
      </c>
      <c r="F41" s="15" t="s">
        <v>142</v>
      </c>
      <c r="G41" s="15" t="s">
        <v>291</v>
      </c>
      <c r="H41" s="15" t="s">
        <v>83</v>
      </c>
      <c r="I41" s="15" t="s">
        <v>84</v>
      </c>
      <c r="J41" s="19" t="n">
        <v>46220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336</v>
      </c>
      <c r="B42" s="15" t="s">
        <v>146</v>
      </c>
      <c r="C42" s="15" t="s">
        <v>6</v>
      </c>
      <c r="D42" s="15" t="s">
        <v>337</v>
      </c>
      <c r="E42" s="15" t="s">
        <v>73</v>
      </c>
      <c r="F42" s="15" t="s">
        <v>148</v>
      </c>
      <c r="G42" s="15" t="s">
        <v>338</v>
      </c>
      <c r="H42" s="15" t="s">
        <v>83</v>
      </c>
      <c r="I42" s="15" t="s">
        <v>84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339</v>
      </c>
      <c r="B43" s="15" t="s">
        <v>146</v>
      </c>
      <c r="C43" s="15" t="s">
        <v>6</v>
      </c>
      <c r="D43" s="15" t="s">
        <v>340</v>
      </c>
      <c r="E43" s="15" t="s">
        <v>73</v>
      </c>
      <c r="F43" s="15" t="s">
        <v>148</v>
      </c>
      <c r="G43" s="15" t="s">
        <v>341</v>
      </c>
      <c r="H43" s="15" t="s">
        <v>76</v>
      </c>
      <c r="I43" s="15" t="s">
        <v>77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342</v>
      </c>
      <c r="B44" s="15" t="s">
        <v>154</v>
      </c>
      <c r="C44" s="15" t="s">
        <v>6</v>
      </c>
      <c r="D44" s="15" t="s">
        <v>343</v>
      </c>
      <c r="E44" s="15" t="s">
        <v>156</v>
      </c>
      <c r="F44" s="15" t="s">
        <v>156</v>
      </c>
      <c r="G44" s="15" t="s">
        <v>157</v>
      </c>
      <c r="H44" s="15" t="s">
        <v>83</v>
      </c>
      <c r="I44" s="15" t="s">
        <v>84</v>
      </c>
      <c r="J44" s="19" t="n">
        <v>46220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344</v>
      </c>
      <c r="B45" s="15" t="s">
        <v>159</v>
      </c>
      <c r="C45" s="15" t="s">
        <v>345</v>
      </c>
      <c r="D45" s="15" t="s">
        <v>346</v>
      </c>
      <c r="E45" s="15" t="s">
        <v>161</v>
      </c>
      <c r="F45" s="15" t="s">
        <v>162</v>
      </c>
      <c r="G45" s="15" t="s">
        <v>253</v>
      </c>
      <c r="H45" s="15" t="s">
        <v>254</v>
      </c>
      <c r="I45" s="15" t="s">
        <v>84</v>
      </c>
      <c r="J45" s="19" t="n">
        <v>46220</v>
      </c>
      <c r="K45" s="15" t="s">
        <v>347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hyperlinks>
    <hyperlink ref="G9" r:id="rId1" display="../src/components/dialog/Dialog.tsx"/>
    <hyperlink ref="G10" r:id="rId2" display="../../docs/dialog-component-brief.md"/>
    <hyperlink ref="G11" r:id="rId3" display="../test/types/public-api.test.ts"/>
    <hyperlink ref="G12" r:id="rId4" display="../test/components/dialog.test.tsx"/>
    <hyperlink ref="G13" r:id="rId5" display="../test/components/dialog.test.tsx"/>
    <hyperlink ref="G14" r:id="rId6" display="../test/components/dialog.test.tsx + tests/dialog.spec.ts"/>
    <hyperlink ref="G15" r:id="rId7" display="tests/dialog.spec.ts"/>
    <hyperlink ref="G16" r:id="rId8" display="../test/components/dialog.test.tsx"/>
    <hyperlink ref="G17" r:id="rId9" display="../test/components/dialog.test.tsx"/>
    <hyperlink ref="G18" r:id="rId10" display="../test/components/dialog.test.tsx"/>
    <hyperlink ref="G19" r:id="rId11" display="../test/components/dialog.test.tsx"/>
    <hyperlink ref="G20" r:id="rId12" display="manual-tests/dialog.md"/>
    <hyperlink ref="G21" r:id="rId13" display="manual-tests/dialog.md"/>
    <hyperlink ref="G22" r:id="rId14" display="../test/components/dialog.test.tsx"/>
    <hyperlink ref="G23" r:id="rId15" display="../test/components/dialog.test.tsx"/>
    <hyperlink ref="G24" r:id="rId16" display="../src/components/dialog/dialog.css"/>
    <hyperlink ref="G25" r:id="rId17" display="manual-tests/dialog.md"/>
    <hyperlink ref="G26" r:id="rId18" display="manual-tests/dialog.md"/>
    <hyperlink ref="G27" r:id="rId19" display="tests/dialog.spec.ts"/>
    <hyperlink ref="G28" r:id="rId20" display="manual-tests/dialog.md"/>
    <hyperlink ref="G29" r:id="rId21" display="tests/visual.spec.ts"/>
    <hyperlink ref="G30" r:id="rId22" display="manual-tests/dialog.md"/>
    <hyperlink ref="G31" r:id="rId23" display="manual-tests/dialog.md"/>
    <hyperlink ref="G32" r:id="rId24" display="tests/dialog.spec.ts"/>
    <hyperlink ref="G33" r:id="rId25" display="../test/components/dialog.test.tsx"/>
    <hyperlink ref="G34" r:id="rId26" display="../test/types/public-api.test.ts"/>
    <hyperlink ref="G35" r:id="rId27" display="tests/dialog.spec.ts"/>
    <hyperlink ref="G36" r:id="rId28" display="tests/dialog.spec.ts"/>
    <hyperlink ref="G37" r:id="rId29" display="tests/visual.spec.ts"/>
    <hyperlink ref="G38" r:id="rId30" display="../playwright.config.ts"/>
    <hyperlink ref="G39" r:id="rId31" display="../scripts/verify-consumers.mjs"/>
    <hyperlink ref="G40" r:id="rId32" display="manual-tests/dialog.md"/>
    <hyperlink ref="G41" r:id="rId33" display="manual-tests/dialog.md"/>
    <hyperlink ref="G42" r:id="rId34" display="../docs/components/dialog/README.md"/>
    <hyperlink ref="G43" r:id="rId35" display="../docs/components/dialog/CHANGELOG.md"/>
    <hyperlink ref="G44" r:id="rId36" display="../../../../apps/brick-consumer/tests/consumer.spec.ts"/>
    <hyperlink ref="G45" r:id="rId37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8"/>
  <tableParts>
    <tablePart r:id="rId39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163</v>
      </c>
      <c r="B1" s="1" t="s">
        <v>84</v>
      </c>
    </row>
    <row r="2" customFormat="false" ht="15" hidden="false" customHeight="true" outlineLevel="0" collapsed="false">
      <c r="A2" s="1" t="s">
        <v>348</v>
      </c>
      <c r="B2" s="1" t="s">
        <v>77</v>
      </c>
    </row>
    <row r="3" customFormat="false" ht="15" hidden="false" customHeight="true" outlineLevel="0" collapsed="false">
      <c r="A3" s="1" t="s">
        <v>349</v>
      </c>
    </row>
    <row r="4" customFormat="false" ht="15" hidden="false" customHeight="true" outlineLevel="0" collapsed="false">
      <c r="A4" s="1" t="s">
        <v>76</v>
      </c>
    </row>
    <row r="5" customFormat="false" ht="15" hidden="false" customHeight="true" outlineLevel="0" collapsed="false">
      <c r="A5" s="1" t="s">
        <v>83</v>
      </c>
    </row>
    <row r="6" customFormat="false" ht="15" hidden="false" customHeight="true" outlineLevel="0" collapsed="false">
      <c r="A6" s="1" t="s">
        <v>254</v>
      </c>
    </row>
    <row r="7" customFormat="false" ht="15" hidden="false" customHeight="true" outlineLevel="0" collapsed="false">
      <c r="A7" s="1" t="s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351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352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353</v>
      </c>
      <c r="B9" s="15" t="s">
        <v>71</v>
      </c>
      <c r="C9" s="15" t="s">
        <v>6</v>
      </c>
      <c r="D9" s="15" t="s">
        <v>354</v>
      </c>
      <c r="E9" s="15" t="s">
        <v>73</v>
      </c>
      <c r="F9" s="15" t="s">
        <v>74</v>
      </c>
      <c r="G9" s="16" t="s">
        <v>355</v>
      </c>
      <c r="H9" s="15" t="s">
        <v>76</v>
      </c>
      <c r="I9" s="15" t="s">
        <v>77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356</v>
      </c>
      <c r="B10" s="15" t="s">
        <v>79</v>
      </c>
      <c r="C10" s="15" t="s">
        <v>6</v>
      </c>
      <c r="D10" s="15" t="s">
        <v>357</v>
      </c>
      <c r="E10" s="15" t="s">
        <v>73</v>
      </c>
      <c r="F10" s="15" t="s">
        <v>81</v>
      </c>
      <c r="G10" s="16" t="s">
        <v>358</v>
      </c>
      <c r="H10" s="15" t="s">
        <v>83</v>
      </c>
      <c r="I10" s="15" t="s">
        <v>84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359</v>
      </c>
      <c r="B11" s="15" t="s">
        <v>71</v>
      </c>
      <c r="C11" s="15" t="s">
        <v>167</v>
      </c>
      <c r="D11" s="15" t="s">
        <v>360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361</v>
      </c>
      <c r="B12" s="15" t="s">
        <v>51</v>
      </c>
      <c r="C12" s="15" t="s">
        <v>181</v>
      </c>
      <c r="D12" s="15" t="s">
        <v>362</v>
      </c>
      <c r="E12" s="15" t="s">
        <v>73</v>
      </c>
      <c r="F12" s="15" t="s">
        <v>121</v>
      </c>
      <c r="G12" s="16" t="s">
        <v>363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364</v>
      </c>
      <c r="B13" s="15" t="s">
        <v>51</v>
      </c>
      <c r="C13" s="15" t="s">
        <v>270</v>
      </c>
      <c r="D13" s="15" t="s">
        <v>271</v>
      </c>
      <c r="E13" s="15" t="s">
        <v>73</v>
      </c>
      <c r="F13" s="15" t="s">
        <v>121</v>
      </c>
      <c r="G13" s="16" t="s">
        <v>363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365</v>
      </c>
      <c r="B14" s="15" t="s">
        <v>51</v>
      </c>
      <c r="C14" s="15" t="s">
        <v>273</v>
      </c>
      <c r="D14" s="15" t="s">
        <v>274</v>
      </c>
      <c r="E14" s="15" t="s">
        <v>73</v>
      </c>
      <c r="F14" s="15" t="s">
        <v>121</v>
      </c>
      <c r="G14" s="16" t="s">
        <v>363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366</v>
      </c>
      <c r="B15" s="15" t="s">
        <v>51</v>
      </c>
      <c r="C15" s="15" t="s">
        <v>277</v>
      </c>
      <c r="D15" s="15" t="s">
        <v>367</v>
      </c>
      <c r="E15" s="15" t="s">
        <v>73</v>
      </c>
      <c r="F15" s="15" t="s">
        <v>121</v>
      </c>
      <c r="G15" s="16" t="s">
        <v>368</v>
      </c>
      <c r="H15" s="15" t="s">
        <v>76</v>
      </c>
      <c r="I15" s="15" t="s">
        <v>77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369</v>
      </c>
      <c r="B16" s="15" t="s">
        <v>51</v>
      </c>
      <c r="C16" s="15" t="s">
        <v>198</v>
      </c>
      <c r="D16" s="15" t="s">
        <v>370</v>
      </c>
      <c r="E16" s="15" t="s">
        <v>73</v>
      </c>
      <c r="F16" s="15" t="s">
        <v>121</v>
      </c>
      <c r="G16" s="16" t="s">
        <v>363</v>
      </c>
      <c r="H16" s="15" t="s">
        <v>76</v>
      </c>
      <c r="I16" s="15" t="s">
        <v>77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371</v>
      </c>
      <c r="B17" s="15" t="s">
        <v>51</v>
      </c>
      <c r="C17" s="15" t="s">
        <v>184</v>
      </c>
      <c r="D17" s="15" t="s">
        <v>372</v>
      </c>
      <c r="E17" s="15" t="s">
        <v>73</v>
      </c>
      <c r="F17" s="15" t="s">
        <v>121</v>
      </c>
      <c r="G17" s="16" t="s">
        <v>363</v>
      </c>
      <c r="H17" s="15" t="s">
        <v>76</v>
      </c>
      <c r="I17" s="15" t="s">
        <v>77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373</v>
      </c>
      <c r="B18" s="15" t="s">
        <v>51</v>
      </c>
      <c r="C18" s="15" t="s">
        <v>188</v>
      </c>
      <c r="D18" s="15" t="s">
        <v>285</v>
      </c>
      <c r="E18" s="15" t="s">
        <v>73</v>
      </c>
      <c r="F18" s="15" t="s">
        <v>121</v>
      </c>
      <c r="G18" s="16" t="s">
        <v>363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374</v>
      </c>
      <c r="B19" s="15" t="s">
        <v>51</v>
      </c>
      <c r="C19" s="15" t="s">
        <v>191</v>
      </c>
      <c r="D19" s="15" t="s">
        <v>375</v>
      </c>
      <c r="E19" s="15" t="s">
        <v>73</v>
      </c>
      <c r="F19" s="15" t="s">
        <v>121</v>
      </c>
      <c r="G19" s="16" t="s">
        <v>363</v>
      </c>
      <c r="H19" s="15" t="s">
        <v>76</v>
      </c>
      <c r="I19" s="15" t="s">
        <v>77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376</v>
      </c>
      <c r="B20" s="15" t="s">
        <v>51</v>
      </c>
      <c r="C20" s="15" t="s">
        <v>289</v>
      </c>
      <c r="D20" s="15" t="s">
        <v>377</v>
      </c>
      <c r="E20" s="15" t="s">
        <v>73</v>
      </c>
      <c r="F20" s="15" t="s">
        <v>142</v>
      </c>
      <c r="G20" s="16" t="s">
        <v>378</v>
      </c>
      <c r="H20" s="15" t="s">
        <v>83</v>
      </c>
      <c r="I20" s="15" t="s">
        <v>84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379</v>
      </c>
      <c r="B21" s="15" t="s">
        <v>51</v>
      </c>
      <c r="C21" s="15" t="s">
        <v>201</v>
      </c>
      <c r="D21" s="15" t="s">
        <v>380</v>
      </c>
      <c r="E21" s="15" t="s">
        <v>73</v>
      </c>
      <c r="F21" s="15" t="s">
        <v>142</v>
      </c>
      <c r="G21" s="16" t="s">
        <v>378</v>
      </c>
      <c r="H21" s="15" t="s">
        <v>83</v>
      </c>
      <c r="I21" s="15" t="s">
        <v>84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381</v>
      </c>
      <c r="B22" s="15" t="s">
        <v>51</v>
      </c>
      <c r="C22" s="15" t="s">
        <v>382</v>
      </c>
      <c r="D22" s="15" t="s">
        <v>383</v>
      </c>
      <c r="E22" s="15" t="s">
        <v>73</v>
      </c>
      <c r="F22" s="15" t="s">
        <v>121</v>
      </c>
      <c r="G22" s="16" t="s">
        <v>384</v>
      </c>
      <c r="H22" s="15" t="s">
        <v>76</v>
      </c>
      <c r="I22" s="15" t="s">
        <v>77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385</v>
      </c>
      <c r="B23" s="15" t="s">
        <v>51</v>
      </c>
      <c r="C23" s="15" t="s">
        <v>194</v>
      </c>
      <c r="D23" s="15" t="s">
        <v>386</v>
      </c>
      <c r="E23" s="15" t="s">
        <v>73</v>
      </c>
      <c r="F23" s="15" t="s">
        <v>121</v>
      </c>
      <c r="G23" s="16" t="s">
        <v>384</v>
      </c>
      <c r="H23" s="15" t="s">
        <v>76</v>
      </c>
      <c r="I23" s="15" t="s">
        <v>77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387</v>
      </c>
      <c r="B24" s="15" t="s">
        <v>93</v>
      </c>
      <c r="C24" s="15" t="s">
        <v>177</v>
      </c>
      <c r="D24" s="15" t="s">
        <v>388</v>
      </c>
      <c r="E24" s="15" t="s">
        <v>73</v>
      </c>
      <c r="F24" s="15" t="s">
        <v>74</v>
      </c>
      <c r="G24" s="16" t="s">
        <v>389</v>
      </c>
      <c r="H24" s="15" t="s">
        <v>76</v>
      </c>
      <c r="I24" s="15" t="s">
        <v>77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390</v>
      </c>
      <c r="B25" s="15" t="s">
        <v>93</v>
      </c>
      <c r="C25" s="15" t="s">
        <v>198</v>
      </c>
      <c r="D25" s="15" t="s">
        <v>391</v>
      </c>
      <c r="E25" s="15" t="s">
        <v>73</v>
      </c>
      <c r="F25" s="15" t="s">
        <v>142</v>
      </c>
      <c r="G25" s="16" t="s">
        <v>378</v>
      </c>
      <c r="H25" s="15" t="s">
        <v>83</v>
      </c>
      <c r="I25" s="15" t="s">
        <v>84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392</v>
      </c>
      <c r="B26" s="15" t="s">
        <v>100</v>
      </c>
      <c r="C26" s="15" t="s">
        <v>177</v>
      </c>
      <c r="D26" s="15" t="s">
        <v>393</v>
      </c>
      <c r="E26" s="15" t="s">
        <v>73</v>
      </c>
      <c r="F26" s="15" t="s">
        <v>102</v>
      </c>
      <c r="G26" s="16" t="s">
        <v>394</v>
      </c>
      <c r="H26" s="15" t="s">
        <v>76</v>
      </c>
      <c r="I26" s="15" t="s">
        <v>77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395</v>
      </c>
      <c r="B27" s="15" t="s">
        <v>100</v>
      </c>
      <c r="C27" s="15" t="s">
        <v>6</v>
      </c>
      <c r="D27" s="15" t="s">
        <v>396</v>
      </c>
      <c r="E27" s="15" t="s">
        <v>73</v>
      </c>
      <c r="F27" s="15" t="s">
        <v>102</v>
      </c>
      <c r="G27" s="16" t="s">
        <v>368</v>
      </c>
      <c r="H27" s="15" t="s">
        <v>76</v>
      </c>
      <c r="I27" s="15" t="s">
        <v>77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397</v>
      </c>
      <c r="B28" s="15" t="s">
        <v>100</v>
      </c>
      <c r="C28" s="15" t="s">
        <v>198</v>
      </c>
      <c r="D28" s="15" t="s">
        <v>398</v>
      </c>
      <c r="E28" s="15" t="s">
        <v>73</v>
      </c>
      <c r="F28" s="15" t="s">
        <v>121</v>
      </c>
      <c r="G28" s="16" t="s">
        <v>368</v>
      </c>
      <c r="H28" s="15" t="s">
        <v>76</v>
      </c>
      <c r="I28" s="15" t="s">
        <v>77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399</v>
      </c>
      <c r="B29" s="15" t="s">
        <v>100</v>
      </c>
      <c r="C29" s="15" t="s">
        <v>177</v>
      </c>
      <c r="D29" s="15" t="s">
        <v>312</v>
      </c>
      <c r="E29" s="15" t="s">
        <v>73</v>
      </c>
      <c r="F29" s="15" t="s">
        <v>142</v>
      </c>
      <c r="G29" s="16" t="s">
        <v>378</v>
      </c>
      <c r="H29" s="15" t="s">
        <v>83</v>
      </c>
      <c r="I29" s="15" t="s">
        <v>84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400</v>
      </c>
      <c r="B30" s="15" t="s">
        <v>100</v>
      </c>
      <c r="C30" s="15" t="s">
        <v>177</v>
      </c>
      <c r="D30" s="15" t="s">
        <v>314</v>
      </c>
      <c r="E30" s="15" t="s">
        <v>73</v>
      </c>
      <c r="F30" s="15" t="s">
        <v>142</v>
      </c>
      <c r="G30" s="16" t="s">
        <v>378</v>
      </c>
      <c r="H30" s="15" t="s">
        <v>83</v>
      </c>
      <c r="I30" s="15" t="s">
        <v>84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401</v>
      </c>
      <c r="B31" s="15" t="s">
        <v>100</v>
      </c>
      <c r="C31" s="15" t="s">
        <v>177</v>
      </c>
      <c r="D31" s="15" t="s">
        <v>402</v>
      </c>
      <c r="E31" s="15" t="s">
        <v>73</v>
      </c>
      <c r="F31" s="15" t="s">
        <v>142</v>
      </c>
      <c r="G31" s="16" t="s">
        <v>378</v>
      </c>
      <c r="H31" s="15" t="s">
        <v>83</v>
      </c>
      <c r="I31" s="15" t="s">
        <v>84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403</v>
      </c>
      <c r="B32" s="15" t="s">
        <v>100</v>
      </c>
      <c r="C32" s="15" t="s">
        <v>6</v>
      </c>
      <c r="D32" s="15" t="s">
        <v>404</v>
      </c>
      <c r="E32" s="15" t="s">
        <v>73</v>
      </c>
      <c r="F32" s="15" t="s">
        <v>102</v>
      </c>
      <c r="G32" s="16" t="s">
        <v>368</v>
      </c>
      <c r="H32" s="15" t="s">
        <v>76</v>
      </c>
      <c r="I32" s="15" t="s">
        <v>77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405</v>
      </c>
      <c r="B33" s="15" t="s">
        <v>119</v>
      </c>
      <c r="C33" s="15" t="s">
        <v>177</v>
      </c>
      <c r="D33" s="15" t="s">
        <v>406</v>
      </c>
      <c r="E33" s="15" t="s">
        <v>73</v>
      </c>
      <c r="F33" s="15" t="s">
        <v>121</v>
      </c>
      <c r="G33" s="16" t="s">
        <v>363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407</v>
      </c>
      <c r="B34" s="15" t="s">
        <v>119</v>
      </c>
      <c r="C34" s="15" t="s">
        <v>167</v>
      </c>
      <c r="D34" s="15" t="s">
        <v>408</v>
      </c>
      <c r="E34" s="15" t="s">
        <v>73</v>
      </c>
      <c r="F34" s="15" t="s">
        <v>121</v>
      </c>
      <c r="G34" s="16" t="s">
        <v>124</v>
      </c>
      <c r="H34" s="15" t="s">
        <v>76</v>
      </c>
      <c r="I34" s="15" t="s">
        <v>77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409</v>
      </c>
      <c r="B35" s="15" t="s">
        <v>119</v>
      </c>
      <c r="C35" s="15" t="s">
        <v>6</v>
      </c>
      <c r="D35" s="15" t="s">
        <v>410</v>
      </c>
      <c r="E35" s="15" t="s">
        <v>73</v>
      </c>
      <c r="F35" s="15" t="s">
        <v>121</v>
      </c>
      <c r="G35" s="16" t="s">
        <v>368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411</v>
      </c>
      <c r="B36" s="15" t="s">
        <v>119</v>
      </c>
      <c r="C36" s="15" t="s">
        <v>412</v>
      </c>
      <c r="D36" s="15" t="s">
        <v>413</v>
      </c>
      <c r="E36" s="15" t="s">
        <v>73</v>
      </c>
      <c r="F36" s="15" t="s">
        <v>121</v>
      </c>
      <c r="G36" s="16" t="s">
        <v>368</v>
      </c>
      <c r="H36" s="15" t="s">
        <v>76</v>
      </c>
      <c r="I36" s="15" t="s">
        <v>77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414</v>
      </c>
      <c r="B37" s="15" t="s">
        <v>119</v>
      </c>
      <c r="C37" s="15" t="s">
        <v>6</v>
      </c>
      <c r="D37" s="15" t="s">
        <v>415</v>
      </c>
      <c r="E37" s="15" t="s">
        <v>73</v>
      </c>
      <c r="F37" s="15" t="s">
        <v>121</v>
      </c>
      <c r="G37" s="16" t="s">
        <v>368</v>
      </c>
      <c r="H37" s="15" t="s">
        <v>76</v>
      </c>
      <c r="I37" s="15" t="s">
        <v>77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416</v>
      </c>
      <c r="B38" s="15" t="s">
        <v>119</v>
      </c>
      <c r="C38" s="15" t="s">
        <v>198</v>
      </c>
      <c r="D38" s="15" t="s">
        <v>417</v>
      </c>
      <c r="E38" s="15" t="s">
        <v>73</v>
      </c>
      <c r="F38" s="15" t="s">
        <v>121</v>
      </c>
      <c r="G38" s="16" t="s">
        <v>368</v>
      </c>
      <c r="H38" s="15" t="s">
        <v>76</v>
      </c>
      <c r="I38" s="15" t="s">
        <v>77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418</v>
      </c>
      <c r="B39" s="15" t="s">
        <v>119</v>
      </c>
      <c r="C39" s="15" t="s">
        <v>177</v>
      </c>
      <c r="D39" s="15" t="s">
        <v>328</v>
      </c>
      <c r="E39" s="15" t="s">
        <v>73</v>
      </c>
      <c r="F39" s="15" t="s">
        <v>121</v>
      </c>
      <c r="G39" s="16" t="s">
        <v>132</v>
      </c>
      <c r="H39" s="15" t="s">
        <v>83</v>
      </c>
      <c r="I39" s="15" t="s">
        <v>84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419</v>
      </c>
      <c r="B40" s="15" t="s">
        <v>119</v>
      </c>
      <c r="C40" s="15" t="s">
        <v>177</v>
      </c>
      <c r="D40" s="15" t="s">
        <v>420</v>
      </c>
      <c r="E40" s="15" t="s">
        <v>73</v>
      </c>
      <c r="F40" s="15" t="s">
        <v>121</v>
      </c>
      <c r="G40" s="16" t="s">
        <v>234</v>
      </c>
      <c r="H40" s="15" t="s">
        <v>76</v>
      </c>
      <c r="I40" s="15" t="s">
        <v>77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421</v>
      </c>
      <c r="B41" s="15" t="s">
        <v>119</v>
      </c>
      <c r="C41" s="15" t="s">
        <v>6</v>
      </c>
      <c r="D41" s="15" t="s">
        <v>422</v>
      </c>
      <c r="E41" s="15" t="s">
        <v>73</v>
      </c>
      <c r="F41" s="15" t="s">
        <v>121</v>
      </c>
      <c r="G41" s="16" t="s">
        <v>138</v>
      </c>
      <c r="H41" s="15" t="s">
        <v>76</v>
      </c>
      <c r="I41" s="15" t="s">
        <v>77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423</v>
      </c>
      <c r="B42" s="15" t="s">
        <v>140</v>
      </c>
      <c r="C42" s="15" t="s">
        <v>6</v>
      </c>
      <c r="D42" s="15" t="s">
        <v>424</v>
      </c>
      <c r="E42" s="15" t="s">
        <v>73</v>
      </c>
      <c r="F42" s="15" t="s">
        <v>142</v>
      </c>
      <c r="G42" s="16" t="s">
        <v>378</v>
      </c>
      <c r="H42" s="15" t="s">
        <v>76</v>
      </c>
      <c r="I42" s="15" t="s">
        <v>77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425</v>
      </c>
      <c r="B43" s="15" t="s">
        <v>140</v>
      </c>
      <c r="C43" s="15" t="s">
        <v>177</v>
      </c>
      <c r="D43" s="15" t="s">
        <v>426</v>
      </c>
      <c r="E43" s="15" t="s">
        <v>73</v>
      </c>
      <c r="F43" s="15" t="s">
        <v>142</v>
      </c>
      <c r="G43" s="16" t="s">
        <v>378</v>
      </c>
      <c r="H43" s="15" t="s">
        <v>83</v>
      </c>
      <c r="I43" s="15" t="s">
        <v>84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427</v>
      </c>
      <c r="B44" s="15" t="s">
        <v>146</v>
      </c>
      <c r="C44" s="15" t="s">
        <v>6</v>
      </c>
      <c r="D44" s="15" t="s">
        <v>428</v>
      </c>
      <c r="E44" s="15" t="s">
        <v>73</v>
      </c>
      <c r="F44" s="15" t="s">
        <v>148</v>
      </c>
      <c r="G44" s="16" t="s">
        <v>429</v>
      </c>
      <c r="H44" s="15" t="s">
        <v>76</v>
      </c>
      <c r="I44" s="15" t="s">
        <v>77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430</v>
      </c>
      <c r="B45" s="15" t="s">
        <v>146</v>
      </c>
      <c r="C45" s="15" t="s">
        <v>6</v>
      </c>
      <c r="D45" s="15" t="s">
        <v>431</v>
      </c>
      <c r="E45" s="15" t="s">
        <v>73</v>
      </c>
      <c r="F45" s="15" t="s">
        <v>148</v>
      </c>
      <c r="G45" s="16" t="s">
        <v>432</v>
      </c>
      <c r="H45" s="15" t="s">
        <v>76</v>
      </c>
      <c r="I45" s="15" t="s">
        <v>77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433</v>
      </c>
      <c r="B46" s="15" t="s">
        <v>154</v>
      </c>
      <c r="C46" s="15" t="s">
        <v>6</v>
      </c>
      <c r="D46" s="15" t="s">
        <v>434</v>
      </c>
      <c r="E46" s="15" t="s">
        <v>156</v>
      </c>
      <c r="F46" s="15" t="s">
        <v>156</v>
      </c>
      <c r="G46" s="16" t="s">
        <v>157</v>
      </c>
      <c r="H46" s="15" t="s">
        <v>76</v>
      </c>
      <c r="I46" s="15" t="s">
        <v>77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435</v>
      </c>
      <c r="B47" s="15" t="s">
        <v>159</v>
      </c>
      <c r="C47" s="15" t="s">
        <v>436</v>
      </c>
      <c r="D47" s="15" t="s">
        <v>437</v>
      </c>
      <c r="E47" s="15" t="s">
        <v>161</v>
      </c>
      <c r="F47" s="15" t="s">
        <v>162</v>
      </c>
      <c r="G47" s="16" t="s">
        <v>253</v>
      </c>
      <c r="H47" s="15" t="s">
        <v>254</v>
      </c>
      <c r="I47" s="15" t="s">
        <v>84</v>
      </c>
      <c r="J47" s="19" t="n">
        <v>46222</v>
      </c>
      <c r="K47" s="15" t="s">
        <v>438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lert-dialog/AlertDialog.tsx"/>
    <hyperlink ref="G10" r:id="rId2" display="../../docs/alert-dialog-component-brief.md"/>
    <hyperlink ref="G11" r:id="rId3" display="../test/types/public-api.test.ts"/>
    <hyperlink ref="G12" r:id="rId4" display="../test/components/alert-dialog.test.tsx"/>
    <hyperlink ref="G13" r:id="rId5" display="../test/components/alert-dialog.test.tsx"/>
    <hyperlink ref="G14" r:id="rId6" display="../test/components/alert-dialog.test.tsx"/>
    <hyperlink ref="G15" r:id="rId7" display="tests/alert-dialog.spec.ts"/>
    <hyperlink ref="G16" r:id="rId8" display="../test/components/alert-dialog.test.tsx"/>
    <hyperlink ref="G17" r:id="rId9" display="../test/components/alert-dialog.test.tsx"/>
    <hyperlink ref="G18" r:id="rId10" display="../test/components/alert-dialog.test.tsx"/>
    <hyperlink ref="G19" r:id="rId11" display="../test/components/alert-dialog.test.tsx"/>
    <hyperlink ref="G20" r:id="rId12" display="manual-tests/alert-dialog.md"/>
    <hyperlink ref="G21" r:id="rId13" display="manual-tests/alert-dialog.md"/>
    <hyperlink ref="G22" r:id="rId14" display="../test/components/alert-dialog.test.tsx + tests/alert-dialog.spec.ts"/>
    <hyperlink ref="G23" r:id="rId15" display="../test/components/alert-dialog.test.tsx + tests/alert-dialog.spec.ts"/>
    <hyperlink ref="G24" r:id="rId16" display="../src/components/alert-dialog/alert-dialog.css"/>
    <hyperlink ref="G25" r:id="rId17" display="manual-tests/alert-dialog.md"/>
    <hyperlink ref="G26" r:id="rId18" display="../playground/src/main.tsx"/>
    <hyperlink ref="G27" r:id="rId19" display="tests/alert-dialog.spec.ts"/>
    <hyperlink ref="G28" r:id="rId20" display="tests/alert-dialog.spec.ts"/>
    <hyperlink ref="G29" r:id="rId21" display="manual-tests/alert-dialog.md"/>
    <hyperlink ref="G30" r:id="rId22" display="manual-tests/alert-dialog.md"/>
    <hyperlink ref="G31" r:id="rId23" display="manual-tests/alert-dialog.md"/>
    <hyperlink ref="G32" r:id="rId24" display="tests/alert-dialog.spec.ts"/>
    <hyperlink ref="G33" r:id="rId25" display="../test/components/alert-dialog.test.tsx"/>
    <hyperlink ref="G34" r:id="rId26" display="../test/types/public-api.test.ts"/>
    <hyperlink ref="G35" r:id="rId27" display="tests/alert-dialog.spec.ts"/>
    <hyperlink ref="G36" r:id="rId28" display="tests/alert-dialog.spec.ts"/>
    <hyperlink ref="G37" r:id="rId29" display="tests/alert-dialog.spec.ts"/>
    <hyperlink ref="G38" r:id="rId30" display="tests/alert-dialog.spec.ts"/>
    <hyperlink ref="G39" r:id="rId31" display="tests/visual.spec.ts"/>
    <hyperlink ref="G40" r:id="rId32" display="../playwright.config.ts"/>
    <hyperlink ref="G41" r:id="rId33" display="../scripts/verify-consumers.mjs"/>
    <hyperlink ref="G42" r:id="rId34" display="manual-tests/alert-dialog.md"/>
    <hyperlink ref="G43" r:id="rId35" display="manual-tests/alert-dialog.md"/>
    <hyperlink ref="G44" r:id="rId36" display="../docs/components/alert-dialog/README.md"/>
    <hyperlink ref="G45" r:id="rId37" display="../docs/components/alert-dialog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440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37</v>
      </c>
      <c r="E4" s="4" t="s">
        <v>14</v>
      </c>
      <c r="F4" s="6" t="n">
        <f aca="false">IFERROR(D4/SUM(L9:L47),0)</f>
        <v>0.948717948717949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441</v>
      </c>
      <c r="B9" s="15" t="s">
        <v>71</v>
      </c>
      <c r="C9" s="15" t="s">
        <v>6</v>
      </c>
      <c r="D9" s="15" t="s">
        <v>442</v>
      </c>
      <c r="E9" s="15" t="s">
        <v>73</v>
      </c>
      <c r="F9" s="15" t="s">
        <v>74</v>
      </c>
      <c r="G9" s="16" t="s">
        <v>443</v>
      </c>
      <c r="H9" s="15" t="s">
        <v>76</v>
      </c>
      <c r="I9" s="15" t="s">
        <v>77</v>
      </c>
      <c r="J9" s="19" t="n">
        <v>46224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444</v>
      </c>
      <c r="B10" s="15" t="s">
        <v>79</v>
      </c>
      <c r="C10" s="15" t="s">
        <v>6</v>
      </c>
      <c r="D10" s="15" t="s">
        <v>445</v>
      </c>
      <c r="E10" s="15" t="s">
        <v>73</v>
      </c>
      <c r="F10" s="15" t="s">
        <v>81</v>
      </c>
      <c r="G10" s="16" t="s">
        <v>446</v>
      </c>
      <c r="H10" s="15" t="s">
        <v>83</v>
      </c>
      <c r="I10" s="15" t="s">
        <v>84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447</v>
      </c>
      <c r="B11" s="15" t="s">
        <v>79</v>
      </c>
      <c r="C11" s="15" t="s">
        <v>6</v>
      </c>
      <c r="D11" s="15" t="s">
        <v>448</v>
      </c>
      <c r="E11" s="15" t="s">
        <v>73</v>
      </c>
      <c r="F11" s="15" t="s">
        <v>81</v>
      </c>
      <c r="G11" s="16" t="s">
        <v>449</v>
      </c>
      <c r="H11" s="15" t="s">
        <v>83</v>
      </c>
      <c r="I11" s="15" t="s">
        <v>84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450</v>
      </c>
      <c r="B12" s="15" t="s">
        <v>71</v>
      </c>
      <c r="C12" s="15" t="s">
        <v>167</v>
      </c>
      <c r="D12" s="15" t="s">
        <v>451</v>
      </c>
      <c r="E12" s="15" t="s">
        <v>73</v>
      </c>
      <c r="F12" s="15" t="s">
        <v>87</v>
      </c>
      <c r="G12" s="16" t="s">
        <v>124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452</v>
      </c>
      <c r="B13" s="15" t="s">
        <v>51</v>
      </c>
      <c r="C13" s="15" t="s">
        <v>181</v>
      </c>
      <c r="D13" s="15" t="s">
        <v>453</v>
      </c>
      <c r="E13" s="15" t="s">
        <v>73</v>
      </c>
      <c r="F13" s="15" t="s">
        <v>121</v>
      </c>
      <c r="G13" s="16" t="s">
        <v>454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455</v>
      </c>
      <c r="B14" s="15" t="s">
        <v>51</v>
      </c>
      <c r="C14" s="15" t="s">
        <v>270</v>
      </c>
      <c r="D14" s="15" t="s">
        <v>456</v>
      </c>
      <c r="E14" s="15" t="s">
        <v>73</v>
      </c>
      <c r="F14" s="15" t="s">
        <v>121</v>
      </c>
      <c r="G14" s="16" t="s">
        <v>454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457</v>
      </c>
      <c r="B15" s="15" t="s">
        <v>51</v>
      </c>
      <c r="C15" s="15" t="s">
        <v>273</v>
      </c>
      <c r="D15" s="15" t="s">
        <v>458</v>
      </c>
      <c r="E15" s="15" t="s">
        <v>73</v>
      </c>
      <c r="F15" s="15" t="s">
        <v>121</v>
      </c>
      <c r="G15" s="16" t="s">
        <v>454</v>
      </c>
      <c r="H15" s="15" t="s">
        <v>76</v>
      </c>
      <c r="I15" s="15" t="s">
        <v>77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459</v>
      </c>
      <c r="B16" s="15" t="s">
        <v>51</v>
      </c>
      <c r="C16" s="15" t="s">
        <v>277</v>
      </c>
      <c r="D16" s="15" t="s">
        <v>460</v>
      </c>
      <c r="E16" s="15" t="s">
        <v>73</v>
      </c>
      <c r="F16" s="15" t="s">
        <v>121</v>
      </c>
      <c r="G16" s="16" t="s">
        <v>461</v>
      </c>
      <c r="H16" s="15" t="s">
        <v>76</v>
      </c>
      <c r="I16" s="15" t="s">
        <v>77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462</v>
      </c>
      <c r="B17" s="15" t="s">
        <v>51</v>
      </c>
      <c r="C17" s="15" t="s">
        <v>198</v>
      </c>
      <c r="D17" s="15" t="s">
        <v>463</v>
      </c>
      <c r="E17" s="15" t="s">
        <v>73</v>
      </c>
      <c r="F17" s="15" t="s">
        <v>121</v>
      </c>
      <c r="G17" s="16" t="s">
        <v>454</v>
      </c>
      <c r="H17" s="15" t="s">
        <v>76</v>
      </c>
      <c r="I17" s="15" t="s">
        <v>77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464</v>
      </c>
      <c r="B18" s="15" t="s">
        <v>51</v>
      </c>
      <c r="C18" s="15" t="s">
        <v>184</v>
      </c>
      <c r="D18" s="15" t="s">
        <v>465</v>
      </c>
      <c r="E18" s="15" t="s">
        <v>73</v>
      </c>
      <c r="F18" s="15" t="s">
        <v>121</v>
      </c>
      <c r="G18" s="16" t="s">
        <v>454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466</v>
      </c>
      <c r="B19" s="15" t="s">
        <v>51</v>
      </c>
      <c r="C19" s="15" t="s">
        <v>188</v>
      </c>
      <c r="D19" s="15" t="s">
        <v>467</v>
      </c>
      <c r="E19" s="15" t="s">
        <v>73</v>
      </c>
      <c r="F19" s="15" t="s">
        <v>121</v>
      </c>
      <c r="G19" s="16" t="s">
        <v>454</v>
      </c>
      <c r="H19" s="15" t="s">
        <v>76</v>
      </c>
      <c r="I19" s="15" t="s">
        <v>77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468</v>
      </c>
      <c r="B20" s="15" t="s">
        <v>51</v>
      </c>
      <c r="C20" s="15" t="s">
        <v>191</v>
      </c>
      <c r="D20" s="15" t="s">
        <v>469</v>
      </c>
      <c r="E20" s="15" t="s">
        <v>73</v>
      </c>
      <c r="F20" s="15" t="s">
        <v>121</v>
      </c>
      <c r="G20" s="16" t="s">
        <v>454</v>
      </c>
      <c r="H20" s="15" t="s">
        <v>76</v>
      </c>
      <c r="I20" s="15" t="s">
        <v>77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470</v>
      </c>
      <c r="B21" s="15" t="s">
        <v>51</v>
      </c>
      <c r="C21" s="15" t="s">
        <v>289</v>
      </c>
      <c r="D21" s="15" t="s">
        <v>471</v>
      </c>
      <c r="E21" s="15" t="s">
        <v>73</v>
      </c>
      <c r="F21" s="15" t="s">
        <v>121</v>
      </c>
      <c r="G21" s="16" t="s">
        <v>461</v>
      </c>
      <c r="H21" s="15" t="s">
        <v>76</v>
      </c>
      <c r="I21" s="15" t="s">
        <v>77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472</v>
      </c>
      <c r="B22" s="15" t="s">
        <v>51</v>
      </c>
      <c r="C22" s="15" t="s">
        <v>201</v>
      </c>
      <c r="D22" s="15" t="s">
        <v>473</v>
      </c>
      <c r="E22" s="15" t="s">
        <v>73</v>
      </c>
      <c r="F22" s="15" t="s">
        <v>121</v>
      </c>
      <c r="G22" s="16" t="s">
        <v>461</v>
      </c>
      <c r="H22" s="15" t="s">
        <v>76</v>
      </c>
      <c r="I22" s="15" t="s">
        <v>77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474</v>
      </c>
      <c r="B23" s="15" t="s">
        <v>51</v>
      </c>
      <c r="C23" s="15" t="s">
        <v>295</v>
      </c>
      <c r="D23" s="15" t="s">
        <v>475</v>
      </c>
      <c r="E23" s="15" t="s">
        <v>73</v>
      </c>
      <c r="F23" s="15" t="s">
        <v>121</v>
      </c>
      <c r="G23" s="16" t="s">
        <v>454</v>
      </c>
      <c r="H23" s="15" t="s">
        <v>76</v>
      </c>
      <c r="I23" s="15" t="s">
        <v>77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476</v>
      </c>
      <c r="B24" s="15" t="s">
        <v>51</v>
      </c>
      <c r="C24" s="15" t="s">
        <v>298</v>
      </c>
      <c r="D24" s="15" t="s">
        <v>477</v>
      </c>
      <c r="E24" s="15" t="s">
        <v>73</v>
      </c>
      <c r="F24" s="15" t="s">
        <v>121</v>
      </c>
      <c r="G24" s="16" t="s">
        <v>461</v>
      </c>
      <c r="H24" s="15" t="s">
        <v>76</v>
      </c>
      <c r="I24" s="15" t="s">
        <v>77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478</v>
      </c>
      <c r="B25" s="15" t="s">
        <v>93</v>
      </c>
      <c r="C25" s="15" t="s">
        <v>198</v>
      </c>
      <c r="D25" s="15" t="s">
        <v>479</v>
      </c>
      <c r="E25" s="15" t="s">
        <v>73</v>
      </c>
      <c r="F25" s="15" t="s">
        <v>121</v>
      </c>
      <c r="G25" s="16" t="s">
        <v>461</v>
      </c>
      <c r="H25" s="15" t="s">
        <v>76</v>
      </c>
      <c r="I25" s="15" t="s">
        <v>77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480</v>
      </c>
      <c r="B26" s="15" t="s">
        <v>93</v>
      </c>
      <c r="C26" s="15" t="s">
        <v>198</v>
      </c>
      <c r="D26" s="15" t="s">
        <v>481</v>
      </c>
      <c r="E26" s="15" t="s">
        <v>73</v>
      </c>
      <c r="F26" s="15" t="s">
        <v>121</v>
      </c>
      <c r="G26" s="16" t="s">
        <v>454</v>
      </c>
      <c r="H26" s="15" t="s">
        <v>76</v>
      </c>
      <c r="I26" s="15" t="s">
        <v>77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482</v>
      </c>
      <c r="B27" s="15" t="s">
        <v>93</v>
      </c>
      <c r="C27" s="15" t="s">
        <v>198</v>
      </c>
      <c r="D27" s="15" t="s">
        <v>483</v>
      </c>
      <c r="E27" s="15" t="s">
        <v>73</v>
      </c>
      <c r="F27" s="15" t="s">
        <v>121</v>
      </c>
      <c r="G27" s="16" t="s">
        <v>461</v>
      </c>
      <c r="H27" s="15" t="s">
        <v>76</v>
      </c>
      <c r="I27" s="15" t="s">
        <v>77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484</v>
      </c>
      <c r="B28" s="15" t="s">
        <v>93</v>
      </c>
      <c r="C28" s="15" t="s">
        <v>177</v>
      </c>
      <c r="D28" s="15" t="s">
        <v>485</v>
      </c>
      <c r="E28" s="15" t="s">
        <v>73</v>
      </c>
      <c r="F28" s="15" t="s">
        <v>486</v>
      </c>
      <c r="G28" s="16" t="s">
        <v>132</v>
      </c>
      <c r="H28" s="15" t="s">
        <v>83</v>
      </c>
      <c r="I28" s="15" t="s">
        <v>84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487</v>
      </c>
      <c r="B29" s="15" t="s">
        <v>93</v>
      </c>
      <c r="C29" s="15" t="s">
        <v>177</v>
      </c>
      <c r="D29" s="15" t="s">
        <v>488</v>
      </c>
      <c r="E29" s="15" t="s">
        <v>73</v>
      </c>
      <c r="F29" s="15" t="s">
        <v>486</v>
      </c>
      <c r="G29" s="16" t="s">
        <v>132</v>
      </c>
      <c r="H29" s="15" t="s">
        <v>83</v>
      </c>
      <c r="I29" s="15" t="s">
        <v>84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489</v>
      </c>
      <c r="B30" s="15" t="s">
        <v>93</v>
      </c>
      <c r="C30" s="15" t="s">
        <v>198</v>
      </c>
      <c r="D30" s="15" t="s">
        <v>490</v>
      </c>
      <c r="E30" s="15" t="s">
        <v>73</v>
      </c>
      <c r="F30" s="15" t="s">
        <v>121</v>
      </c>
      <c r="G30" s="16" t="s">
        <v>461</v>
      </c>
      <c r="H30" s="15" t="s">
        <v>76</v>
      </c>
      <c r="I30" s="15" t="s">
        <v>77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491</v>
      </c>
      <c r="B31" s="15" t="s">
        <v>93</v>
      </c>
      <c r="C31" s="15" t="s">
        <v>177</v>
      </c>
      <c r="D31" s="15" t="s">
        <v>492</v>
      </c>
      <c r="E31" s="15" t="s">
        <v>73</v>
      </c>
      <c r="F31" s="15" t="s">
        <v>486</v>
      </c>
      <c r="G31" s="16" t="s">
        <v>132</v>
      </c>
      <c r="H31" s="15" t="s">
        <v>83</v>
      </c>
      <c r="I31" s="15" t="s">
        <v>84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493</v>
      </c>
      <c r="B32" s="15" t="s">
        <v>93</v>
      </c>
      <c r="C32" s="15" t="s">
        <v>198</v>
      </c>
      <c r="D32" s="15" t="s">
        <v>494</v>
      </c>
      <c r="E32" s="15" t="s">
        <v>73</v>
      </c>
      <c r="F32" s="15" t="s">
        <v>102</v>
      </c>
      <c r="G32" s="16" t="s">
        <v>394</v>
      </c>
      <c r="H32" s="15" t="s">
        <v>76</v>
      </c>
      <c r="I32" s="15" t="s">
        <v>77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495</v>
      </c>
      <c r="B33" s="15" t="s">
        <v>100</v>
      </c>
      <c r="C33" s="15" t="s">
        <v>177</v>
      </c>
      <c r="D33" s="15" t="s">
        <v>496</v>
      </c>
      <c r="E33" s="15" t="s">
        <v>73</v>
      </c>
      <c r="F33" s="15" t="s">
        <v>102</v>
      </c>
      <c r="G33" s="16" t="s">
        <v>394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497</v>
      </c>
      <c r="B34" s="15" t="s">
        <v>100</v>
      </c>
      <c r="C34" s="15" t="s">
        <v>177</v>
      </c>
      <c r="D34" s="15" t="s">
        <v>498</v>
      </c>
      <c r="E34" s="15" t="s">
        <v>73</v>
      </c>
      <c r="F34" s="15" t="s">
        <v>102</v>
      </c>
      <c r="G34" s="16" t="s">
        <v>394</v>
      </c>
      <c r="H34" s="15" t="s">
        <v>76</v>
      </c>
      <c r="I34" s="15" t="s">
        <v>77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499</v>
      </c>
      <c r="B35" s="15" t="s">
        <v>119</v>
      </c>
      <c r="C35" s="15" t="s">
        <v>6</v>
      </c>
      <c r="D35" s="15" t="s">
        <v>500</v>
      </c>
      <c r="E35" s="15" t="s">
        <v>73</v>
      </c>
      <c r="F35" s="15" t="s">
        <v>121</v>
      </c>
      <c r="G35" s="16" t="s">
        <v>454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501</v>
      </c>
      <c r="B36" s="15" t="s">
        <v>119</v>
      </c>
      <c r="C36" s="15" t="s">
        <v>167</v>
      </c>
      <c r="D36" s="15" t="s">
        <v>502</v>
      </c>
      <c r="E36" s="15" t="s">
        <v>73</v>
      </c>
      <c r="F36" s="15" t="s">
        <v>87</v>
      </c>
      <c r="G36" s="16" t="s">
        <v>124</v>
      </c>
      <c r="H36" s="15" t="s">
        <v>76</v>
      </c>
      <c r="I36" s="15" t="s">
        <v>77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503</v>
      </c>
      <c r="B37" s="15" t="s">
        <v>119</v>
      </c>
      <c r="C37" s="15" t="s">
        <v>6</v>
      </c>
      <c r="D37" s="15" t="s">
        <v>504</v>
      </c>
      <c r="E37" s="15" t="s">
        <v>73</v>
      </c>
      <c r="F37" s="15" t="s">
        <v>121</v>
      </c>
      <c r="G37" s="16" t="s">
        <v>505</v>
      </c>
      <c r="H37" s="15" t="s">
        <v>76</v>
      </c>
      <c r="I37" s="15" t="s">
        <v>77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506</v>
      </c>
      <c r="B38" s="15" t="s">
        <v>119</v>
      </c>
      <c r="C38" s="15" t="s">
        <v>6</v>
      </c>
      <c r="D38" s="15" t="s">
        <v>507</v>
      </c>
      <c r="E38" s="15" t="s">
        <v>73</v>
      </c>
      <c r="F38" s="15" t="s">
        <v>121</v>
      </c>
      <c r="G38" s="16" t="s">
        <v>461</v>
      </c>
      <c r="H38" s="15" t="s">
        <v>76</v>
      </c>
      <c r="I38" s="15" t="s">
        <v>77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508</v>
      </c>
      <c r="B39" s="15" t="s">
        <v>119</v>
      </c>
      <c r="C39" s="15" t="s">
        <v>198</v>
      </c>
      <c r="D39" s="15" t="s">
        <v>509</v>
      </c>
      <c r="E39" s="15" t="s">
        <v>73</v>
      </c>
      <c r="F39" s="15" t="s">
        <v>121</v>
      </c>
      <c r="G39" s="16" t="s">
        <v>461</v>
      </c>
      <c r="H39" s="15" t="s">
        <v>76</v>
      </c>
      <c r="I39" s="15" t="s">
        <v>77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510</v>
      </c>
      <c r="B40" s="15" t="s">
        <v>119</v>
      </c>
      <c r="C40" s="15" t="s">
        <v>177</v>
      </c>
      <c r="D40" s="15" t="s">
        <v>511</v>
      </c>
      <c r="E40" s="15" t="s">
        <v>73</v>
      </c>
      <c r="F40" s="15" t="s">
        <v>486</v>
      </c>
      <c r="G40" s="16" t="s">
        <v>132</v>
      </c>
      <c r="H40" s="15" t="s">
        <v>83</v>
      </c>
      <c r="I40" s="15" t="s">
        <v>84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512</v>
      </c>
      <c r="B41" s="15" t="s">
        <v>119</v>
      </c>
      <c r="C41" s="15" t="s">
        <v>6</v>
      </c>
      <c r="D41" s="15" t="s">
        <v>513</v>
      </c>
      <c r="E41" s="15" t="s">
        <v>73</v>
      </c>
      <c r="F41" s="15" t="s">
        <v>73</v>
      </c>
      <c r="G41" s="16" t="s">
        <v>138</v>
      </c>
      <c r="H41" s="15" t="s">
        <v>76</v>
      </c>
      <c r="I41" s="15" t="s">
        <v>77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514</v>
      </c>
      <c r="B42" s="15" t="s">
        <v>140</v>
      </c>
      <c r="C42" s="15" t="s">
        <v>6</v>
      </c>
      <c r="D42" s="15" t="s">
        <v>515</v>
      </c>
      <c r="E42" s="15" t="s">
        <v>73</v>
      </c>
      <c r="F42" s="15" t="s">
        <v>142</v>
      </c>
      <c r="G42" s="16" t="s">
        <v>516</v>
      </c>
      <c r="H42" s="15" t="s">
        <v>76</v>
      </c>
      <c r="I42" s="15" t="s">
        <v>77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517</v>
      </c>
      <c r="B43" s="15" t="s">
        <v>140</v>
      </c>
      <c r="C43" s="15" t="s">
        <v>6</v>
      </c>
      <c r="D43" s="15" t="s">
        <v>518</v>
      </c>
      <c r="E43" s="15" t="s">
        <v>73</v>
      </c>
      <c r="F43" s="15" t="s">
        <v>142</v>
      </c>
      <c r="G43" s="16" t="s">
        <v>516</v>
      </c>
      <c r="H43" s="15" t="s">
        <v>348</v>
      </c>
      <c r="I43" s="15" t="s">
        <v>84</v>
      </c>
      <c r="J43" s="19" t="n">
        <v>46224</v>
      </c>
      <c r="K43" s="15" t="s">
        <v>519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520</v>
      </c>
      <c r="B44" s="15" t="s">
        <v>146</v>
      </c>
      <c r="C44" s="15" t="s">
        <v>6</v>
      </c>
      <c r="D44" s="15" t="s">
        <v>521</v>
      </c>
      <c r="E44" s="15" t="s">
        <v>73</v>
      </c>
      <c r="F44" s="15" t="s">
        <v>148</v>
      </c>
      <c r="G44" s="16" t="s">
        <v>522</v>
      </c>
      <c r="H44" s="15" t="s">
        <v>76</v>
      </c>
      <c r="I44" s="15" t="s">
        <v>77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523</v>
      </c>
      <c r="B45" s="15" t="s">
        <v>146</v>
      </c>
      <c r="C45" s="15" t="s">
        <v>6</v>
      </c>
      <c r="D45" s="15" t="s">
        <v>524</v>
      </c>
      <c r="E45" s="15" t="s">
        <v>73</v>
      </c>
      <c r="F45" s="15" t="s">
        <v>148</v>
      </c>
      <c r="G45" s="16" t="s">
        <v>525</v>
      </c>
      <c r="H45" s="15" t="s">
        <v>76</v>
      </c>
      <c r="I45" s="15" t="s">
        <v>77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526</v>
      </c>
      <c r="B46" s="15" t="s">
        <v>154</v>
      </c>
      <c r="C46" s="15" t="s">
        <v>6</v>
      </c>
      <c r="D46" s="15" t="s">
        <v>527</v>
      </c>
      <c r="E46" s="15" t="s">
        <v>156</v>
      </c>
      <c r="F46" s="15" t="s">
        <v>156</v>
      </c>
      <c r="G46" s="16" t="s">
        <v>157</v>
      </c>
      <c r="H46" s="15" t="s">
        <v>76</v>
      </c>
      <c r="I46" s="15" t="s">
        <v>77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528</v>
      </c>
      <c r="B47" s="15" t="s">
        <v>159</v>
      </c>
      <c r="C47" s="15" t="s">
        <v>529</v>
      </c>
      <c r="D47" s="15" t="s">
        <v>530</v>
      </c>
      <c r="E47" s="15" t="s">
        <v>161</v>
      </c>
      <c r="F47" s="15" t="s">
        <v>162</v>
      </c>
      <c r="G47" s="16" t="s">
        <v>253</v>
      </c>
      <c r="H47" s="15" t="s">
        <v>254</v>
      </c>
      <c r="I47" s="15" t="s">
        <v>77</v>
      </c>
      <c r="J47" s="19" t="n">
        <v>46221</v>
      </c>
      <c r="K47" s="15" t="s">
        <v>531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drawer/Drawer.tsx"/>
    <hyperlink ref="G10" r:id="rId2" display="../../docs/drawer-component-brief.md"/>
    <hyperlink ref="G11" r:id="rId3" display="../../TODO.md"/>
    <hyperlink ref="G12" r:id="rId4" display="../test/types/public-api.test.ts"/>
    <hyperlink ref="G13" r:id="rId5" display="../test/components/drawer.test.tsx"/>
    <hyperlink ref="G14" r:id="rId6" display="../test/components/drawer.test.tsx"/>
    <hyperlink ref="G15" r:id="rId7" display="../test/components/drawer.test.tsx"/>
    <hyperlink ref="G16" r:id="rId8" display="tests/drawer.spec.ts"/>
    <hyperlink ref="G17" r:id="rId9" display="../test/components/drawer.test.tsx"/>
    <hyperlink ref="G18" r:id="rId10" display="../test/components/drawer.test.tsx"/>
    <hyperlink ref="G19" r:id="rId11" display="../test/components/drawer.test.tsx"/>
    <hyperlink ref="G20" r:id="rId12" display="../test/components/drawer.test.tsx"/>
    <hyperlink ref="G21" r:id="rId13" display="tests/drawer.spec.ts"/>
    <hyperlink ref="G22" r:id="rId14" display="tests/drawer.spec.ts"/>
    <hyperlink ref="G23" r:id="rId15" display="../test/components/drawer.test.tsx"/>
    <hyperlink ref="G24" r:id="rId16" display="tests/drawer.spec.ts"/>
    <hyperlink ref="G25" r:id="rId17" display="tests/drawer.spec.ts"/>
    <hyperlink ref="G26" r:id="rId18" display="../test/components/drawer.test.tsx"/>
    <hyperlink ref="G27" r:id="rId19" display="tests/drawer.spec.ts"/>
    <hyperlink ref="G28" r:id="rId20" display="tests/visual.spec.ts"/>
    <hyperlink ref="G29" r:id="rId21" display="tests/visual.spec.ts"/>
    <hyperlink ref="G30" r:id="rId22" display="tests/drawer.spec.ts"/>
    <hyperlink ref="G31" r:id="rId23" display="tests/visual.spec.ts"/>
    <hyperlink ref="G32" r:id="rId24" display="../playground/src/main.tsx"/>
    <hyperlink ref="G33" r:id="rId25" display="../playground/src/main.tsx"/>
    <hyperlink ref="G34" r:id="rId26" display="../playground/src/main.tsx"/>
    <hyperlink ref="G35" r:id="rId27" display="../test/components/drawer.test.tsx"/>
    <hyperlink ref="G36" r:id="rId28" display="../test/types/public-api.test.ts"/>
    <hyperlink ref="G37" r:id="rId29" display="../test/package/package.test.mjs"/>
    <hyperlink ref="G38" r:id="rId30" display="tests/drawer.spec.ts"/>
    <hyperlink ref="G39" r:id="rId31" display="tests/drawer.spec.ts"/>
    <hyperlink ref="G40" r:id="rId32" display="tests/visual.spec.ts"/>
    <hyperlink ref="G41" r:id="rId33" display="../scripts/verify-consumers.mjs"/>
    <hyperlink ref="G42" r:id="rId34" display="manual-tests/drawer.md"/>
    <hyperlink ref="G43" r:id="rId35" display="manual-tests/drawer.md"/>
    <hyperlink ref="G44" r:id="rId36" display="../docs/components/drawer/README.md"/>
    <hyperlink ref="G45" r:id="rId37" display="../docs/components/drawer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533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534</v>
      </c>
      <c r="B9" s="15" t="s">
        <v>71</v>
      </c>
      <c r="C9" s="15" t="s">
        <v>24</v>
      </c>
      <c r="D9" s="15" t="s">
        <v>535</v>
      </c>
      <c r="E9" s="15" t="s">
        <v>73</v>
      </c>
      <c r="F9" s="15" t="s">
        <v>74</v>
      </c>
      <c r="G9" s="16" t="s">
        <v>536</v>
      </c>
      <c r="H9" s="15" t="s">
        <v>76</v>
      </c>
      <c r="I9" s="15" t="s">
        <v>77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537</v>
      </c>
      <c r="B10" s="15" t="s">
        <v>79</v>
      </c>
      <c r="C10" s="15" t="s">
        <v>538</v>
      </c>
      <c r="D10" s="15" t="s">
        <v>539</v>
      </c>
      <c r="E10" s="15" t="s">
        <v>73</v>
      </c>
      <c r="F10" s="15" t="s">
        <v>81</v>
      </c>
      <c r="G10" s="16" t="s">
        <v>540</v>
      </c>
      <c r="H10" s="15" t="s">
        <v>83</v>
      </c>
      <c r="I10" s="15" t="s">
        <v>84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541</v>
      </c>
      <c r="B11" s="15" t="s">
        <v>71</v>
      </c>
      <c r="C11" s="15" t="s">
        <v>538</v>
      </c>
      <c r="D11" s="15" t="s">
        <v>542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543</v>
      </c>
      <c r="B12" s="15" t="s">
        <v>51</v>
      </c>
      <c r="C12" s="15" t="s">
        <v>24</v>
      </c>
      <c r="D12" s="15" t="s">
        <v>544</v>
      </c>
      <c r="E12" s="15" t="s">
        <v>73</v>
      </c>
      <c r="F12" s="15" t="s">
        <v>121</v>
      </c>
      <c r="G12" s="16" t="s">
        <v>545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546</v>
      </c>
      <c r="B13" s="15" t="s">
        <v>93</v>
      </c>
      <c r="C13" s="15" t="s">
        <v>24</v>
      </c>
      <c r="D13" s="15" t="s">
        <v>547</v>
      </c>
      <c r="E13" s="15" t="s">
        <v>73</v>
      </c>
      <c r="F13" s="15" t="s">
        <v>121</v>
      </c>
      <c r="G13" s="16" t="s">
        <v>545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548</v>
      </c>
      <c r="B14" s="15" t="s">
        <v>71</v>
      </c>
      <c r="C14" s="15" t="s">
        <v>24</v>
      </c>
      <c r="D14" s="15" t="s">
        <v>549</v>
      </c>
      <c r="E14" s="15" t="s">
        <v>73</v>
      </c>
      <c r="F14" s="15" t="s">
        <v>121</v>
      </c>
      <c r="G14" s="16" t="s">
        <v>545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550</v>
      </c>
      <c r="B15" s="15" t="s">
        <v>551</v>
      </c>
      <c r="C15" s="15" t="s">
        <v>24</v>
      </c>
      <c r="D15" s="15" t="s">
        <v>552</v>
      </c>
      <c r="E15" s="15" t="s">
        <v>73</v>
      </c>
      <c r="F15" s="15" t="s">
        <v>121</v>
      </c>
      <c r="G15" s="16" t="s">
        <v>545</v>
      </c>
      <c r="H15" s="15" t="s">
        <v>76</v>
      </c>
      <c r="I15" s="15" t="s">
        <v>77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553</v>
      </c>
      <c r="B16" s="15" t="s">
        <v>51</v>
      </c>
      <c r="C16" s="15" t="s">
        <v>554</v>
      </c>
      <c r="D16" s="15" t="s">
        <v>555</v>
      </c>
      <c r="E16" s="15" t="s">
        <v>73</v>
      </c>
      <c r="F16" s="15" t="s">
        <v>87</v>
      </c>
      <c r="G16" s="16" t="s">
        <v>124</v>
      </c>
      <c r="H16" s="15" t="s">
        <v>76</v>
      </c>
      <c r="I16" s="15" t="s">
        <v>77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556</v>
      </c>
      <c r="B17" s="15" t="s">
        <v>557</v>
      </c>
      <c r="C17" s="15" t="s">
        <v>554</v>
      </c>
      <c r="D17" s="15" t="s">
        <v>558</v>
      </c>
      <c r="E17" s="15" t="s">
        <v>73</v>
      </c>
      <c r="F17" s="15" t="s">
        <v>121</v>
      </c>
      <c r="G17" s="16" t="s">
        <v>545</v>
      </c>
      <c r="H17" s="15" t="s">
        <v>76</v>
      </c>
      <c r="I17" s="15" t="s">
        <v>77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559</v>
      </c>
      <c r="B18" s="15" t="s">
        <v>557</v>
      </c>
      <c r="C18" s="15" t="s">
        <v>554</v>
      </c>
      <c r="D18" s="15" t="s">
        <v>560</v>
      </c>
      <c r="E18" s="15" t="s">
        <v>73</v>
      </c>
      <c r="F18" s="15" t="s">
        <v>121</v>
      </c>
      <c r="G18" s="16" t="s">
        <v>545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561</v>
      </c>
      <c r="B19" s="15" t="s">
        <v>562</v>
      </c>
      <c r="C19" s="15" t="s">
        <v>554</v>
      </c>
      <c r="D19" s="15" t="s">
        <v>563</v>
      </c>
      <c r="E19" s="15" t="s">
        <v>73</v>
      </c>
      <c r="F19" s="15" t="s">
        <v>121</v>
      </c>
      <c r="G19" s="16" t="s">
        <v>545</v>
      </c>
      <c r="H19" s="15" t="s">
        <v>76</v>
      </c>
      <c r="I19" s="15" t="s">
        <v>77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564</v>
      </c>
      <c r="B20" s="15" t="s">
        <v>551</v>
      </c>
      <c r="C20" s="15" t="s">
        <v>554</v>
      </c>
      <c r="D20" s="15" t="s">
        <v>565</v>
      </c>
      <c r="E20" s="15" t="s">
        <v>73</v>
      </c>
      <c r="F20" s="15" t="s">
        <v>121</v>
      </c>
      <c r="G20" s="16" t="s">
        <v>566</v>
      </c>
      <c r="H20" s="15" t="s">
        <v>76</v>
      </c>
      <c r="I20" s="15" t="s">
        <v>77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567</v>
      </c>
      <c r="B21" s="15" t="s">
        <v>93</v>
      </c>
      <c r="C21" s="15" t="s">
        <v>538</v>
      </c>
      <c r="D21" s="15" t="s">
        <v>568</v>
      </c>
      <c r="E21" s="15" t="s">
        <v>73</v>
      </c>
      <c r="F21" s="15" t="s">
        <v>74</v>
      </c>
      <c r="G21" s="16" t="s">
        <v>569</v>
      </c>
      <c r="H21" s="15" t="s">
        <v>76</v>
      </c>
      <c r="I21" s="15" t="s">
        <v>77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570</v>
      </c>
      <c r="B22" s="15" t="s">
        <v>93</v>
      </c>
      <c r="C22" s="15" t="s">
        <v>538</v>
      </c>
      <c r="D22" s="15" t="s">
        <v>571</v>
      </c>
      <c r="E22" s="15" t="s">
        <v>73</v>
      </c>
      <c r="F22" s="15" t="s">
        <v>486</v>
      </c>
      <c r="G22" s="16" t="s">
        <v>132</v>
      </c>
      <c r="H22" s="15" t="s">
        <v>83</v>
      </c>
      <c r="I22" s="15" t="s">
        <v>84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572</v>
      </c>
      <c r="B23" s="15" t="s">
        <v>93</v>
      </c>
      <c r="C23" s="15" t="s">
        <v>538</v>
      </c>
      <c r="D23" s="15" t="s">
        <v>573</v>
      </c>
      <c r="E23" s="15" t="s">
        <v>73</v>
      </c>
      <c r="F23" s="15" t="s">
        <v>121</v>
      </c>
      <c r="G23" s="16" t="s">
        <v>566</v>
      </c>
      <c r="H23" s="15" t="s">
        <v>76</v>
      </c>
      <c r="I23" s="15" t="s">
        <v>77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574</v>
      </c>
      <c r="B24" s="15" t="s">
        <v>93</v>
      </c>
      <c r="C24" s="15" t="s">
        <v>554</v>
      </c>
      <c r="D24" s="15" t="s">
        <v>575</v>
      </c>
      <c r="E24" s="15" t="s">
        <v>73</v>
      </c>
      <c r="F24" s="15" t="s">
        <v>121</v>
      </c>
      <c r="G24" s="16" t="s">
        <v>566</v>
      </c>
      <c r="H24" s="15" t="s">
        <v>76</v>
      </c>
      <c r="I24" s="15" t="s">
        <v>77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576</v>
      </c>
      <c r="B25" s="15" t="s">
        <v>93</v>
      </c>
      <c r="C25" s="15" t="s">
        <v>538</v>
      </c>
      <c r="D25" s="15" t="s">
        <v>577</v>
      </c>
      <c r="E25" s="15" t="s">
        <v>73</v>
      </c>
      <c r="F25" s="15" t="s">
        <v>121</v>
      </c>
      <c r="G25" s="16" t="s">
        <v>566</v>
      </c>
      <c r="H25" s="15" t="s">
        <v>76</v>
      </c>
      <c r="I25" s="15" t="s">
        <v>77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578</v>
      </c>
      <c r="B26" s="15" t="s">
        <v>579</v>
      </c>
      <c r="C26" s="15" t="s">
        <v>554</v>
      </c>
      <c r="D26" s="15" t="s">
        <v>580</v>
      </c>
      <c r="E26" s="15" t="s">
        <v>73</v>
      </c>
      <c r="F26" s="15" t="s">
        <v>121</v>
      </c>
      <c r="G26" s="16" t="s">
        <v>566</v>
      </c>
      <c r="H26" s="15" t="s">
        <v>76</v>
      </c>
      <c r="I26" s="15" t="s">
        <v>77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581</v>
      </c>
      <c r="B27" s="15" t="s">
        <v>582</v>
      </c>
      <c r="C27" s="15" t="s">
        <v>538</v>
      </c>
      <c r="D27" s="15" t="s">
        <v>583</v>
      </c>
      <c r="E27" s="15" t="s">
        <v>73</v>
      </c>
      <c r="F27" s="15" t="s">
        <v>102</v>
      </c>
      <c r="G27" s="16" t="s">
        <v>394</v>
      </c>
      <c r="H27" s="15" t="s">
        <v>76</v>
      </c>
      <c r="I27" s="15" t="s">
        <v>77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584</v>
      </c>
      <c r="B28" s="15" t="s">
        <v>100</v>
      </c>
      <c r="C28" s="15" t="s">
        <v>538</v>
      </c>
      <c r="D28" s="15" t="s">
        <v>585</v>
      </c>
      <c r="E28" s="15" t="s">
        <v>73</v>
      </c>
      <c r="F28" s="15" t="s">
        <v>102</v>
      </c>
      <c r="G28" s="16" t="s">
        <v>394</v>
      </c>
      <c r="H28" s="15" t="s">
        <v>76</v>
      </c>
      <c r="I28" s="15" t="s">
        <v>77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586</v>
      </c>
      <c r="B29" s="15" t="s">
        <v>100</v>
      </c>
      <c r="C29" s="15" t="s">
        <v>554</v>
      </c>
      <c r="D29" s="15" t="s">
        <v>587</v>
      </c>
      <c r="E29" s="15" t="s">
        <v>73</v>
      </c>
      <c r="F29" s="15" t="s">
        <v>102</v>
      </c>
      <c r="G29" s="16" t="s">
        <v>394</v>
      </c>
      <c r="H29" s="15" t="s">
        <v>76</v>
      </c>
      <c r="I29" s="15" t="s">
        <v>77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588</v>
      </c>
      <c r="B30" s="15" t="s">
        <v>100</v>
      </c>
      <c r="C30" s="15" t="s">
        <v>538</v>
      </c>
      <c r="D30" s="15" t="s">
        <v>589</v>
      </c>
      <c r="E30" s="15" t="s">
        <v>73</v>
      </c>
      <c r="F30" s="15" t="s">
        <v>102</v>
      </c>
      <c r="G30" s="16" t="s">
        <v>394</v>
      </c>
      <c r="H30" s="15" t="s">
        <v>76</v>
      </c>
      <c r="I30" s="15" t="s">
        <v>77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590</v>
      </c>
      <c r="B31" s="15" t="s">
        <v>119</v>
      </c>
      <c r="C31" s="15" t="s">
        <v>24</v>
      </c>
      <c r="D31" s="15" t="s">
        <v>591</v>
      </c>
      <c r="E31" s="15" t="s">
        <v>73</v>
      </c>
      <c r="F31" s="15" t="s">
        <v>121</v>
      </c>
      <c r="G31" s="16" t="s">
        <v>545</v>
      </c>
      <c r="H31" s="15" t="s">
        <v>76</v>
      </c>
      <c r="I31" s="15" t="s">
        <v>77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592</v>
      </c>
      <c r="B32" s="15" t="s">
        <v>119</v>
      </c>
      <c r="C32" s="15" t="s">
        <v>554</v>
      </c>
      <c r="D32" s="15" t="s">
        <v>593</v>
      </c>
      <c r="E32" s="15" t="s">
        <v>73</v>
      </c>
      <c r="F32" s="15" t="s">
        <v>121</v>
      </c>
      <c r="G32" s="16" t="s">
        <v>545</v>
      </c>
      <c r="H32" s="15" t="s">
        <v>76</v>
      </c>
      <c r="I32" s="15" t="s">
        <v>77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594</v>
      </c>
      <c r="B33" s="15" t="s">
        <v>119</v>
      </c>
      <c r="C33" s="15" t="s">
        <v>538</v>
      </c>
      <c r="D33" s="15" t="s">
        <v>595</v>
      </c>
      <c r="E33" s="15" t="s">
        <v>73</v>
      </c>
      <c r="F33" s="15" t="s">
        <v>87</v>
      </c>
      <c r="G33" s="16" t="s">
        <v>124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596</v>
      </c>
      <c r="B34" s="15" t="s">
        <v>119</v>
      </c>
      <c r="C34" s="15" t="s">
        <v>538</v>
      </c>
      <c r="D34" s="15" t="s">
        <v>597</v>
      </c>
      <c r="E34" s="15" t="s">
        <v>73</v>
      </c>
      <c r="F34" s="15" t="s">
        <v>121</v>
      </c>
      <c r="G34" s="16" t="s">
        <v>505</v>
      </c>
      <c r="H34" s="15" t="s">
        <v>76</v>
      </c>
      <c r="I34" s="15" t="s">
        <v>77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598</v>
      </c>
      <c r="B35" s="15" t="s">
        <v>119</v>
      </c>
      <c r="C35" s="15" t="s">
        <v>24</v>
      </c>
      <c r="D35" s="15" t="s">
        <v>599</v>
      </c>
      <c r="E35" s="15" t="s">
        <v>73</v>
      </c>
      <c r="F35" s="15" t="s">
        <v>73</v>
      </c>
      <c r="G35" s="16" t="s">
        <v>138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600</v>
      </c>
      <c r="B36" s="15" t="s">
        <v>119</v>
      </c>
      <c r="C36" s="15" t="s">
        <v>538</v>
      </c>
      <c r="D36" s="15" t="s">
        <v>601</v>
      </c>
      <c r="E36" s="15" t="s">
        <v>73</v>
      </c>
      <c r="F36" s="15" t="s">
        <v>121</v>
      </c>
      <c r="G36" s="16" t="s">
        <v>545</v>
      </c>
      <c r="H36" s="15" t="s">
        <v>76</v>
      </c>
      <c r="I36" s="15" t="s">
        <v>77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602</v>
      </c>
      <c r="B37" s="15" t="s">
        <v>119</v>
      </c>
      <c r="C37" s="15" t="s">
        <v>538</v>
      </c>
      <c r="D37" s="15" t="s">
        <v>603</v>
      </c>
      <c r="E37" s="15" t="s">
        <v>73</v>
      </c>
      <c r="F37" s="15" t="s">
        <v>121</v>
      </c>
      <c r="G37" s="16" t="s">
        <v>566</v>
      </c>
      <c r="H37" s="15" t="s">
        <v>76</v>
      </c>
      <c r="I37" s="15" t="s">
        <v>77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604</v>
      </c>
      <c r="B38" s="15" t="s">
        <v>119</v>
      </c>
      <c r="C38" s="15" t="s">
        <v>538</v>
      </c>
      <c r="D38" s="15" t="s">
        <v>605</v>
      </c>
      <c r="E38" s="15" t="s">
        <v>73</v>
      </c>
      <c r="F38" s="15" t="s">
        <v>121</v>
      </c>
      <c r="G38" s="16" t="s">
        <v>566</v>
      </c>
      <c r="H38" s="15" t="s">
        <v>76</v>
      </c>
      <c r="I38" s="15" t="s">
        <v>77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606</v>
      </c>
      <c r="B39" s="15" t="s">
        <v>119</v>
      </c>
      <c r="C39" s="15" t="s">
        <v>538</v>
      </c>
      <c r="D39" s="15" t="s">
        <v>607</v>
      </c>
      <c r="E39" s="15" t="s">
        <v>73</v>
      </c>
      <c r="F39" s="15" t="s">
        <v>486</v>
      </c>
      <c r="G39" s="16" t="s">
        <v>132</v>
      </c>
      <c r="H39" s="15" t="s">
        <v>83</v>
      </c>
      <c r="I39" s="15" t="s">
        <v>84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608</v>
      </c>
      <c r="B40" s="15" t="s">
        <v>119</v>
      </c>
      <c r="C40" s="15" t="s">
        <v>538</v>
      </c>
      <c r="D40" s="15" t="s">
        <v>609</v>
      </c>
      <c r="E40" s="15" t="s">
        <v>73</v>
      </c>
      <c r="F40" s="15" t="s">
        <v>121</v>
      </c>
      <c r="G40" s="16" t="s">
        <v>234</v>
      </c>
      <c r="H40" s="15" t="s">
        <v>76</v>
      </c>
      <c r="I40" s="15" t="s">
        <v>77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610</v>
      </c>
      <c r="B41" s="15" t="s">
        <v>140</v>
      </c>
      <c r="C41" s="15" t="s">
        <v>538</v>
      </c>
      <c r="D41" s="15" t="s">
        <v>611</v>
      </c>
      <c r="E41" s="15" t="s">
        <v>73</v>
      </c>
      <c r="F41" s="15" t="s">
        <v>142</v>
      </c>
      <c r="G41" s="16" t="s">
        <v>612</v>
      </c>
      <c r="H41" s="15" t="s">
        <v>76</v>
      </c>
      <c r="I41" s="15" t="s">
        <v>77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613</v>
      </c>
      <c r="B42" s="15" t="s">
        <v>140</v>
      </c>
      <c r="C42" s="15" t="s">
        <v>538</v>
      </c>
      <c r="D42" s="15" t="s">
        <v>614</v>
      </c>
      <c r="E42" s="15" t="s">
        <v>73</v>
      </c>
      <c r="F42" s="15" t="s">
        <v>142</v>
      </c>
      <c r="G42" s="16" t="s">
        <v>612</v>
      </c>
      <c r="H42" s="15" t="s">
        <v>83</v>
      </c>
      <c r="I42" s="15" t="s">
        <v>84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615</v>
      </c>
      <c r="B43" s="15" t="s">
        <v>146</v>
      </c>
      <c r="C43" s="15" t="s">
        <v>538</v>
      </c>
      <c r="D43" s="15" t="s">
        <v>616</v>
      </c>
      <c r="E43" s="15" t="s">
        <v>73</v>
      </c>
      <c r="F43" s="15" t="s">
        <v>148</v>
      </c>
      <c r="G43" s="16" t="s">
        <v>617</v>
      </c>
      <c r="H43" s="15" t="s">
        <v>76</v>
      </c>
      <c r="I43" s="15" t="s">
        <v>77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618</v>
      </c>
      <c r="B44" s="15" t="s">
        <v>146</v>
      </c>
      <c r="C44" s="15" t="s">
        <v>538</v>
      </c>
      <c r="D44" s="15" t="s">
        <v>619</v>
      </c>
      <c r="E44" s="15" t="s">
        <v>73</v>
      </c>
      <c r="F44" s="15" t="s">
        <v>148</v>
      </c>
      <c r="G44" s="16" t="s">
        <v>620</v>
      </c>
      <c r="H44" s="15" t="s">
        <v>76</v>
      </c>
      <c r="I44" s="15" t="s">
        <v>77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621</v>
      </c>
      <c r="B45" s="15" t="s">
        <v>154</v>
      </c>
      <c r="C45" s="15" t="s">
        <v>538</v>
      </c>
      <c r="D45" s="15" t="s">
        <v>622</v>
      </c>
      <c r="E45" s="15" t="s">
        <v>156</v>
      </c>
      <c r="F45" s="15" t="s">
        <v>156</v>
      </c>
      <c r="G45" s="16" t="s">
        <v>157</v>
      </c>
      <c r="H45" s="15" t="s">
        <v>76</v>
      </c>
      <c r="I45" s="15" t="s">
        <v>77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623</v>
      </c>
      <c r="B46" s="15" t="s">
        <v>159</v>
      </c>
      <c r="C46" s="15" t="s">
        <v>624</v>
      </c>
      <c r="D46" s="15" t="s">
        <v>625</v>
      </c>
      <c r="E46" s="15" t="s">
        <v>161</v>
      </c>
      <c r="F46" s="15" t="s">
        <v>162</v>
      </c>
      <c r="G46" s="16" t="s">
        <v>253</v>
      </c>
      <c r="H46" s="15" t="s">
        <v>76</v>
      </c>
      <c r="I46" s="15" t="s">
        <v>77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626</v>
      </c>
      <c r="B47" s="15" t="s">
        <v>627</v>
      </c>
      <c r="C47" s="15" t="s">
        <v>628</v>
      </c>
      <c r="D47" s="15" t="s">
        <v>629</v>
      </c>
      <c r="E47" s="15" t="s">
        <v>73</v>
      </c>
      <c r="F47" s="15" t="s">
        <v>81</v>
      </c>
      <c r="G47" s="16" t="s">
        <v>540</v>
      </c>
      <c r="H47" s="15" t="s">
        <v>83</v>
      </c>
      <c r="I47" s="15" t="s">
        <v>84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badge/Badge.tsx"/>
    <hyperlink ref="G10" r:id="rId2" display="../../docs/badge-component-brief.md"/>
    <hyperlink ref="G11" r:id="rId3" display="../test/types/public-api.test.ts"/>
    <hyperlink ref="G12" r:id="rId4" display="../test/components/badge.test.tsx"/>
    <hyperlink ref="G13" r:id="rId5" display="../test/components/badge.test.tsx"/>
    <hyperlink ref="G14" r:id="rId6" display="../test/components/badge.test.tsx"/>
    <hyperlink ref="G15" r:id="rId7" display="../test/components/badge.test.tsx"/>
    <hyperlink ref="G16" r:id="rId8" display="../test/types/public-api.test.ts"/>
    <hyperlink ref="G17" r:id="rId9" display="../test/components/badge.test.tsx"/>
    <hyperlink ref="G18" r:id="rId10" display="../test/components/badge.test.tsx"/>
    <hyperlink ref="G19" r:id="rId11" display="../test/components/badge.test.tsx"/>
    <hyperlink ref="G20" r:id="rId12" display="tests/badge.spec.ts"/>
    <hyperlink ref="G21" r:id="rId13" display="../src/components/badge/badge.css"/>
    <hyperlink ref="G22" r:id="rId14" display="tests/visual.spec.ts"/>
    <hyperlink ref="G23" r:id="rId15" display="tests/badge.spec.ts"/>
    <hyperlink ref="G24" r:id="rId16" display="tests/badge.spec.ts"/>
    <hyperlink ref="G25" r:id="rId17" display="tests/badge.spec.ts"/>
    <hyperlink ref="G26" r:id="rId18" display="tests/badge.spec.ts"/>
    <hyperlink ref="G27" r:id="rId19" display="../playground/src/main.tsx"/>
    <hyperlink ref="G28" r:id="rId20" display="../playground/src/main.tsx"/>
    <hyperlink ref="G29" r:id="rId21" display="../playground/src/main.tsx"/>
    <hyperlink ref="G30" r:id="rId22" display="../playground/src/main.tsx"/>
    <hyperlink ref="G31" r:id="rId23" display="../test/components/badge.test.tsx"/>
    <hyperlink ref="G32" r:id="rId24" display="../test/components/badg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badge.test.tsx"/>
    <hyperlink ref="G37" r:id="rId29" display="tests/badge.spec.ts"/>
    <hyperlink ref="G38" r:id="rId30" display="tests/badge.spec.ts"/>
    <hyperlink ref="G39" r:id="rId31" display="tests/visual.spec.ts"/>
    <hyperlink ref="G40" r:id="rId32" display="../playwright.config.ts"/>
    <hyperlink ref="G41" r:id="rId33" display="manual-tests/badge.md"/>
    <hyperlink ref="G42" r:id="rId34" display="manual-tests/badge.md"/>
    <hyperlink ref="G43" r:id="rId35" display="../docs/components/badge/README.md"/>
    <hyperlink ref="G44" r:id="rId36" display="../docs/components/badge/CHANGELOG.md"/>
    <hyperlink ref="G45" r:id="rId37" display="../../../../apps/brick-consumer/tests/consumer.spec.ts"/>
    <hyperlink ref="G46" r:id="rId38" display="../../docs/core-dependency-ledger.md"/>
    <hyperlink ref="G47" r:id="rId39" display="../../docs/badg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630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631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632</v>
      </c>
      <c r="B9" s="15" t="s">
        <v>71</v>
      </c>
      <c r="C9" s="15" t="s">
        <v>25</v>
      </c>
      <c r="D9" s="15" t="s">
        <v>633</v>
      </c>
      <c r="E9" s="15" t="s">
        <v>73</v>
      </c>
      <c r="F9" s="15" t="s">
        <v>74</v>
      </c>
      <c r="G9" s="16" t="s">
        <v>634</v>
      </c>
      <c r="H9" s="15" t="s">
        <v>76</v>
      </c>
      <c r="I9" s="15" t="s">
        <v>77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635</v>
      </c>
      <c r="B10" s="15" t="s">
        <v>79</v>
      </c>
      <c r="C10" s="15" t="s">
        <v>25</v>
      </c>
      <c r="D10" s="15" t="s">
        <v>636</v>
      </c>
      <c r="E10" s="15" t="s">
        <v>73</v>
      </c>
      <c r="F10" s="15" t="s">
        <v>81</v>
      </c>
      <c r="G10" s="16" t="s">
        <v>637</v>
      </c>
      <c r="H10" s="15" t="s">
        <v>83</v>
      </c>
      <c r="I10" s="15" t="s">
        <v>84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638</v>
      </c>
      <c r="B11" s="15" t="s">
        <v>71</v>
      </c>
      <c r="C11" s="15" t="s">
        <v>25</v>
      </c>
      <c r="D11" s="15" t="s">
        <v>639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640</v>
      </c>
      <c r="B12" s="15" t="s">
        <v>51</v>
      </c>
      <c r="C12" s="15" t="s">
        <v>181</v>
      </c>
      <c r="D12" s="15" t="s">
        <v>641</v>
      </c>
      <c r="E12" s="15" t="s">
        <v>73</v>
      </c>
      <c r="F12" s="15" t="s">
        <v>121</v>
      </c>
      <c r="G12" s="16" t="s">
        <v>642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643</v>
      </c>
      <c r="B13" s="15" t="s">
        <v>51</v>
      </c>
      <c r="C13" s="15" t="s">
        <v>644</v>
      </c>
      <c r="D13" s="15" t="s">
        <v>645</v>
      </c>
      <c r="E13" s="15" t="s">
        <v>73</v>
      </c>
      <c r="F13" s="15" t="s">
        <v>121</v>
      </c>
      <c r="G13" s="16" t="s">
        <v>642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646</v>
      </c>
      <c r="B14" s="15" t="s">
        <v>51</v>
      </c>
      <c r="C14" s="15" t="s">
        <v>647</v>
      </c>
      <c r="D14" s="15" t="s">
        <v>648</v>
      </c>
      <c r="E14" s="15" t="s">
        <v>73</v>
      </c>
      <c r="F14" s="15" t="s">
        <v>121</v>
      </c>
      <c r="G14" s="16" t="s">
        <v>642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649</v>
      </c>
      <c r="B15" s="15" t="s">
        <v>650</v>
      </c>
      <c r="C15" s="15" t="s">
        <v>25</v>
      </c>
      <c r="D15" s="15" t="s">
        <v>651</v>
      </c>
      <c r="E15" s="15" t="s">
        <v>73</v>
      </c>
      <c r="F15" s="15" t="s">
        <v>121</v>
      </c>
      <c r="G15" s="16" t="s">
        <v>642</v>
      </c>
      <c r="H15" s="15" t="s">
        <v>76</v>
      </c>
      <c r="I15" s="15" t="s">
        <v>77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652</v>
      </c>
      <c r="B16" s="15" t="s">
        <v>650</v>
      </c>
      <c r="C16" s="15" t="s">
        <v>25</v>
      </c>
      <c r="D16" s="15" t="s">
        <v>653</v>
      </c>
      <c r="E16" s="15" t="s">
        <v>73</v>
      </c>
      <c r="F16" s="15" t="s">
        <v>121</v>
      </c>
      <c r="G16" s="16" t="s">
        <v>642</v>
      </c>
      <c r="H16" s="15" t="s">
        <v>76</v>
      </c>
      <c r="I16" s="15" t="s">
        <v>77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654</v>
      </c>
      <c r="B17" s="15" t="s">
        <v>71</v>
      </c>
      <c r="C17" s="15" t="s">
        <v>181</v>
      </c>
      <c r="D17" s="15" t="s">
        <v>655</v>
      </c>
      <c r="E17" s="15" t="s">
        <v>73</v>
      </c>
      <c r="F17" s="15" t="s">
        <v>121</v>
      </c>
      <c r="G17" s="16" t="s">
        <v>642</v>
      </c>
      <c r="H17" s="15" t="s">
        <v>76</v>
      </c>
      <c r="I17" s="15" t="s">
        <v>77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656</v>
      </c>
      <c r="B18" s="15" t="s">
        <v>93</v>
      </c>
      <c r="C18" s="15" t="s">
        <v>25</v>
      </c>
      <c r="D18" s="15" t="s">
        <v>657</v>
      </c>
      <c r="E18" s="15" t="s">
        <v>73</v>
      </c>
      <c r="F18" s="15" t="s">
        <v>121</v>
      </c>
      <c r="G18" s="16" t="s">
        <v>658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659</v>
      </c>
      <c r="B19" s="15" t="s">
        <v>93</v>
      </c>
      <c r="C19" s="15" t="s">
        <v>25</v>
      </c>
      <c r="D19" s="15" t="s">
        <v>660</v>
      </c>
      <c r="E19" s="15" t="s">
        <v>73</v>
      </c>
      <c r="F19" s="15" t="s">
        <v>121</v>
      </c>
      <c r="G19" s="16" t="s">
        <v>658</v>
      </c>
      <c r="H19" s="15" t="s">
        <v>76</v>
      </c>
      <c r="I19" s="15" t="s">
        <v>77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661</v>
      </c>
      <c r="B20" s="15" t="s">
        <v>18</v>
      </c>
      <c r="C20" s="15" t="s">
        <v>25</v>
      </c>
      <c r="D20" s="15" t="s">
        <v>662</v>
      </c>
      <c r="E20" s="15" t="s">
        <v>73</v>
      </c>
      <c r="F20" s="15" t="s">
        <v>121</v>
      </c>
      <c r="G20" s="16" t="s">
        <v>658</v>
      </c>
      <c r="H20" s="15" t="s">
        <v>76</v>
      </c>
      <c r="I20" s="15" t="s">
        <v>77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663</v>
      </c>
      <c r="B21" s="15" t="s">
        <v>18</v>
      </c>
      <c r="C21" s="15" t="s">
        <v>25</v>
      </c>
      <c r="D21" s="15" t="s">
        <v>664</v>
      </c>
      <c r="E21" s="15" t="s">
        <v>73</v>
      </c>
      <c r="F21" s="15" t="s">
        <v>121</v>
      </c>
      <c r="G21" s="16" t="s">
        <v>658</v>
      </c>
      <c r="H21" s="15" t="s">
        <v>76</v>
      </c>
      <c r="I21" s="15" t="s">
        <v>77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665</v>
      </c>
      <c r="B22" s="15" t="s">
        <v>551</v>
      </c>
      <c r="C22" s="15" t="s">
        <v>25</v>
      </c>
      <c r="D22" s="15" t="s">
        <v>666</v>
      </c>
      <c r="E22" s="15" t="s">
        <v>73</v>
      </c>
      <c r="F22" s="15" t="s">
        <v>121</v>
      </c>
      <c r="G22" s="16" t="s">
        <v>658</v>
      </c>
      <c r="H22" s="15" t="s">
        <v>76</v>
      </c>
      <c r="I22" s="15" t="s">
        <v>77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667</v>
      </c>
      <c r="B23" s="15" t="s">
        <v>551</v>
      </c>
      <c r="C23" s="15" t="s">
        <v>18</v>
      </c>
      <c r="D23" s="15" t="s">
        <v>668</v>
      </c>
      <c r="E23" s="15" t="s">
        <v>73</v>
      </c>
      <c r="F23" s="15" t="s">
        <v>102</v>
      </c>
      <c r="G23" s="16" t="s">
        <v>394</v>
      </c>
      <c r="H23" s="15" t="s">
        <v>76</v>
      </c>
      <c r="I23" s="15" t="s">
        <v>77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669</v>
      </c>
      <c r="B24" s="15" t="s">
        <v>670</v>
      </c>
      <c r="C24" s="15" t="s">
        <v>554</v>
      </c>
      <c r="D24" s="15" t="s">
        <v>671</v>
      </c>
      <c r="E24" s="15" t="s">
        <v>73</v>
      </c>
      <c r="F24" s="15" t="s">
        <v>121</v>
      </c>
      <c r="G24" s="16" t="s">
        <v>658</v>
      </c>
      <c r="H24" s="15" t="s">
        <v>76</v>
      </c>
      <c r="I24" s="15" t="s">
        <v>77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672</v>
      </c>
      <c r="B25" s="15" t="s">
        <v>93</v>
      </c>
      <c r="C25" s="15" t="s">
        <v>25</v>
      </c>
      <c r="D25" s="15" t="s">
        <v>673</v>
      </c>
      <c r="E25" s="15" t="s">
        <v>73</v>
      </c>
      <c r="F25" s="15" t="s">
        <v>74</v>
      </c>
      <c r="G25" s="16" t="s">
        <v>674</v>
      </c>
      <c r="H25" s="15" t="s">
        <v>76</v>
      </c>
      <c r="I25" s="15" t="s">
        <v>77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675</v>
      </c>
      <c r="B26" s="15" t="s">
        <v>93</v>
      </c>
      <c r="C26" s="15" t="s">
        <v>25</v>
      </c>
      <c r="D26" s="15" t="s">
        <v>676</v>
      </c>
      <c r="E26" s="15" t="s">
        <v>73</v>
      </c>
      <c r="F26" s="15" t="s">
        <v>486</v>
      </c>
      <c r="G26" s="16" t="s">
        <v>132</v>
      </c>
      <c r="H26" s="15" t="s">
        <v>83</v>
      </c>
      <c r="I26" s="15" t="s">
        <v>84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677</v>
      </c>
      <c r="B27" s="15" t="s">
        <v>93</v>
      </c>
      <c r="C27" s="15" t="s">
        <v>25</v>
      </c>
      <c r="D27" s="15" t="s">
        <v>678</v>
      </c>
      <c r="E27" s="15" t="s">
        <v>73</v>
      </c>
      <c r="F27" s="15" t="s">
        <v>121</v>
      </c>
      <c r="G27" s="16" t="s">
        <v>658</v>
      </c>
      <c r="H27" s="15" t="s">
        <v>76</v>
      </c>
      <c r="I27" s="15" t="s">
        <v>77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679</v>
      </c>
      <c r="B28" s="15" t="s">
        <v>93</v>
      </c>
      <c r="C28" s="15" t="s">
        <v>25</v>
      </c>
      <c r="D28" s="15" t="s">
        <v>680</v>
      </c>
      <c r="E28" s="15" t="s">
        <v>73</v>
      </c>
      <c r="F28" s="15" t="s">
        <v>121</v>
      </c>
      <c r="G28" s="16" t="s">
        <v>658</v>
      </c>
      <c r="H28" s="15" t="s">
        <v>76</v>
      </c>
      <c r="I28" s="15" t="s">
        <v>77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681</v>
      </c>
      <c r="B29" s="15" t="s">
        <v>582</v>
      </c>
      <c r="C29" s="15" t="s">
        <v>25</v>
      </c>
      <c r="D29" s="15" t="s">
        <v>682</v>
      </c>
      <c r="E29" s="15" t="s">
        <v>73</v>
      </c>
      <c r="F29" s="15" t="s">
        <v>102</v>
      </c>
      <c r="G29" s="16" t="s">
        <v>394</v>
      </c>
      <c r="H29" s="15" t="s">
        <v>76</v>
      </c>
      <c r="I29" s="15" t="s">
        <v>77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683</v>
      </c>
      <c r="B30" s="15" t="s">
        <v>100</v>
      </c>
      <c r="C30" s="15" t="s">
        <v>25</v>
      </c>
      <c r="D30" s="15" t="s">
        <v>684</v>
      </c>
      <c r="E30" s="15" t="s">
        <v>73</v>
      </c>
      <c r="F30" s="15" t="s">
        <v>102</v>
      </c>
      <c r="G30" s="16" t="s">
        <v>394</v>
      </c>
      <c r="H30" s="15" t="s">
        <v>76</v>
      </c>
      <c r="I30" s="15" t="s">
        <v>77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685</v>
      </c>
      <c r="B31" s="15" t="s">
        <v>100</v>
      </c>
      <c r="C31" s="15" t="s">
        <v>25</v>
      </c>
      <c r="D31" s="15" t="s">
        <v>686</v>
      </c>
      <c r="E31" s="15" t="s">
        <v>73</v>
      </c>
      <c r="F31" s="15" t="s">
        <v>102</v>
      </c>
      <c r="G31" s="16" t="s">
        <v>394</v>
      </c>
      <c r="H31" s="15" t="s">
        <v>76</v>
      </c>
      <c r="I31" s="15" t="s">
        <v>77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687</v>
      </c>
      <c r="B32" s="15" t="s">
        <v>119</v>
      </c>
      <c r="C32" s="15" t="s">
        <v>25</v>
      </c>
      <c r="D32" s="15" t="s">
        <v>688</v>
      </c>
      <c r="E32" s="15" t="s">
        <v>73</v>
      </c>
      <c r="F32" s="15" t="s">
        <v>121</v>
      </c>
      <c r="G32" s="16" t="s">
        <v>642</v>
      </c>
      <c r="H32" s="15" t="s">
        <v>76</v>
      </c>
      <c r="I32" s="15" t="s">
        <v>77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689</v>
      </c>
      <c r="B33" s="15" t="s">
        <v>119</v>
      </c>
      <c r="C33" s="15" t="s">
        <v>25</v>
      </c>
      <c r="D33" s="15" t="s">
        <v>690</v>
      </c>
      <c r="E33" s="15" t="s">
        <v>73</v>
      </c>
      <c r="F33" s="15" t="s">
        <v>87</v>
      </c>
      <c r="G33" s="16" t="s">
        <v>124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691</v>
      </c>
      <c r="B34" s="15" t="s">
        <v>119</v>
      </c>
      <c r="C34" s="15" t="s">
        <v>25</v>
      </c>
      <c r="D34" s="15" t="s">
        <v>692</v>
      </c>
      <c r="E34" s="15" t="s">
        <v>73</v>
      </c>
      <c r="F34" s="15" t="s">
        <v>121</v>
      </c>
      <c r="G34" s="16" t="s">
        <v>505</v>
      </c>
      <c r="H34" s="15" t="s">
        <v>76</v>
      </c>
      <c r="I34" s="15" t="s">
        <v>77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693</v>
      </c>
      <c r="B35" s="15" t="s">
        <v>119</v>
      </c>
      <c r="C35" s="15" t="s">
        <v>25</v>
      </c>
      <c r="D35" s="15" t="s">
        <v>694</v>
      </c>
      <c r="E35" s="15" t="s">
        <v>73</v>
      </c>
      <c r="F35" s="15" t="s">
        <v>73</v>
      </c>
      <c r="G35" s="16" t="s">
        <v>138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695</v>
      </c>
      <c r="B36" s="15" t="s">
        <v>119</v>
      </c>
      <c r="C36" s="15" t="s">
        <v>25</v>
      </c>
      <c r="D36" s="15" t="s">
        <v>601</v>
      </c>
      <c r="E36" s="15" t="s">
        <v>73</v>
      </c>
      <c r="F36" s="15" t="s">
        <v>121</v>
      </c>
      <c r="G36" s="16" t="s">
        <v>642</v>
      </c>
      <c r="H36" s="15" t="s">
        <v>76</v>
      </c>
      <c r="I36" s="15" t="s">
        <v>77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696</v>
      </c>
      <c r="B37" s="15" t="s">
        <v>119</v>
      </c>
      <c r="C37" s="15" t="s">
        <v>25</v>
      </c>
      <c r="D37" s="15" t="s">
        <v>697</v>
      </c>
      <c r="E37" s="15" t="s">
        <v>73</v>
      </c>
      <c r="F37" s="15" t="s">
        <v>121</v>
      </c>
      <c r="G37" s="16" t="s">
        <v>658</v>
      </c>
      <c r="H37" s="15" t="s">
        <v>76</v>
      </c>
      <c r="I37" s="15" t="s">
        <v>77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698</v>
      </c>
      <c r="B38" s="15" t="s">
        <v>119</v>
      </c>
      <c r="C38" s="15" t="s">
        <v>25</v>
      </c>
      <c r="D38" s="15" t="s">
        <v>699</v>
      </c>
      <c r="E38" s="15" t="s">
        <v>73</v>
      </c>
      <c r="F38" s="15" t="s">
        <v>121</v>
      </c>
      <c r="G38" s="16" t="s">
        <v>658</v>
      </c>
      <c r="H38" s="15" t="s">
        <v>76</v>
      </c>
      <c r="I38" s="15" t="s">
        <v>77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700</v>
      </c>
      <c r="B39" s="15" t="s">
        <v>119</v>
      </c>
      <c r="C39" s="15" t="s">
        <v>25</v>
      </c>
      <c r="D39" s="15" t="s">
        <v>701</v>
      </c>
      <c r="E39" s="15" t="s">
        <v>73</v>
      </c>
      <c r="F39" s="15" t="s">
        <v>486</v>
      </c>
      <c r="G39" s="16" t="s">
        <v>132</v>
      </c>
      <c r="H39" s="15" t="s">
        <v>83</v>
      </c>
      <c r="I39" s="15" t="s">
        <v>84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702</v>
      </c>
      <c r="B40" s="15" t="s">
        <v>119</v>
      </c>
      <c r="C40" s="15" t="s">
        <v>25</v>
      </c>
      <c r="D40" s="15" t="s">
        <v>703</v>
      </c>
      <c r="E40" s="15" t="s">
        <v>73</v>
      </c>
      <c r="F40" s="15" t="s">
        <v>121</v>
      </c>
      <c r="G40" s="16" t="s">
        <v>234</v>
      </c>
      <c r="H40" s="15" t="s">
        <v>76</v>
      </c>
      <c r="I40" s="15" t="s">
        <v>77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704</v>
      </c>
      <c r="B41" s="15" t="s">
        <v>140</v>
      </c>
      <c r="C41" s="15" t="s">
        <v>25</v>
      </c>
      <c r="D41" s="15" t="s">
        <v>705</v>
      </c>
      <c r="E41" s="15" t="s">
        <v>73</v>
      </c>
      <c r="F41" s="15" t="s">
        <v>142</v>
      </c>
      <c r="G41" s="16" t="s">
        <v>706</v>
      </c>
      <c r="H41" s="15" t="s">
        <v>76</v>
      </c>
      <c r="I41" s="15" t="s">
        <v>77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707</v>
      </c>
      <c r="B42" s="15" t="s">
        <v>140</v>
      </c>
      <c r="C42" s="15" t="s">
        <v>25</v>
      </c>
      <c r="D42" s="15" t="s">
        <v>708</v>
      </c>
      <c r="E42" s="15" t="s">
        <v>73</v>
      </c>
      <c r="F42" s="15" t="s">
        <v>142</v>
      </c>
      <c r="G42" s="16" t="s">
        <v>706</v>
      </c>
      <c r="H42" s="15" t="s">
        <v>83</v>
      </c>
      <c r="I42" s="15" t="s">
        <v>84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709</v>
      </c>
      <c r="B43" s="15" t="s">
        <v>146</v>
      </c>
      <c r="C43" s="15" t="s">
        <v>25</v>
      </c>
      <c r="D43" s="15" t="s">
        <v>710</v>
      </c>
      <c r="E43" s="15" t="s">
        <v>73</v>
      </c>
      <c r="F43" s="15" t="s">
        <v>148</v>
      </c>
      <c r="G43" s="16" t="s">
        <v>711</v>
      </c>
      <c r="H43" s="15" t="s">
        <v>76</v>
      </c>
      <c r="I43" s="15" t="s">
        <v>77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712</v>
      </c>
      <c r="B44" s="15" t="s">
        <v>146</v>
      </c>
      <c r="C44" s="15" t="s">
        <v>25</v>
      </c>
      <c r="D44" s="15" t="s">
        <v>713</v>
      </c>
      <c r="E44" s="15" t="s">
        <v>73</v>
      </c>
      <c r="F44" s="15" t="s">
        <v>148</v>
      </c>
      <c r="G44" s="16" t="s">
        <v>714</v>
      </c>
      <c r="H44" s="15" t="s">
        <v>76</v>
      </c>
      <c r="I44" s="15" t="s">
        <v>77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715</v>
      </c>
      <c r="B45" s="15" t="s">
        <v>154</v>
      </c>
      <c r="C45" s="15" t="s">
        <v>25</v>
      </c>
      <c r="D45" s="15" t="s">
        <v>716</v>
      </c>
      <c r="E45" s="15" t="s">
        <v>156</v>
      </c>
      <c r="F45" s="15" t="s">
        <v>156</v>
      </c>
      <c r="G45" s="16" t="s">
        <v>157</v>
      </c>
      <c r="H45" s="15" t="s">
        <v>76</v>
      </c>
      <c r="I45" s="15" t="s">
        <v>77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717</v>
      </c>
      <c r="B46" s="15" t="s">
        <v>159</v>
      </c>
      <c r="C46" s="15" t="s">
        <v>718</v>
      </c>
      <c r="D46" s="15" t="s">
        <v>719</v>
      </c>
      <c r="E46" s="15" t="s">
        <v>161</v>
      </c>
      <c r="F46" s="15" t="s">
        <v>162</v>
      </c>
      <c r="G46" s="16" t="s">
        <v>253</v>
      </c>
      <c r="H46" s="15" t="s">
        <v>76</v>
      </c>
      <c r="I46" s="15" t="s">
        <v>77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720</v>
      </c>
      <c r="B47" s="15" t="s">
        <v>627</v>
      </c>
      <c r="C47" s="15" t="s">
        <v>721</v>
      </c>
      <c r="D47" s="15" t="s">
        <v>722</v>
      </c>
      <c r="E47" s="15" t="s">
        <v>73</v>
      </c>
      <c r="F47" s="15" t="s">
        <v>81</v>
      </c>
      <c r="G47" s="16" t="s">
        <v>637</v>
      </c>
      <c r="H47" s="15" t="s">
        <v>83</v>
      </c>
      <c r="I47" s="15" t="s">
        <v>84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vatar/Avatar.tsx"/>
    <hyperlink ref="G10" r:id="rId2" display="../../docs/avatar-component-brief.md"/>
    <hyperlink ref="G11" r:id="rId3" display="../test/types/public-api.test.ts"/>
    <hyperlink ref="G12" r:id="rId4" display="../test/components/avatar.test.tsx"/>
    <hyperlink ref="G13" r:id="rId5" display="../test/components/avatar.test.tsx"/>
    <hyperlink ref="G14" r:id="rId6" display="../test/components/avatar.test.tsx"/>
    <hyperlink ref="G15" r:id="rId7" display="../test/components/avatar.test.tsx"/>
    <hyperlink ref="G16" r:id="rId8" display="../test/components/avatar.test.tsx"/>
    <hyperlink ref="G17" r:id="rId9" display="../test/components/avatar.test.tsx"/>
    <hyperlink ref="G18" r:id="rId10" display="tests/avatar.spec.ts"/>
    <hyperlink ref="G19" r:id="rId11" display="tests/avatar.spec.ts"/>
    <hyperlink ref="G20" r:id="rId12" display="tests/avatar.spec.ts"/>
    <hyperlink ref="G21" r:id="rId13" display="tests/avatar.spec.ts"/>
    <hyperlink ref="G22" r:id="rId14" display="tests/avatar.spec.ts"/>
    <hyperlink ref="G23" r:id="rId15" display="../playground/src/main.tsx"/>
    <hyperlink ref="G24" r:id="rId16" display="tests/avatar.spec.ts"/>
    <hyperlink ref="G25" r:id="rId17" display="../src/components/avatar/avatar.css"/>
    <hyperlink ref="G26" r:id="rId18" display="tests/visual.spec.ts"/>
    <hyperlink ref="G27" r:id="rId19" display="tests/avatar.spec.ts"/>
    <hyperlink ref="G28" r:id="rId20" display="tests/avatar.spec.ts"/>
    <hyperlink ref="G29" r:id="rId21" display="../playground/src/main.tsx"/>
    <hyperlink ref="G30" r:id="rId22" display="../playground/src/main.tsx"/>
    <hyperlink ref="G31" r:id="rId23" display="../playground/src/main.tsx"/>
    <hyperlink ref="G32" r:id="rId24" display="../test/components/avatar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avatar.test.tsx"/>
    <hyperlink ref="G37" r:id="rId29" display="tests/avatar.spec.ts"/>
    <hyperlink ref="G38" r:id="rId30" display="tests/avatar.spec.ts"/>
    <hyperlink ref="G39" r:id="rId31" display="tests/visual.spec.ts"/>
    <hyperlink ref="G40" r:id="rId32" display="../playwright.config.ts"/>
    <hyperlink ref="G41" r:id="rId33" display="manual-tests/avatar.md"/>
    <hyperlink ref="G42" r:id="rId34" display="manual-tests/avatar.md"/>
    <hyperlink ref="G43" r:id="rId35" display="../docs/components/avatar/README.md"/>
    <hyperlink ref="G44" r:id="rId36" display="../docs/components/avatar/CHANGELOG.md"/>
    <hyperlink ref="G45" r:id="rId37" display="../../../../apps/brick-consumer/tests/consumer.spec.ts"/>
    <hyperlink ref="G46" r:id="rId38" display="../../docs/core-dependency-ledger.md"/>
    <hyperlink ref="G47" r:id="rId39" display="../../docs/avat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723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724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725</v>
      </c>
      <c r="B9" s="15" t="s">
        <v>71</v>
      </c>
      <c r="C9" s="15" t="s">
        <v>26</v>
      </c>
      <c r="D9" s="15" t="s">
        <v>726</v>
      </c>
      <c r="E9" s="15" t="s">
        <v>73</v>
      </c>
      <c r="F9" s="15" t="s">
        <v>74</v>
      </c>
      <c r="G9" s="16" t="s">
        <v>727</v>
      </c>
      <c r="H9" s="15" t="s">
        <v>76</v>
      </c>
      <c r="I9" s="15" t="s">
        <v>77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728</v>
      </c>
      <c r="B10" s="15" t="s">
        <v>79</v>
      </c>
      <c r="C10" s="15" t="s">
        <v>538</v>
      </c>
      <c r="D10" s="15" t="s">
        <v>729</v>
      </c>
      <c r="E10" s="15" t="s">
        <v>73</v>
      </c>
      <c r="F10" s="15" t="s">
        <v>81</v>
      </c>
      <c r="G10" s="16" t="s">
        <v>730</v>
      </c>
      <c r="H10" s="15" t="s">
        <v>83</v>
      </c>
      <c r="I10" s="15" t="s">
        <v>84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731</v>
      </c>
      <c r="B11" s="15" t="s">
        <v>71</v>
      </c>
      <c r="C11" s="15" t="s">
        <v>538</v>
      </c>
      <c r="D11" s="15" t="s">
        <v>732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733</v>
      </c>
      <c r="B12" s="15" t="s">
        <v>51</v>
      </c>
      <c r="C12" s="15" t="s">
        <v>26</v>
      </c>
      <c r="D12" s="15" t="s">
        <v>734</v>
      </c>
      <c r="E12" s="15" t="s">
        <v>73</v>
      </c>
      <c r="F12" s="15" t="s">
        <v>121</v>
      </c>
      <c r="G12" s="16" t="s">
        <v>735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736</v>
      </c>
      <c r="B13" s="15" t="s">
        <v>737</v>
      </c>
      <c r="C13" s="15" t="s">
        <v>26</v>
      </c>
      <c r="D13" s="15" t="s">
        <v>738</v>
      </c>
      <c r="E13" s="15" t="s">
        <v>73</v>
      </c>
      <c r="F13" s="15" t="s">
        <v>121</v>
      </c>
      <c r="G13" s="16" t="s">
        <v>735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739</v>
      </c>
      <c r="B14" s="15" t="s">
        <v>71</v>
      </c>
      <c r="C14" s="15" t="s">
        <v>26</v>
      </c>
      <c r="D14" s="15" t="s">
        <v>740</v>
      </c>
      <c r="E14" s="15" t="s">
        <v>73</v>
      </c>
      <c r="F14" s="15" t="s">
        <v>121</v>
      </c>
      <c r="G14" s="16" t="s">
        <v>735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741</v>
      </c>
      <c r="B15" s="15" t="s">
        <v>93</v>
      </c>
      <c r="C15" s="15" t="s">
        <v>26</v>
      </c>
      <c r="D15" s="15" t="s">
        <v>742</v>
      </c>
      <c r="E15" s="15" t="s">
        <v>73</v>
      </c>
      <c r="F15" s="15" t="s">
        <v>121</v>
      </c>
      <c r="G15" s="16" t="s">
        <v>735</v>
      </c>
      <c r="H15" s="15" t="s">
        <v>76</v>
      </c>
      <c r="I15" s="15" t="s">
        <v>77</v>
      </c>
      <c r="J15" s="19" t="n">
        <v>46223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743</v>
      </c>
      <c r="B16" s="15" t="s">
        <v>744</v>
      </c>
      <c r="C16" s="15" t="s">
        <v>26</v>
      </c>
      <c r="D16" s="15" t="s">
        <v>745</v>
      </c>
      <c r="E16" s="15" t="s">
        <v>73</v>
      </c>
      <c r="F16" s="15" t="s">
        <v>121</v>
      </c>
      <c r="G16" s="16" t="s">
        <v>746</v>
      </c>
      <c r="H16" s="15" t="s">
        <v>76</v>
      </c>
      <c r="I16" s="15" t="s">
        <v>77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747</v>
      </c>
      <c r="B17" s="15" t="s">
        <v>51</v>
      </c>
      <c r="C17" s="15" t="s">
        <v>748</v>
      </c>
      <c r="D17" s="15" t="s">
        <v>749</v>
      </c>
      <c r="E17" s="15" t="s">
        <v>73</v>
      </c>
      <c r="F17" s="15" t="s">
        <v>121</v>
      </c>
      <c r="G17" s="16" t="s">
        <v>735</v>
      </c>
      <c r="H17" s="15" t="s">
        <v>76</v>
      </c>
      <c r="I17" s="15" t="s">
        <v>77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750</v>
      </c>
      <c r="B18" s="15" t="s">
        <v>751</v>
      </c>
      <c r="C18" s="15" t="s">
        <v>748</v>
      </c>
      <c r="D18" s="15" t="s">
        <v>752</v>
      </c>
      <c r="E18" s="15" t="s">
        <v>73</v>
      </c>
      <c r="F18" s="15" t="s">
        <v>87</v>
      </c>
      <c r="G18" s="16" t="s">
        <v>124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753</v>
      </c>
      <c r="B19" s="15" t="s">
        <v>51</v>
      </c>
      <c r="C19" s="15" t="s">
        <v>754</v>
      </c>
      <c r="D19" s="15" t="s">
        <v>755</v>
      </c>
      <c r="E19" s="15" t="s">
        <v>73</v>
      </c>
      <c r="F19" s="15" t="s">
        <v>121</v>
      </c>
      <c r="G19" s="16" t="s">
        <v>735</v>
      </c>
      <c r="H19" s="15" t="s">
        <v>76</v>
      </c>
      <c r="I19" s="15" t="s">
        <v>77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756</v>
      </c>
      <c r="B20" s="15" t="s">
        <v>757</v>
      </c>
      <c r="C20" s="15" t="s">
        <v>758</v>
      </c>
      <c r="D20" s="15" t="s">
        <v>759</v>
      </c>
      <c r="E20" s="15" t="s">
        <v>73</v>
      </c>
      <c r="F20" s="15" t="s">
        <v>121</v>
      </c>
      <c r="G20" s="16" t="s">
        <v>746</v>
      </c>
      <c r="H20" s="15" t="s">
        <v>76</v>
      </c>
      <c r="I20" s="15" t="s">
        <v>77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760</v>
      </c>
      <c r="B21" s="15" t="s">
        <v>761</v>
      </c>
      <c r="C21" s="15" t="s">
        <v>758</v>
      </c>
      <c r="D21" s="15" t="s">
        <v>762</v>
      </c>
      <c r="E21" s="15" t="s">
        <v>73</v>
      </c>
      <c r="F21" s="15" t="s">
        <v>121</v>
      </c>
      <c r="G21" s="16" t="s">
        <v>746</v>
      </c>
      <c r="H21" s="15" t="s">
        <v>76</v>
      </c>
      <c r="I21" s="15" t="s">
        <v>77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763</v>
      </c>
      <c r="B22" s="15" t="s">
        <v>562</v>
      </c>
      <c r="C22" s="15" t="s">
        <v>758</v>
      </c>
      <c r="D22" s="15" t="s">
        <v>764</v>
      </c>
      <c r="E22" s="15" t="s">
        <v>73</v>
      </c>
      <c r="F22" s="15" t="s">
        <v>486</v>
      </c>
      <c r="G22" s="16" t="s">
        <v>132</v>
      </c>
      <c r="H22" s="15" t="s">
        <v>83</v>
      </c>
      <c r="I22" s="15" t="s">
        <v>84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765</v>
      </c>
      <c r="B23" s="15" t="s">
        <v>562</v>
      </c>
      <c r="C23" s="15" t="s">
        <v>758</v>
      </c>
      <c r="D23" s="15" t="s">
        <v>766</v>
      </c>
      <c r="E23" s="15" t="s">
        <v>73</v>
      </c>
      <c r="F23" s="15" t="s">
        <v>486</v>
      </c>
      <c r="G23" s="16" t="s">
        <v>132</v>
      </c>
      <c r="H23" s="15" t="s">
        <v>83</v>
      </c>
      <c r="I23" s="15" t="s">
        <v>84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767</v>
      </c>
      <c r="B24" s="15" t="s">
        <v>768</v>
      </c>
      <c r="C24" s="15" t="s">
        <v>758</v>
      </c>
      <c r="D24" s="15" t="s">
        <v>769</v>
      </c>
      <c r="E24" s="15" t="s">
        <v>73</v>
      </c>
      <c r="F24" s="15" t="s">
        <v>121</v>
      </c>
      <c r="G24" s="16" t="s">
        <v>746</v>
      </c>
      <c r="H24" s="15" t="s">
        <v>76</v>
      </c>
      <c r="I24" s="15" t="s">
        <v>77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770</v>
      </c>
      <c r="B25" s="15" t="s">
        <v>551</v>
      </c>
      <c r="C25" s="15" t="s">
        <v>538</v>
      </c>
      <c r="D25" s="15" t="s">
        <v>771</v>
      </c>
      <c r="E25" s="15" t="s">
        <v>73</v>
      </c>
      <c r="F25" s="15" t="s">
        <v>121</v>
      </c>
      <c r="G25" s="16" t="s">
        <v>746</v>
      </c>
      <c r="H25" s="15" t="s">
        <v>76</v>
      </c>
      <c r="I25" s="15" t="s">
        <v>77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772</v>
      </c>
      <c r="B26" s="15" t="s">
        <v>93</v>
      </c>
      <c r="C26" s="15" t="s">
        <v>538</v>
      </c>
      <c r="D26" s="15" t="s">
        <v>773</v>
      </c>
      <c r="E26" s="15" t="s">
        <v>73</v>
      </c>
      <c r="F26" s="15" t="s">
        <v>74</v>
      </c>
      <c r="G26" s="16" t="s">
        <v>774</v>
      </c>
      <c r="H26" s="15" t="s">
        <v>76</v>
      </c>
      <c r="I26" s="15" t="s">
        <v>77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775</v>
      </c>
      <c r="B27" s="15" t="s">
        <v>93</v>
      </c>
      <c r="C27" s="15" t="s">
        <v>538</v>
      </c>
      <c r="D27" s="15" t="s">
        <v>776</v>
      </c>
      <c r="E27" s="15" t="s">
        <v>73</v>
      </c>
      <c r="F27" s="15" t="s">
        <v>486</v>
      </c>
      <c r="G27" s="16" t="s">
        <v>132</v>
      </c>
      <c r="H27" s="15" t="s">
        <v>83</v>
      </c>
      <c r="I27" s="15" t="s">
        <v>84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777</v>
      </c>
      <c r="B28" s="15" t="s">
        <v>93</v>
      </c>
      <c r="C28" s="15" t="s">
        <v>538</v>
      </c>
      <c r="D28" s="15" t="s">
        <v>778</v>
      </c>
      <c r="E28" s="15" t="s">
        <v>73</v>
      </c>
      <c r="F28" s="15" t="s">
        <v>121</v>
      </c>
      <c r="G28" s="16" t="s">
        <v>746</v>
      </c>
      <c r="H28" s="15" t="s">
        <v>76</v>
      </c>
      <c r="I28" s="15" t="s">
        <v>77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779</v>
      </c>
      <c r="B29" s="15" t="s">
        <v>780</v>
      </c>
      <c r="C29" s="15" t="s">
        <v>538</v>
      </c>
      <c r="D29" s="15" t="s">
        <v>781</v>
      </c>
      <c r="E29" s="15" t="s">
        <v>73</v>
      </c>
      <c r="F29" s="15" t="s">
        <v>121</v>
      </c>
      <c r="G29" s="16" t="s">
        <v>746</v>
      </c>
      <c r="H29" s="15" t="s">
        <v>76</v>
      </c>
      <c r="I29" s="15" t="s">
        <v>77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782</v>
      </c>
      <c r="B30" s="15" t="s">
        <v>582</v>
      </c>
      <c r="C30" s="15" t="s">
        <v>538</v>
      </c>
      <c r="D30" s="15" t="s">
        <v>783</v>
      </c>
      <c r="E30" s="15" t="s">
        <v>73</v>
      </c>
      <c r="F30" s="15" t="s">
        <v>102</v>
      </c>
      <c r="G30" s="16" t="s">
        <v>394</v>
      </c>
      <c r="H30" s="15" t="s">
        <v>76</v>
      </c>
      <c r="I30" s="15" t="s">
        <v>77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784</v>
      </c>
      <c r="B31" s="15" t="s">
        <v>100</v>
      </c>
      <c r="C31" s="15" t="s">
        <v>538</v>
      </c>
      <c r="D31" s="15" t="s">
        <v>785</v>
      </c>
      <c r="E31" s="15" t="s">
        <v>73</v>
      </c>
      <c r="F31" s="15" t="s">
        <v>102</v>
      </c>
      <c r="G31" s="16" t="s">
        <v>394</v>
      </c>
      <c r="H31" s="15" t="s">
        <v>76</v>
      </c>
      <c r="I31" s="15" t="s">
        <v>77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786</v>
      </c>
      <c r="B32" s="15" t="s">
        <v>119</v>
      </c>
      <c r="C32" s="15" t="s">
        <v>538</v>
      </c>
      <c r="D32" s="15" t="s">
        <v>787</v>
      </c>
      <c r="E32" s="15" t="s">
        <v>73</v>
      </c>
      <c r="F32" s="15" t="s">
        <v>121</v>
      </c>
      <c r="G32" s="16" t="s">
        <v>735</v>
      </c>
      <c r="H32" s="15" t="s">
        <v>76</v>
      </c>
      <c r="I32" s="15" t="s">
        <v>77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788</v>
      </c>
      <c r="B33" s="15" t="s">
        <v>119</v>
      </c>
      <c r="C33" s="15" t="s">
        <v>538</v>
      </c>
      <c r="D33" s="15" t="s">
        <v>789</v>
      </c>
      <c r="E33" s="15" t="s">
        <v>73</v>
      </c>
      <c r="F33" s="15" t="s">
        <v>87</v>
      </c>
      <c r="G33" s="16" t="s">
        <v>124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790</v>
      </c>
      <c r="B34" s="15" t="s">
        <v>119</v>
      </c>
      <c r="C34" s="15" t="s">
        <v>538</v>
      </c>
      <c r="D34" s="15" t="s">
        <v>791</v>
      </c>
      <c r="E34" s="15" t="s">
        <v>73</v>
      </c>
      <c r="F34" s="15" t="s">
        <v>121</v>
      </c>
      <c r="G34" s="16" t="s">
        <v>505</v>
      </c>
      <c r="H34" s="15" t="s">
        <v>76</v>
      </c>
      <c r="I34" s="15" t="s">
        <v>77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792</v>
      </c>
      <c r="B35" s="15" t="s">
        <v>119</v>
      </c>
      <c r="C35" s="15" t="s">
        <v>538</v>
      </c>
      <c r="D35" s="15" t="s">
        <v>793</v>
      </c>
      <c r="E35" s="15" t="s">
        <v>73</v>
      </c>
      <c r="F35" s="15" t="s">
        <v>73</v>
      </c>
      <c r="G35" s="16" t="s">
        <v>138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794</v>
      </c>
      <c r="B36" s="15" t="s">
        <v>119</v>
      </c>
      <c r="C36" s="15" t="s">
        <v>538</v>
      </c>
      <c r="D36" s="15" t="s">
        <v>795</v>
      </c>
      <c r="E36" s="15" t="s">
        <v>73</v>
      </c>
      <c r="F36" s="15" t="s">
        <v>121</v>
      </c>
      <c r="G36" s="16" t="s">
        <v>735</v>
      </c>
      <c r="H36" s="15" t="s">
        <v>76</v>
      </c>
      <c r="I36" s="15" t="s">
        <v>77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796</v>
      </c>
      <c r="B37" s="15" t="s">
        <v>119</v>
      </c>
      <c r="C37" s="15" t="s">
        <v>538</v>
      </c>
      <c r="D37" s="15" t="s">
        <v>797</v>
      </c>
      <c r="E37" s="15" t="s">
        <v>73</v>
      </c>
      <c r="F37" s="15" t="s">
        <v>121</v>
      </c>
      <c r="G37" s="16" t="s">
        <v>746</v>
      </c>
      <c r="H37" s="15" t="s">
        <v>76</v>
      </c>
      <c r="I37" s="15" t="s">
        <v>77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798</v>
      </c>
      <c r="B38" s="15" t="s">
        <v>119</v>
      </c>
      <c r="C38" s="15" t="s">
        <v>538</v>
      </c>
      <c r="D38" s="15" t="s">
        <v>799</v>
      </c>
      <c r="E38" s="15" t="s">
        <v>73</v>
      </c>
      <c r="F38" s="15" t="s">
        <v>121</v>
      </c>
      <c r="G38" s="16" t="s">
        <v>746</v>
      </c>
      <c r="H38" s="15" t="s">
        <v>76</v>
      </c>
      <c r="I38" s="15" t="s">
        <v>77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800</v>
      </c>
      <c r="B39" s="15" t="s">
        <v>119</v>
      </c>
      <c r="C39" s="15" t="s">
        <v>538</v>
      </c>
      <c r="D39" s="15" t="s">
        <v>801</v>
      </c>
      <c r="E39" s="15" t="s">
        <v>73</v>
      </c>
      <c r="F39" s="15" t="s">
        <v>486</v>
      </c>
      <c r="G39" s="16" t="s">
        <v>132</v>
      </c>
      <c r="H39" s="15" t="s">
        <v>83</v>
      </c>
      <c r="I39" s="15" t="s">
        <v>84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802</v>
      </c>
      <c r="B40" s="15" t="s">
        <v>119</v>
      </c>
      <c r="C40" s="15" t="s">
        <v>538</v>
      </c>
      <c r="D40" s="15" t="s">
        <v>803</v>
      </c>
      <c r="E40" s="15" t="s">
        <v>73</v>
      </c>
      <c r="F40" s="15" t="s">
        <v>121</v>
      </c>
      <c r="G40" s="16" t="s">
        <v>234</v>
      </c>
      <c r="H40" s="15" t="s">
        <v>76</v>
      </c>
      <c r="I40" s="15" t="s">
        <v>77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804</v>
      </c>
      <c r="B41" s="15" t="s">
        <v>140</v>
      </c>
      <c r="C41" s="15" t="s">
        <v>538</v>
      </c>
      <c r="D41" s="15" t="s">
        <v>805</v>
      </c>
      <c r="E41" s="15" t="s">
        <v>73</v>
      </c>
      <c r="F41" s="15" t="s">
        <v>142</v>
      </c>
      <c r="G41" s="16" t="s">
        <v>806</v>
      </c>
      <c r="H41" s="15" t="s">
        <v>76</v>
      </c>
      <c r="I41" s="15" t="s">
        <v>77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807</v>
      </c>
      <c r="B42" s="15" t="s">
        <v>140</v>
      </c>
      <c r="C42" s="15" t="s">
        <v>538</v>
      </c>
      <c r="D42" s="15" t="s">
        <v>808</v>
      </c>
      <c r="E42" s="15" t="s">
        <v>73</v>
      </c>
      <c r="F42" s="15" t="s">
        <v>142</v>
      </c>
      <c r="G42" s="16" t="s">
        <v>806</v>
      </c>
      <c r="H42" s="15" t="s">
        <v>83</v>
      </c>
      <c r="I42" s="15" t="s">
        <v>84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809</v>
      </c>
      <c r="B43" s="15" t="s">
        <v>146</v>
      </c>
      <c r="C43" s="15" t="s">
        <v>26</v>
      </c>
      <c r="D43" s="15" t="s">
        <v>810</v>
      </c>
      <c r="E43" s="15" t="s">
        <v>73</v>
      </c>
      <c r="F43" s="15" t="s">
        <v>148</v>
      </c>
      <c r="G43" s="16" t="s">
        <v>811</v>
      </c>
      <c r="H43" s="15" t="s">
        <v>76</v>
      </c>
      <c r="I43" s="15" t="s">
        <v>77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812</v>
      </c>
      <c r="B44" s="15" t="s">
        <v>146</v>
      </c>
      <c r="C44" s="15" t="s">
        <v>758</v>
      </c>
      <c r="D44" s="15" t="s">
        <v>813</v>
      </c>
      <c r="E44" s="15" t="s">
        <v>73</v>
      </c>
      <c r="F44" s="15" t="s">
        <v>148</v>
      </c>
      <c r="G44" s="16" t="s">
        <v>814</v>
      </c>
      <c r="H44" s="15" t="s">
        <v>76</v>
      </c>
      <c r="I44" s="15" t="s">
        <v>77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815</v>
      </c>
      <c r="B45" s="15" t="s">
        <v>154</v>
      </c>
      <c r="C45" s="15" t="s">
        <v>538</v>
      </c>
      <c r="D45" s="15" t="s">
        <v>816</v>
      </c>
      <c r="E45" s="15" t="s">
        <v>156</v>
      </c>
      <c r="F45" s="15" t="s">
        <v>156</v>
      </c>
      <c r="G45" s="16" t="s">
        <v>157</v>
      </c>
      <c r="H45" s="15" t="s">
        <v>76</v>
      </c>
      <c r="I45" s="15" t="s">
        <v>77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817</v>
      </c>
      <c r="B46" s="15" t="s">
        <v>159</v>
      </c>
      <c r="C46" s="15" t="s">
        <v>818</v>
      </c>
      <c r="D46" s="15" t="s">
        <v>819</v>
      </c>
      <c r="E46" s="15" t="s">
        <v>161</v>
      </c>
      <c r="F46" s="15" t="s">
        <v>162</v>
      </c>
      <c r="G46" s="16" t="s">
        <v>253</v>
      </c>
      <c r="H46" s="15" t="s">
        <v>76</v>
      </c>
      <c r="I46" s="15" t="s">
        <v>77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820</v>
      </c>
      <c r="B47" s="15" t="s">
        <v>627</v>
      </c>
      <c r="C47" s="15" t="s">
        <v>538</v>
      </c>
      <c r="D47" s="15" t="s">
        <v>821</v>
      </c>
      <c r="E47" s="15" t="s">
        <v>73</v>
      </c>
      <c r="F47" s="15" t="s">
        <v>81</v>
      </c>
      <c r="G47" s="16" t="s">
        <v>730</v>
      </c>
      <c r="H47" s="15" t="s">
        <v>83</v>
      </c>
      <c r="I47" s="15" t="s">
        <v>84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toggle/Toggle.tsx"/>
    <hyperlink ref="G10" r:id="rId2" display="../../docs/toggle-component-brief.md"/>
    <hyperlink ref="G11" r:id="rId3" display="../test/types/public-api.test.ts"/>
    <hyperlink ref="G12" r:id="rId4" display="../test/components/toggle.test.tsx"/>
    <hyperlink ref="G13" r:id="rId5" display="../test/components/toggle.test.tsx"/>
    <hyperlink ref="G14" r:id="rId6" display="../test/components/toggle.test.tsx"/>
    <hyperlink ref="G15" r:id="rId7" display="../test/components/toggle.test.tsx"/>
    <hyperlink ref="G16" r:id="rId8" display="tests/toggle.spec.ts"/>
    <hyperlink ref="G17" r:id="rId9" display="../test/components/toggle.test.tsx"/>
    <hyperlink ref="G18" r:id="rId10" display="../test/types/public-api.test.ts"/>
    <hyperlink ref="G19" r:id="rId11" display="../test/components/toggle.test.tsx"/>
    <hyperlink ref="G20" r:id="rId12" display="tests/toggle.spec.ts"/>
    <hyperlink ref="G21" r:id="rId13" display="tests/toggle.spec.ts"/>
    <hyperlink ref="G22" r:id="rId14" display="tests/visual.spec.ts"/>
    <hyperlink ref="G23" r:id="rId15" display="tests/visual.spec.ts"/>
    <hyperlink ref="G24" r:id="rId16" display="tests/toggle.spec.ts"/>
    <hyperlink ref="G25" r:id="rId17" display="tests/toggle.spec.ts"/>
    <hyperlink ref="G26" r:id="rId18" display="../src/components/toggle/toggle.css"/>
    <hyperlink ref="G27" r:id="rId19" display="tests/visual.spec.ts"/>
    <hyperlink ref="G28" r:id="rId20" display="tests/toggle.spec.ts"/>
    <hyperlink ref="G29" r:id="rId21" display="tests/toggle.spec.ts"/>
    <hyperlink ref="G30" r:id="rId22" display="../playground/src/main.tsx"/>
    <hyperlink ref="G31" r:id="rId23" display="../playground/src/main.tsx"/>
    <hyperlink ref="G32" r:id="rId24" display="../test/components/toggl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toggle.test.tsx"/>
    <hyperlink ref="G37" r:id="rId29" display="tests/toggle.spec.ts"/>
    <hyperlink ref="G38" r:id="rId30" display="tests/toggle.spec.ts"/>
    <hyperlink ref="G39" r:id="rId31" display="tests/visual.spec.ts"/>
    <hyperlink ref="G40" r:id="rId32" display="../playwright.config.ts"/>
    <hyperlink ref="G41" r:id="rId33" display="manual-tests/toggle.md"/>
    <hyperlink ref="G42" r:id="rId34" display="manual-tests/toggle.md"/>
    <hyperlink ref="G43" r:id="rId35" display="../docs/components/toggle/README.md"/>
    <hyperlink ref="G44" r:id="rId36" display="../docs/components/toggle-group/README.md"/>
    <hyperlink ref="G45" r:id="rId37" display="../../../../apps/brick-consumer/tests/consumer.spec.ts"/>
    <hyperlink ref="G46" r:id="rId38" display="../../docs/core-dependency-ledger.md"/>
    <hyperlink ref="G47" r:id="rId39" display="../../docs/toggl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822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823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824</v>
      </c>
      <c r="B9" s="15" t="s">
        <v>71</v>
      </c>
      <c r="C9" s="15" t="s">
        <v>27</v>
      </c>
      <c r="D9" s="15" t="s">
        <v>825</v>
      </c>
      <c r="E9" s="15" t="s">
        <v>73</v>
      </c>
      <c r="F9" s="15" t="s">
        <v>74</v>
      </c>
      <c r="G9" s="16" t="s">
        <v>826</v>
      </c>
      <c r="H9" s="15" t="s">
        <v>76</v>
      </c>
      <c r="I9" s="15" t="s">
        <v>77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827</v>
      </c>
      <c r="B10" s="15" t="s">
        <v>79</v>
      </c>
      <c r="C10" s="15" t="s">
        <v>27</v>
      </c>
      <c r="D10" s="15" t="s">
        <v>828</v>
      </c>
      <c r="E10" s="15" t="s">
        <v>73</v>
      </c>
      <c r="F10" s="15" t="s">
        <v>81</v>
      </c>
      <c r="G10" s="16" t="s">
        <v>829</v>
      </c>
      <c r="H10" s="15" t="s">
        <v>83</v>
      </c>
      <c r="I10" s="15" t="s">
        <v>84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830</v>
      </c>
      <c r="B11" s="15" t="s">
        <v>71</v>
      </c>
      <c r="C11" s="15" t="s">
        <v>27</v>
      </c>
      <c r="D11" s="15" t="s">
        <v>831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832</v>
      </c>
      <c r="B12" s="15" t="s">
        <v>51</v>
      </c>
      <c r="C12" s="15" t="s">
        <v>27</v>
      </c>
      <c r="D12" s="15" t="s">
        <v>833</v>
      </c>
      <c r="E12" s="15" t="s">
        <v>73</v>
      </c>
      <c r="F12" s="15" t="s">
        <v>121</v>
      </c>
      <c r="G12" s="16" t="s">
        <v>834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835</v>
      </c>
      <c r="B13" s="15" t="s">
        <v>836</v>
      </c>
      <c r="C13" s="15" t="s">
        <v>27</v>
      </c>
      <c r="D13" s="15" t="s">
        <v>837</v>
      </c>
      <c r="E13" s="15" t="s">
        <v>73</v>
      </c>
      <c r="F13" s="15" t="s">
        <v>121</v>
      </c>
      <c r="G13" s="16" t="s">
        <v>838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839</v>
      </c>
      <c r="B14" s="15" t="s">
        <v>840</v>
      </c>
      <c r="C14" s="15" t="s">
        <v>27</v>
      </c>
      <c r="D14" s="15" t="s">
        <v>841</v>
      </c>
      <c r="E14" s="15" t="s">
        <v>73</v>
      </c>
      <c r="F14" s="15" t="s">
        <v>121</v>
      </c>
      <c r="G14" s="16" t="s">
        <v>834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842</v>
      </c>
      <c r="B15" s="15" t="s">
        <v>737</v>
      </c>
      <c r="C15" s="15" t="s">
        <v>27</v>
      </c>
      <c r="D15" s="15" t="s">
        <v>843</v>
      </c>
      <c r="E15" s="15" t="s">
        <v>73</v>
      </c>
      <c r="F15" s="15" t="s">
        <v>121</v>
      </c>
      <c r="G15" s="16" t="s">
        <v>834</v>
      </c>
      <c r="H15" s="15" t="s">
        <v>76</v>
      </c>
      <c r="I15" s="15" t="s">
        <v>77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844</v>
      </c>
      <c r="B16" s="15" t="s">
        <v>93</v>
      </c>
      <c r="C16" s="15" t="s">
        <v>27</v>
      </c>
      <c r="D16" s="15" t="s">
        <v>845</v>
      </c>
      <c r="E16" s="15" t="s">
        <v>73</v>
      </c>
      <c r="F16" s="15" t="s">
        <v>486</v>
      </c>
      <c r="G16" s="16" t="s">
        <v>132</v>
      </c>
      <c r="H16" s="15" t="s">
        <v>83</v>
      </c>
      <c r="I16" s="15" t="s">
        <v>84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846</v>
      </c>
      <c r="B17" s="15" t="s">
        <v>93</v>
      </c>
      <c r="C17" s="15" t="s">
        <v>27</v>
      </c>
      <c r="D17" s="15" t="s">
        <v>847</v>
      </c>
      <c r="E17" s="15" t="s">
        <v>73</v>
      </c>
      <c r="F17" s="15" t="s">
        <v>486</v>
      </c>
      <c r="G17" s="16" t="s">
        <v>132</v>
      </c>
      <c r="H17" s="15" t="s">
        <v>83</v>
      </c>
      <c r="I17" s="15" t="s">
        <v>84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848</v>
      </c>
      <c r="B18" s="15" t="s">
        <v>562</v>
      </c>
      <c r="C18" s="15" t="s">
        <v>27</v>
      </c>
      <c r="D18" s="15" t="s">
        <v>849</v>
      </c>
      <c r="E18" s="15" t="s">
        <v>73</v>
      </c>
      <c r="F18" s="15" t="s">
        <v>121</v>
      </c>
      <c r="G18" s="16" t="s">
        <v>834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850</v>
      </c>
      <c r="B19" s="15" t="s">
        <v>851</v>
      </c>
      <c r="C19" s="15" t="s">
        <v>27</v>
      </c>
      <c r="D19" s="15" t="s">
        <v>852</v>
      </c>
      <c r="E19" s="15" t="s">
        <v>73</v>
      </c>
      <c r="F19" s="15" t="s">
        <v>121</v>
      </c>
      <c r="G19" s="16" t="s">
        <v>834</v>
      </c>
      <c r="H19" s="15" t="s">
        <v>76</v>
      </c>
      <c r="I19" s="15" t="s">
        <v>77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853</v>
      </c>
      <c r="B20" s="15" t="s">
        <v>744</v>
      </c>
      <c r="C20" s="15" t="s">
        <v>27</v>
      </c>
      <c r="D20" s="15" t="s">
        <v>854</v>
      </c>
      <c r="E20" s="15" t="s">
        <v>73</v>
      </c>
      <c r="F20" s="15" t="s">
        <v>486</v>
      </c>
      <c r="G20" s="16" t="s">
        <v>132</v>
      </c>
      <c r="H20" s="15" t="s">
        <v>83</v>
      </c>
      <c r="I20" s="15" t="s">
        <v>84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855</v>
      </c>
      <c r="B21" s="15" t="s">
        <v>650</v>
      </c>
      <c r="C21" s="15" t="s">
        <v>27</v>
      </c>
      <c r="D21" s="15" t="s">
        <v>856</v>
      </c>
      <c r="E21" s="15" t="s">
        <v>73</v>
      </c>
      <c r="F21" s="15" t="s">
        <v>121</v>
      </c>
      <c r="G21" s="16" t="s">
        <v>834</v>
      </c>
      <c r="H21" s="15" t="s">
        <v>76</v>
      </c>
      <c r="I21" s="15" t="s">
        <v>77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857</v>
      </c>
      <c r="B22" s="15" t="s">
        <v>551</v>
      </c>
      <c r="C22" s="15" t="s">
        <v>27</v>
      </c>
      <c r="D22" s="15" t="s">
        <v>858</v>
      </c>
      <c r="E22" s="15" t="s">
        <v>73</v>
      </c>
      <c r="F22" s="15" t="s">
        <v>121</v>
      </c>
      <c r="G22" s="16" t="s">
        <v>838</v>
      </c>
      <c r="H22" s="15" t="s">
        <v>76</v>
      </c>
      <c r="I22" s="15" t="s">
        <v>77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859</v>
      </c>
      <c r="B23" s="15" t="s">
        <v>860</v>
      </c>
      <c r="C23" s="15" t="s">
        <v>27</v>
      </c>
      <c r="D23" s="15" t="s">
        <v>861</v>
      </c>
      <c r="E23" s="15" t="s">
        <v>73</v>
      </c>
      <c r="F23" s="15" t="s">
        <v>486</v>
      </c>
      <c r="G23" s="16" t="s">
        <v>132</v>
      </c>
      <c r="H23" s="15" t="s">
        <v>83</v>
      </c>
      <c r="I23" s="15" t="s">
        <v>84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862</v>
      </c>
      <c r="B24" s="15" t="s">
        <v>863</v>
      </c>
      <c r="C24" s="15" t="s">
        <v>27</v>
      </c>
      <c r="D24" s="15" t="s">
        <v>864</v>
      </c>
      <c r="E24" s="15" t="s">
        <v>73</v>
      </c>
      <c r="F24" s="15" t="s">
        <v>121</v>
      </c>
      <c r="G24" s="16" t="s">
        <v>838</v>
      </c>
      <c r="H24" s="15" t="s">
        <v>76</v>
      </c>
      <c r="I24" s="15" t="s">
        <v>77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865</v>
      </c>
      <c r="B25" s="15" t="s">
        <v>780</v>
      </c>
      <c r="C25" s="15" t="s">
        <v>27</v>
      </c>
      <c r="D25" s="15" t="s">
        <v>866</v>
      </c>
      <c r="E25" s="15" t="s">
        <v>73</v>
      </c>
      <c r="F25" s="15" t="s">
        <v>121</v>
      </c>
      <c r="G25" s="16" t="s">
        <v>838</v>
      </c>
      <c r="H25" s="15" t="s">
        <v>76</v>
      </c>
      <c r="I25" s="15" t="s">
        <v>77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867</v>
      </c>
      <c r="B26" s="15" t="s">
        <v>582</v>
      </c>
      <c r="C26" s="15" t="s">
        <v>27</v>
      </c>
      <c r="D26" s="15" t="s">
        <v>868</v>
      </c>
      <c r="E26" s="15" t="s">
        <v>73</v>
      </c>
      <c r="F26" s="15" t="s">
        <v>102</v>
      </c>
      <c r="G26" s="16" t="s">
        <v>394</v>
      </c>
      <c r="H26" s="15" t="s">
        <v>76</v>
      </c>
      <c r="I26" s="15" t="s">
        <v>77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869</v>
      </c>
      <c r="B27" s="15" t="s">
        <v>93</v>
      </c>
      <c r="C27" s="15" t="s">
        <v>27</v>
      </c>
      <c r="D27" s="15" t="s">
        <v>870</v>
      </c>
      <c r="E27" s="15" t="s">
        <v>73</v>
      </c>
      <c r="F27" s="15" t="s">
        <v>74</v>
      </c>
      <c r="G27" s="16" t="s">
        <v>871</v>
      </c>
      <c r="H27" s="15" t="s">
        <v>76</v>
      </c>
      <c r="I27" s="15" t="s">
        <v>77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872</v>
      </c>
      <c r="B28" s="15" t="s">
        <v>100</v>
      </c>
      <c r="C28" s="15" t="s">
        <v>27</v>
      </c>
      <c r="D28" s="15" t="s">
        <v>873</v>
      </c>
      <c r="E28" s="15" t="s">
        <v>73</v>
      </c>
      <c r="F28" s="15" t="s">
        <v>102</v>
      </c>
      <c r="G28" s="16" t="s">
        <v>394</v>
      </c>
      <c r="H28" s="15" t="s">
        <v>76</v>
      </c>
      <c r="I28" s="15" t="s">
        <v>77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874</v>
      </c>
      <c r="B29" s="15" t="s">
        <v>119</v>
      </c>
      <c r="C29" s="15" t="s">
        <v>27</v>
      </c>
      <c r="D29" s="15" t="s">
        <v>875</v>
      </c>
      <c r="E29" s="15" t="s">
        <v>73</v>
      </c>
      <c r="F29" s="15" t="s">
        <v>121</v>
      </c>
      <c r="G29" s="16" t="s">
        <v>834</v>
      </c>
      <c r="H29" s="15" t="s">
        <v>76</v>
      </c>
      <c r="I29" s="15" t="s">
        <v>77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876</v>
      </c>
      <c r="B30" s="15" t="s">
        <v>119</v>
      </c>
      <c r="C30" s="15" t="s">
        <v>27</v>
      </c>
      <c r="D30" s="15" t="s">
        <v>877</v>
      </c>
      <c r="E30" s="15" t="s">
        <v>73</v>
      </c>
      <c r="F30" s="15" t="s">
        <v>87</v>
      </c>
      <c r="G30" s="16" t="s">
        <v>124</v>
      </c>
      <c r="H30" s="15" t="s">
        <v>76</v>
      </c>
      <c r="I30" s="15" t="s">
        <v>77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878</v>
      </c>
      <c r="B31" s="15" t="s">
        <v>119</v>
      </c>
      <c r="C31" s="15" t="s">
        <v>27</v>
      </c>
      <c r="D31" s="15" t="s">
        <v>879</v>
      </c>
      <c r="E31" s="15" t="s">
        <v>73</v>
      </c>
      <c r="F31" s="15" t="s">
        <v>121</v>
      </c>
      <c r="G31" s="16" t="s">
        <v>505</v>
      </c>
      <c r="H31" s="15" t="s">
        <v>76</v>
      </c>
      <c r="I31" s="15" t="s">
        <v>77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880</v>
      </c>
      <c r="B32" s="15" t="s">
        <v>119</v>
      </c>
      <c r="C32" s="15" t="s">
        <v>27</v>
      </c>
      <c r="D32" s="15" t="s">
        <v>881</v>
      </c>
      <c r="E32" s="15" t="s">
        <v>73</v>
      </c>
      <c r="F32" s="15" t="s">
        <v>73</v>
      </c>
      <c r="G32" s="16" t="s">
        <v>138</v>
      </c>
      <c r="H32" s="15" t="s">
        <v>76</v>
      </c>
      <c r="I32" s="15" t="s">
        <v>77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882</v>
      </c>
      <c r="B33" s="15" t="s">
        <v>119</v>
      </c>
      <c r="C33" s="15" t="s">
        <v>27</v>
      </c>
      <c r="D33" s="15" t="s">
        <v>883</v>
      </c>
      <c r="E33" s="15" t="s">
        <v>73</v>
      </c>
      <c r="F33" s="15" t="s">
        <v>121</v>
      </c>
      <c r="G33" s="16" t="s">
        <v>834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884</v>
      </c>
      <c r="B34" s="15" t="s">
        <v>119</v>
      </c>
      <c r="C34" s="15" t="s">
        <v>27</v>
      </c>
      <c r="D34" s="15" t="s">
        <v>885</v>
      </c>
      <c r="E34" s="15" t="s">
        <v>73</v>
      </c>
      <c r="F34" s="15" t="s">
        <v>121</v>
      </c>
      <c r="G34" s="16" t="s">
        <v>838</v>
      </c>
      <c r="H34" s="15" t="s">
        <v>76</v>
      </c>
      <c r="I34" s="15" t="s">
        <v>77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886</v>
      </c>
      <c r="B35" s="15" t="s">
        <v>119</v>
      </c>
      <c r="C35" s="15" t="s">
        <v>27</v>
      </c>
      <c r="D35" s="15" t="s">
        <v>887</v>
      </c>
      <c r="E35" s="15" t="s">
        <v>73</v>
      </c>
      <c r="F35" s="15" t="s">
        <v>121</v>
      </c>
      <c r="G35" s="16" t="s">
        <v>234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888</v>
      </c>
      <c r="B36" s="15" t="s">
        <v>119</v>
      </c>
      <c r="C36" s="15" t="s">
        <v>27</v>
      </c>
      <c r="D36" s="15" t="s">
        <v>889</v>
      </c>
      <c r="E36" s="15" t="s">
        <v>73</v>
      </c>
      <c r="F36" s="15" t="s">
        <v>486</v>
      </c>
      <c r="G36" s="16" t="s">
        <v>132</v>
      </c>
      <c r="H36" s="15" t="s">
        <v>83</v>
      </c>
      <c r="I36" s="15" t="s">
        <v>84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890</v>
      </c>
      <c r="B37" s="15" t="s">
        <v>140</v>
      </c>
      <c r="C37" s="15" t="s">
        <v>27</v>
      </c>
      <c r="D37" s="15" t="s">
        <v>891</v>
      </c>
      <c r="E37" s="15" t="s">
        <v>73</v>
      </c>
      <c r="F37" s="15" t="s">
        <v>142</v>
      </c>
      <c r="G37" s="16" t="s">
        <v>892</v>
      </c>
      <c r="H37" s="15" t="s">
        <v>76</v>
      </c>
      <c r="I37" s="15" t="s">
        <v>77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893</v>
      </c>
      <c r="B38" s="15" t="s">
        <v>140</v>
      </c>
      <c r="C38" s="15" t="s">
        <v>27</v>
      </c>
      <c r="D38" s="15" t="s">
        <v>894</v>
      </c>
      <c r="E38" s="15" t="s">
        <v>73</v>
      </c>
      <c r="F38" s="15" t="s">
        <v>142</v>
      </c>
      <c r="G38" s="16" t="s">
        <v>892</v>
      </c>
      <c r="H38" s="15" t="s">
        <v>83</v>
      </c>
      <c r="I38" s="15" t="s">
        <v>84</v>
      </c>
      <c r="J38" s="19" t="n">
        <v>46223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895</v>
      </c>
      <c r="B39" s="15" t="s">
        <v>146</v>
      </c>
      <c r="C39" s="15" t="s">
        <v>27</v>
      </c>
      <c r="D39" s="15" t="s">
        <v>896</v>
      </c>
      <c r="E39" s="15" t="s">
        <v>73</v>
      </c>
      <c r="F39" s="15" t="s">
        <v>148</v>
      </c>
      <c r="G39" s="16" t="s">
        <v>897</v>
      </c>
      <c r="H39" s="15" t="s">
        <v>76</v>
      </c>
      <c r="I39" s="15" t="s">
        <v>77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898</v>
      </c>
      <c r="B40" s="15" t="s">
        <v>146</v>
      </c>
      <c r="C40" s="15" t="s">
        <v>27</v>
      </c>
      <c r="D40" s="15" t="s">
        <v>899</v>
      </c>
      <c r="E40" s="15" t="s">
        <v>73</v>
      </c>
      <c r="F40" s="15" t="s">
        <v>148</v>
      </c>
      <c r="G40" s="16" t="s">
        <v>900</v>
      </c>
      <c r="H40" s="15" t="s">
        <v>76</v>
      </c>
      <c r="I40" s="15" t="s">
        <v>77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901</v>
      </c>
      <c r="B41" s="15" t="s">
        <v>154</v>
      </c>
      <c r="C41" s="15" t="s">
        <v>27</v>
      </c>
      <c r="D41" s="15" t="s">
        <v>902</v>
      </c>
      <c r="E41" s="15" t="s">
        <v>156</v>
      </c>
      <c r="F41" s="15" t="s">
        <v>156</v>
      </c>
      <c r="G41" s="16" t="s">
        <v>903</v>
      </c>
      <c r="H41" s="15" t="s">
        <v>76</v>
      </c>
      <c r="I41" s="15" t="s">
        <v>77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904</v>
      </c>
      <c r="B42" s="15" t="s">
        <v>154</v>
      </c>
      <c r="C42" s="15" t="s">
        <v>27</v>
      </c>
      <c r="D42" s="15" t="s">
        <v>905</v>
      </c>
      <c r="E42" s="15" t="s">
        <v>156</v>
      </c>
      <c r="F42" s="15" t="s">
        <v>121</v>
      </c>
      <c r="G42" s="16" t="s">
        <v>157</v>
      </c>
      <c r="H42" s="15" t="s">
        <v>76</v>
      </c>
      <c r="I42" s="15" t="s">
        <v>77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906</v>
      </c>
      <c r="B43" s="15" t="s">
        <v>159</v>
      </c>
      <c r="C43" s="15" t="s">
        <v>907</v>
      </c>
      <c r="D43" s="15" t="s">
        <v>908</v>
      </c>
      <c r="E43" s="15" t="s">
        <v>161</v>
      </c>
      <c r="F43" s="15" t="s">
        <v>81</v>
      </c>
      <c r="G43" s="16" t="s">
        <v>253</v>
      </c>
      <c r="H43" s="15" t="s">
        <v>350</v>
      </c>
      <c r="I43" s="15" t="s">
        <v>77</v>
      </c>
      <c r="J43" s="19" t="n">
        <v>46221</v>
      </c>
      <c r="K43" s="15" t="s">
        <v>909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910</v>
      </c>
      <c r="B44" s="15" t="s">
        <v>627</v>
      </c>
      <c r="C44" s="15" t="s">
        <v>27</v>
      </c>
      <c r="D44" s="15" t="s">
        <v>911</v>
      </c>
      <c r="E44" s="15" t="s">
        <v>73</v>
      </c>
      <c r="F44" s="15" t="s">
        <v>81</v>
      </c>
      <c r="G44" s="16" t="s">
        <v>829</v>
      </c>
      <c r="H44" s="15" t="s">
        <v>83</v>
      </c>
      <c r="I44" s="15" t="s">
        <v>84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912</v>
      </c>
      <c r="B45" s="15" t="s">
        <v>913</v>
      </c>
      <c r="C45" s="15" t="s">
        <v>27</v>
      </c>
      <c r="D45" s="15" t="s">
        <v>914</v>
      </c>
      <c r="E45" s="15" t="s">
        <v>73</v>
      </c>
      <c r="F45" s="15" t="s">
        <v>73</v>
      </c>
      <c r="G45" s="16" t="s">
        <v>915</v>
      </c>
      <c r="H45" s="15" t="s">
        <v>76</v>
      </c>
      <c r="I45" s="15" t="s">
        <v>77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916</v>
      </c>
      <c r="B46" s="15" t="s">
        <v>917</v>
      </c>
      <c r="C46" s="15" t="s">
        <v>27</v>
      </c>
      <c r="D46" s="15" t="s">
        <v>918</v>
      </c>
      <c r="E46" s="15" t="s">
        <v>73</v>
      </c>
      <c r="F46" s="15" t="s">
        <v>74</v>
      </c>
      <c r="G46" s="16" t="s">
        <v>394</v>
      </c>
      <c r="H46" s="15" t="s">
        <v>76</v>
      </c>
      <c r="I46" s="15" t="s">
        <v>77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919</v>
      </c>
      <c r="B47" s="15" t="s">
        <v>920</v>
      </c>
      <c r="C47" s="15" t="s">
        <v>27</v>
      </c>
      <c r="D47" s="15" t="s">
        <v>921</v>
      </c>
      <c r="E47" s="15" t="s">
        <v>73</v>
      </c>
      <c r="F47" s="15" t="s">
        <v>81</v>
      </c>
      <c r="G47" s="16" t="s">
        <v>922</v>
      </c>
      <c r="H47" s="15" t="s">
        <v>83</v>
      </c>
      <c r="I47" s="15" t="s">
        <v>84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icon-button/IconButton.tsx"/>
    <hyperlink ref="G10" r:id="rId2" display="../../docs/icon-button-component-brief.md"/>
    <hyperlink ref="G11" r:id="rId3" display="../test/types/public-api.test.ts"/>
    <hyperlink ref="G12" r:id="rId4" display="../test/components/icon-button-app-bar.test.tsx"/>
    <hyperlink ref="G13" r:id="rId5" display="tests/icon-button-app-bar.spec.ts"/>
    <hyperlink ref="G14" r:id="rId6" display="../test/components/icon-button-app-bar.test.tsx"/>
    <hyperlink ref="G15" r:id="rId7" display="../test/components/icon-button-app-bar.test.tsx"/>
    <hyperlink ref="G16" r:id="rId8" display="tests/visual.spec.ts"/>
    <hyperlink ref="G17" r:id="rId9" display="tests/visual.spec.ts"/>
    <hyperlink ref="G18" r:id="rId10" display="../test/components/icon-button-app-bar.test.tsx"/>
    <hyperlink ref="G19" r:id="rId11" display="../test/components/icon-button-app-bar.test.tsx"/>
    <hyperlink ref="G20" r:id="rId12" display="tests/visual.spec.ts"/>
    <hyperlink ref="G21" r:id="rId13" display="../test/components/icon-button-app-bar.test.tsx"/>
    <hyperlink ref="G22" r:id="rId14" display="tests/icon-button-app-bar.spec.ts"/>
    <hyperlink ref="G23" r:id="rId15" display="tests/visual.spec.ts"/>
    <hyperlink ref="G24" r:id="rId16" display="tests/icon-button-app-bar.spec.ts"/>
    <hyperlink ref="G25" r:id="rId17" display="tests/icon-button-app-bar.spec.ts"/>
    <hyperlink ref="G26" r:id="rId18" display="../playground/src/main.tsx"/>
    <hyperlink ref="G27" r:id="rId19" display="../src/components/icon-button/icon-button.css"/>
    <hyperlink ref="G28" r:id="rId20" display="../playground/src/main.tsx"/>
    <hyperlink ref="G29" r:id="rId21" display="../test/components/icon-button-app-bar.test.tsx"/>
    <hyperlink ref="G30" r:id="rId22" display="../test/types/public-api.test.ts"/>
    <hyperlink ref="G31" r:id="rId23" display="../test/package/package.test.mjs"/>
    <hyperlink ref="G32" r:id="rId24" display="../scripts/verify-consumers.mjs"/>
    <hyperlink ref="G33" r:id="rId25" display="../test/components/icon-button-app-bar.test.tsx"/>
    <hyperlink ref="G34" r:id="rId26" display="tests/icon-button-app-bar.spec.ts"/>
    <hyperlink ref="G35" r:id="rId27" display="../playwright.config.ts"/>
    <hyperlink ref="G36" r:id="rId28" display="tests/visual.spec.ts"/>
    <hyperlink ref="G37" r:id="rId29" display="manual-tests/icon-button.md"/>
    <hyperlink ref="G38" r:id="rId30" display="manual-tests/icon-button.md"/>
    <hyperlink ref="G39" r:id="rId31" display="../docs/components/icon-button/README.md"/>
    <hyperlink ref="G40" r:id="rId32" display="../docs/components/icon-button/CHANGELOG.md"/>
    <hyperlink ref="G41" r:id="rId33" display="../../../../apps/brick-consumer/src/App.tsx"/>
    <hyperlink ref="G42" r:id="rId34" display="../../../../apps/brick-consumer/tests/consumer.spec.ts"/>
    <hyperlink ref="G43" r:id="rId35" display="../../docs/core-dependency-ledger.md"/>
    <hyperlink ref="G44" r:id="rId36" display="../../docs/icon-button-component-brief.md"/>
    <hyperlink ref="G45" r:id="rId37" display="../package.json"/>
    <hyperlink ref="G46" r:id="rId38" display="../playground/src/main.tsx"/>
    <hyperlink ref="G47" r:id="rId39" display="../../docs/icon-button-component-research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923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924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925</v>
      </c>
      <c r="B9" s="15" t="s">
        <v>71</v>
      </c>
      <c r="C9" s="15" t="s">
        <v>926</v>
      </c>
      <c r="D9" s="15" t="s">
        <v>927</v>
      </c>
      <c r="E9" s="15" t="s">
        <v>73</v>
      </c>
      <c r="F9" s="15" t="s">
        <v>74</v>
      </c>
      <c r="G9" s="16" t="s">
        <v>928</v>
      </c>
      <c r="H9" s="15" t="s">
        <v>76</v>
      </c>
      <c r="I9" s="15" t="s">
        <v>77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929</v>
      </c>
      <c r="B10" s="15" t="s">
        <v>79</v>
      </c>
      <c r="C10" s="15" t="s">
        <v>28</v>
      </c>
      <c r="D10" s="15" t="s">
        <v>930</v>
      </c>
      <c r="E10" s="15" t="s">
        <v>73</v>
      </c>
      <c r="F10" s="15" t="s">
        <v>81</v>
      </c>
      <c r="G10" s="16" t="s">
        <v>931</v>
      </c>
      <c r="H10" s="15" t="s">
        <v>83</v>
      </c>
      <c r="I10" s="15" t="s">
        <v>84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932</v>
      </c>
      <c r="B11" s="15" t="s">
        <v>71</v>
      </c>
      <c r="C11" s="15" t="s">
        <v>28</v>
      </c>
      <c r="D11" s="15" t="s">
        <v>933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934</v>
      </c>
      <c r="B12" s="15" t="s">
        <v>51</v>
      </c>
      <c r="C12" s="15" t="s">
        <v>28</v>
      </c>
      <c r="D12" s="15" t="s">
        <v>935</v>
      </c>
      <c r="E12" s="15" t="s">
        <v>73</v>
      </c>
      <c r="F12" s="15" t="s">
        <v>121</v>
      </c>
      <c r="G12" s="16" t="s">
        <v>834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936</v>
      </c>
      <c r="B13" s="15" t="s">
        <v>51</v>
      </c>
      <c r="C13" s="15" t="s">
        <v>926</v>
      </c>
      <c r="D13" s="15" t="s">
        <v>937</v>
      </c>
      <c r="E13" s="15" t="s">
        <v>73</v>
      </c>
      <c r="F13" s="15" t="s">
        <v>121</v>
      </c>
      <c r="G13" s="16" t="s">
        <v>834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938</v>
      </c>
      <c r="B14" s="15" t="s">
        <v>51</v>
      </c>
      <c r="C14" s="15" t="s">
        <v>939</v>
      </c>
      <c r="D14" s="15" t="s">
        <v>940</v>
      </c>
      <c r="E14" s="15" t="s">
        <v>73</v>
      </c>
      <c r="F14" s="15" t="s">
        <v>121</v>
      </c>
      <c r="G14" s="16" t="s">
        <v>838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941</v>
      </c>
      <c r="B15" s="15" t="s">
        <v>51</v>
      </c>
      <c r="C15" s="15" t="s">
        <v>942</v>
      </c>
      <c r="D15" s="15" t="s">
        <v>943</v>
      </c>
      <c r="E15" s="15" t="s">
        <v>73</v>
      </c>
      <c r="F15" s="15" t="s">
        <v>121</v>
      </c>
      <c r="G15" s="16" t="s">
        <v>834</v>
      </c>
      <c r="H15" s="15" t="s">
        <v>76</v>
      </c>
      <c r="I15" s="15" t="s">
        <v>77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944</v>
      </c>
      <c r="B16" s="15" t="s">
        <v>51</v>
      </c>
      <c r="C16" s="15" t="s">
        <v>945</v>
      </c>
      <c r="D16" s="15" t="s">
        <v>946</v>
      </c>
      <c r="E16" s="15" t="s">
        <v>73</v>
      </c>
      <c r="F16" s="15" t="s">
        <v>121</v>
      </c>
      <c r="G16" s="16" t="s">
        <v>838</v>
      </c>
      <c r="H16" s="15" t="s">
        <v>76</v>
      </c>
      <c r="I16" s="15" t="s">
        <v>77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947</v>
      </c>
      <c r="B17" s="15" t="s">
        <v>51</v>
      </c>
      <c r="C17" s="15" t="s">
        <v>948</v>
      </c>
      <c r="D17" s="15" t="s">
        <v>949</v>
      </c>
      <c r="E17" s="15" t="s">
        <v>73</v>
      </c>
      <c r="F17" s="15" t="s">
        <v>121</v>
      </c>
      <c r="G17" s="16" t="s">
        <v>834</v>
      </c>
      <c r="H17" s="15" t="s">
        <v>76</v>
      </c>
      <c r="I17" s="15" t="s">
        <v>77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950</v>
      </c>
      <c r="B18" s="15" t="s">
        <v>951</v>
      </c>
      <c r="C18" s="15" t="s">
        <v>926</v>
      </c>
      <c r="D18" s="15" t="s">
        <v>952</v>
      </c>
      <c r="E18" s="15" t="s">
        <v>73</v>
      </c>
      <c r="F18" s="15" t="s">
        <v>121</v>
      </c>
      <c r="G18" s="16" t="s">
        <v>838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953</v>
      </c>
      <c r="B19" s="15" t="s">
        <v>951</v>
      </c>
      <c r="C19" s="15" t="s">
        <v>926</v>
      </c>
      <c r="D19" s="15" t="s">
        <v>954</v>
      </c>
      <c r="E19" s="15" t="s">
        <v>73</v>
      </c>
      <c r="F19" s="15" t="s">
        <v>121</v>
      </c>
      <c r="G19" s="16" t="s">
        <v>838</v>
      </c>
      <c r="H19" s="15" t="s">
        <v>76</v>
      </c>
      <c r="I19" s="15" t="s">
        <v>77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955</v>
      </c>
      <c r="B20" s="15" t="s">
        <v>951</v>
      </c>
      <c r="C20" s="15" t="s">
        <v>926</v>
      </c>
      <c r="D20" s="15" t="s">
        <v>956</v>
      </c>
      <c r="E20" s="15" t="s">
        <v>73</v>
      </c>
      <c r="F20" s="15" t="s">
        <v>121</v>
      </c>
      <c r="G20" s="16" t="s">
        <v>838</v>
      </c>
      <c r="H20" s="15" t="s">
        <v>76</v>
      </c>
      <c r="I20" s="15" t="s">
        <v>77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957</v>
      </c>
      <c r="B21" s="15" t="s">
        <v>951</v>
      </c>
      <c r="C21" s="15" t="s">
        <v>926</v>
      </c>
      <c r="D21" s="15" t="s">
        <v>958</v>
      </c>
      <c r="E21" s="15" t="s">
        <v>73</v>
      </c>
      <c r="F21" s="15" t="s">
        <v>121</v>
      </c>
      <c r="G21" s="16" t="s">
        <v>838</v>
      </c>
      <c r="H21" s="15" t="s">
        <v>76</v>
      </c>
      <c r="I21" s="15" t="s">
        <v>77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959</v>
      </c>
      <c r="B22" s="15" t="s">
        <v>93</v>
      </c>
      <c r="C22" s="15" t="s">
        <v>926</v>
      </c>
      <c r="D22" s="15" t="s">
        <v>960</v>
      </c>
      <c r="E22" s="15" t="s">
        <v>73</v>
      </c>
      <c r="F22" s="15" t="s">
        <v>486</v>
      </c>
      <c r="G22" s="16" t="s">
        <v>132</v>
      </c>
      <c r="H22" s="15" t="s">
        <v>83</v>
      </c>
      <c r="I22" s="15" t="s">
        <v>84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961</v>
      </c>
      <c r="B23" s="15" t="s">
        <v>93</v>
      </c>
      <c r="C23" s="15" t="s">
        <v>926</v>
      </c>
      <c r="D23" s="15" t="s">
        <v>962</v>
      </c>
      <c r="E23" s="15" t="s">
        <v>73</v>
      </c>
      <c r="F23" s="15" t="s">
        <v>486</v>
      </c>
      <c r="G23" s="16" t="s">
        <v>132</v>
      </c>
      <c r="H23" s="15" t="s">
        <v>83</v>
      </c>
      <c r="I23" s="15" t="s">
        <v>84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963</v>
      </c>
      <c r="B24" s="15" t="s">
        <v>562</v>
      </c>
      <c r="C24" s="15" t="s">
        <v>939</v>
      </c>
      <c r="D24" s="15" t="s">
        <v>964</v>
      </c>
      <c r="E24" s="15" t="s">
        <v>73</v>
      </c>
      <c r="F24" s="15" t="s">
        <v>486</v>
      </c>
      <c r="G24" s="16" t="s">
        <v>132</v>
      </c>
      <c r="H24" s="15" t="s">
        <v>83</v>
      </c>
      <c r="I24" s="15" t="s">
        <v>84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965</v>
      </c>
      <c r="B25" s="15" t="s">
        <v>670</v>
      </c>
      <c r="C25" s="15" t="s">
        <v>28</v>
      </c>
      <c r="D25" s="15" t="s">
        <v>966</v>
      </c>
      <c r="E25" s="15" t="s">
        <v>73</v>
      </c>
      <c r="F25" s="15" t="s">
        <v>102</v>
      </c>
      <c r="G25" s="16" t="s">
        <v>394</v>
      </c>
      <c r="H25" s="15" t="s">
        <v>76</v>
      </c>
      <c r="I25" s="15" t="s">
        <v>77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967</v>
      </c>
      <c r="B26" s="15" t="s">
        <v>780</v>
      </c>
      <c r="C26" s="15" t="s">
        <v>28</v>
      </c>
      <c r="D26" s="15" t="s">
        <v>968</v>
      </c>
      <c r="E26" s="15" t="s">
        <v>73</v>
      </c>
      <c r="F26" s="15" t="s">
        <v>121</v>
      </c>
      <c r="G26" s="16" t="s">
        <v>838</v>
      </c>
      <c r="H26" s="15" t="s">
        <v>76</v>
      </c>
      <c r="I26" s="15" t="s">
        <v>77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969</v>
      </c>
      <c r="B27" s="15" t="s">
        <v>761</v>
      </c>
      <c r="C27" s="15" t="s">
        <v>28</v>
      </c>
      <c r="D27" s="15" t="s">
        <v>970</v>
      </c>
      <c r="E27" s="15" t="s">
        <v>73</v>
      </c>
      <c r="F27" s="15" t="s">
        <v>121</v>
      </c>
      <c r="G27" s="16" t="s">
        <v>838</v>
      </c>
      <c r="H27" s="15" t="s">
        <v>76</v>
      </c>
      <c r="I27" s="15" t="s">
        <v>77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971</v>
      </c>
      <c r="B28" s="15" t="s">
        <v>551</v>
      </c>
      <c r="C28" s="15" t="s">
        <v>28</v>
      </c>
      <c r="D28" s="15" t="s">
        <v>972</v>
      </c>
      <c r="E28" s="15" t="s">
        <v>73</v>
      </c>
      <c r="F28" s="15" t="s">
        <v>121</v>
      </c>
      <c r="G28" s="16" t="s">
        <v>838</v>
      </c>
      <c r="H28" s="15" t="s">
        <v>76</v>
      </c>
      <c r="I28" s="15" t="s">
        <v>77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973</v>
      </c>
      <c r="B29" s="15" t="s">
        <v>863</v>
      </c>
      <c r="C29" s="15" t="s">
        <v>28</v>
      </c>
      <c r="D29" s="15" t="s">
        <v>974</v>
      </c>
      <c r="E29" s="15" t="s">
        <v>73</v>
      </c>
      <c r="F29" s="15" t="s">
        <v>486</v>
      </c>
      <c r="G29" s="16" t="s">
        <v>132</v>
      </c>
      <c r="H29" s="15" t="s">
        <v>83</v>
      </c>
      <c r="I29" s="15" t="s">
        <v>84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975</v>
      </c>
      <c r="B30" s="15" t="s">
        <v>582</v>
      </c>
      <c r="C30" s="15" t="s">
        <v>28</v>
      </c>
      <c r="D30" s="15" t="s">
        <v>976</v>
      </c>
      <c r="E30" s="15" t="s">
        <v>73</v>
      </c>
      <c r="F30" s="15" t="s">
        <v>102</v>
      </c>
      <c r="G30" s="16" t="s">
        <v>394</v>
      </c>
      <c r="H30" s="15" t="s">
        <v>76</v>
      </c>
      <c r="I30" s="15" t="s">
        <v>77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977</v>
      </c>
      <c r="B31" s="15" t="s">
        <v>93</v>
      </c>
      <c r="C31" s="15" t="s">
        <v>28</v>
      </c>
      <c r="D31" s="15" t="s">
        <v>978</v>
      </c>
      <c r="E31" s="15" t="s">
        <v>73</v>
      </c>
      <c r="F31" s="15" t="s">
        <v>74</v>
      </c>
      <c r="G31" s="16" t="s">
        <v>979</v>
      </c>
      <c r="H31" s="15" t="s">
        <v>76</v>
      </c>
      <c r="I31" s="15" t="s">
        <v>77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980</v>
      </c>
      <c r="B32" s="15" t="s">
        <v>100</v>
      </c>
      <c r="C32" s="15" t="s">
        <v>28</v>
      </c>
      <c r="D32" s="15" t="s">
        <v>981</v>
      </c>
      <c r="E32" s="15" t="s">
        <v>73</v>
      </c>
      <c r="F32" s="15" t="s">
        <v>102</v>
      </c>
      <c r="G32" s="16" t="s">
        <v>394</v>
      </c>
      <c r="H32" s="15" t="s">
        <v>76</v>
      </c>
      <c r="I32" s="15" t="s">
        <v>77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982</v>
      </c>
      <c r="B33" s="15" t="s">
        <v>119</v>
      </c>
      <c r="C33" s="15" t="s">
        <v>28</v>
      </c>
      <c r="D33" s="15" t="s">
        <v>983</v>
      </c>
      <c r="E33" s="15" t="s">
        <v>73</v>
      </c>
      <c r="F33" s="15" t="s">
        <v>121</v>
      </c>
      <c r="G33" s="16" t="s">
        <v>834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984</v>
      </c>
      <c r="B34" s="15" t="s">
        <v>119</v>
      </c>
      <c r="C34" s="15" t="s">
        <v>28</v>
      </c>
      <c r="D34" s="15" t="s">
        <v>985</v>
      </c>
      <c r="E34" s="15" t="s">
        <v>73</v>
      </c>
      <c r="F34" s="15" t="s">
        <v>87</v>
      </c>
      <c r="G34" s="16" t="s">
        <v>124</v>
      </c>
      <c r="H34" s="15" t="s">
        <v>76</v>
      </c>
      <c r="I34" s="15" t="s">
        <v>77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986</v>
      </c>
      <c r="B35" s="15" t="s">
        <v>119</v>
      </c>
      <c r="C35" s="15" t="s">
        <v>28</v>
      </c>
      <c r="D35" s="15" t="s">
        <v>987</v>
      </c>
      <c r="E35" s="15" t="s">
        <v>73</v>
      </c>
      <c r="F35" s="15" t="s">
        <v>121</v>
      </c>
      <c r="G35" s="16" t="s">
        <v>505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988</v>
      </c>
      <c r="B36" s="15" t="s">
        <v>119</v>
      </c>
      <c r="C36" s="15" t="s">
        <v>28</v>
      </c>
      <c r="D36" s="15" t="s">
        <v>989</v>
      </c>
      <c r="E36" s="15" t="s">
        <v>73</v>
      </c>
      <c r="F36" s="15" t="s">
        <v>73</v>
      </c>
      <c r="G36" s="16" t="s">
        <v>138</v>
      </c>
      <c r="H36" s="15" t="s">
        <v>76</v>
      </c>
      <c r="I36" s="15" t="s">
        <v>77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990</v>
      </c>
      <c r="B37" s="15" t="s">
        <v>119</v>
      </c>
      <c r="C37" s="15" t="s">
        <v>28</v>
      </c>
      <c r="D37" s="15" t="s">
        <v>883</v>
      </c>
      <c r="E37" s="15" t="s">
        <v>73</v>
      </c>
      <c r="F37" s="15" t="s">
        <v>121</v>
      </c>
      <c r="G37" s="16" t="s">
        <v>834</v>
      </c>
      <c r="H37" s="15" t="s">
        <v>76</v>
      </c>
      <c r="I37" s="15" t="s">
        <v>77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991</v>
      </c>
      <c r="B38" s="15" t="s">
        <v>119</v>
      </c>
      <c r="C38" s="15" t="s">
        <v>28</v>
      </c>
      <c r="D38" s="15" t="s">
        <v>992</v>
      </c>
      <c r="E38" s="15" t="s">
        <v>73</v>
      </c>
      <c r="F38" s="15" t="s">
        <v>121</v>
      </c>
      <c r="G38" s="16" t="s">
        <v>838</v>
      </c>
      <c r="H38" s="15" t="s">
        <v>76</v>
      </c>
      <c r="I38" s="15" t="s">
        <v>77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993</v>
      </c>
      <c r="B39" s="15" t="s">
        <v>119</v>
      </c>
      <c r="C39" s="15" t="s">
        <v>28</v>
      </c>
      <c r="D39" s="15" t="s">
        <v>887</v>
      </c>
      <c r="E39" s="15" t="s">
        <v>73</v>
      </c>
      <c r="F39" s="15" t="s">
        <v>121</v>
      </c>
      <c r="G39" s="16" t="s">
        <v>234</v>
      </c>
      <c r="H39" s="15" t="s">
        <v>76</v>
      </c>
      <c r="I39" s="15" t="s">
        <v>77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994</v>
      </c>
      <c r="B40" s="15" t="s">
        <v>119</v>
      </c>
      <c r="C40" s="15" t="s">
        <v>28</v>
      </c>
      <c r="D40" s="15" t="s">
        <v>995</v>
      </c>
      <c r="E40" s="15" t="s">
        <v>73</v>
      </c>
      <c r="F40" s="15" t="s">
        <v>486</v>
      </c>
      <c r="G40" s="16" t="s">
        <v>132</v>
      </c>
      <c r="H40" s="15" t="s">
        <v>83</v>
      </c>
      <c r="I40" s="15" t="s">
        <v>84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996</v>
      </c>
      <c r="B41" s="15" t="s">
        <v>140</v>
      </c>
      <c r="C41" s="15" t="s">
        <v>28</v>
      </c>
      <c r="D41" s="15" t="s">
        <v>997</v>
      </c>
      <c r="E41" s="15" t="s">
        <v>73</v>
      </c>
      <c r="F41" s="15" t="s">
        <v>142</v>
      </c>
      <c r="G41" s="16" t="s">
        <v>998</v>
      </c>
      <c r="H41" s="15" t="s">
        <v>76</v>
      </c>
      <c r="I41" s="15" t="s">
        <v>77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999</v>
      </c>
      <c r="B42" s="15" t="s">
        <v>140</v>
      </c>
      <c r="C42" s="15" t="s">
        <v>28</v>
      </c>
      <c r="D42" s="15" t="s">
        <v>1000</v>
      </c>
      <c r="E42" s="15" t="s">
        <v>73</v>
      </c>
      <c r="F42" s="15" t="s">
        <v>142</v>
      </c>
      <c r="G42" s="16" t="s">
        <v>998</v>
      </c>
      <c r="H42" s="15" t="s">
        <v>83</v>
      </c>
      <c r="I42" s="15" t="s">
        <v>84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1001</v>
      </c>
      <c r="B43" s="15" t="s">
        <v>146</v>
      </c>
      <c r="C43" s="15" t="s">
        <v>28</v>
      </c>
      <c r="D43" s="15" t="s">
        <v>1002</v>
      </c>
      <c r="E43" s="15" t="s">
        <v>73</v>
      </c>
      <c r="F43" s="15" t="s">
        <v>148</v>
      </c>
      <c r="G43" s="16" t="s">
        <v>1003</v>
      </c>
      <c r="H43" s="15" t="s">
        <v>76</v>
      </c>
      <c r="I43" s="15" t="s">
        <v>77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1004</v>
      </c>
      <c r="B44" s="15" t="s">
        <v>146</v>
      </c>
      <c r="C44" s="15" t="s">
        <v>28</v>
      </c>
      <c r="D44" s="15" t="s">
        <v>899</v>
      </c>
      <c r="E44" s="15" t="s">
        <v>73</v>
      </c>
      <c r="F44" s="15" t="s">
        <v>148</v>
      </c>
      <c r="G44" s="16" t="s">
        <v>1005</v>
      </c>
      <c r="H44" s="15" t="s">
        <v>76</v>
      </c>
      <c r="I44" s="15" t="s">
        <v>77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1006</v>
      </c>
      <c r="B45" s="15" t="s">
        <v>154</v>
      </c>
      <c r="C45" s="15" t="s">
        <v>28</v>
      </c>
      <c r="D45" s="15" t="s">
        <v>1007</v>
      </c>
      <c r="E45" s="15" t="s">
        <v>156</v>
      </c>
      <c r="F45" s="15" t="s">
        <v>156</v>
      </c>
      <c r="G45" s="16" t="s">
        <v>903</v>
      </c>
      <c r="H45" s="15" t="s">
        <v>76</v>
      </c>
      <c r="I45" s="15" t="s">
        <v>77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1008</v>
      </c>
      <c r="B46" s="15" t="s">
        <v>159</v>
      </c>
      <c r="C46" s="15" t="s">
        <v>1009</v>
      </c>
      <c r="D46" s="15" t="s">
        <v>1010</v>
      </c>
      <c r="E46" s="15" t="s">
        <v>161</v>
      </c>
      <c r="F46" s="15" t="s">
        <v>162</v>
      </c>
      <c r="G46" s="16" t="s">
        <v>253</v>
      </c>
      <c r="H46" s="15" t="s">
        <v>76</v>
      </c>
      <c r="I46" s="15" t="s">
        <v>77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1011</v>
      </c>
      <c r="B47" s="15" t="s">
        <v>627</v>
      </c>
      <c r="C47" s="15" t="s">
        <v>28</v>
      </c>
      <c r="D47" s="15" t="s">
        <v>1012</v>
      </c>
      <c r="E47" s="15" t="s">
        <v>73</v>
      </c>
      <c r="F47" s="15" t="s">
        <v>81</v>
      </c>
      <c r="G47" s="16" t="s">
        <v>931</v>
      </c>
      <c r="H47" s="15" t="s">
        <v>83</v>
      </c>
      <c r="I47" s="15" t="s">
        <v>84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pp-bar/AppBar.tsx"/>
    <hyperlink ref="G10" r:id="rId2" display="../../docs/app-bar-component-brief.md"/>
    <hyperlink ref="G11" r:id="rId3" display="../test/types/public-api.test.ts"/>
    <hyperlink ref="G12" r:id="rId4" display="../test/components/icon-button-app-bar.test.tsx"/>
    <hyperlink ref="G13" r:id="rId5" display="../test/components/icon-button-app-bar.test.tsx"/>
    <hyperlink ref="G14" r:id="rId6" display="tests/icon-button-app-bar.spec.ts"/>
    <hyperlink ref="G15" r:id="rId7" display="../test/components/icon-button-app-bar.test.tsx"/>
    <hyperlink ref="G16" r:id="rId8" display="tests/icon-button-app-bar.spec.ts"/>
    <hyperlink ref="G17" r:id="rId9" display="../test/components/icon-button-app-bar.test.tsx"/>
    <hyperlink ref="G18" r:id="rId10" display="tests/icon-button-app-bar.spec.ts"/>
    <hyperlink ref="G19" r:id="rId11" display="tests/icon-button-app-bar.spec.ts"/>
    <hyperlink ref="G20" r:id="rId12" display="tests/icon-button-app-bar.spec.ts"/>
    <hyperlink ref="G21" r:id="rId13" display="tests/icon-button-app-bar.spec.ts"/>
    <hyperlink ref="G22" r:id="rId14" display="tests/visual.spec.ts"/>
    <hyperlink ref="G23" r:id="rId15" display="tests/visual.spec.ts"/>
    <hyperlink ref="G24" r:id="rId16" display="tests/visual.spec.ts"/>
    <hyperlink ref="G25" r:id="rId17" display="../playground/src/main.tsx"/>
    <hyperlink ref="G26" r:id="rId18" display="tests/icon-button-app-bar.spec.ts"/>
    <hyperlink ref="G27" r:id="rId19" display="tests/icon-button-app-bar.spec.ts"/>
    <hyperlink ref="G28" r:id="rId20" display="tests/icon-button-app-bar.spec.ts"/>
    <hyperlink ref="G29" r:id="rId21" display="tests/visual.spec.ts"/>
    <hyperlink ref="G30" r:id="rId22" display="../playground/src/main.tsx"/>
    <hyperlink ref="G31" r:id="rId23" display="../src/components/app-bar/app-bar.css"/>
    <hyperlink ref="G32" r:id="rId24" display="../playground/src/main.tsx"/>
    <hyperlink ref="G33" r:id="rId25" display="../test/components/icon-button-app-bar.test.tsx"/>
    <hyperlink ref="G34" r:id="rId26" display="../test/types/public-api.test.ts"/>
    <hyperlink ref="G35" r:id="rId27" display="../test/package/package.test.mjs"/>
    <hyperlink ref="G36" r:id="rId28" display="../scripts/verify-consumers.mjs"/>
    <hyperlink ref="G37" r:id="rId29" display="../test/components/icon-button-app-bar.test.tsx"/>
    <hyperlink ref="G38" r:id="rId30" display="tests/icon-button-app-bar.spec.ts"/>
    <hyperlink ref="G39" r:id="rId31" display="../playwright.config.ts"/>
    <hyperlink ref="G40" r:id="rId32" display="tests/visual.spec.ts"/>
    <hyperlink ref="G41" r:id="rId33" display="manual-tests/app-bar.md"/>
    <hyperlink ref="G42" r:id="rId34" display="manual-tests/app-bar.md"/>
    <hyperlink ref="G43" r:id="rId35" display="../docs/components/app-bar/README.md"/>
    <hyperlink ref="G44" r:id="rId36" display="../docs/components/app-bar/CHANGELOG.md"/>
    <hyperlink ref="G45" r:id="rId37" display="../../../../apps/brick-consumer/src/App.tsx"/>
    <hyperlink ref="G46" r:id="rId38" display="../../docs/core-dependency-ledger.md"/>
    <hyperlink ref="G47" r:id="rId39" display="../../docs/app-b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1013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1014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1015</v>
      </c>
      <c r="B9" s="15" t="s">
        <v>71</v>
      </c>
      <c r="C9" s="15" t="s">
        <v>29</v>
      </c>
      <c r="D9" s="15" t="s">
        <v>1016</v>
      </c>
      <c r="E9" s="15" t="s">
        <v>73</v>
      </c>
      <c r="F9" s="15" t="s">
        <v>74</v>
      </c>
      <c r="G9" s="16" t="s">
        <v>1017</v>
      </c>
      <c r="H9" s="15" t="s">
        <v>76</v>
      </c>
      <c r="I9" s="15" t="s">
        <v>77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1018</v>
      </c>
      <c r="B10" s="15" t="s">
        <v>79</v>
      </c>
      <c r="C10" s="15" t="s">
        <v>29</v>
      </c>
      <c r="D10" s="15" t="s">
        <v>1019</v>
      </c>
      <c r="E10" s="15" t="s">
        <v>73</v>
      </c>
      <c r="F10" s="15" t="s">
        <v>81</v>
      </c>
      <c r="G10" s="16" t="s">
        <v>1020</v>
      </c>
      <c r="H10" s="15" t="s">
        <v>83</v>
      </c>
      <c r="I10" s="15" t="s">
        <v>84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1021</v>
      </c>
      <c r="B11" s="15" t="s">
        <v>1022</v>
      </c>
      <c r="C11" s="15" t="s">
        <v>29</v>
      </c>
      <c r="D11" s="15" t="s">
        <v>1023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1024</v>
      </c>
      <c r="B12" s="15" t="s">
        <v>51</v>
      </c>
      <c r="C12" s="15" t="s">
        <v>29</v>
      </c>
      <c r="D12" s="15" t="s">
        <v>1025</v>
      </c>
      <c r="E12" s="15" t="s">
        <v>73</v>
      </c>
      <c r="F12" s="15" t="s">
        <v>121</v>
      </c>
      <c r="G12" s="16" t="s">
        <v>1026</v>
      </c>
      <c r="H12" s="15" t="s">
        <v>76</v>
      </c>
      <c r="I12" s="15" t="s">
        <v>77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1027</v>
      </c>
      <c r="B13" s="15" t="s">
        <v>51</v>
      </c>
      <c r="C13" s="15" t="s">
        <v>1028</v>
      </c>
      <c r="D13" s="15" t="s">
        <v>1029</v>
      </c>
      <c r="E13" s="15" t="s">
        <v>73</v>
      </c>
      <c r="F13" s="15" t="s">
        <v>74</v>
      </c>
      <c r="G13" s="16" t="s">
        <v>1017</v>
      </c>
      <c r="H13" s="15" t="s">
        <v>76</v>
      </c>
      <c r="I13" s="15" t="s">
        <v>77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1030</v>
      </c>
      <c r="B14" s="15" t="s">
        <v>51</v>
      </c>
      <c r="C14" s="15" t="s">
        <v>181</v>
      </c>
      <c r="D14" s="15" t="s">
        <v>1031</v>
      </c>
      <c r="E14" s="15" t="s">
        <v>73</v>
      </c>
      <c r="F14" s="15" t="s">
        <v>121</v>
      </c>
      <c r="G14" s="16" t="s">
        <v>1026</v>
      </c>
      <c r="H14" s="15" t="s">
        <v>76</v>
      </c>
      <c r="I14" s="15" t="s">
        <v>77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1032</v>
      </c>
      <c r="B15" s="15" t="s">
        <v>51</v>
      </c>
      <c r="C15" s="15" t="s">
        <v>270</v>
      </c>
      <c r="D15" s="15" t="s">
        <v>1033</v>
      </c>
      <c r="E15" s="15" t="s">
        <v>73</v>
      </c>
      <c r="F15" s="15" t="s">
        <v>121</v>
      </c>
      <c r="G15" s="16" t="s">
        <v>1026</v>
      </c>
      <c r="H15" s="15" t="s">
        <v>76</v>
      </c>
      <c r="I15" s="15" t="s">
        <v>77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1034</v>
      </c>
      <c r="B16" s="15" t="s">
        <v>51</v>
      </c>
      <c r="C16" s="15" t="s">
        <v>273</v>
      </c>
      <c r="D16" s="15" t="s">
        <v>1035</v>
      </c>
      <c r="E16" s="15" t="s">
        <v>73</v>
      </c>
      <c r="F16" s="15" t="s">
        <v>74</v>
      </c>
      <c r="G16" s="16" t="s">
        <v>1017</v>
      </c>
      <c r="H16" s="15" t="s">
        <v>76</v>
      </c>
      <c r="I16" s="15" t="s">
        <v>77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1036</v>
      </c>
      <c r="B17" s="15" t="s">
        <v>51</v>
      </c>
      <c r="C17" s="15" t="s">
        <v>198</v>
      </c>
      <c r="D17" s="15" t="s">
        <v>1037</v>
      </c>
      <c r="E17" s="15" t="s">
        <v>73</v>
      </c>
      <c r="F17" s="15" t="s">
        <v>87</v>
      </c>
      <c r="G17" s="16" t="s">
        <v>124</v>
      </c>
      <c r="H17" s="15" t="s">
        <v>76</v>
      </c>
      <c r="I17" s="15" t="s">
        <v>77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1038</v>
      </c>
      <c r="B18" s="15" t="s">
        <v>51</v>
      </c>
      <c r="C18" s="15" t="s">
        <v>188</v>
      </c>
      <c r="D18" s="15" t="s">
        <v>1039</v>
      </c>
      <c r="E18" s="15" t="s">
        <v>73</v>
      </c>
      <c r="F18" s="15" t="s">
        <v>121</v>
      </c>
      <c r="G18" s="16" t="s">
        <v>1026</v>
      </c>
      <c r="H18" s="15" t="s">
        <v>76</v>
      </c>
      <c r="I18" s="15" t="s">
        <v>77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1040</v>
      </c>
      <c r="B19" s="15" t="s">
        <v>51</v>
      </c>
      <c r="C19" s="15" t="s">
        <v>191</v>
      </c>
      <c r="D19" s="15" t="s">
        <v>1041</v>
      </c>
      <c r="E19" s="15" t="s">
        <v>73</v>
      </c>
      <c r="F19" s="15" t="s">
        <v>121</v>
      </c>
      <c r="G19" s="16" t="s">
        <v>1026</v>
      </c>
      <c r="H19" s="15" t="s">
        <v>76</v>
      </c>
      <c r="I19" s="15" t="s">
        <v>77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1042</v>
      </c>
      <c r="B20" s="15" t="s">
        <v>51</v>
      </c>
      <c r="C20" s="15" t="s">
        <v>1043</v>
      </c>
      <c r="D20" s="15" t="s">
        <v>1044</v>
      </c>
      <c r="E20" s="15" t="s">
        <v>73</v>
      </c>
      <c r="F20" s="15" t="s">
        <v>121</v>
      </c>
      <c r="G20" s="16" t="s">
        <v>1026</v>
      </c>
      <c r="H20" s="15" t="s">
        <v>76</v>
      </c>
      <c r="I20" s="15" t="s">
        <v>77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1045</v>
      </c>
      <c r="B21" s="15" t="s">
        <v>836</v>
      </c>
      <c r="C21" s="15" t="s">
        <v>270</v>
      </c>
      <c r="D21" s="15" t="s">
        <v>1046</v>
      </c>
      <c r="E21" s="15" t="s">
        <v>73</v>
      </c>
      <c r="F21" s="15" t="s">
        <v>1047</v>
      </c>
      <c r="G21" s="16" t="s">
        <v>1048</v>
      </c>
      <c r="H21" s="15" t="s">
        <v>76</v>
      </c>
      <c r="I21" s="15" t="s">
        <v>77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1049</v>
      </c>
      <c r="B22" s="15" t="s">
        <v>836</v>
      </c>
      <c r="C22" s="15" t="s">
        <v>198</v>
      </c>
      <c r="D22" s="15" t="s">
        <v>1050</v>
      </c>
      <c r="E22" s="15" t="s">
        <v>73</v>
      </c>
      <c r="F22" s="15" t="s">
        <v>1047</v>
      </c>
      <c r="G22" s="16" t="s">
        <v>1048</v>
      </c>
      <c r="H22" s="15" t="s">
        <v>76</v>
      </c>
      <c r="I22" s="15" t="s">
        <v>77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1051</v>
      </c>
      <c r="B23" s="15" t="s">
        <v>737</v>
      </c>
      <c r="C23" s="15" t="s">
        <v>29</v>
      </c>
      <c r="D23" s="15" t="s">
        <v>1052</v>
      </c>
      <c r="E23" s="15" t="s">
        <v>73</v>
      </c>
      <c r="F23" s="15" t="s">
        <v>1047</v>
      </c>
      <c r="G23" s="16" t="s">
        <v>1048</v>
      </c>
      <c r="H23" s="15" t="s">
        <v>76</v>
      </c>
      <c r="I23" s="15" t="s">
        <v>77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1053</v>
      </c>
      <c r="B24" s="15" t="s">
        <v>737</v>
      </c>
      <c r="C24" s="15" t="s">
        <v>29</v>
      </c>
      <c r="D24" s="15" t="s">
        <v>1054</v>
      </c>
      <c r="E24" s="15" t="s">
        <v>73</v>
      </c>
      <c r="F24" s="15" t="s">
        <v>142</v>
      </c>
      <c r="G24" s="16" t="s">
        <v>1055</v>
      </c>
      <c r="H24" s="15" t="s">
        <v>83</v>
      </c>
      <c r="I24" s="15" t="s">
        <v>84</v>
      </c>
      <c r="J24" s="19" t="n">
        <v>46223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1056</v>
      </c>
      <c r="B25" s="15" t="s">
        <v>1057</v>
      </c>
      <c r="C25" s="15" t="s">
        <v>29</v>
      </c>
      <c r="D25" s="15" t="s">
        <v>1058</v>
      </c>
      <c r="E25" s="15" t="s">
        <v>73</v>
      </c>
      <c r="F25" s="15" t="s">
        <v>142</v>
      </c>
      <c r="G25" s="16" t="s">
        <v>1055</v>
      </c>
      <c r="H25" s="15" t="s">
        <v>83</v>
      </c>
      <c r="I25" s="15" t="s">
        <v>84</v>
      </c>
      <c r="J25" s="19" t="n">
        <v>46223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1059</v>
      </c>
      <c r="B26" s="15" t="s">
        <v>1057</v>
      </c>
      <c r="C26" s="15" t="s">
        <v>29</v>
      </c>
      <c r="D26" s="15" t="s">
        <v>1060</v>
      </c>
      <c r="E26" s="15" t="s">
        <v>73</v>
      </c>
      <c r="F26" s="15" t="s">
        <v>142</v>
      </c>
      <c r="G26" s="16" t="s">
        <v>1055</v>
      </c>
      <c r="H26" s="15" t="s">
        <v>350</v>
      </c>
      <c r="I26" s="15" t="s">
        <v>84</v>
      </c>
      <c r="J26" s="19" t="n">
        <v>46223</v>
      </c>
      <c r="K26" s="15" t="s">
        <v>1061</v>
      </c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1062</v>
      </c>
      <c r="B27" s="15" t="s">
        <v>860</v>
      </c>
      <c r="C27" s="15" t="s">
        <v>198</v>
      </c>
      <c r="D27" s="15" t="s">
        <v>1063</v>
      </c>
      <c r="E27" s="15" t="s">
        <v>73</v>
      </c>
      <c r="F27" s="15" t="s">
        <v>486</v>
      </c>
      <c r="G27" s="16" t="s">
        <v>1064</v>
      </c>
      <c r="H27" s="15" t="s">
        <v>83</v>
      </c>
      <c r="I27" s="15" t="s">
        <v>84</v>
      </c>
      <c r="J27" s="19" t="n">
        <v>46223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1065</v>
      </c>
      <c r="B28" s="15" t="s">
        <v>860</v>
      </c>
      <c r="C28" s="15" t="s">
        <v>198</v>
      </c>
      <c r="D28" s="15" t="s">
        <v>1066</v>
      </c>
      <c r="E28" s="15" t="s">
        <v>73</v>
      </c>
      <c r="F28" s="15" t="s">
        <v>486</v>
      </c>
      <c r="G28" s="16" t="s">
        <v>1064</v>
      </c>
      <c r="H28" s="15" t="s">
        <v>83</v>
      </c>
      <c r="I28" s="15" t="s">
        <v>84</v>
      </c>
      <c r="J28" s="19" t="n">
        <v>46223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1067</v>
      </c>
      <c r="B29" s="15" t="s">
        <v>860</v>
      </c>
      <c r="C29" s="15" t="s">
        <v>1043</v>
      </c>
      <c r="D29" s="15" t="s">
        <v>1068</v>
      </c>
      <c r="E29" s="15" t="s">
        <v>73</v>
      </c>
      <c r="F29" s="15" t="s">
        <v>486</v>
      </c>
      <c r="G29" s="16" t="s">
        <v>1064</v>
      </c>
      <c r="H29" s="15" t="s">
        <v>83</v>
      </c>
      <c r="I29" s="15" t="s">
        <v>84</v>
      </c>
      <c r="J29" s="19" t="n">
        <v>46223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1069</v>
      </c>
      <c r="B30" s="15" t="s">
        <v>1070</v>
      </c>
      <c r="C30" s="15" t="s">
        <v>29</v>
      </c>
      <c r="D30" s="15" t="s">
        <v>1071</v>
      </c>
      <c r="E30" s="15" t="s">
        <v>73</v>
      </c>
      <c r="F30" s="15" t="s">
        <v>1047</v>
      </c>
      <c r="G30" s="16" t="s">
        <v>1048</v>
      </c>
      <c r="H30" s="15" t="s">
        <v>76</v>
      </c>
      <c r="I30" s="15" t="s">
        <v>77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1072</v>
      </c>
      <c r="B31" s="15" t="s">
        <v>780</v>
      </c>
      <c r="C31" s="15" t="s">
        <v>198</v>
      </c>
      <c r="D31" s="15" t="s">
        <v>1073</v>
      </c>
      <c r="E31" s="15" t="s">
        <v>73</v>
      </c>
      <c r="F31" s="15" t="s">
        <v>1047</v>
      </c>
      <c r="G31" s="16" t="s">
        <v>1048</v>
      </c>
      <c r="H31" s="15" t="s">
        <v>76</v>
      </c>
      <c r="I31" s="15" t="s">
        <v>77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1074</v>
      </c>
      <c r="B32" s="15" t="s">
        <v>780</v>
      </c>
      <c r="C32" s="15" t="s">
        <v>198</v>
      </c>
      <c r="D32" s="15" t="s">
        <v>1075</v>
      </c>
      <c r="E32" s="15" t="s">
        <v>73</v>
      </c>
      <c r="F32" s="15" t="s">
        <v>142</v>
      </c>
      <c r="G32" s="16" t="s">
        <v>1055</v>
      </c>
      <c r="H32" s="15" t="s">
        <v>83</v>
      </c>
      <c r="I32" s="15" t="s">
        <v>84</v>
      </c>
      <c r="J32" s="19" t="n">
        <v>46223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1076</v>
      </c>
      <c r="B33" s="15" t="s">
        <v>1077</v>
      </c>
      <c r="C33" s="15" t="s">
        <v>198</v>
      </c>
      <c r="D33" s="15" t="s">
        <v>1078</v>
      </c>
      <c r="E33" s="15" t="s">
        <v>73</v>
      </c>
      <c r="F33" s="15" t="s">
        <v>1047</v>
      </c>
      <c r="G33" s="16" t="s">
        <v>1048</v>
      </c>
      <c r="H33" s="15" t="s">
        <v>76</v>
      </c>
      <c r="I33" s="15" t="s">
        <v>77</v>
      </c>
      <c r="J33" s="19" t="n">
        <v>46222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1079</v>
      </c>
      <c r="B34" s="15" t="s">
        <v>761</v>
      </c>
      <c r="C34" s="15" t="s">
        <v>29</v>
      </c>
      <c r="D34" s="15" t="s">
        <v>1080</v>
      </c>
      <c r="E34" s="15" t="s">
        <v>73</v>
      </c>
      <c r="F34" s="15" t="s">
        <v>142</v>
      </c>
      <c r="G34" s="16" t="s">
        <v>1055</v>
      </c>
      <c r="H34" s="15" t="s">
        <v>83</v>
      </c>
      <c r="I34" s="15" t="s">
        <v>84</v>
      </c>
      <c r="J34" s="19" t="n">
        <v>46223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1081</v>
      </c>
      <c r="B35" s="15" t="s">
        <v>863</v>
      </c>
      <c r="C35" s="15" t="s">
        <v>29</v>
      </c>
      <c r="D35" s="15" t="s">
        <v>1082</v>
      </c>
      <c r="E35" s="15" t="s">
        <v>73</v>
      </c>
      <c r="F35" s="15" t="s">
        <v>142</v>
      </c>
      <c r="G35" s="16" t="s">
        <v>1055</v>
      </c>
      <c r="H35" s="15" t="s">
        <v>83</v>
      </c>
      <c r="I35" s="15" t="s">
        <v>84</v>
      </c>
      <c r="J35" s="19" t="n">
        <v>46223</v>
      </c>
      <c r="K35" s="15" t="s">
        <v>1083</v>
      </c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1084</v>
      </c>
      <c r="B36" s="15" t="s">
        <v>551</v>
      </c>
      <c r="C36" s="15" t="s">
        <v>29</v>
      </c>
      <c r="D36" s="15" t="s">
        <v>1085</v>
      </c>
      <c r="E36" s="15" t="s">
        <v>73</v>
      </c>
      <c r="F36" s="15" t="s">
        <v>1086</v>
      </c>
      <c r="G36" s="16" t="s">
        <v>1048</v>
      </c>
      <c r="H36" s="15" t="s">
        <v>76</v>
      </c>
      <c r="I36" s="15" t="s">
        <v>77</v>
      </c>
      <c r="J36" s="19" t="n">
        <v>46222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1087</v>
      </c>
      <c r="B37" s="15" t="s">
        <v>1088</v>
      </c>
      <c r="C37" s="15" t="s">
        <v>29</v>
      </c>
      <c r="D37" s="15" t="s">
        <v>1089</v>
      </c>
      <c r="E37" s="15" t="s">
        <v>73</v>
      </c>
      <c r="F37" s="15" t="s">
        <v>121</v>
      </c>
      <c r="G37" s="16" t="s">
        <v>505</v>
      </c>
      <c r="H37" s="15" t="s">
        <v>76</v>
      </c>
      <c r="I37" s="15" t="s">
        <v>77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1090</v>
      </c>
      <c r="B38" s="15" t="s">
        <v>913</v>
      </c>
      <c r="C38" s="15" t="s">
        <v>29</v>
      </c>
      <c r="D38" s="15" t="s">
        <v>1091</v>
      </c>
      <c r="E38" s="15" t="s">
        <v>73</v>
      </c>
      <c r="F38" s="15" t="s">
        <v>121</v>
      </c>
      <c r="G38" s="16" t="s">
        <v>505</v>
      </c>
      <c r="H38" s="15" t="s">
        <v>76</v>
      </c>
      <c r="I38" s="15" t="s">
        <v>77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1092</v>
      </c>
      <c r="B39" s="15" t="s">
        <v>1093</v>
      </c>
      <c r="C39" s="15" t="s">
        <v>29</v>
      </c>
      <c r="D39" s="15" t="s">
        <v>1094</v>
      </c>
      <c r="E39" s="15" t="s">
        <v>73</v>
      </c>
      <c r="F39" s="15" t="s">
        <v>156</v>
      </c>
      <c r="G39" s="16" t="s">
        <v>138</v>
      </c>
      <c r="H39" s="15" t="s">
        <v>76</v>
      </c>
      <c r="I39" s="15" t="s">
        <v>77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1095</v>
      </c>
      <c r="B40" s="15" t="s">
        <v>1096</v>
      </c>
      <c r="C40" s="15" t="s">
        <v>29</v>
      </c>
      <c r="D40" s="15" t="s">
        <v>1097</v>
      </c>
      <c r="E40" s="15" t="s">
        <v>73</v>
      </c>
      <c r="F40" s="15" t="s">
        <v>148</v>
      </c>
      <c r="G40" s="16" t="s">
        <v>1098</v>
      </c>
      <c r="H40" s="15" t="s">
        <v>76</v>
      </c>
      <c r="I40" s="15" t="s">
        <v>77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1099</v>
      </c>
      <c r="B41" s="15" t="s">
        <v>1096</v>
      </c>
      <c r="C41" s="15" t="s">
        <v>29</v>
      </c>
      <c r="D41" s="15" t="s">
        <v>1100</v>
      </c>
      <c r="E41" s="15" t="s">
        <v>73</v>
      </c>
      <c r="F41" s="15" t="s">
        <v>148</v>
      </c>
      <c r="G41" s="16" t="s">
        <v>1101</v>
      </c>
      <c r="H41" s="15" t="s">
        <v>76</v>
      </c>
      <c r="I41" s="15" t="s">
        <v>77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1102</v>
      </c>
      <c r="B42" s="15" t="s">
        <v>100</v>
      </c>
      <c r="C42" s="15" t="s">
        <v>29</v>
      </c>
      <c r="D42" s="15" t="s">
        <v>1103</v>
      </c>
      <c r="E42" s="15" t="s">
        <v>73</v>
      </c>
      <c r="F42" s="15" t="s">
        <v>74</v>
      </c>
      <c r="G42" s="16" t="s">
        <v>394</v>
      </c>
      <c r="H42" s="15" t="s">
        <v>76</v>
      </c>
      <c r="I42" s="15" t="s">
        <v>77</v>
      </c>
      <c r="J42" s="19" t="n">
        <v>46222</v>
      </c>
      <c r="K42" s="15" t="s">
        <v>1104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1105</v>
      </c>
      <c r="B43" s="15" t="s">
        <v>1106</v>
      </c>
      <c r="C43" s="15" t="s">
        <v>29</v>
      </c>
      <c r="D43" s="15" t="s">
        <v>1107</v>
      </c>
      <c r="E43" s="15" t="s">
        <v>73</v>
      </c>
      <c r="F43" s="15" t="s">
        <v>142</v>
      </c>
      <c r="G43" s="16" t="s">
        <v>1055</v>
      </c>
      <c r="H43" s="15" t="s">
        <v>83</v>
      </c>
      <c r="I43" s="15" t="s">
        <v>84</v>
      </c>
      <c r="J43" s="19" t="n">
        <v>46223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1108</v>
      </c>
      <c r="B44" s="15" t="s">
        <v>154</v>
      </c>
      <c r="C44" s="15" t="s">
        <v>29</v>
      </c>
      <c r="D44" s="15" t="s">
        <v>1109</v>
      </c>
      <c r="E44" s="15" t="s">
        <v>156</v>
      </c>
      <c r="F44" s="15" t="s">
        <v>74</v>
      </c>
      <c r="G44" s="16" t="s">
        <v>1110</v>
      </c>
      <c r="H44" s="15" t="s">
        <v>76</v>
      </c>
      <c r="I44" s="15" t="s">
        <v>77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1111</v>
      </c>
      <c r="B45" s="15" t="s">
        <v>154</v>
      </c>
      <c r="C45" s="15" t="s">
        <v>29</v>
      </c>
      <c r="D45" s="15" t="s">
        <v>1112</v>
      </c>
      <c r="E45" s="15" t="s">
        <v>156</v>
      </c>
      <c r="F45" s="15" t="s">
        <v>121</v>
      </c>
      <c r="G45" s="16" t="s">
        <v>1113</v>
      </c>
      <c r="H45" s="15" t="s">
        <v>76</v>
      </c>
      <c r="I45" s="15" t="s">
        <v>77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1114</v>
      </c>
      <c r="B46" s="15" t="s">
        <v>159</v>
      </c>
      <c r="C46" s="15" t="s">
        <v>1115</v>
      </c>
      <c r="D46" s="15" t="s">
        <v>1116</v>
      </c>
      <c r="E46" s="15" t="s">
        <v>161</v>
      </c>
      <c r="F46" s="15" t="s">
        <v>1117</v>
      </c>
      <c r="G46" s="16" t="s">
        <v>253</v>
      </c>
      <c r="H46" s="15" t="s">
        <v>254</v>
      </c>
      <c r="I46" s="15" t="s">
        <v>84</v>
      </c>
      <c r="J46" s="19" t="n">
        <v>46221</v>
      </c>
      <c r="K46" s="15" t="s">
        <v>1118</v>
      </c>
      <c r="L46" s="18" t="n">
        <v>1</v>
      </c>
      <c r="M46" s="18" t="n">
        <f aca="false">IF(H46="not applicable",IF(K46&lt;&gt;"",1,0),IF(I46="yes",IF(H46="verified",1,0),IF(OR(H46="tested",H46="verified"),1,0)))</f>
        <v>0</v>
      </c>
    </row>
    <row r="47" customFormat="false" ht="42" hidden="false" customHeight="true" outlineLevel="0" collapsed="false">
      <c r="A47" s="15" t="s">
        <v>1119</v>
      </c>
      <c r="B47" s="15" t="s">
        <v>1120</v>
      </c>
      <c r="C47" s="15" t="s">
        <v>29</v>
      </c>
      <c r="D47" s="15" t="s">
        <v>1121</v>
      </c>
      <c r="E47" s="15" t="s">
        <v>73</v>
      </c>
      <c r="F47" s="15" t="s">
        <v>1122</v>
      </c>
      <c r="G47" s="16" t="s">
        <v>1123</v>
      </c>
      <c r="H47" s="15" t="s">
        <v>83</v>
      </c>
      <c r="I47" s="15" t="s">
        <v>84</v>
      </c>
      <c r="J47" s="19" t="n">
        <v>46223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hyperlinks>
    <hyperlink ref="G9" r:id="rId1" display="../src/components/tooltip/Tooltip.tsx"/>
    <hyperlink ref="G10" r:id="rId2" display="../../docs/tooltip-component-brief.md"/>
    <hyperlink ref="G11" r:id="rId3" display="../test/types/public-api.test.ts"/>
    <hyperlink ref="G12" r:id="rId4" display="../test/components/tooltip.test.tsx"/>
    <hyperlink ref="G13" r:id="rId5" display="../src/components/tooltip/Tooltip.tsx"/>
    <hyperlink ref="G14" r:id="rId6" display="../test/components/tooltip.test.tsx"/>
    <hyperlink ref="G15" r:id="rId7" display="../test/components/tooltip.test.tsx"/>
    <hyperlink ref="G16" r:id="rId8" display="../src/components/tooltip/Tooltip.tsx"/>
    <hyperlink ref="G17" r:id="rId9" display="../test/types/public-api.test.ts"/>
    <hyperlink ref="G18" r:id="rId10" display="../test/components/tooltip.test.tsx"/>
    <hyperlink ref="G19" r:id="rId11" display="../test/components/tooltip.test.tsx"/>
    <hyperlink ref="G20" r:id="rId12" display="../test/components/tooltip.test.tsx"/>
    <hyperlink ref="G21" r:id="rId13" display="tests/tooltip.spec.ts"/>
    <hyperlink ref="G22" r:id="rId14" display="tests/tooltip.spec.ts"/>
    <hyperlink ref="G23" r:id="rId15" display="tests/tooltip.spec.ts"/>
    <hyperlink ref="G24" r:id="rId16" display="manual-tests/tooltip.md"/>
    <hyperlink ref="G25" r:id="rId17" display="manual-tests/tooltip.md"/>
    <hyperlink ref="G26" r:id="rId18" display="manual-tests/tooltip.md"/>
    <hyperlink ref="G27" r:id="rId19" display="/tooltip"/>
    <hyperlink ref="G28" r:id="rId20" display="/tooltip"/>
    <hyperlink ref="G29" r:id="rId21" display="/tooltip"/>
    <hyperlink ref="G30" r:id="rId22" display="tests/tooltip.spec.ts"/>
    <hyperlink ref="G31" r:id="rId23" display="tests/tooltip.spec.ts"/>
    <hyperlink ref="G32" r:id="rId24" display="manual-tests/tooltip.md"/>
    <hyperlink ref="G33" r:id="rId25" display="tests/tooltip.spec.ts"/>
    <hyperlink ref="G34" r:id="rId26" display="manual-tests/tooltip.md"/>
    <hyperlink ref="G35" r:id="rId27" display="manual-tests/tooltip.md"/>
    <hyperlink ref="G36" r:id="rId28" display="tests/tooltip.spec.ts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docs/components/tooltip/README.md"/>
    <hyperlink ref="G41" r:id="rId33" display="../docs/components/tooltip/CHANGELOG.md"/>
    <hyperlink ref="G42" r:id="rId34" display="../playground/src/main.tsx"/>
    <hyperlink ref="G43" r:id="rId35" display="manual-tests/tooltip.md"/>
    <hyperlink ref="G44" r:id="rId36" display="../../../apps/brick-consumer/src/App.tsx"/>
    <hyperlink ref="G45" r:id="rId37" display="../../../apps/brick-consumer/tests/consumer.spec.ts"/>
    <hyperlink ref="G46" r:id="rId38" display="../../docs/core-dependency-ledger.md"/>
    <hyperlink ref="G47" r:id="rId39" display="component-coverage.xls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1124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1125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1126</v>
      </c>
      <c r="B9" s="15" t="s">
        <v>71</v>
      </c>
      <c r="C9" s="15" t="s">
        <v>30</v>
      </c>
      <c r="D9" s="15" t="s">
        <v>1127</v>
      </c>
      <c r="E9" s="15" t="s">
        <v>73</v>
      </c>
      <c r="F9" s="15" t="s">
        <v>74</v>
      </c>
      <c r="G9" s="16" t="s">
        <v>1128</v>
      </c>
      <c r="H9" s="15" t="s">
        <v>76</v>
      </c>
      <c r="I9" s="15" t="s">
        <v>77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1129</v>
      </c>
      <c r="B10" s="15" t="s">
        <v>79</v>
      </c>
      <c r="C10" s="15" t="s">
        <v>30</v>
      </c>
      <c r="D10" s="15" t="s">
        <v>1130</v>
      </c>
      <c r="E10" s="15" t="s">
        <v>73</v>
      </c>
      <c r="F10" s="15" t="s">
        <v>81</v>
      </c>
      <c r="G10" s="16" t="s">
        <v>1131</v>
      </c>
      <c r="H10" s="15" t="s">
        <v>83</v>
      </c>
      <c r="I10" s="15" t="s">
        <v>84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1132</v>
      </c>
      <c r="B11" s="15" t="s">
        <v>1022</v>
      </c>
      <c r="C11" s="15" t="s">
        <v>30</v>
      </c>
      <c r="D11" s="15" t="s">
        <v>1133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1134</v>
      </c>
      <c r="B12" s="15" t="s">
        <v>51</v>
      </c>
      <c r="C12" s="15" t="s">
        <v>30</v>
      </c>
      <c r="D12" s="15" t="s">
        <v>1135</v>
      </c>
      <c r="E12" s="15" t="s">
        <v>73</v>
      </c>
      <c r="F12" s="15" t="s">
        <v>121</v>
      </c>
      <c r="G12" s="16" t="s">
        <v>1136</v>
      </c>
      <c r="H12" s="15" t="s">
        <v>76</v>
      </c>
      <c r="I12" s="15" t="s">
        <v>77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1137</v>
      </c>
      <c r="B13" s="15" t="s">
        <v>51</v>
      </c>
      <c r="C13" s="15" t="s">
        <v>181</v>
      </c>
      <c r="D13" s="15" t="s">
        <v>1138</v>
      </c>
      <c r="E13" s="15" t="s">
        <v>73</v>
      </c>
      <c r="F13" s="15" t="s">
        <v>74</v>
      </c>
      <c r="G13" s="16" t="s">
        <v>1128</v>
      </c>
      <c r="H13" s="15" t="s">
        <v>76</v>
      </c>
      <c r="I13" s="15" t="s">
        <v>77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1139</v>
      </c>
      <c r="B14" s="15" t="s">
        <v>51</v>
      </c>
      <c r="C14" s="15" t="s">
        <v>270</v>
      </c>
      <c r="D14" s="15" t="s">
        <v>1140</v>
      </c>
      <c r="E14" s="15" t="s">
        <v>73</v>
      </c>
      <c r="F14" s="15" t="s">
        <v>121</v>
      </c>
      <c r="G14" s="16" t="s">
        <v>1136</v>
      </c>
      <c r="H14" s="15" t="s">
        <v>76</v>
      </c>
      <c r="I14" s="15" t="s">
        <v>77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1141</v>
      </c>
      <c r="B15" s="15" t="s">
        <v>51</v>
      </c>
      <c r="C15" s="15" t="s">
        <v>273</v>
      </c>
      <c r="D15" s="15" t="s">
        <v>1142</v>
      </c>
      <c r="E15" s="15" t="s">
        <v>73</v>
      </c>
      <c r="F15" s="15" t="s">
        <v>74</v>
      </c>
      <c r="G15" s="16" t="s">
        <v>1128</v>
      </c>
      <c r="H15" s="15" t="s">
        <v>76</v>
      </c>
      <c r="I15" s="15" t="s">
        <v>77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1143</v>
      </c>
      <c r="B16" s="15" t="s">
        <v>51</v>
      </c>
      <c r="C16" s="15" t="s">
        <v>198</v>
      </c>
      <c r="D16" s="15" t="s">
        <v>1144</v>
      </c>
      <c r="E16" s="15" t="s">
        <v>73</v>
      </c>
      <c r="F16" s="15" t="s">
        <v>87</v>
      </c>
      <c r="G16" s="16" t="s">
        <v>124</v>
      </c>
      <c r="H16" s="15" t="s">
        <v>76</v>
      </c>
      <c r="I16" s="15" t="s">
        <v>77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1145</v>
      </c>
      <c r="B17" s="15" t="s">
        <v>51</v>
      </c>
      <c r="C17" s="15" t="s">
        <v>1043</v>
      </c>
      <c r="D17" s="15" t="s">
        <v>1146</v>
      </c>
      <c r="E17" s="15" t="s">
        <v>73</v>
      </c>
      <c r="F17" s="15" t="s">
        <v>121</v>
      </c>
      <c r="G17" s="16" t="s">
        <v>1136</v>
      </c>
      <c r="H17" s="15" t="s">
        <v>76</v>
      </c>
      <c r="I17" s="15" t="s">
        <v>77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1147</v>
      </c>
      <c r="B18" s="15" t="s">
        <v>836</v>
      </c>
      <c r="C18" s="15" t="s">
        <v>270</v>
      </c>
      <c r="D18" s="15" t="s">
        <v>1148</v>
      </c>
      <c r="E18" s="15" t="s">
        <v>73</v>
      </c>
      <c r="F18" s="15" t="s">
        <v>1047</v>
      </c>
      <c r="G18" s="16" t="s">
        <v>1149</v>
      </c>
      <c r="H18" s="15" t="s">
        <v>76</v>
      </c>
      <c r="I18" s="15" t="s">
        <v>77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1150</v>
      </c>
      <c r="B19" s="15" t="s">
        <v>836</v>
      </c>
      <c r="C19" s="15" t="s">
        <v>198</v>
      </c>
      <c r="D19" s="15" t="s">
        <v>1151</v>
      </c>
      <c r="E19" s="15" t="s">
        <v>73</v>
      </c>
      <c r="F19" s="15" t="s">
        <v>1047</v>
      </c>
      <c r="G19" s="16" t="s">
        <v>1149</v>
      </c>
      <c r="H19" s="15" t="s">
        <v>76</v>
      </c>
      <c r="I19" s="15" t="s">
        <v>77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1152</v>
      </c>
      <c r="B20" s="15" t="s">
        <v>836</v>
      </c>
      <c r="C20" s="15" t="s">
        <v>198</v>
      </c>
      <c r="D20" s="15" t="s">
        <v>1153</v>
      </c>
      <c r="E20" s="15" t="s">
        <v>73</v>
      </c>
      <c r="F20" s="15" t="s">
        <v>1047</v>
      </c>
      <c r="G20" s="16" t="s">
        <v>1149</v>
      </c>
      <c r="H20" s="15" t="s">
        <v>76</v>
      </c>
      <c r="I20" s="15" t="s">
        <v>77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1154</v>
      </c>
      <c r="B21" s="15" t="s">
        <v>737</v>
      </c>
      <c r="C21" s="15" t="s">
        <v>30</v>
      </c>
      <c r="D21" s="15" t="s">
        <v>1155</v>
      </c>
      <c r="E21" s="15" t="s">
        <v>73</v>
      </c>
      <c r="F21" s="15" t="s">
        <v>1047</v>
      </c>
      <c r="G21" s="16" t="s">
        <v>1149</v>
      </c>
      <c r="H21" s="15" t="s">
        <v>76</v>
      </c>
      <c r="I21" s="15" t="s">
        <v>77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1156</v>
      </c>
      <c r="B22" s="15" t="s">
        <v>737</v>
      </c>
      <c r="C22" s="15" t="s">
        <v>30</v>
      </c>
      <c r="D22" s="15" t="s">
        <v>1157</v>
      </c>
      <c r="E22" s="15" t="s">
        <v>73</v>
      </c>
      <c r="F22" s="15" t="s">
        <v>1047</v>
      </c>
      <c r="G22" s="16" t="s">
        <v>1149</v>
      </c>
      <c r="H22" s="15" t="s">
        <v>76</v>
      </c>
      <c r="I22" s="15" t="s">
        <v>77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1158</v>
      </c>
      <c r="B23" s="15" t="s">
        <v>737</v>
      </c>
      <c r="C23" s="15" t="s">
        <v>30</v>
      </c>
      <c r="D23" s="15" t="s">
        <v>1159</v>
      </c>
      <c r="E23" s="15" t="s">
        <v>73</v>
      </c>
      <c r="F23" s="15" t="s">
        <v>1047</v>
      </c>
      <c r="G23" s="16" t="s">
        <v>1149</v>
      </c>
      <c r="H23" s="15" t="s">
        <v>76</v>
      </c>
      <c r="I23" s="15" t="s">
        <v>77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1160</v>
      </c>
      <c r="B24" s="15" t="s">
        <v>737</v>
      </c>
      <c r="C24" s="15" t="s">
        <v>30</v>
      </c>
      <c r="D24" s="15" t="s">
        <v>1161</v>
      </c>
      <c r="E24" s="15" t="s">
        <v>73</v>
      </c>
      <c r="F24" s="15" t="s">
        <v>1162</v>
      </c>
      <c r="G24" s="16" t="s">
        <v>1163</v>
      </c>
      <c r="H24" s="15" t="s">
        <v>76</v>
      </c>
      <c r="I24" s="15" t="s">
        <v>77</v>
      </c>
      <c r="J24" s="19" t="n">
        <v>46222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1164</v>
      </c>
      <c r="B25" s="15" t="s">
        <v>1057</v>
      </c>
      <c r="C25" s="15" t="s">
        <v>270</v>
      </c>
      <c r="D25" s="15" t="s">
        <v>1165</v>
      </c>
      <c r="E25" s="15" t="s">
        <v>73</v>
      </c>
      <c r="F25" s="15" t="s">
        <v>142</v>
      </c>
      <c r="G25" s="16" t="s">
        <v>1166</v>
      </c>
      <c r="H25" s="15" t="s">
        <v>83</v>
      </c>
      <c r="I25" s="15" t="s">
        <v>84</v>
      </c>
      <c r="J25" s="19" t="n">
        <v>46224</v>
      </c>
      <c r="K25" s="15" t="s">
        <v>1167</v>
      </c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1168</v>
      </c>
      <c r="B26" s="15" t="s">
        <v>1057</v>
      </c>
      <c r="C26" s="15" t="s">
        <v>270</v>
      </c>
      <c r="D26" s="15" t="s">
        <v>1169</v>
      </c>
      <c r="E26" s="15" t="s">
        <v>73</v>
      </c>
      <c r="F26" s="15" t="s">
        <v>142</v>
      </c>
      <c r="G26" s="16" t="s">
        <v>1166</v>
      </c>
      <c r="H26" s="15" t="s">
        <v>350</v>
      </c>
      <c r="I26" s="15" t="s">
        <v>84</v>
      </c>
      <c r="J26" s="19" t="n">
        <v>46224</v>
      </c>
      <c r="K26" s="15" t="s">
        <v>1170</v>
      </c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1171</v>
      </c>
      <c r="B27" s="15" t="s">
        <v>860</v>
      </c>
      <c r="C27" s="15" t="s">
        <v>198</v>
      </c>
      <c r="D27" s="15" t="s">
        <v>1172</v>
      </c>
      <c r="E27" s="15" t="s">
        <v>73</v>
      </c>
      <c r="F27" s="15" t="s">
        <v>486</v>
      </c>
      <c r="G27" s="16" t="s">
        <v>1173</v>
      </c>
      <c r="H27" s="15" t="s">
        <v>83</v>
      </c>
      <c r="I27" s="15" t="s">
        <v>84</v>
      </c>
      <c r="J27" s="19" t="n">
        <v>46224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1174</v>
      </c>
      <c r="B28" s="15" t="s">
        <v>860</v>
      </c>
      <c r="C28" s="15" t="s">
        <v>198</v>
      </c>
      <c r="D28" s="15" t="s">
        <v>1175</v>
      </c>
      <c r="E28" s="15" t="s">
        <v>73</v>
      </c>
      <c r="F28" s="15" t="s">
        <v>486</v>
      </c>
      <c r="G28" s="16" t="s">
        <v>1173</v>
      </c>
      <c r="H28" s="15" t="s">
        <v>83</v>
      </c>
      <c r="I28" s="15" t="s">
        <v>84</v>
      </c>
      <c r="J28" s="19" t="n">
        <v>46224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1176</v>
      </c>
      <c r="B29" s="15" t="s">
        <v>860</v>
      </c>
      <c r="C29" s="15" t="s">
        <v>1043</v>
      </c>
      <c r="D29" s="15" t="s">
        <v>1177</v>
      </c>
      <c r="E29" s="15" t="s">
        <v>73</v>
      </c>
      <c r="F29" s="15" t="s">
        <v>486</v>
      </c>
      <c r="G29" s="16" t="s">
        <v>1173</v>
      </c>
      <c r="H29" s="15" t="s">
        <v>83</v>
      </c>
      <c r="I29" s="15" t="s">
        <v>84</v>
      </c>
      <c r="J29" s="19" t="n">
        <v>46224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1178</v>
      </c>
      <c r="B30" s="15" t="s">
        <v>780</v>
      </c>
      <c r="C30" s="15" t="s">
        <v>198</v>
      </c>
      <c r="D30" s="15" t="s">
        <v>1179</v>
      </c>
      <c r="E30" s="15" t="s">
        <v>73</v>
      </c>
      <c r="F30" s="15" t="s">
        <v>1047</v>
      </c>
      <c r="G30" s="16" t="s">
        <v>1149</v>
      </c>
      <c r="H30" s="15" t="s">
        <v>76</v>
      </c>
      <c r="I30" s="15" t="s">
        <v>77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1180</v>
      </c>
      <c r="B31" s="15" t="s">
        <v>780</v>
      </c>
      <c r="C31" s="15" t="s">
        <v>198</v>
      </c>
      <c r="D31" s="15" t="s">
        <v>1181</v>
      </c>
      <c r="E31" s="15" t="s">
        <v>73</v>
      </c>
      <c r="F31" s="15" t="s">
        <v>142</v>
      </c>
      <c r="G31" s="16" t="s">
        <v>1166</v>
      </c>
      <c r="H31" s="15" t="s">
        <v>83</v>
      </c>
      <c r="I31" s="15" t="s">
        <v>84</v>
      </c>
      <c r="J31" s="19" t="n">
        <v>46224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1182</v>
      </c>
      <c r="B32" s="15" t="s">
        <v>1077</v>
      </c>
      <c r="C32" s="15" t="s">
        <v>198</v>
      </c>
      <c r="D32" s="15" t="s">
        <v>1183</v>
      </c>
      <c r="E32" s="15" t="s">
        <v>73</v>
      </c>
      <c r="F32" s="15" t="s">
        <v>1047</v>
      </c>
      <c r="G32" s="16" t="s">
        <v>1149</v>
      </c>
      <c r="H32" s="15" t="s">
        <v>76</v>
      </c>
      <c r="I32" s="15" t="s">
        <v>77</v>
      </c>
      <c r="J32" s="19" t="n">
        <v>46224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1184</v>
      </c>
      <c r="B33" s="15" t="s">
        <v>761</v>
      </c>
      <c r="C33" s="15" t="s">
        <v>30</v>
      </c>
      <c r="D33" s="15" t="s">
        <v>1185</v>
      </c>
      <c r="E33" s="15" t="s">
        <v>73</v>
      </c>
      <c r="F33" s="15" t="s">
        <v>142</v>
      </c>
      <c r="G33" s="16" t="s">
        <v>1166</v>
      </c>
      <c r="H33" s="15" t="s">
        <v>83</v>
      </c>
      <c r="I33" s="15" t="s">
        <v>84</v>
      </c>
      <c r="J33" s="19" t="n">
        <v>46224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1186</v>
      </c>
      <c r="B34" s="15" t="s">
        <v>863</v>
      </c>
      <c r="C34" s="15" t="s">
        <v>30</v>
      </c>
      <c r="D34" s="15" t="s">
        <v>1187</v>
      </c>
      <c r="E34" s="15" t="s">
        <v>73</v>
      </c>
      <c r="F34" s="15" t="s">
        <v>142</v>
      </c>
      <c r="G34" s="16" t="s">
        <v>1166</v>
      </c>
      <c r="H34" s="15" t="s">
        <v>83</v>
      </c>
      <c r="I34" s="15" t="s">
        <v>84</v>
      </c>
      <c r="J34" s="19" t="n">
        <v>46224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1188</v>
      </c>
      <c r="B35" s="15" t="s">
        <v>551</v>
      </c>
      <c r="C35" s="15" t="s">
        <v>30</v>
      </c>
      <c r="D35" s="15" t="s">
        <v>1189</v>
      </c>
      <c r="E35" s="15" t="s">
        <v>73</v>
      </c>
      <c r="F35" s="15" t="s">
        <v>1086</v>
      </c>
      <c r="G35" s="16" t="s">
        <v>1149</v>
      </c>
      <c r="H35" s="15" t="s">
        <v>76</v>
      </c>
      <c r="I35" s="15" t="s">
        <v>77</v>
      </c>
      <c r="J35" s="19" t="n">
        <v>46224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1190</v>
      </c>
      <c r="B36" s="15" t="s">
        <v>551</v>
      </c>
      <c r="C36" s="15" t="s">
        <v>270</v>
      </c>
      <c r="D36" s="15" t="s">
        <v>1191</v>
      </c>
      <c r="E36" s="15" t="s">
        <v>73</v>
      </c>
      <c r="F36" s="15" t="s">
        <v>142</v>
      </c>
      <c r="G36" s="16" t="s">
        <v>1166</v>
      </c>
      <c r="H36" s="15" t="s">
        <v>83</v>
      </c>
      <c r="I36" s="15" t="s">
        <v>84</v>
      </c>
      <c r="J36" s="19" t="n">
        <v>46224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1192</v>
      </c>
      <c r="B37" s="15" t="s">
        <v>1088</v>
      </c>
      <c r="C37" s="15" t="s">
        <v>30</v>
      </c>
      <c r="D37" s="15" t="s">
        <v>1193</v>
      </c>
      <c r="E37" s="15" t="s">
        <v>73</v>
      </c>
      <c r="F37" s="15" t="s">
        <v>121</v>
      </c>
      <c r="G37" s="16" t="s">
        <v>505</v>
      </c>
      <c r="H37" s="15" t="s">
        <v>76</v>
      </c>
      <c r="I37" s="15" t="s">
        <v>77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1194</v>
      </c>
      <c r="B38" s="15" t="s">
        <v>913</v>
      </c>
      <c r="C38" s="15" t="s">
        <v>30</v>
      </c>
      <c r="D38" s="15" t="s">
        <v>1195</v>
      </c>
      <c r="E38" s="15" t="s">
        <v>73</v>
      </c>
      <c r="F38" s="15" t="s">
        <v>121</v>
      </c>
      <c r="G38" s="16" t="s">
        <v>505</v>
      </c>
      <c r="H38" s="15" t="s">
        <v>76</v>
      </c>
      <c r="I38" s="15" t="s">
        <v>77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1196</v>
      </c>
      <c r="B39" s="15" t="s">
        <v>1093</v>
      </c>
      <c r="C39" s="15" t="s">
        <v>30</v>
      </c>
      <c r="D39" s="15" t="s">
        <v>1197</v>
      </c>
      <c r="E39" s="15" t="s">
        <v>73</v>
      </c>
      <c r="F39" s="15" t="s">
        <v>156</v>
      </c>
      <c r="G39" s="16" t="s">
        <v>138</v>
      </c>
      <c r="H39" s="15" t="s">
        <v>76</v>
      </c>
      <c r="I39" s="15" t="s">
        <v>77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1198</v>
      </c>
      <c r="B40" s="15" t="s">
        <v>1199</v>
      </c>
      <c r="C40" s="15" t="s">
        <v>270</v>
      </c>
      <c r="D40" s="15" t="s">
        <v>1200</v>
      </c>
      <c r="E40" s="15" t="s">
        <v>73</v>
      </c>
      <c r="F40" s="15" t="s">
        <v>121</v>
      </c>
      <c r="G40" s="16" t="s">
        <v>237</v>
      </c>
      <c r="H40" s="15" t="s">
        <v>76</v>
      </c>
      <c r="I40" s="15" t="s">
        <v>77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1201</v>
      </c>
      <c r="B41" s="15" t="s">
        <v>1096</v>
      </c>
      <c r="C41" s="15" t="s">
        <v>30</v>
      </c>
      <c r="D41" s="15" t="s">
        <v>1202</v>
      </c>
      <c r="E41" s="15" t="s">
        <v>73</v>
      </c>
      <c r="F41" s="15" t="s">
        <v>148</v>
      </c>
      <c r="G41" s="16" t="s">
        <v>1203</v>
      </c>
      <c r="H41" s="15" t="s">
        <v>76</v>
      </c>
      <c r="I41" s="15" t="s">
        <v>77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1204</v>
      </c>
      <c r="B42" s="15" t="s">
        <v>1096</v>
      </c>
      <c r="C42" s="15" t="s">
        <v>30</v>
      </c>
      <c r="D42" s="15" t="s">
        <v>1100</v>
      </c>
      <c r="E42" s="15" t="s">
        <v>73</v>
      </c>
      <c r="F42" s="15" t="s">
        <v>148</v>
      </c>
      <c r="G42" s="16" t="s">
        <v>1205</v>
      </c>
      <c r="H42" s="15" t="s">
        <v>76</v>
      </c>
      <c r="I42" s="15" t="s">
        <v>77</v>
      </c>
      <c r="J42" s="19" t="n">
        <v>46224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1206</v>
      </c>
      <c r="B43" s="15" t="s">
        <v>100</v>
      </c>
      <c r="C43" s="15" t="s">
        <v>30</v>
      </c>
      <c r="D43" s="15" t="s">
        <v>1207</v>
      </c>
      <c r="E43" s="15" t="s">
        <v>73</v>
      </c>
      <c r="F43" s="15" t="s">
        <v>74</v>
      </c>
      <c r="G43" s="16" t="s">
        <v>394</v>
      </c>
      <c r="H43" s="15" t="s">
        <v>76</v>
      </c>
      <c r="I43" s="15" t="s">
        <v>77</v>
      </c>
      <c r="J43" s="19" t="n">
        <v>46224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1208</v>
      </c>
      <c r="B44" s="15" t="s">
        <v>1106</v>
      </c>
      <c r="C44" s="15" t="s">
        <v>30</v>
      </c>
      <c r="D44" s="15" t="s">
        <v>1107</v>
      </c>
      <c r="E44" s="15" t="s">
        <v>73</v>
      </c>
      <c r="F44" s="15" t="s">
        <v>142</v>
      </c>
      <c r="G44" s="16" t="s">
        <v>1166</v>
      </c>
      <c r="H44" s="15" t="s">
        <v>83</v>
      </c>
      <c r="I44" s="15" t="s">
        <v>84</v>
      </c>
      <c r="J44" s="19" t="n">
        <v>46224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1209</v>
      </c>
      <c r="B45" s="15" t="s">
        <v>154</v>
      </c>
      <c r="C45" s="15" t="s">
        <v>30</v>
      </c>
      <c r="D45" s="15" t="s">
        <v>1210</v>
      </c>
      <c r="E45" s="15" t="s">
        <v>156</v>
      </c>
      <c r="F45" s="15" t="s">
        <v>74</v>
      </c>
      <c r="G45" s="16" t="s">
        <v>1110</v>
      </c>
      <c r="H45" s="15" t="s">
        <v>76</v>
      </c>
      <c r="I45" s="15" t="s">
        <v>77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1211</v>
      </c>
      <c r="B46" s="15" t="s">
        <v>154</v>
      </c>
      <c r="C46" s="15" t="s">
        <v>30</v>
      </c>
      <c r="D46" s="15" t="s">
        <v>1212</v>
      </c>
      <c r="E46" s="15" t="s">
        <v>156</v>
      </c>
      <c r="F46" s="15" t="s">
        <v>121</v>
      </c>
      <c r="G46" s="16" t="s">
        <v>1113</v>
      </c>
      <c r="H46" s="15" t="s">
        <v>76</v>
      </c>
      <c r="I46" s="15" t="s">
        <v>77</v>
      </c>
      <c r="J46" s="19" t="n">
        <v>46224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1213</v>
      </c>
      <c r="B47" s="15" t="s">
        <v>159</v>
      </c>
      <c r="C47" s="15" t="s">
        <v>1214</v>
      </c>
      <c r="D47" s="15" t="s">
        <v>1215</v>
      </c>
      <c r="E47" s="15" t="s">
        <v>161</v>
      </c>
      <c r="F47" s="15" t="s">
        <v>1122</v>
      </c>
      <c r="G47" s="16" t="s">
        <v>253</v>
      </c>
      <c r="H47" s="15" t="s">
        <v>83</v>
      </c>
      <c r="I47" s="15" t="s">
        <v>84</v>
      </c>
      <c r="J47" s="19" t="n">
        <v>46224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hyperlinks>
    <hyperlink ref="G9" r:id="rId1" display="../src/components/hover-card/HoverCard.tsx"/>
    <hyperlink ref="G10" r:id="rId2" display="../../docs/hover-card-component-brief.md"/>
    <hyperlink ref="G11" r:id="rId3" display="../test/types/public-api.test.ts"/>
    <hyperlink ref="G12" r:id="rId4" display="../test/components/hover-card.test.tsx"/>
    <hyperlink ref="G13" r:id="rId5" display="../src/components/hover-card/HoverCard.tsx"/>
    <hyperlink ref="G14" r:id="rId6" display="../test/components/hover-card.test.tsx"/>
    <hyperlink ref="G15" r:id="rId7" display="../src/components/hover-card/HoverCard.tsx"/>
    <hyperlink ref="G16" r:id="rId8" display="../test/types/public-api.test.ts"/>
    <hyperlink ref="G17" r:id="rId9" display="../test/components/hover-card.test.tsx"/>
    <hyperlink ref="G18" r:id="rId10" display="tests/hover-card.spec.ts"/>
    <hyperlink ref="G19" r:id="rId11" display="tests/hover-card.spec.ts"/>
    <hyperlink ref="G20" r:id="rId12" display="tests/hover-card.spec.ts"/>
    <hyperlink ref="G21" r:id="rId13" display="tests/hover-card.spec.ts"/>
    <hyperlink ref="G22" r:id="rId14" display="tests/hover-card.spec.ts"/>
    <hyperlink ref="G23" r:id="rId15" display="tests/hover-card.spec.ts"/>
    <hyperlink ref="G24" r:id="rId16" display="@flowstack-ui/atom@0.6.6"/>
    <hyperlink ref="G25" r:id="rId17" display="manual-tests/hover-card.md"/>
    <hyperlink ref="G26" r:id="rId18" display="manual-tests/hover-card.md"/>
    <hyperlink ref="G27" r:id="rId19" display="/hover-card"/>
    <hyperlink ref="G28" r:id="rId20" display="/hover-card"/>
    <hyperlink ref="G29" r:id="rId21" display="/hover-card"/>
    <hyperlink ref="G30" r:id="rId22" display="tests/hover-card.spec.ts"/>
    <hyperlink ref="G31" r:id="rId23" display="manual-tests/hover-card.md"/>
    <hyperlink ref="G32" r:id="rId24" display="tests/hover-card.spec.ts"/>
    <hyperlink ref="G33" r:id="rId25" display="manual-tests/hover-card.md"/>
    <hyperlink ref="G34" r:id="rId26" display="manual-tests/hover-card.md"/>
    <hyperlink ref="G35" r:id="rId27" display="tests/hover-card.spec.ts"/>
    <hyperlink ref="G36" r:id="rId28" display="manual-tests/hover-card.md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test/package/ssr.test.mjs"/>
    <hyperlink ref="G41" r:id="rId33" display="../docs/components/hover-card/README.md"/>
    <hyperlink ref="G42" r:id="rId34" display="../docs/components/hover-card/CHANGELOG.md"/>
    <hyperlink ref="G43" r:id="rId35" display="../playground/src/main.tsx"/>
    <hyperlink ref="G44" r:id="rId36" display="manual-tests/hover-card.md"/>
    <hyperlink ref="G45" r:id="rId37" display="../../../apps/brick-consumer/src/App.tsx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1216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1217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1218</v>
      </c>
      <c r="B9" s="15" t="s">
        <v>71</v>
      </c>
      <c r="C9" s="15" t="s">
        <v>31</v>
      </c>
      <c r="D9" s="15" t="s">
        <v>1219</v>
      </c>
      <c r="E9" s="15" t="s">
        <v>73</v>
      </c>
      <c r="F9" s="15" t="s">
        <v>74</v>
      </c>
      <c r="G9" s="16" t="s">
        <v>1220</v>
      </c>
      <c r="H9" s="15" t="s">
        <v>76</v>
      </c>
      <c r="I9" s="15" t="s">
        <v>77</v>
      </c>
      <c r="J9" s="19" t="n">
        <v>46224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1221</v>
      </c>
      <c r="B10" s="15" t="s">
        <v>79</v>
      </c>
      <c r="C10" s="15" t="s">
        <v>31</v>
      </c>
      <c r="D10" s="15" t="s">
        <v>1222</v>
      </c>
      <c r="E10" s="15" t="s">
        <v>73</v>
      </c>
      <c r="F10" s="15" t="s">
        <v>81</v>
      </c>
      <c r="G10" s="16" t="s">
        <v>1223</v>
      </c>
      <c r="H10" s="15" t="s">
        <v>83</v>
      </c>
      <c r="I10" s="15" t="s">
        <v>84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1224</v>
      </c>
      <c r="B11" s="15" t="s">
        <v>1022</v>
      </c>
      <c r="C11" s="15" t="s">
        <v>31</v>
      </c>
      <c r="D11" s="15" t="s">
        <v>1225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1226</v>
      </c>
      <c r="B12" s="15" t="s">
        <v>51</v>
      </c>
      <c r="C12" s="15" t="s">
        <v>31</v>
      </c>
      <c r="D12" s="15" t="s">
        <v>1227</v>
      </c>
      <c r="E12" s="15" t="s">
        <v>73</v>
      </c>
      <c r="F12" s="15" t="s">
        <v>121</v>
      </c>
      <c r="G12" s="16" t="s">
        <v>1228</v>
      </c>
      <c r="H12" s="15" t="s">
        <v>76</v>
      </c>
      <c r="I12" s="15" t="s">
        <v>77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1229</v>
      </c>
      <c r="B13" s="15" t="s">
        <v>51</v>
      </c>
      <c r="C13" s="15" t="s">
        <v>181</v>
      </c>
      <c r="D13" s="15" t="s">
        <v>1230</v>
      </c>
      <c r="E13" s="15" t="s">
        <v>73</v>
      </c>
      <c r="F13" s="15" t="s">
        <v>87</v>
      </c>
      <c r="G13" s="16" t="s">
        <v>124</v>
      </c>
      <c r="H13" s="15" t="s">
        <v>76</v>
      </c>
      <c r="I13" s="15" t="s">
        <v>77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1231</v>
      </c>
      <c r="B14" s="15" t="s">
        <v>51</v>
      </c>
      <c r="C14" s="15" t="s">
        <v>1232</v>
      </c>
      <c r="D14" s="15" t="s">
        <v>1233</v>
      </c>
      <c r="E14" s="15" t="s">
        <v>73</v>
      </c>
      <c r="F14" s="15" t="s">
        <v>121</v>
      </c>
      <c r="G14" s="16" t="s">
        <v>1228</v>
      </c>
      <c r="H14" s="15" t="s">
        <v>76</v>
      </c>
      <c r="I14" s="15" t="s">
        <v>77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1234</v>
      </c>
      <c r="B15" s="15" t="s">
        <v>51</v>
      </c>
      <c r="C15" s="15" t="s">
        <v>270</v>
      </c>
      <c r="D15" s="15" t="s">
        <v>1235</v>
      </c>
      <c r="E15" s="15" t="s">
        <v>73</v>
      </c>
      <c r="F15" s="15" t="s">
        <v>121</v>
      </c>
      <c r="G15" s="16" t="s">
        <v>1228</v>
      </c>
      <c r="H15" s="15" t="s">
        <v>76</v>
      </c>
      <c r="I15" s="15" t="s">
        <v>77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1236</v>
      </c>
      <c r="B16" s="15" t="s">
        <v>51</v>
      </c>
      <c r="C16" s="15" t="s">
        <v>273</v>
      </c>
      <c r="D16" s="15" t="s">
        <v>1237</v>
      </c>
      <c r="E16" s="15" t="s">
        <v>73</v>
      </c>
      <c r="F16" s="15" t="s">
        <v>74</v>
      </c>
      <c r="G16" s="16" t="s">
        <v>1220</v>
      </c>
      <c r="H16" s="15" t="s">
        <v>76</v>
      </c>
      <c r="I16" s="15" t="s">
        <v>77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1238</v>
      </c>
      <c r="B17" s="15" t="s">
        <v>51</v>
      </c>
      <c r="C17" s="15" t="s">
        <v>198</v>
      </c>
      <c r="D17" s="15" t="s">
        <v>1239</v>
      </c>
      <c r="E17" s="15" t="s">
        <v>73</v>
      </c>
      <c r="F17" s="15" t="s">
        <v>121</v>
      </c>
      <c r="G17" s="16" t="s">
        <v>1228</v>
      </c>
      <c r="H17" s="15" t="s">
        <v>76</v>
      </c>
      <c r="I17" s="15" t="s">
        <v>77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1240</v>
      </c>
      <c r="B18" s="15" t="s">
        <v>51</v>
      </c>
      <c r="C18" s="15" t="s">
        <v>184</v>
      </c>
      <c r="D18" s="15" t="s">
        <v>1241</v>
      </c>
      <c r="E18" s="15" t="s">
        <v>73</v>
      </c>
      <c r="F18" s="15" t="s">
        <v>121</v>
      </c>
      <c r="G18" s="16" t="s">
        <v>1228</v>
      </c>
      <c r="H18" s="15" t="s">
        <v>76</v>
      </c>
      <c r="I18" s="15" t="s">
        <v>77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1242</v>
      </c>
      <c r="B19" s="15" t="s">
        <v>51</v>
      </c>
      <c r="C19" s="15" t="s">
        <v>188</v>
      </c>
      <c r="D19" s="15" t="s">
        <v>1243</v>
      </c>
      <c r="E19" s="15" t="s">
        <v>73</v>
      </c>
      <c r="F19" s="15" t="s">
        <v>121</v>
      </c>
      <c r="G19" s="16" t="s">
        <v>237</v>
      </c>
      <c r="H19" s="15" t="s">
        <v>76</v>
      </c>
      <c r="I19" s="15" t="s">
        <v>77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1244</v>
      </c>
      <c r="B20" s="15" t="s">
        <v>51</v>
      </c>
      <c r="C20" s="15" t="s">
        <v>191</v>
      </c>
      <c r="D20" s="15" t="s">
        <v>1245</v>
      </c>
      <c r="E20" s="15" t="s">
        <v>73</v>
      </c>
      <c r="F20" s="15" t="s">
        <v>121</v>
      </c>
      <c r="G20" s="16" t="s">
        <v>237</v>
      </c>
      <c r="H20" s="15" t="s">
        <v>76</v>
      </c>
      <c r="I20" s="15" t="s">
        <v>77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1246</v>
      </c>
      <c r="B21" s="15" t="s">
        <v>51</v>
      </c>
      <c r="C21" s="15" t="s">
        <v>1247</v>
      </c>
      <c r="D21" s="15" t="s">
        <v>1248</v>
      </c>
      <c r="E21" s="15" t="s">
        <v>73</v>
      </c>
      <c r="F21" s="15" t="s">
        <v>74</v>
      </c>
      <c r="G21" s="16" t="s">
        <v>1220</v>
      </c>
      <c r="H21" s="15" t="s">
        <v>76</v>
      </c>
      <c r="I21" s="15" t="s">
        <v>77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1249</v>
      </c>
      <c r="B22" s="15" t="s">
        <v>51</v>
      </c>
      <c r="C22" s="15" t="s">
        <v>295</v>
      </c>
      <c r="D22" s="15" t="s">
        <v>1250</v>
      </c>
      <c r="E22" s="15" t="s">
        <v>73</v>
      </c>
      <c r="F22" s="15" t="s">
        <v>121</v>
      </c>
      <c r="G22" s="16" t="s">
        <v>1228</v>
      </c>
      <c r="H22" s="15" t="s">
        <v>76</v>
      </c>
      <c r="I22" s="15" t="s">
        <v>77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1251</v>
      </c>
      <c r="B23" s="15" t="s">
        <v>51</v>
      </c>
      <c r="C23" s="15" t="s">
        <v>1043</v>
      </c>
      <c r="D23" s="15" t="s">
        <v>1252</v>
      </c>
      <c r="E23" s="15" t="s">
        <v>73</v>
      </c>
      <c r="F23" s="15" t="s">
        <v>121</v>
      </c>
      <c r="G23" s="16" t="s">
        <v>1228</v>
      </c>
      <c r="H23" s="15" t="s">
        <v>76</v>
      </c>
      <c r="I23" s="15" t="s">
        <v>77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1253</v>
      </c>
      <c r="B24" s="15" t="s">
        <v>836</v>
      </c>
      <c r="C24" s="15" t="s">
        <v>198</v>
      </c>
      <c r="D24" s="15" t="s">
        <v>1254</v>
      </c>
      <c r="E24" s="15" t="s">
        <v>73</v>
      </c>
      <c r="F24" s="15" t="s">
        <v>1047</v>
      </c>
      <c r="G24" s="16" t="s">
        <v>1255</v>
      </c>
      <c r="H24" s="15" t="s">
        <v>76</v>
      </c>
      <c r="I24" s="15" t="s">
        <v>77</v>
      </c>
      <c r="J24" s="19" t="n">
        <v>46222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1256</v>
      </c>
      <c r="B25" s="15" t="s">
        <v>836</v>
      </c>
      <c r="C25" s="15" t="s">
        <v>184</v>
      </c>
      <c r="D25" s="15" t="s">
        <v>1257</v>
      </c>
      <c r="E25" s="15" t="s">
        <v>73</v>
      </c>
      <c r="F25" s="15" t="s">
        <v>148</v>
      </c>
      <c r="G25" s="16" t="s">
        <v>1258</v>
      </c>
      <c r="H25" s="15" t="s">
        <v>76</v>
      </c>
      <c r="I25" s="15" t="s">
        <v>77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1259</v>
      </c>
      <c r="B26" s="15" t="s">
        <v>1260</v>
      </c>
      <c r="C26" s="15" t="s">
        <v>198</v>
      </c>
      <c r="D26" s="15" t="s">
        <v>1261</v>
      </c>
      <c r="E26" s="15" t="s">
        <v>73</v>
      </c>
      <c r="F26" s="15" t="s">
        <v>1162</v>
      </c>
      <c r="G26" s="16" t="s">
        <v>1262</v>
      </c>
      <c r="H26" s="15" t="s">
        <v>76</v>
      </c>
      <c r="I26" s="15" t="s">
        <v>77</v>
      </c>
      <c r="J26" s="19" t="n">
        <v>46224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1263</v>
      </c>
      <c r="B27" s="15" t="s">
        <v>737</v>
      </c>
      <c r="C27" s="15" t="s">
        <v>31</v>
      </c>
      <c r="D27" s="15" t="s">
        <v>1264</v>
      </c>
      <c r="E27" s="15" t="s">
        <v>73</v>
      </c>
      <c r="F27" s="15" t="s">
        <v>1047</v>
      </c>
      <c r="G27" s="16" t="s">
        <v>1255</v>
      </c>
      <c r="H27" s="15" t="s">
        <v>76</v>
      </c>
      <c r="I27" s="15" t="s">
        <v>77</v>
      </c>
      <c r="J27" s="19" t="n">
        <v>46222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1265</v>
      </c>
      <c r="B28" s="15" t="s">
        <v>737</v>
      </c>
      <c r="C28" s="15" t="s">
        <v>31</v>
      </c>
      <c r="D28" s="15" t="s">
        <v>1266</v>
      </c>
      <c r="E28" s="15" t="s">
        <v>73</v>
      </c>
      <c r="F28" s="15" t="s">
        <v>1047</v>
      </c>
      <c r="G28" s="16" t="s">
        <v>1255</v>
      </c>
      <c r="H28" s="15" t="s">
        <v>76</v>
      </c>
      <c r="I28" s="15" t="s">
        <v>77</v>
      </c>
      <c r="J28" s="19" t="n">
        <v>46222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1267</v>
      </c>
      <c r="B29" s="15" t="s">
        <v>737</v>
      </c>
      <c r="C29" s="15" t="s">
        <v>1268</v>
      </c>
      <c r="D29" s="15" t="s">
        <v>1269</v>
      </c>
      <c r="E29" s="15" t="s">
        <v>73</v>
      </c>
      <c r="F29" s="15" t="s">
        <v>1047</v>
      </c>
      <c r="G29" s="16" t="s">
        <v>1255</v>
      </c>
      <c r="H29" s="15" t="s">
        <v>76</v>
      </c>
      <c r="I29" s="15" t="s">
        <v>77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1270</v>
      </c>
      <c r="B30" s="15" t="s">
        <v>737</v>
      </c>
      <c r="C30" s="15" t="s">
        <v>1271</v>
      </c>
      <c r="D30" s="15" t="s">
        <v>1272</v>
      </c>
      <c r="E30" s="15" t="s">
        <v>73</v>
      </c>
      <c r="F30" s="15" t="s">
        <v>1047</v>
      </c>
      <c r="G30" s="16" t="s">
        <v>1255</v>
      </c>
      <c r="H30" s="15" t="s">
        <v>76</v>
      </c>
      <c r="I30" s="15" t="s">
        <v>77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1273</v>
      </c>
      <c r="B31" s="15" t="s">
        <v>860</v>
      </c>
      <c r="C31" s="15" t="s">
        <v>198</v>
      </c>
      <c r="D31" s="15" t="s">
        <v>1274</v>
      </c>
      <c r="E31" s="15" t="s">
        <v>73</v>
      </c>
      <c r="F31" s="15" t="s">
        <v>1047</v>
      </c>
      <c r="G31" s="16" t="s">
        <v>1255</v>
      </c>
      <c r="H31" s="15" t="s">
        <v>76</v>
      </c>
      <c r="I31" s="15" t="s">
        <v>77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1275</v>
      </c>
      <c r="B32" s="15" t="s">
        <v>860</v>
      </c>
      <c r="C32" s="15" t="s">
        <v>198</v>
      </c>
      <c r="D32" s="15" t="s">
        <v>1276</v>
      </c>
      <c r="E32" s="15" t="s">
        <v>73</v>
      </c>
      <c r="F32" s="15" t="s">
        <v>486</v>
      </c>
      <c r="G32" s="16" t="s">
        <v>1277</v>
      </c>
      <c r="H32" s="15" t="s">
        <v>83</v>
      </c>
      <c r="I32" s="15" t="s">
        <v>77</v>
      </c>
      <c r="J32" s="19" t="n">
        <v>46224</v>
      </c>
      <c r="K32" s="15" t="s">
        <v>1278</v>
      </c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1279</v>
      </c>
      <c r="B33" s="15" t="s">
        <v>860</v>
      </c>
      <c r="C33" s="15" t="s">
        <v>1043</v>
      </c>
      <c r="D33" s="15" t="s">
        <v>1280</v>
      </c>
      <c r="E33" s="15" t="s">
        <v>73</v>
      </c>
      <c r="F33" s="15" t="s">
        <v>486</v>
      </c>
      <c r="G33" s="16" t="s">
        <v>1277</v>
      </c>
      <c r="H33" s="15" t="s">
        <v>83</v>
      </c>
      <c r="I33" s="15" t="s">
        <v>77</v>
      </c>
      <c r="J33" s="19" t="n">
        <v>46224</v>
      </c>
      <c r="K33" s="15" t="s">
        <v>1281</v>
      </c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1282</v>
      </c>
      <c r="B34" s="15" t="s">
        <v>780</v>
      </c>
      <c r="C34" s="15" t="s">
        <v>198</v>
      </c>
      <c r="D34" s="15" t="s">
        <v>1283</v>
      </c>
      <c r="E34" s="15" t="s">
        <v>73</v>
      </c>
      <c r="F34" s="15" t="s">
        <v>1047</v>
      </c>
      <c r="G34" s="16" t="s">
        <v>1255</v>
      </c>
      <c r="H34" s="15" t="s">
        <v>76</v>
      </c>
      <c r="I34" s="15" t="s">
        <v>77</v>
      </c>
      <c r="J34" s="19" t="n">
        <v>46222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1284</v>
      </c>
      <c r="B35" s="15" t="s">
        <v>780</v>
      </c>
      <c r="C35" s="15" t="s">
        <v>198</v>
      </c>
      <c r="D35" s="15" t="s">
        <v>1285</v>
      </c>
      <c r="E35" s="15" t="s">
        <v>73</v>
      </c>
      <c r="F35" s="15" t="s">
        <v>142</v>
      </c>
      <c r="G35" s="16" t="s">
        <v>1286</v>
      </c>
      <c r="H35" s="15" t="s">
        <v>83</v>
      </c>
      <c r="I35" s="15" t="s">
        <v>77</v>
      </c>
      <c r="J35" s="19" t="n">
        <v>46224</v>
      </c>
      <c r="K35" s="15" t="s">
        <v>1287</v>
      </c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1288</v>
      </c>
      <c r="B36" s="15" t="s">
        <v>761</v>
      </c>
      <c r="C36" s="15" t="s">
        <v>31</v>
      </c>
      <c r="D36" s="15" t="s">
        <v>1289</v>
      </c>
      <c r="E36" s="15" t="s">
        <v>73</v>
      </c>
      <c r="F36" s="15" t="s">
        <v>142</v>
      </c>
      <c r="G36" s="16" t="s">
        <v>1286</v>
      </c>
      <c r="H36" s="15" t="s">
        <v>83</v>
      </c>
      <c r="I36" s="15" t="s">
        <v>77</v>
      </c>
      <c r="J36" s="19" t="n">
        <v>46224</v>
      </c>
      <c r="K36" s="15" t="s">
        <v>1290</v>
      </c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1291</v>
      </c>
      <c r="B37" s="15" t="s">
        <v>863</v>
      </c>
      <c r="C37" s="15" t="s">
        <v>31</v>
      </c>
      <c r="D37" s="15" t="s">
        <v>1292</v>
      </c>
      <c r="E37" s="15" t="s">
        <v>73</v>
      </c>
      <c r="F37" s="15" t="s">
        <v>142</v>
      </c>
      <c r="G37" s="16" t="s">
        <v>1286</v>
      </c>
      <c r="H37" s="15" t="s">
        <v>350</v>
      </c>
      <c r="I37" s="15" t="s">
        <v>77</v>
      </c>
      <c r="J37" s="19" t="n">
        <v>46224</v>
      </c>
      <c r="K37" s="15" t="s">
        <v>1293</v>
      </c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1294</v>
      </c>
      <c r="B38" s="15" t="s">
        <v>551</v>
      </c>
      <c r="C38" s="15" t="s">
        <v>31</v>
      </c>
      <c r="D38" s="15" t="s">
        <v>1295</v>
      </c>
      <c r="E38" s="15" t="s">
        <v>73</v>
      </c>
      <c r="F38" s="15" t="s">
        <v>1086</v>
      </c>
      <c r="G38" s="16" t="s">
        <v>1255</v>
      </c>
      <c r="H38" s="15" t="s">
        <v>76</v>
      </c>
      <c r="I38" s="15" t="s">
        <v>77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1296</v>
      </c>
      <c r="B39" s="15" t="s">
        <v>1088</v>
      </c>
      <c r="C39" s="15" t="s">
        <v>31</v>
      </c>
      <c r="D39" s="15" t="s">
        <v>1297</v>
      </c>
      <c r="E39" s="15" t="s">
        <v>73</v>
      </c>
      <c r="F39" s="15" t="s">
        <v>121</v>
      </c>
      <c r="G39" s="16" t="s">
        <v>505</v>
      </c>
      <c r="H39" s="15" t="s">
        <v>76</v>
      </c>
      <c r="I39" s="15" t="s">
        <v>77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1298</v>
      </c>
      <c r="B40" s="15" t="s">
        <v>913</v>
      </c>
      <c r="C40" s="15" t="s">
        <v>31</v>
      </c>
      <c r="D40" s="15" t="s">
        <v>1299</v>
      </c>
      <c r="E40" s="15" t="s">
        <v>73</v>
      </c>
      <c r="F40" s="15" t="s">
        <v>121</v>
      </c>
      <c r="G40" s="16" t="s">
        <v>505</v>
      </c>
      <c r="H40" s="15" t="s">
        <v>76</v>
      </c>
      <c r="I40" s="15" t="s">
        <v>77</v>
      </c>
      <c r="J40" s="19" t="n">
        <v>46224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1300</v>
      </c>
      <c r="B41" s="15" t="s">
        <v>1093</v>
      </c>
      <c r="C41" s="15" t="s">
        <v>31</v>
      </c>
      <c r="D41" s="15" t="s">
        <v>1301</v>
      </c>
      <c r="E41" s="15" t="s">
        <v>73</v>
      </c>
      <c r="F41" s="15" t="s">
        <v>156</v>
      </c>
      <c r="G41" s="16" t="s">
        <v>138</v>
      </c>
      <c r="H41" s="15" t="s">
        <v>76</v>
      </c>
      <c r="I41" s="15" t="s">
        <v>77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1302</v>
      </c>
      <c r="B42" s="15" t="s">
        <v>1199</v>
      </c>
      <c r="C42" s="15" t="s">
        <v>198</v>
      </c>
      <c r="D42" s="15" t="s">
        <v>1303</v>
      </c>
      <c r="E42" s="15" t="s">
        <v>73</v>
      </c>
      <c r="F42" s="15" t="s">
        <v>121</v>
      </c>
      <c r="G42" s="16" t="s">
        <v>237</v>
      </c>
      <c r="H42" s="15" t="s">
        <v>76</v>
      </c>
      <c r="I42" s="15" t="s">
        <v>77</v>
      </c>
      <c r="J42" s="19" t="n">
        <v>46222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1304</v>
      </c>
      <c r="B43" s="15" t="s">
        <v>1096</v>
      </c>
      <c r="C43" s="15" t="s">
        <v>31</v>
      </c>
      <c r="D43" s="15" t="s">
        <v>1305</v>
      </c>
      <c r="E43" s="15" t="s">
        <v>73</v>
      </c>
      <c r="F43" s="15" t="s">
        <v>148</v>
      </c>
      <c r="G43" s="16" t="s">
        <v>1258</v>
      </c>
      <c r="H43" s="15" t="s">
        <v>76</v>
      </c>
      <c r="I43" s="15" t="s">
        <v>77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1306</v>
      </c>
      <c r="B44" s="15" t="s">
        <v>100</v>
      </c>
      <c r="C44" s="15" t="s">
        <v>31</v>
      </c>
      <c r="D44" s="15" t="s">
        <v>1307</v>
      </c>
      <c r="E44" s="15" t="s">
        <v>73</v>
      </c>
      <c r="F44" s="15" t="s">
        <v>74</v>
      </c>
      <c r="G44" s="16" t="s">
        <v>394</v>
      </c>
      <c r="H44" s="15" t="s">
        <v>76</v>
      </c>
      <c r="I44" s="15" t="s">
        <v>77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1308</v>
      </c>
      <c r="B45" s="15" t="s">
        <v>1106</v>
      </c>
      <c r="C45" s="15" t="s">
        <v>31</v>
      </c>
      <c r="D45" s="15" t="s">
        <v>1309</v>
      </c>
      <c r="E45" s="15" t="s">
        <v>73</v>
      </c>
      <c r="F45" s="15" t="s">
        <v>142</v>
      </c>
      <c r="G45" s="16" t="s">
        <v>1286</v>
      </c>
      <c r="H45" s="15" t="s">
        <v>83</v>
      </c>
      <c r="I45" s="15" t="s">
        <v>77</v>
      </c>
      <c r="J45" s="19" t="n">
        <v>46224</v>
      </c>
      <c r="K45" s="15" t="s">
        <v>1310</v>
      </c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1311</v>
      </c>
      <c r="B46" s="15" t="s">
        <v>154</v>
      </c>
      <c r="C46" s="15" t="s">
        <v>31</v>
      </c>
      <c r="D46" s="15" t="s">
        <v>1312</v>
      </c>
      <c r="E46" s="15" t="s">
        <v>156</v>
      </c>
      <c r="F46" s="15" t="s">
        <v>121</v>
      </c>
      <c r="G46" s="16" t="s">
        <v>1113</v>
      </c>
      <c r="H46" s="15" t="s">
        <v>76</v>
      </c>
      <c r="I46" s="15" t="s">
        <v>77</v>
      </c>
      <c r="J46" s="19" t="n">
        <v>46222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1313</v>
      </c>
      <c r="B47" s="15" t="s">
        <v>159</v>
      </c>
      <c r="C47" s="15" t="s">
        <v>1314</v>
      </c>
      <c r="D47" s="15" t="s">
        <v>1315</v>
      </c>
      <c r="E47" s="15" t="s">
        <v>161</v>
      </c>
      <c r="F47" s="15" t="s">
        <v>1117</v>
      </c>
      <c r="G47" s="16" t="s">
        <v>253</v>
      </c>
      <c r="H47" s="15" t="s">
        <v>254</v>
      </c>
      <c r="I47" s="15" t="s">
        <v>84</v>
      </c>
      <c r="J47" s="19" t="n">
        <v>46222</v>
      </c>
      <c r="K47" s="15" t="s">
        <v>1118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popover/Popover.tsx"/>
    <hyperlink ref="G10" r:id="rId2" display="../../docs/popover-component-brief.md"/>
    <hyperlink ref="G11" r:id="rId3" display="../test/types/public-api.test.ts"/>
    <hyperlink ref="G12" r:id="rId4" display="../test/components/popover.test.tsx"/>
    <hyperlink ref="G13" r:id="rId5" display="../test/types/public-api.test.ts"/>
    <hyperlink ref="G14" r:id="rId6" display="../test/components/popover.test.tsx"/>
    <hyperlink ref="G15" r:id="rId7" display="../test/components/popover.test.tsx"/>
    <hyperlink ref="G16" r:id="rId8" display="../src/components/popover/Popover.tsx"/>
    <hyperlink ref="G17" r:id="rId9" display="../test/components/popover.test.tsx"/>
    <hyperlink ref="G18" r:id="rId10" display="../test/components/popover.test.tsx"/>
    <hyperlink ref="G19" r:id="rId11" display="../test/package/ssr.test.mjs"/>
    <hyperlink ref="G20" r:id="rId12" display="../test/package/ssr.test.mjs"/>
    <hyperlink ref="G21" r:id="rId13" display="../src/components/popover/Popover.tsx"/>
    <hyperlink ref="G22" r:id="rId14" display="../test/components/popover.test.tsx"/>
    <hyperlink ref="G23" r:id="rId15" display="../test/components/popover.test.tsx"/>
    <hyperlink ref="G24" r:id="rId16" display="tests/popover.spec.ts"/>
    <hyperlink ref="G25" r:id="rId17" display="../docs/components/popover/README.md"/>
    <hyperlink ref="G26" r:id="rId18" display="@flowstack-ui/atom@0.6.10"/>
    <hyperlink ref="G27" r:id="rId19" display="tests/popover.spec.ts"/>
    <hyperlink ref="G28" r:id="rId20" display="tests/popover.spec.ts"/>
    <hyperlink ref="G29" r:id="rId21" display="tests/popover.spec.ts"/>
    <hyperlink ref="G30" r:id="rId22" display="tests/popover.spec.ts"/>
    <hyperlink ref="G31" r:id="rId23" display="tests/popover.spec.ts"/>
    <hyperlink ref="G32" r:id="rId24" display="/popover"/>
    <hyperlink ref="G33" r:id="rId25" display="/popover"/>
    <hyperlink ref="G34" r:id="rId26" display="tests/popover.spec.ts"/>
    <hyperlink ref="G35" r:id="rId27" display="manual-tests/popover.md"/>
    <hyperlink ref="G36" r:id="rId28" display="manual-tests/popover.md"/>
    <hyperlink ref="G37" r:id="rId29" display="manual-tests/popover.md"/>
    <hyperlink ref="G38" r:id="rId30" display="tests/popover.spec.ts"/>
    <hyperlink ref="G39" r:id="rId31" display="../test/package/package.test.mjs"/>
    <hyperlink ref="G40" r:id="rId32" display="../test/package/package.test.mjs"/>
    <hyperlink ref="G41" r:id="rId33" display="../scripts/verify-consumers.mjs"/>
    <hyperlink ref="G42" r:id="rId34" display="../test/package/ssr.test.mjs"/>
    <hyperlink ref="G43" r:id="rId35" display="../docs/components/popover/README.md"/>
    <hyperlink ref="G44" r:id="rId36" display="../playground/src/main.tsx"/>
    <hyperlink ref="G45" r:id="rId37" display="manual-tests/popover.md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1316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1317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1318</v>
      </c>
      <c r="B9" s="15" t="s">
        <v>71</v>
      </c>
      <c r="C9" s="15" t="s">
        <v>1319</v>
      </c>
      <c r="D9" s="15" t="s">
        <v>1320</v>
      </c>
      <c r="E9" s="15" t="s">
        <v>73</v>
      </c>
      <c r="F9" s="15" t="s">
        <v>74</v>
      </c>
      <c r="G9" s="16" t="s">
        <v>1321</v>
      </c>
      <c r="H9" s="15" t="s">
        <v>76</v>
      </c>
      <c r="I9" s="15" t="s">
        <v>77</v>
      </c>
      <c r="J9" s="19" t="n">
        <v>46223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1322</v>
      </c>
      <c r="B10" s="15" t="s">
        <v>79</v>
      </c>
      <c r="C10" s="15" t="s">
        <v>1319</v>
      </c>
      <c r="D10" s="15" t="s">
        <v>1323</v>
      </c>
      <c r="E10" s="15" t="s">
        <v>73</v>
      </c>
      <c r="F10" s="15" t="s">
        <v>81</v>
      </c>
      <c r="G10" s="16" t="s">
        <v>1324</v>
      </c>
      <c r="H10" s="15" t="s">
        <v>83</v>
      </c>
      <c r="I10" s="15" t="s">
        <v>84</v>
      </c>
      <c r="J10" s="19" t="n">
        <v>46223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1325</v>
      </c>
      <c r="B11" s="15" t="s">
        <v>1022</v>
      </c>
      <c r="C11" s="15" t="s">
        <v>1319</v>
      </c>
      <c r="D11" s="15" t="s">
        <v>1326</v>
      </c>
      <c r="E11" s="15" t="s">
        <v>73</v>
      </c>
      <c r="F11" s="15" t="s">
        <v>87</v>
      </c>
      <c r="G11" s="16" t="s">
        <v>1327</v>
      </c>
      <c r="H11" s="15" t="s">
        <v>76</v>
      </c>
      <c r="I11" s="15" t="s">
        <v>77</v>
      </c>
      <c r="J11" s="19" t="n">
        <v>46223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1328</v>
      </c>
      <c r="B12" s="15" t="s">
        <v>51</v>
      </c>
      <c r="C12" s="15" t="s">
        <v>1329</v>
      </c>
      <c r="D12" s="15" t="s">
        <v>1330</v>
      </c>
      <c r="E12" s="15" t="s">
        <v>73</v>
      </c>
      <c r="F12" s="15" t="s">
        <v>121</v>
      </c>
      <c r="G12" s="16" t="s">
        <v>1331</v>
      </c>
      <c r="H12" s="15" t="s">
        <v>76</v>
      </c>
      <c r="I12" s="15" t="s">
        <v>77</v>
      </c>
      <c r="J12" s="19" t="n">
        <v>46223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1332</v>
      </c>
      <c r="B13" s="15" t="s">
        <v>51</v>
      </c>
      <c r="C13" s="15" t="s">
        <v>1333</v>
      </c>
      <c r="D13" s="15" t="s">
        <v>1334</v>
      </c>
      <c r="E13" s="15" t="s">
        <v>73</v>
      </c>
      <c r="F13" s="15" t="s">
        <v>121</v>
      </c>
      <c r="G13" s="16" t="s">
        <v>1331</v>
      </c>
      <c r="H13" s="15" t="s">
        <v>76</v>
      </c>
      <c r="I13" s="15" t="s">
        <v>77</v>
      </c>
      <c r="J13" s="19" t="n">
        <v>46223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1335</v>
      </c>
      <c r="B14" s="15" t="s">
        <v>51</v>
      </c>
      <c r="C14" s="15" t="s">
        <v>1336</v>
      </c>
      <c r="D14" s="15" t="s">
        <v>1337</v>
      </c>
      <c r="E14" s="15" t="s">
        <v>73</v>
      </c>
      <c r="F14" s="15" t="s">
        <v>121</v>
      </c>
      <c r="G14" s="16" t="s">
        <v>1331</v>
      </c>
      <c r="H14" s="15" t="s">
        <v>76</v>
      </c>
      <c r="I14" s="15" t="s">
        <v>77</v>
      </c>
      <c r="J14" s="19" t="n">
        <v>46223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1338</v>
      </c>
      <c r="B15" s="15" t="s">
        <v>670</v>
      </c>
      <c r="C15" s="15" t="s">
        <v>1329</v>
      </c>
      <c r="D15" s="15" t="s">
        <v>1339</v>
      </c>
      <c r="E15" s="15" t="s">
        <v>73</v>
      </c>
      <c r="F15" s="15" t="s">
        <v>121</v>
      </c>
      <c r="G15" s="16" t="s">
        <v>1331</v>
      </c>
      <c r="H15" s="15" t="s">
        <v>76</v>
      </c>
      <c r="I15" s="15" t="s">
        <v>77</v>
      </c>
      <c r="J15" s="19" t="n">
        <v>46223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1340</v>
      </c>
      <c r="B16" s="15" t="s">
        <v>670</v>
      </c>
      <c r="C16" s="15" t="s">
        <v>1333</v>
      </c>
      <c r="D16" s="15" t="s">
        <v>1341</v>
      </c>
      <c r="E16" s="15" t="s">
        <v>73</v>
      </c>
      <c r="F16" s="15" t="s">
        <v>87</v>
      </c>
      <c r="G16" s="16" t="s">
        <v>1327</v>
      </c>
      <c r="H16" s="15" t="s">
        <v>76</v>
      </c>
      <c r="I16" s="15" t="s">
        <v>77</v>
      </c>
      <c r="J16" s="19" t="n">
        <v>46223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1342</v>
      </c>
      <c r="B17" s="15" t="s">
        <v>670</v>
      </c>
      <c r="C17" s="15" t="s">
        <v>1336</v>
      </c>
      <c r="D17" s="15" t="s">
        <v>1343</v>
      </c>
      <c r="E17" s="15" t="s">
        <v>73</v>
      </c>
      <c r="F17" s="15" t="s">
        <v>87</v>
      </c>
      <c r="G17" s="16" t="s">
        <v>1327</v>
      </c>
      <c r="H17" s="15" t="s">
        <v>76</v>
      </c>
      <c r="I17" s="15" t="s">
        <v>77</v>
      </c>
      <c r="J17" s="19" t="n">
        <v>46223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1344</v>
      </c>
      <c r="B18" s="15" t="s">
        <v>1199</v>
      </c>
      <c r="C18" s="15" t="s">
        <v>1333</v>
      </c>
      <c r="D18" s="15" t="s">
        <v>1345</v>
      </c>
      <c r="E18" s="15" t="s">
        <v>73</v>
      </c>
      <c r="F18" s="15" t="s">
        <v>121</v>
      </c>
      <c r="G18" s="16" t="s">
        <v>1346</v>
      </c>
      <c r="H18" s="15" t="s">
        <v>76</v>
      </c>
      <c r="I18" s="15" t="s">
        <v>77</v>
      </c>
      <c r="J18" s="19" t="n">
        <v>46223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1347</v>
      </c>
      <c r="B19" s="15" t="s">
        <v>1199</v>
      </c>
      <c r="C19" s="15" t="s">
        <v>1336</v>
      </c>
      <c r="D19" s="15" t="s">
        <v>1348</v>
      </c>
      <c r="E19" s="15" t="s">
        <v>73</v>
      </c>
      <c r="F19" s="15" t="s">
        <v>121</v>
      </c>
      <c r="G19" s="16" t="s">
        <v>1346</v>
      </c>
      <c r="H19" s="15" t="s">
        <v>76</v>
      </c>
      <c r="I19" s="15" t="s">
        <v>77</v>
      </c>
      <c r="J19" s="19" t="n">
        <v>46223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1349</v>
      </c>
      <c r="B20" s="15" t="s">
        <v>1350</v>
      </c>
      <c r="C20" s="15" t="s">
        <v>1329</v>
      </c>
      <c r="D20" s="15" t="s">
        <v>1351</v>
      </c>
      <c r="E20" s="15" t="s">
        <v>73</v>
      </c>
      <c r="F20" s="15" t="s">
        <v>1047</v>
      </c>
      <c r="G20" s="16" t="s">
        <v>1352</v>
      </c>
      <c r="H20" s="15" t="s">
        <v>76</v>
      </c>
      <c r="I20" s="15" t="s">
        <v>77</v>
      </c>
      <c r="J20" s="19" t="n">
        <v>46223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1353</v>
      </c>
      <c r="B21" s="15" t="s">
        <v>1350</v>
      </c>
      <c r="C21" s="15" t="s">
        <v>1333</v>
      </c>
      <c r="D21" s="15" t="s">
        <v>1354</v>
      </c>
      <c r="E21" s="15" t="s">
        <v>73</v>
      </c>
      <c r="F21" s="15" t="s">
        <v>121</v>
      </c>
      <c r="G21" s="16" t="s">
        <v>1331</v>
      </c>
      <c r="H21" s="15" t="s">
        <v>76</v>
      </c>
      <c r="I21" s="15" t="s">
        <v>77</v>
      </c>
      <c r="J21" s="19" t="n">
        <v>46223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1355</v>
      </c>
      <c r="B22" s="15" t="s">
        <v>1350</v>
      </c>
      <c r="C22" s="15" t="s">
        <v>1336</v>
      </c>
      <c r="D22" s="15" t="s">
        <v>1356</v>
      </c>
      <c r="E22" s="15" t="s">
        <v>73</v>
      </c>
      <c r="F22" s="15" t="s">
        <v>121</v>
      </c>
      <c r="G22" s="16" t="s">
        <v>1331</v>
      </c>
      <c r="H22" s="15" t="s">
        <v>76</v>
      </c>
      <c r="I22" s="15" t="s">
        <v>77</v>
      </c>
      <c r="J22" s="19" t="n">
        <v>46223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1357</v>
      </c>
      <c r="B23" s="15" t="s">
        <v>836</v>
      </c>
      <c r="C23" s="15" t="s">
        <v>1333</v>
      </c>
      <c r="D23" s="15" t="s">
        <v>1358</v>
      </c>
      <c r="E23" s="15" t="s">
        <v>73</v>
      </c>
      <c r="F23" s="15" t="s">
        <v>1047</v>
      </c>
      <c r="G23" s="16" t="s">
        <v>1352</v>
      </c>
      <c r="H23" s="15" t="s">
        <v>76</v>
      </c>
      <c r="I23" s="15" t="s">
        <v>77</v>
      </c>
      <c r="J23" s="19" t="n">
        <v>46223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1359</v>
      </c>
      <c r="B24" s="15" t="s">
        <v>836</v>
      </c>
      <c r="C24" s="15" t="s">
        <v>1336</v>
      </c>
      <c r="D24" s="15" t="s">
        <v>1360</v>
      </c>
      <c r="E24" s="15" t="s">
        <v>73</v>
      </c>
      <c r="F24" s="15" t="s">
        <v>1047</v>
      </c>
      <c r="G24" s="16" t="s">
        <v>1352</v>
      </c>
      <c r="H24" s="15" t="s">
        <v>76</v>
      </c>
      <c r="I24" s="15" t="s">
        <v>77</v>
      </c>
      <c r="J24" s="19" t="n">
        <v>46223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1361</v>
      </c>
      <c r="B25" s="15" t="s">
        <v>737</v>
      </c>
      <c r="C25" s="15" t="s">
        <v>1329</v>
      </c>
      <c r="D25" s="15" t="s">
        <v>1362</v>
      </c>
      <c r="E25" s="15" t="s">
        <v>73</v>
      </c>
      <c r="F25" s="15" t="s">
        <v>121</v>
      </c>
      <c r="G25" s="16" t="s">
        <v>1331</v>
      </c>
      <c r="H25" s="15" t="s">
        <v>76</v>
      </c>
      <c r="I25" s="15" t="s">
        <v>77</v>
      </c>
      <c r="J25" s="19" t="n">
        <v>46223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1363</v>
      </c>
      <c r="B26" s="15" t="s">
        <v>768</v>
      </c>
      <c r="C26" s="15" t="s">
        <v>1333</v>
      </c>
      <c r="D26" s="15" t="s">
        <v>1364</v>
      </c>
      <c r="E26" s="15" t="s">
        <v>73</v>
      </c>
      <c r="F26" s="15" t="s">
        <v>1047</v>
      </c>
      <c r="G26" s="16" t="s">
        <v>1352</v>
      </c>
      <c r="H26" s="15" t="s">
        <v>76</v>
      </c>
      <c r="I26" s="15" t="s">
        <v>77</v>
      </c>
      <c r="J26" s="19" t="n">
        <v>46223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1365</v>
      </c>
      <c r="B27" s="15" t="s">
        <v>768</v>
      </c>
      <c r="C27" s="15" t="s">
        <v>1336</v>
      </c>
      <c r="D27" s="15" t="s">
        <v>1366</v>
      </c>
      <c r="E27" s="15" t="s">
        <v>73</v>
      </c>
      <c r="F27" s="15" t="s">
        <v>74</v>
      </c>
      <c r="G27" s="16" t="s">
        <v>1367</v>
      </c>
      <c r="H27" s="15" t="s">
        <v>76</v>
      </c>
      <c r="I27" s="15" t="s">
        <v>77</v>
      </c>
      <c r="J27" s="19" t="n">
        <v>46223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1368</v>
      </c>
      <c r="B28" s="15" t="s">
        <v>780</v>
      </c>
      <c r="C28" s="15" t="s">
        <v>1319</v>
      </c>
      <c r="D28" s="15" t="s">
        <v>1369</v>
      </c>
      <c r="E28" s="15" t="s">
        <v>73</v>
      </c>
      <c r="F28" s="15" t="s">
        <v>1047</v>
      </c>
      <c r="G28" s="16" t="s">
        <v>1352</v>
      </c>
      <c r="H28" s="15" t="s">
        <v>76</v>
      </c>
      <c r="I28" s="15" t="s">
        <v>77</v>
      </c>
      <c r="J28" s="19" t="n">
        <v>46223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1370</v>
      </c>
      <c r="B29" s="15" t="s">
        <v>860</v>
      </c>
      <c r="C29" s="15" t="s">
        <v>1319</v>
      </c>
      <c r="D29" s="15" t="s">
        <v>1371</v>
      </c>
      <c r="E29" s="15" t="s">
        <v>73</v>
      </c>
      <c r="F29" s="15" t="s">
        <v>486</v>
      </c>
      <c r="G29" s="16" t="s">
        <v>132</v>
      </c>
      <c r="H29" s="15" t="s">
        <v>76</v>
      </c>
      <c r="I29" s="15" t="s">
        <v>77</v>
      </c>
      <c r="J29" s="19" t="n">
        <v>46223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1372</v>
      </c>
      <c r="B30" s="15" t="s">
        <v>551</v>
      </c>
      <c r="C30" s="15" t="s">
        <v>1319</v>
      </c>
      <c r="D30" s="15" t="s">
        <v>1373</v>
      </c>
      <c r="E30" s="15" t="s">
        <v>73</v>
      </c>
      <c r="F30" s="15" t="s">
        <v>1086</v>
      </c>
      <c r="G30" s="16" t="s">
        <v>1352</v>
      </c>
      <c r="H30" s="15" t="s">
        <v>76</v>
      </c>
      <c r="I30" s="15" t="s">
        <v>77</v>
      </c>
      <c r="J30" s="19" t="n">
        <v>46223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1374</v>
      </c>
      <c r="B31" s="15" t="s">
        <v>1375</v>
      </c>
      <c r="C31" s="15" t="s">
        <v>1376</v>
      </c>
      <c r="D31" s="15" t="s">
        <v>1377</v>
      </c>
      <c r="E31" s="15" t="s">
        <v>73</v>
      </c>
      <c r="F31" s="15" t="s">
        <v>121</v>
      </c>
      <c r="G31" s="16" t="s">
        <v>1331</v>
      </c>
      <c r="H31" s="15" t="s">
        <v>76</v>
      </c>
      <c r="I31" s="15" t="s">
        <v>77</v>
      </c>
      <c r="J31" s="19" t="n">
        <v>46223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1378</v>
      </c>
      <c r="B32" s="15" t="s">
        <v>1088</v>
      </c>
      <c r="C32" s="15" t="s">
        <v>1329</v>
      </c>
      <c r="D32" s="15" t="s">
        <v>1379</v>
      </c>
      <c r="E32" s="15" t="s">
        <v>73</v>
      </c>
      <c r="F32" s="15" t="s">
        <v>121</v>
      </c>
      <c r="G32" s="16" t="s">
        <v>505</v>
      </c>
      <c r="H32" s="15" t="s">
        <v>76</v>
      </c>
      <c r="I32" s="15" t="s">
        <v>77</v>
      </c>
      <c r="J32" s="19" t="n">
        <v>46223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1380</v>
      </c>
      <c r="B33" s="15" t="s">
        <v>1088</v>
      </c>
      <c r="C33" s="15" t="s">
        <v>1333</v>
      </c>
      <c r="D33" s="15" t="s">
        <v>1381</v>
      </c>
      <c r="E33" s="15" t="s">
        <v>73</v>
      </c>
      <c r="F33" s="15" t="s">
        <v>121</v>
      </c>
      <c r="G33" s="16" t="s">
        <v>505</v>
      </c>
      <c r="H33" s="15" t="s">
        <v>76</v>
      </c>
      <c r="I33" s="15" t="s">
        <v>77</v>
      </c>
      <c r="J33" s="19" t="n">
        <v>46223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1382</v>
      </c>
      <c r="B34" s="15" t="s">
        <v>1088</v>
      </c>
      <c r="C34" s="15" t="s">
        <v>1336</v>
      </c>
      <c r="D34" s="15" t="s">
        <v>1383</v>
      </c>
      <c r="E34" s="15" t="s">
        <v>73</v>
      </c>
      <c r="F34" s="15" t="s">
        <v>121</v>
      </c>
      <c r="G34" s="16" t="s">
        <v>505</v>
      </c>
      <c r="H34" s="15" t="s">
        <v>76</v>
      </c>
      <c r="I34" s="15" t="s">
        <v>77</v>
      </c>
      <c r="J34" s="19" t="n">
        <v>46223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1384</v>
      </c>
      <c r="B35" s="15" t="s">
        <v>913</v>
      </c>
      <c r="C35" s="15" t="s">
        <v>1319</v>
      </c>
      <c r="D35" s="15" t="s">
        <v>1385</v>
      </c>
      <c r="E35" s="15" t="s">
        <v>73</v>
      </c>
      <c r="F35" s="15" t="s">
        <v>121</v>
      </c>
      <c r="G35" s="16" t="s">
        <v>505</v>
      </c>
      <c r="H35" s="15" t="s">
        <v>76</v>
      </c>
      <c r="I35" s="15" t="s">
        <v>77</v>
      </c>
      <c r="J35" s="19" t="n">
        <v>46223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1386</v>
      </c>
      <c r="B36" s="15" t="s">
        <v>1093</v>
      </c>
      <c r="C36" s="15" t="s">
        <v>1319</v>
      </c>
      <c r="D36" s="15" t="s">
        <v>1387</v>
      </c>
      <c r="E36" s="15" t="s">
        <v>73</v>
      </c>
      <c r="F36" s="15" t="s">
        <v>156</v>
      </c>
      <c r="G36" s="16" t="s">
        <v>138</v>
      </c>
      <c r="H36" s="15" t="s">
        <v>76</v>
      </c>
      <c r="I36" s="15" t="s">
        <v>77</v>
      </c>
      <c r="J36" s="19" t="n">
        <v>46223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1388</v>
      </c>
      <c r="B37" s="15" t="s">
        <v>1096</v>
      </c>
      <c r="C37" s="15" t="s">
        <v>1329</v>
      </c>
      <c r="D37" s="15" t="s">
        <v>1389</v>
      </c>
      <c r="E37" s="15" t="s">
        <v>73</v>
      </c>
      <c r="F37" s="15" t="s">
        <v>148</v>
      </c>
      <c r="G37" s="16" t="s">
        <v>1390</v>
      </c>
      <c r="H37" s="15" t="s">
        <v>76</v>
      </c>
      <c r="I37" s="15" t="s">
        <v>77</v>
      </c>
      <c r="J37" s="19" t="n">
        <v>46223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1391</v>
      </c>
      <c r="B38" s="15" t="s">
        <v>1096</v>
      </c>
      <c r="C38" s="15" t="s">
        <v>1333</v>
      </c>
      <c r="D38" s="15" t="s">
        <v>1392</v>
      </c>
      <c r="E38" s="15" t="s">
        <v>73</v>
      </c>
      <c r="F38" s="15" t="s">
        <v>148</v>
      </c>
      <c r="G38" s="16" t="s">
        <v>1393</v>
      </c>
      <c r="H38" s="15" t="s">
        <v>76</v>
      </c>
      <c r="I38" s="15" t="s">
        <v>77</v>
      </c>
      <c r="J38" s="19" t="n">
        <v>46223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1394</v>
      </c>
      <c r="B39" s="15" t="s">
        <v>1096</v>
      </c>
      <c r="C39" s="15" t="s">
        <v>1336</v>
      </c>
      <c r="D39" s="15" t="s">
        <v>1395</v>
      </c>
      <c r="E39" s="15" t="s">
        <v>73</v>
      </c>
      <c r="F39" s="15" t="s">
        <v>148</v>
      </c>
      <c r="G39" s="16" t="s">
        <v>1396</v>
      </c>
      <c r="H39" s="15" t="s">
        <v>76</v>
      </c>
      <c r="I39" s="15" t="s">
        <v>77</v>
      </c>
      <c r="J39" s="19" t="n">
        <v>46223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1397</v>
      </c>
      <c r="B40" s="15" t="s">
        <v>100</v>
      </c>
      <c r="C40" s="15" t="s">
        <v>1319</v>
      </c>
      <c r="D40" s="15" t="s">
        <v>1398</v>
      </c>
      <c r="E40" s="15" t="s">
        <v>73</v>
      </c>
      <c r="F40" s="15" t="s">
        <v>74</v>
      </c>
      <c r="G40" s="16" t="s">
        <v>394</v>
      </c>
      <c r="H40" s="15" t="s">
        <v>76</v>
      </c>
      <c r="I40" s="15" t="s">
        <v>77</v>
      </c>
      <c r="J40" s="19" t="n">
        <v>46223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1399</v>
      </c>
      <c r="B41" s="15" t="s">
        <v>1106</v>
      </c>
      <c r="C41" s="15" t="s">
        <v>1319</v>
      </c>
      <c r="D41" s="15" t="s">
        <v>1400</v>
      </c>
      <c r="E41" s="15" t="s">
        <v>73</v>
      </c>
      <c r="F41" s="15" t="s">
        <v>142</v>
      </c>
      <c r="G41" s="16" t="s">
        <v>1401</v>
      </c>
      <c r="H41" s="15" t="s">
        <v>83</v>
      </c>
      <c r="I41" s="15" t="s">
        <v>84</v>
      </c>
      <c r="J41" s="19" t="n">
        <v>46224</v>
      </c>
      <c r="K41" s="15" t="s">
        <v>1402</v>
      </c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1403</v>
      </c>
      <c r="B42" s="15" t="s">
        <v>1106</v>
      </c>
      <c r="C42" s="15" t="s">
        <v>1329</v>
      </c>
      <c r="D42" s="15" t="s">
        <v>1404</v>
      </c>
      <c r="E42" s="15" t="s">
        <v>73</v>
      </c>
      <c r="F42" s="15" t="s">
        <v>142</v>
      </c>
      <c r="G42" s="16" t="s">
        <v>1401</v>
      </c>
      <c r="H42" s="15" t="s">
        <v>83</v>
      </c>
      <c r="I42" s="15" t="s">
        <v>84</v>
      </c>
      <c r="J42" s="19" t="n">
        <v>46224</v>
      </c>
      <c r="K42" s="15" t="s">
        <v>1405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1406</v>
      </c>
      <c r="B43" s="15" t="s">
        <v>1106</v>
      </c>
      <c r="C43" s="15" t="s">
        <v>1333</v>
      </c>
      <c r="D43" s="15" t="s">
        <v>1407</v>
      </c>
      <c r="E43" s="15" t="s">
        <v>73</v>
      </c>
      <c r="F43" s="15" t="s">
        <v>142</v>
      </c>
      <c r="G43" s="16" t="s">
        <v>1401</v>
      </c>
      <c r="H43" s="15" t="s">
        <v>83</v>
      </c>
      <c r="I43" s="15" t="s">
        <v>84</v>
      </c>
      <c r="J43" s="19" t="n">
        <v>46224</v>
      </c>
      <c r="K43" s="15" t="s">
        <v>1408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1409</v>
      </c>
      <c r="B44" s="15" t="s">
        <v>1106</v>
      </c>
      <c r="C44" s="15" t="s">
        <v>1336</v>
      </c>
      <c r="D44" s="15" t="s">
        <v>1410</v>
      </c>
      <c r="E44" s="15" t="s">
        <v>73</v>
      </c>
      <c r="F44" s="15" t="s">
        <v>142</v>
      </c>
      <c r="G44" s="16" t="s">
        <v>1401</v>
      </c>
      <c r="H44" s="15" t="s">
        <v>83</v>
      </c>
      <c r="I44" s="15" t="s">
        <v>84</v>
      </c>
      <c r="J44" s="19" t="n">
        <v>46224</v>
      </c>
      <c r="K44" s="15" t="s">
        <v>1411</v>
      </c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1412</v>
      </c>
      <c r="B45" s="15" t="s">
        <v>154</v>
      </c>
      <c r="C45" s="15" t="s">
        <v>1319</v>
      </c>
      <c r="D45" s="15" t="s">
        <v>1413</v>
      </c>
      <c r="E45" s="15" t="s">
        <v>156</v>
      </c>
      <c r="F45" s="15" t="s">
        <v>121</v>
      </c>
      <c r="G45" s="16" t="s">
        <v>1113</v>
      </c>
      <c r="H45" s="15" t="s">
        <v>76</v>
      </c>
      <c r="I45" s="15" t="s">
        <v>77</v>
      </c>
      <c r="J45" s="19" t="n">
        <v>46223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1414</v>
      </c>
      <c r="B46" s="15" t="s">
        <v>159</v>
      </c>
      <c r="C46" s="15" t="s">
        <v>1329</v>
      </c>
      <c r="D46" s="15" t="s">
        <v>1415</v>
      </c>
      <c r="E46" s="15" t="s">
        <v>161</v>
      </c>
      <c r="F46" s="15" t="s">
        <v>1416</v>
      </c>
      <c r="G46" s="16" t="s">
        <v>253</v>
      </c>
      <c r="H46" s="15" t="s">
        <v>350</v>
      </c>
      <c r="I46" s="15" t="s">
        <v>77</v>
      </c>
      <c r="J46" s="19" t="n">
        <v>46223</v>
      </c>
      <c r="K46" s="15" t="s">
        <v>1417</v>
      </c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1418</v>
      </c>
      <c r="B47" s="15" t="s">
        <v>159</v>
      </c>
      <c r="C47" s="15" t="s">
        <v>1419</v>
      </c>
      <c r="D47" s="15" t="s">
        <v>1420</v>
      </c>
      <c r="E47" s="15" t="s">
        <v>161</v>
      </c>
      <c r="F47" s="15" t="s">
        <v>1117</v>
      </c>
      <c r="G47" s="16" t="s">
        <v>253</v>
      </c>
      <c r="H47" s="15" t="s">
        <v>254</v>
      </c>
      <c r="I47" s="15" t="s">
        <v>84</v>
      </c>
      <c r="J47" s="19" t="n">
        <v>46223</v>
      </c>
      <c r="K47" s="15" t="s">
        <v>1421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form/Form.tsx; ../src/components/field/Field.tsx; ../src/components/fieldset/Fieldset.tsx"/>
    <hyperlink ref="G10" r:id="rId2" display="../../docs/form-foundation-component-brief.md"/>
    <hyperlink ref="G11" r:id="rId3" display="../test/types/form-foundation.test.tsx"/>
    <hyperlink ref="G12" r:id="rId4" display="../test/components/form-foundation.test.tsx"/>
    <hyperlink ref="G13" r:id="rId5" display="../test/components/form-foundation.test.tsx"/>
    <hyperlink ref="G14" r:id="rId6" display="../test/components/form-foundation.test.tsx"/>
    <hyperlink ref="G15" r:id="rId7" display="../test/components/form-foundation.test.tsx"/>
    <hyperlink ref="G16" r:id="rId8" display="../test/types/form-foundation.test.tsx"/>
    <hyperlink ref="G17" r:id="rId9" display="../test/types/form-foundation.test.tsx"/>
    <hyperlink ref="G18" r:id="rId10" display="../test/components/form-foundation.test.tsx; ../test/package/ssr.test.mjs"/>
    <hyperlink ref="G19" r:id="rId11" display="../test/components/form-foundation.test.tsx; ../test/package/ssr.test.mjs"/>
    <hyperlink ref="G20" r:id="rId12" display="tests/form-foundation.spec.ts"/>
    <hyperlink ref="G21" r:id="rId13" display="../test/components/form-foundation.test.tsx"/>
    <hyperlink ref="G22" r:id="rId14" display="../test/components/form-foundation.test.tsx"/>
    <hyperlink ref="G23" r:id="rId15" display="tests/form-foundation.spec.ts"/>
    <hyperlink ref="G24" r:id="rId16" display="tests/form-foundation.spec.ts"/>
    <hyperlink ref="G25" r:id="rId17" display="../test/components/form-foundation.test.tsx"/>
    <hyperlink ref="G26" r:id="rId18" display="tests/form-foundation.spec.ts"/>
    <hyperlink ref="G27" r:id="rId19" display="../src/components/fieldset/fieldset.css"/>
    <hyperlink ref="G28" r:id="rId20" display="tests/form-foundation.spec.ts"/>
    <hyperlink ref="G29" r:id="rId21" display="tests/visual.spec.ts"/>
    <hyperlink ref="G30" r:id="rId22" display="tests/form-foundation.spec.ts"/>
    <hyperlink ref="G31" r:id="rId23" display="../test/components/form-foundation.test.tsx"/>
    <hyperlink ref="G32" r:id="rId24" display="../test/package/package.test.mjs"/>
    <hyperlink ref="G33" r:id="rId25" display="../test/package/package.test.mjs"/>
    <hyperlink ref="G34" r:id="rId26" display="../test/package/package.test.mjs"/>
    <hyperlink ref="G35" r:id="rId27" display="../test/package/package.test.mjs"/>
    <hyperlink ref="G36" r:id="rId28" display="../scripts/verify-consumers.mjs"/>
    <hyperlink ref="G37" r:id="rId29" display="../docs/components/form/README.md"/>
    <hyperlink ref="G38" r:id="rId30" display="../docs/components/field/README.md"/>
    <hyperlink ref="G39" r:id="rId31" display="../docs/components/fieldset/README.md"/>
    <hyperlink ref="G40" r:id="rId32" display="../playground/src/main.tsx"/>
    <hyperlink ref="G41" r:id="rId33" display="../../docs/manual-tests/form-foundation.md"/>
    <hyperlink ref="G42" r:id="rId34" display="../../docs/manual-tests/form-foundation.md"/>
    <hyperlink ref="G43" r:id="rId35" display="../../docs/manual-tests/form-foundation.md"/>
    <hyperlink ref="G44" r:id="rId36" display="../../docs/manual-tests/form-foundation.md"/>
    <hyperlink ref="G45" r:id="rId37" display="../../../apps/brick-consumer/tests/consumer.spec.ts"/>
    <hyperlink ref="G46" r:id="rId38" display="../../docs/core-dependency-ledger.md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0" t="s">
        <v>1422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customFormat="false" ht="33.75" hidden="false" customHeight="true" outlineLevel="0" collapsed="false">
      <c r="A2" s="3" t="s">
        <v>1423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29</v>
      </c>
      <c r="E4" s="4" t="s">
        <v>14</v>
      </c>
      <c r="F4" s="6" t="n">
        <f aca="false">IFERROR(D4/SUM(L9:L47),0)</f>
        <v>0.743589743589744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1424</v>
      </c>
      <c r="B9" s="15" t="s">
        <v>71</v>
      </c>
      <c r="C9" s="15" t="s">
        <v>538</v>
      </c>
      <c r="D9" s="15" t="s">
        <v>1425</v>
      </c>
      <c r="E9" s="15" t="s">
        <v>73</v>
      </c>
      <c r="F9" s="15" t="s">
        <v>74</v>
      </c>
      <c r="G9" s="16" t="s">
        <v>1426</v>
      </c>
      <c r="H9" s="15" t="s">
        <v>76</v>
      </c>
      <c r="I9" s="15" t="s">
        <v>77</v>
      </c>
      <c r="J9" s="19" t="n">
        <v>46224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1427</v>
      </c>
      <c r="B10" s="15" t="s">
        <v>79</v>
      </c>
      <c r="C10" s="15" t="s">
        <v>538</v>
      </c>
      <c r="D10" s="15" t="s">
        <v>1428</v>
      </c>
      <c r="E10" s="15" t="s">
        <v>73</v>
      </c>
      <c r="F10" s="15" t="s">
        <v>81</v>
      </c>
      <c r="G10" s="16" t="s">
        <v>1429</v>
      </c>
      <c r="H10" s="15" t="s">
        <v>83</v>
      </c>
      <c r="I10" s="15" t="s">
        <v>84</v>
      </c>
      <c r="J10" s="19" t="n">
        <v>46224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1430</v>
      </c>
      <c r="B11" s="15" t="s">
        <v>1431</v>
      </c>
      <c r="C11" s="15" t="s">
        <v>538</v>
      </c>
      <c r="D11" s="15" t="s">
        <v>1432</v>
      </c>
      <c r="E11" s="15" t="s">
        <v>73</v>
      </c>
      <c r="F11" s="15" t="s">
        <v>73</v>
      </c>
      <c r="G11" s="16" t="s">
        <v>1433</v>
      </c>
      <c r="H11" s="15" t="s">
        <v>76</v>
      </c>
      <c r="I11" s="15" t="s">
        <v>77</v>
      </c>
      <c r="J11" s="19" t="n">
        <v>46224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1434</v>
      </c>
      <c r="B12" s="15" t="s">
        <v>1022</v>
      </c>
      <c r="C12" s="15" t="s">
        <v>538</v>
      </c>
      <c r="D12" s="15" t="s">
        <v>1435</v>
      </c>
      <c r="E12" s="15" t="s">
        <v>73</v>
      </c>
      <c r="F12" s="15" t="s">
        <v>73</v>
      </c>
      <c r="G12" s="16" t="s">
        <v>505</v>
      </c>
      <c r="H12" s="15" t="s">
        <v>76</v>
      </c>
      <c r="I12" s="15" t="s">
        <v>77</v>
      </c>
      <c r="J12" s="19" t="n">
        <v>46224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1436</v>
      </c>
      <c r="B13" s="15" t="s">
        <v>1437</v>
      </c>
      <c r="C13" s="15" t="s">
        <v>538</v>
      </c>
      <c r="D13" s="15" t="s">
        <v>1438</v>
      </c>
      <c r="E13" s="15" t="s">
        <v>73</v>
      </c>
      <c r="F13" s="15" t="s">
        <v>87</v>
      </c>
      <c r="G13" s="16" t="s">
        <v>1439</v>
      </c>
      <c r="H13" s="15" t="s">
        <v>76</v>
      </c>
      <c r="I13" s="15" t="s">
        <v>77</v>
      </c>
      <c r="J13" s="19" t="n">
        <v>46224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1440</v>
      </c>
      <c r="B14" s="15" t="s">
        <v>1088</v>
      </c>
      <c r="C14" s="15" t="s">
        <v>538</v>
      </c>
      <c r="D14" s="15" t="s">
        <v>1441</v>
      </c>
      <c r="E14" s="15" t="s">
        <v>73</v>
      </c>
      <c r="F14" s="15" t="s">
        <v>1442</v>
      </c>
      <c r="G14" s="16" t="s">
        <v>1443</v>
      </c>
      <c r="H14" s="15" t="s">
        <v>76</v>
      </c>
      <c r="I14" s="15" t="s">
        <v>77</v>
      </c>
      <c r="J14" s="19" t="n">
        <v>46224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1444</v>
      </c>
      <c r="B15" s="15" t="s">
        <v>51</v>
      </c>
      <c r="C15" s="15" t="s">
        <v>1445</v>
      </c>
      <c r="D15" s="15" t="s">
        <v>1446</v>
      </c>
      <c r="E15" s="15" t="s">
        <v>73</v>
      </c>
      <c r="F15" s="15" t="s">
        <v>1447</v>
      </c>
      <c r="G15" s="16" t="s">
        <v>1448</v>
      </c>
      <c r="H15" s="15" t="s">
        <v>76</v>
      </c>
      <c r="I15" s="15" t="s">
        <v>77</v>
      </c>
      <c r="J15" s="19" t="n">
        <v>46224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1449</v>
      </c>
      <c r="B16" s="15" t="s">
        <v>51</v>
      </c>
      <c r="C16" s="15" t="s">
        <v>1450</v>
      </c>
      <c r="D16" s="15" t="s">
        <v>1451</v>
      </c>
      <c r="E16" s="15" t="s">
        <v>73</v>
      </c>
      <c r="F16" s="15" t="s">
        <v>1447</v>
      </c>
      <c r="G16" s="16" t="s">
        <v>1448</v>
      </c>
      <c r="H16" s="15" t="s">
        <v>76</v>
      </c>
      <c r="I16" s="15" t="s">
        <v>77</v>
      </c>
      <c r="J16" s="19" t="n">
        <v>46224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1452</v>
      </c>
      <c r="B17" s="15" t="s">
        <v>744</v>
      </c>
      <c r="C17" s="15" t="s">
        <v>1445</v>
      </c>
      <c r="D17" s="15" t="s">
        <v>1453</v>
      </c>
      <c r="E17" s="15" t="s">
        <v>73</v>
      </c>
      <c r="F17" s="15" t="s">
        <v>142</v>
      </c>
      <c r="G17" s="16" t="s">
        <v>1454</v>
      </c>
      <c r="H17" s="15" t="s">
        <v>83</v>
      </c>
      <c r="I17" s="15" t="s">
        <v>84</v>
      </c>
      <c r="J17" s="19" t="n">
        <v>46224</v>
      </c>
      <c r="K17" s="15" t="s">
        <v>1455</v>
      </c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1456</v>
      </c>
      <c r="B18" s="15" t="s">
        <v>1457</v>
      </c>
      <c r="C18" s="15" t="s">
        <v>1445</v>
      </c>
      <c r="D18" s="15" t="s">
        <v>1458</v>
      </c>
      <c r="E18" s="15" t="s">
        <v>73</v>
      </c>
      <c r="F18" s="15" t="s">
        <v>142</v>
      </c>
      <c r="G18" s="16" t="s">
        <v>1459</v>
      </c>
      <c r="H18" s="15" t="s">
        <v>83</v>
      </c>
      <c r="I18" s="15" t="s">
        <v>84</v>
      </c>
      <c r="J18" s="19" t="n">
        <v>46224</v>
      </c>
      <c r="K18" s="15" t="s">
        <v>1460</v>
      </c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1461</v>
      </c>
      <c r="B19" s="15" t="s">
        <v>860</v>
      </c>
      <c r="C19" s="15" t="s">
        <v>538</v>
      </c>
      <c r="D19" s="15" t="s">
        <v>1462</v>
      </c>
      <c r="E19" s="15" t="s">
        <v>73</v>
      </c>
      <c r="F19" s="15" t="s">
        <v>142</v>
      </c>
      <c r="G19" s="16" t="s">
        <v>1463</v>
      </c>
      <c r="H19" s="15" t="s">
        <v>83</v>
      </c>
      <c r="I19" s="15" t="s">
        <v>84</v>
      </c>
      <c r="J19" s="19" t="n">
        <v>46224</v>
      </c>
      <c r="K19" s="15" t="s">
        <v>1464</v>
      </c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1465</v>
      </c>
      <c r="B20" s="15" t="s">
        <v>1466</v>
      </c>
      <c r="C20" s="15" t="s">
        <v>538</v>
      </c>
      <c r="D20" s="15" t="s">
        <v>1467</v>
      </c>
      <c r="E20" s="15" t="s">
        <v>73</v>
      </c>
      <c r="F20" s="15" t="s">
        <v>142</v>
      </c>
      <c r="G20" s="16" t="s">
        <v>1468</v>
      </c>
      <c r="H20" s="15" t="s">
        <v>83</v>
      </c>
      <c r="I20" s="15" t="s">
        <v>84</v>
      </c>
      <c r="J20" s="19" t="n">
        <v>46224</v>
      </c>
      <c r="K20" s="15" t="s">
        <v>1469</v>
      </c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1470</v>
      </c>
      <c r="B21" s="15" t="s">
        <v>757</v>
      </c>
      <c r="C21" s="15" t="s">
        <v>538</v>
      </c>
      <c r="D21" s="15" t="s">
        <v>1471</v>
      </c>
      <c r="E21" s="15" t="s">
        <v>73</v>
      </c>
      <c r="F21" s="15" t="s">
        <v>142</v>
      </c>
      <c r="G21" s="16" t="s">
        <v>1472</v>
      </c>
      <c r="H21" s="15" t="s">
        <v>83</v>
      </c>
      <c r="I21" s="15" t="s">
        <v>84</v>
      </c>
      <c r="J21" s="19" t="n">
        <v>46224</v>
      </c>
      <c r="K21" s="15" t="s">
        <v>1473</v>
      </c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1474</v>
      </c>
      <c r="B22" s="15" t="s">
        <v>1475</v>
      </c>
      <c r="C22" s="15" t="s">
        <v>1476</v>
      </c>
      <c r="D22" s="15" t="s">
        <v>1477</v>
      </c>
      <c r="E22" s="15" t="s">
        <v>73</v>
      </c>
      <c r="F22" s="15" t="s">
        <v>1047</v>
      </c>
      <c r="G22" s="16" t="s">
        <v>1478</v>
      </c>
      <c r="H22" s="15" t="s">
        <v>76</v>
      </c>
      <c r="I22" s="15" t="s">
        <v>77</v>
      </c>
      <c r="J22" s="19" t="n">
        <v>46224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1479</v>
      </c>
      <c r="B23" s="15" t="s">
        <v>1480</v>
      </c>
      <c r="C23" s="15" t="s">
        <v>1481</v>
      </c>
      <c r="D23" s="15" t="s">
        <v>1482</v>
      </c>
      <c r="E23" s="15" t="s">
        <v>73</v>
      </c>
      <c r="F23" s="15" t="s">
        <v>1047</v>
      </c>
      <c r="G23" s="16" t="s">
        <v>1478</v>
      </c>
      <c r="H23" s="15" t="s">
        <v>76</v>
      </c>
      <c r="I23" s="15" t="s">
        <v>77</v>
      </c>
      <c r="J23" s="19" t="n">
        <v>46224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1483</v>
      </c>
      <c r="B24" s="15" t="s">
        <v>1333</v>
      </c>
      <c r="C24" s="15" t="s">
        <v>1445</v>
      </c>
      <c r="D24" s="15" t="s">
        <v>1484</v>
      </c>
      <c r="E24" s="15" t="s">
        <v>73</v>
      </c>
      <c r="F24" s="15" t="s">
        <v>1447</v>
      </c>
      <c r="G24" s="16" t="s">
        <v>1448</v>
      </c>
      <c r="H24" s="15" t="s">
        <v>76</v>
      </c>
      <c r="I24" s="15" t="s">
        <v>77</v>
      </c>
      <c r="J24" s="19" t="n">
        <v>46224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1485</v>
      </c>
      <c r="B25" s="15" t="s">
        <v>1336</v>
      </c>
      <c r="C25" s="15" t="s">
        <v>1450</v>
      </c>
      <c r="D25" s="15" t="s">
        <v>1486</v>
      </c>
      <c r="E25" s="15" t="s">
        <v>73</v>
      </c>
      <c r="F25" s="15" t="s">
        <v>1447</v>
      </c>
      <c r="G25" s="16" t="s">
        <v>1448</v>
      </c>
      <c r="H25" s="15" t="s">
        <v>76</v>
      </c>
      <c r="I25" s="15" t="s">
        <v>77</v>
      </c>
      <c r="J25" s="19" t="n">
        <v>46224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1487</v>
      </c>
      <c r="B26" s="15" t="s">
        <v>1488</v>
      </c>
      <c r="C26" s="15" t="s">
        <v>538</v>
      </c>
      <c r="D26" s="15" t="s">
        <v>1489</v>
      </c>
      <c r="E26" s="15" t="s">
        <v>73</v>
      </c>
      <c r="F26" s="15" t="s">
        <v>1047</v>
      </c>
      <c r="G26" s="16" t="s">
        <v>1478</v>
      </c>
      <c r="H26" s="15" t="s">
        <v>76</v>
      </c>
      <c r="I26" s="15" t="s">
        <v>77</v>
      </c>
      <c r="J26" s="19" t="n">
        <v>46224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1490</v>
      </c>
      <c r="B27" s="15" t="s">
        <v>1491</v>
      </c>
      <c r="C27" s="15" t="s">
        <v>1445</v>
      </c>
      <c r="D27" s="15" t="s">
        <v>1492</v>
      </c>
      <c r="E27" s="15" t="s">
        <v>73</v>
      </c>
      <c r="F27" s="15" t="s">
        <v>1047</v>
      </c>
      <c r="G27" s="16" t="s">
        <v>1478</v>
      </c>
      <c r="H27" s="15" t="s">
        <v>76</v>
      </c>
      <c r="I27" s="15" t="s">
        <v>77</v>
      </c>
      <c r="J27" s="19" t="n">
        <v>46224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1493</v>
      </c>
      <c r="B28" s="15" t="s">
        <v>1491</v>
      </c>
      <c r="C28" s="15" t="s">
        <v>1450</v>
      </c>
      <c r="D28" s="15" t="s">
        <v>1494</v>
      </c>
      <c r="E28" s="15" t="s">
        <v>73</v>
      </c>
      <c r="F28" s="15" t="s">
        <v>1047</v>
      </c>
      <c r="G28" s="16" t="s">
        <v>1478</v>
      </c>
      <c r="H28" s="15" t="s">
        <v>76</v>
      </c>
      <c r="I28" s="15" t="s">
        <v>77</v>
      </c>
      <c r="J28" s="19" t="n">
        <v>46224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1495</v>
      </c>
      <c r="B29" s="15" t="s">
        <v>1350</v>
      </c>
      <c r="C29" s="15" t="s">
        <v>538</v>
      </c>
      <c r="D29" s="15" t="s">
        <v>1496</v>
      </c>
      <c r="E29" s="15" t="s">
        <v>73</v>
      </c>
      <c r="F29" s="15" t="s">
        <v>1447</v>
      </c>
      <c r="G29" s="16" t="s">
        <v>1448</v>
      </c>
      <c r="H29" s="15" t="s">
        <v>76</v>
      </c>
      <c r="I29" s="15" t="s">
        <v>77</v>
      </c>
      <c r="J29" s="19" t="n">
        <v>46224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1497</v>
      </c>
      <c r="B30" s="15" t="s">
        <v>670</v>
      </c>
      <c r="C30" s="15" t="s">
        <v>538</v>
      </c>
      <c r="D30" s="15" t="s">
        <v>1498</v>
      </c>
      <c r="E30" s="15" t="s">
        <v>73</v>
      </c>
      <c r="F30" s="15" t="s">
        <v>1047</v>
      </c>
      <c r="G30" s="16" t="s">
        <v>1478</v>
      </c>
      <c r="H30" s="15" t="s">
        <v>76</v>
      </c>
      <c r="I30" s="15" t="s">
        <v>77</v>
      </c>
      <c r="J30" s="19" t="n">
        <v>46224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1499</v>
      </c>
      <c r="B31" s="15" t="s">
        <v>1199</v>
      </c>
      <c r="C31" s="15" t="s">
        <v>538</v>
      </c>
      <c r="D31" s="15" t="s">
        <v>1500</v>
      </c>
      <c r="E31" s="15" t="s">
        <v>73</v>
      </c>
      <c r="F31" s="15" t="s">
        <v>1501</v>
      </c>
      <c r="G31" s="16" t="s">
        <v>237</v>
      </c>
      <c r="H31" s="15" t="s">
        <v>76</v>
      </c>
      <c r="I31" s="15" t="s">
        <v>77</v>
      </c>
      <c r="J31" s="19" t="n">
        <v>46224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1502</v>
      </c>
      <c r="B32" s="15" t="s">
        <v>551</v>
      </c>
      <c r="C32" s="15" t="s">
        <v>538</v>
      </c>
      <c r="D32" s="15" t="s">
        <v>1503</v>
      </c>
      <c r="E32" s="15" t="s">
        <v>73</v>
      </c>
      <c r="F32" s="15" t="s">
        <v>1086</v>
      </c>
      <c r="G32" s="16" t="s">
        <v>1478</v>
      </c>
      <c r="H32" s="15" t="s">
        <v>76</v>
      </c>
      <c r="I32" s="15" t="s">
        <v>77</v>
      </c>
      <c r="J32" s="19" t="n">
        <v>46224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1504</v>
      </c>
      <c r="B33" s="15" t="s">
        <v>780</v>
      </c>
      <c r="C33" s="15" t="s">
        <v>538</v>
      </c>
      <c r="D33" s="15" t="s">
        <v>1505</v>
      </c>
      <c r="E33" s="15" t="s">
        <v>73</v>
      </c>
      <c r="F33" s="15" t="s">
        <v>1047</v>
      </c>
      <c r="G33" s="16" t="s">
        <v>1478</v>
      </c>
      <c r="H33" s="15" t="s">
        <v>76</v>
      </c>
      <c r="I33" s="15" t="s">
        <v>77</v>
      </c>
      <c r="J33" s="19" t="n">
        <v>46224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1506</v>
      </c>
      <c r="B34" s="15" t="s">
        <v>1507</v>
      </c>
      <c r="C34" s="15" t="s">
        <v>538</v>
      </c>
      <c r="D34" s="15" t="s">
        <v>1508</v>
      </c>
      <c r="E34" s="15" t="s">
        <v>73</v>
      </c>
      <c r="F34" s="15" t="s">
        <v>486</v>
      </c>
      <c r="G34" s="16" t="s">
        <v>1509</v>
      </c>
      <c r="H34" s="15" t="s">
        <v>83</v>
      </c>
      <c r="I34" s="15" t="s">
        <v>84</v>
      </c>
      <c r="J34" s="19" t="n">
        <v>46224</v>
      </c>
      <c r="K34" s="15" t="s">
        <v>1510</v>
      </c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1511</v>
      </c>
      <c r="B35" s="15" t="s">
        <v>1057</v>
      </c>
      <c r="C35" s="15" t="s">
        <v>538</v>
      </c>
      <c r="D35" s="15" t="s">
        <v>1512</v>
      </c>
      <c r="E35" s="15" t="s">
        <v>73</v>
      </c>
      <c r="F35" s="15" t="s">
        <v>142</v>
      </c>
      <c r="G35" s="16" t="s">
        <v>1513</v>
      </c>
      <c r="H35" s="15" t="s">
        <v>163</v>
      </c>
      <c r="I35" s="15" t="s">
        <v>84</v>
      </c>
      <c r="J35" s="19" t="n">
        <v>46224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0</v>
      </c>
    </row>
    <row r="36" customFormat="false" ht="42" hidden="false" customHeight="true" outlineLevel="0" collapsed="false">
      <c r="A36" s="15" t="s">
        <v>1514</v>
      </c>
      <c r="B36" s="15" t="s">
        <v>1515</v>
      </c>
      <c r="C36" s="15" t="s">
        <v>538</v>
      </c>
      <c r="D36" s="15" t="s">
        <v>1516</v>
      </c>
      <c r="E36" s="15" t="s">
        <v>73</v>
      </c>
      <c r="F36" s="15" t="s">
        <v>142</v>
      </c>
      <c r="G36" s="16" t="s">
        <v>1517</v>
      </c>
      <c r="H36" s="15" t="s">
        <v>163</v>
      </c>
      <c r="I36" s="15" t="s">
        <v>84</v>
      </c>
      <c r="J36" s="19" t="n">
        <v>46224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0</v>
      </c>
    </row>
    <row r="37" customFormat="false" ht="42" hidden="false" customHeight="true" outlineLevel="0" collapsed="false">
      <c r="A37" s="15" t="s">
        <v>1518</v>
      </c>
      <c r="B37" s="15" t="s">
        <v>761</v>
      </c>
      <c r="C37" s="15" t="s">
        <v>538</v>
      </c>
      <c r="D37" s="15" t="s">
        <v>1519</v>
      </c>
      <c r="E37" s="15" t="s">
        <v>73</v>
      </c>
      <c r="F37" s="15" t="s">
        <v>142</v>
      </c>
      <c r="G37" s="16" t="s">
        <v>1520</v>
      </c>
      <c r="H37" s="15" t="s">
        <v>163</v>
      </c>
      <c r="I37" s="15" t="s">
        <v>84</v>
      </c>
      <c r="J37" s="19" t="n">
        <v>46224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0</v>
      </c>
    </row>
    <row r="38" customFormat="false" ht="42" hidden="false" customHeight="true" outlineLevel="0" collapsed="false">
      <c r="A38" s="15" t="s">
        <v>1521</v>
      </c>
      <c r="B38" s="15" t="s">
        <v>863</v>
      </c>
      <c r="C38" s="15" t="s">
        <v>538</v>
      </c>
      <c r="D38" s="15" t="s">
        <v>1522</v>
      </c>
      <c r="E38" s="15" t="s">
        <v>73</v>
      </c>
      <c r="F38" s="15" t="s">
        <v>142</v>
      </c>
      <c r="G38" s="16" t="s">
        <v>1523</v>
      </c>
      <c r="H38" s="15" t="s">
        <v>163</v>
      </c>
      <c r="I38" s="15" t="s">
        <v>84</v>
      </c>
      <c r="J38" s="19" t="n">
        <v>46224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0</v>
      </c>
    </row>
    <row r="39" customFormat="false" ht="42" hidden="false" customHeight="true" outlineLevel="0" collapsed="false">
      <c r="A39" s="15" t="s">
        <v>1524</v>
      </c>
      <c r="B39" s="15" t="s">
        <v>863</v>
      </c>
      <c r="C39" s="15" t="s">
        <v>538</v>
      </c>
      <c r="D39" s="15" t="s">
        <v>1525</v>
      </c>
      <c r="E39" s="15" t="s">
        <v>73</v>
      </c>
      <c r="F39" s="15" t="s">
        <v>142</v>
      </c>
      <c r="G39" s="16" t="s">
        <v>1526</v>
      </c>
      <c r="H39" s="15" t="s">
        <v>163</v>
      </c>
      <c r="I39" s="15" t="s">
        <v>84</v>
      </c>
      <c r="J39" s="19" t="n">
        <v>46224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0</v>
      </c>
    </row>
    <row r="40" customFormat="false" ht="42" hidden="false" customHeight="true" outlineLevel="0" collapsed="false">
      <c r="A40" s="15" t="s">
        <v>1527</v>
      </c>
      <c r="B40" s="15" t="s">
        <v>670</v>
      </c>
      <c r="C40" s="15" t="s">
        <v>538</v>
      </c>
      <c r="D40" s="15" t="s">
        <v>1528</v>
      </c>
      <c r="E40" s="15" t="s">
        <v>73</v>
      </c>
      <c r="F40" s="15" t="s">
        <v>142</v>
      </c>
      <c r="G40" s="16" t="s">
        <v>1529</v>
      </c>
      <c r="H40" s="15" t="s">
        <v>163</v>
      </c>
      <c r="I40" s="15" t="s">
        <v>84</v>
      </c>
      <c r="J40" s="19" t="n">
        <v>46224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0</v>
      </c>
    </row>
    <row r="41" customFormat="false" ht="42" hidden="false" customHeight="true" outlineLevel="0" collapsed="false">
      <c r="A41" s="15" t="s">
        <v>1530</v>
      </c>
      <c r="B41" s="15" t="s">
        <v>1106</v>
      </c>
      <c r="C41" s="15" t="s">
        <v>1476</v>
      </c>
      <c r="D41" s="15" t="s">
        <v>1531</v>
      </c>
      <c r="E41" s="15" t="s">
        <v>73</v>
      </c>
      <c r="F41" s="15" t="s">
        <v>142</v>
      </c>
      <c r="G41" s="16" t="s">
        <v>1532</v>
      </c>
      <c r="H41" s="15" t="s">
        <v>163</v>
      </c>
      <c r="I41" s="15" t="s">
        <v>84</v>
      </c>
      <c r="J41" s="19" t="n">
        <v>46224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  <row r="42" customFormat="false" ht="42" hidden="false" customHeight="true" outlineLevel="0" collapsed="false">
      <c r="A42" s="15" t="s">
        <v>1533</v>
      </c>
      <c r="B42" s="15" t="s">
        <v>1106</v>
      </c>
      <c r="C42" s="15" t="s">
        <v>1488</v>
      </c>
      <c r="D42" s="15" t="s">
        <v>1534</v>
      </c>
      <c r="E42" s="15" t="s">
        <v>73</v>
      </c>
      <c r="F42" s="15" t="s">
        <v>142</v>
      </c>
      <c r="G42" s="16" t="s">
        <v>1535</v>
      </c>
      <c r="H42" s="15" t="s">
        <v>163</v>
      </c>
      <c r="I42" s="15" t="s">
        <v>84</v>
      </c>
      <c r="J42" s="19" t="n">
        <v>46224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1536</v>
      </c>
      <c r="B43" s="15" t="s">
        <v>1106</v>
      </c>
      <c r="C43" s="15" t="s">
        <v>551</v>
      </c>
      <c r="D43" s="15" t="s">
        <v>1537</v>
      </c>
      <c r="E43" s="15" t="s">
        <v>73</v>
      </c>
      <c r="F43" s="15" t="s">
        <v>142</v>
      </c>
      <c r="G43" s="16" t="s">
        <v>1538</v>
      </c>
      <c r="H43" s="15" t="s">
        <v>163</v>
      </c>
      <c r="I43" s="15" t="s">
        <v>84</v>
      </c>
      <c r="J43" s="19" t="n">
        <v>46224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1539</v>
      </c>
      <c r="B44" s="15" t="s">
        <v>1540</v>
      </c>
      <c r="C44" s="15" t="s">
        <v>538</v>
      </c>
      <c r="D44" s="15" t="s">
        <v>1541</v>
      </c>
      <c r="E44" s="15" t="s">
        <v>73</v>
      </c>
      <c r="F44" s="15" t="s">
        <v>1047</v>
      </c>
      <c r="G44" s="16" t="s">
        <v>1478</v>
      </c>
      <c r="H44" s="15" t="s">
        <v>76</v>
      </c>
      <c r="I44" s="15" t="s">
        <v>77</v>
      </c>
      <c r="J44" s="19" t="n">
        <v>46224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1542</v>
      </c>
      <c r="B45" s="15" t="s">
        <v>154</v>
      </c>
      <c r="C45" s="15" t="s">
        <v>538</v>
      </c>
      <c r="D45" s="15" t="s">
        <v>1543</v>
      </c>
      <c r="E45" s="15" t="s">
        <v>156</v>
      </c>
      <c r="F45" s="15" t="s">
        <v>156</v>
      </c>
      <c r="G45" s="16" t="s">
        <v>1544</v>
      </c>
      <c r="H45" s="15" t="s">
        <v>76</v>
      </c>
      <c r="I45" s="15" t="s">
        <v>77</v>
      </c>
      <c r="J45" s="19" t="n">
        <v>46224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1545</v>
      </c>
      <c r="B46" s="15" t="s">
        <v>1096</v>
      </c>
      <c r="C46" s="15" t="s">
        <v>538</v>
      </c>
      <c r="D46" s="15" t="s">
        <v>1546</v>
      </c>
      <c r="E46" s="15" t="s">
        <v>73</v>
      </c>
      <c r="F46" s="15" t="s">
        <v>148</v>
      </c>
      <c r="G46" s="16" t="s">
        <v>1547</v>
      </c>
      <c r="H46" s="15" t="s">
        <v>76</v>
      </c>
      <c r="I46" s="15" t="s">
        <v>77</v>
      </c>
      <c r="J46" s="19" t="n">
        <v>46224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1548</v>
      </c>
      <c r="B47" s="15" t="s">
        <v>159</v>
      </c>
      <c r="C47" s="15" t="s">
        <v>1549</v>
      </c>
      <c r="D47" s="15" t="s">
        <v>1550</v>
      </c>
      <c r="E47" s="15" t="s">
        <v>161</v>
      </c>
      <c r="F47" s="15" t="s">
        <v>1416</v>
      </c>
      <c r="G47" s="16" t="s">
        <v>253</v>
      </c>
      <c r="H47" s="15" t="s">
        <v>254</v>
      </c>
      <c r="I47" s="15" t="s">
        <v>77</v>
      </c>
      <c r="J47" s="19" t="n">
        <v>46224</v>
      </c>
      <c r="K47" s="15" t="s">
        <v>1551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A1" r:id="rId1" location="Index!A1" display="Checkbox Family Evidence Matrix"/>
    <hyperlink ref="G9" r:id="rId2" display="../src/components/checkbox/Checkbox.tsx; ../src/components/checkbox-group/CheckboxGroup.tsx"/>
    <hyperlink ref="G10" r:id="rId3" display="../../docs/checkbox-family-component-brief.md"/>
    <hyperlink ref="G11" r:id="rId4" display="../package.json; ../package-lock.json"/>
    <hyperlink ref="G12" r:id="rId5" display="../test/package/package.test.mjs"/>
    <hyperlink ref="G13" r:id="rId6" display="../test/types/checkbox-family.test.tsx"/>
    <hyperlink ref="G14" r:id="rId7" display="../src/styles/components/checkbox.css; ../test/css"/>
    <hyperlink ref="G15" r:id="rId8" display="../test/components/checkbox-family.test.tsx"/>
    <hyperlink ref="G16" r:id="rId9" display="../test/components/checkbox-family.test.tsx"/>
    <hyperlink ref="G17" r:id="rId10" display="../../docs/manual-tests/checkbox-family.md#1"/>
    <hyperlink ref="G18" r:id="rId11" display="../../docs/manual-tests/checkbox-family.md#2"/>
    <hyperlink ref="G19" r:id="rId12" display="../../docs/manual-tests/checkbox-family.md#3"/>
    <hyperlink ref="G20" r:id="rId13" display="../../docs/manual-tests/checkbox-family.md#4"/>
    <hyperlink ref="G21" r:id="rId14" display="../../docs/manual-tests/checkbox-family.md#5"/>
    <hyperlink ref="G22" r:id="rId15" display="../playground/tests/checkbox-family.spec.ts"/>
    <hyperlink ref="G23" r:id="rId16" display="../playground/tests/checkbox-family.spec.ts"/>
    <hyperlink ref="G24" r:id="rId17" display="../test/components/checkbox-family.test.tsx"/>
    <hyperlink ref="G25" r:id="rId18" display="../test/components/checkbox-family.test.tsx"/>
    <hyperlink ref="G26" r:id="rId19" display="../playground/tests/checkbox-family.spec.ts"/>
    <hyperlink ref="G27" r:id="rId20" display="../playground/tests/checkbox-family.spec.ts"/>
    <hyperlink ref="G28" r:id="rId21" display="../playground/tests/checkbox-family.spec.ts"/>
    <hyperlink ref="G29" r:id="rId22" display="../test/components/checkbox-family.test.tsx"/>
    <hyperlink ref="G30" r:id="rId23" display="../playground/tests/checkbox-family.spec.ts"/>
    <hyperlink ref="G31" r:id="rId24" display="../test/package/ssr.test.mjs"/>
    <hyperlink ref="G32" r:id="rId25" display="../playground/tests/checkbox-family.spec.ts"/>
    <hyperlink ref="G33" r:id="rId26" display="../playground/tests/checkbox-family.spec.ts"/>
    <hyperlink ref="G34" r:id="rId27" display="../playground/tests/visual.spec.ts; ../playground/tests/__screenshots__"/>
    <hyperlink ref="G35" r:id="rId28" display="../../docs/manual-tests/checkbox-family.md#10"/>
    <hyperlink ref="G36" r:id="rId29" display="../../docs/manual-tests/checkbox-family.md#11"/>
    <hyperlink ref="G37" r:id="rId30" display="../../docs/manual-tests/checkbox-family.md#12"/>
    <hyperlink ref="G38" r:id="rId31" display="../../docs/manual-tests/checkbox-family.md#13"/>
    <hyperlink ref="G39" r:id="rId32" display="../../docs/manual-tests/checkbox-family.md#14"/>
    <hyperlink ref="G40" r:id="rId33" display="../../docs/manual-tests/checkbox-family.md#15"/>
    <hyperlink ref="G41" r:id="rId34" display="../../docs/manual-tests/checkbox-family.md#6"/>
    <hyperlink ref="G42" r:id="rId35" display="../../docs/manual-tests/checkbox-family.md#7"/>
    <hyperlink ref="G43" r:id="rId36" display="../../docs/manual-tests/checkbox-family.md#9"/>
    <hyperlink ref="G44" r:id="rId37" display="../playground/tests/checkbox-family.spec.ts"/>
    <hyperlink ref="G45" r:id="rId38" display="../../../apps/brick-consumer"/>
    <hyperlink ref="G46" r:id="rId39" display="../docs/components/checkbox/README.md; ../docs/components/checkbox-group/README.md"/>
    <hyperlink ref="G47" r:id="rId40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4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2026-07-21T23:51:37Z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