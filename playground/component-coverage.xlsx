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ables/table27.xml" ContentType="application/vnd.openxmlformats-officedocument.spreadsheetml.table+xml"/>
  <Override PartName="/xl/worksheets/sheet71.xml" ContentType="application/vnd.openxmlformats-officedocument.spreadsheetml.worksheet+xml"/>
  <Override PartName="/xl/tables/table28.xml" ContentType="application/vnd.openxmlformats-officedocument.spreadsheetml.table+xml"/>
  <Override PartName="/xl/worksheets/sheet72.xml" ContentType="application/vnd.openxmlformats-officedocument.spreadsheetml.worksheet+xml"/>
  <Override PartName="/xl/tables/table29.xml" ContentType="application/vnd.openxmlformats-officedocument.spreadsheetml.table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Index" sheetId="1" state="visible" r:id="rId1"/>
    <sheet name="Instructions" sheetId="2" state="visible" r:id="rId2"/>
    <sheet name="_Lists" sheetId="3" state="hidden" r:id="rId3"/>
    <sheet name="Alert Dialog" sheetId="4" state="visible" r:id="rId4"/>
    <sheet name="App Bar" sheetId="5" state="visible" r:id="rId5"/>
    <sheet name="Avatar" sheetId="6" state="visible" r:id="rId6"/>
    <sheet name="Badge" sheetId="7" state="visible" r:id="rId7"/>
    <sheet name="Button" sheetId="8" state="visible" r:id="rId8"/>
    <sheet name="Card" sheetId="9" state="visible" r:id="rId9"/>
    <sheet name="Checkbox" sheetId="10" state="visible" r:id="rId10"/>
    <sheet name="Checkbox Group" sheetId="11" state="visible" r:id="rId11"/>
    <sheet name="Dialog" sheetId="12" state="visible" r:id="rId12"/>
    <sheet name="Drawer" sheetId="13" state="visible" r:id="rId13"/>
    <sheet name="Field" sheetId="14" state="visible" r:id="rId14"/>
    <sheet name="Fieldset" sheetId="15" state="visible" r:id="rId15"/>
    <sheet name="Form" sheetId="16" state="visible" r:id="rId16"/>
    <sheet name="Hover Card" sheetId="17" state="visible" r:id="rId17"/>
    <sheet name="Icon Button" sheetId="18" state="visible" r:id="rId18"/>
    <sheet name="Input" sheetId="19" state="visible" r:id="rId19"/>
    <sheet name="Link" sheetId="20" state="visible" r:id="rId20"/>
    <sheet name="Text" sheetId="21" state="visible" r:id="rId21"/>
    <sheet name="Notification Badge" sheetId="22" state="visible" r:id="rId22"/>
    <sheet name="Popover" sheetId="23" state="visible" r:id="rId23"/>
    <sheet name="Toggle" sheetId="24" state="visible" r:id="rId24"/>
    <sheet name="Toggle Group" sheetId="25" state="visible" r:id="rId25"/>
    <sheet name="Stack" sheetId="26" state="visible" r:id="rId26"/>
    <sheet name="Tooltip" sheetId="27" state="visible" r:id="rId27"/>
    <sheet name="Grid" sheetId="28" state="visible" r:id="rId28"/>
    <sheet name="Container" sheetId="29" state="visible" r:id="rId29"/>
    <sheet name="Surface" sheetId="30" state="visible" r:id="rId30"/>
    <sheet name="Divider" sheetId="31" state="visible" r:id="rId31"/>
    <sheet name="Scroll Area" sheetId="32" state="visible" r:id="rId32"/>
    <sheet name="Code" sheetId="33" state="visible" r:id="rId33"/>
    <sheet name="Code Block" sheetId="34" state="visible" r:id="rId34"/>
    <sheet name="Nav List" sheetId="35" state="visible" r:id="rId35"/>
    <sheet name="Sidebar" sheetId="36" state="visible" r:id="rId36"/>
    <sheet name="Icon" sheetId="37" state="visible" r:id="rId37"/>
    <sheet name="Image" sheetId="38" state="visible" r:id="rId38"/>
    <sheet name="List" sheetId="39" state="visible" r:id="rId39"/>
    <sheet name="Select" sheetId="40" state="visible" r:id="rId40"/>
    <sheet name="Multi Select" sheetId="41" state="visible" r:id="rId41"/>
    <sheet name="Textarea" sheetId="42" state="visible" r:id="rId42"/>
    <sheet name="Radio Group" sheetId="43" state="visible" r:id="rId43"/>
    <sheet name="Switch" sheetId="44" state="visible" r:id="rId44"/>
    <sheet name="Breadcrumb" sheetId="45" state="visible" r:id="rId45"/>
    <sheet name="Tabs" sheetId="46" state="visible" r:id="rId46"/>
    <sheet name="Skeleton" sheetId="47" state="visible" r:id="rId47"/>
    <sheet name="Dropdown Menu" sheetId="48" state="visible" r:id="rId48"/>
    <sheet name="Context Menu" sheetId="49" state="visible" r:id="rId49"/>
    <sheet name="Menubar" sheetId="50" state="visible" r:id="rId50"/>
    <sheet name="Navigation Menu" sheetId="51" state="visible" r:id="rId51"/>
    <sheet name="Bottom Navigation" sheetId="52" state="visible" r:id="rId52"/>
    <sheet name="Visually Hidden" sheetId="53" state="visible" r:id="rId53"/>
    <sheet name="Collapsible" sheetId="54" state="visible" r:id="rId54"/>
    <sheet name="Accordion" sheetId="55" state="visible" r:id="rId55"/>
    <sheet name="Toast" sheetId="56" state="visible" r:id="rId56"/>
    <sheet name="Table" sheetId="57" state="visible" r:id="rId57"/>
    <sheet name="Pagination" sheetId="58" state="visible" r:id="rId58"/>
    <sheet name="Data Grid" sheetId="59" state="visible" r:id="rId59"/>
    <sheet name="Tree Grid" sheetId="60" state="visible" r:id="rId60"/>
    <sheet name="Tree" sheetId="61" state="visible" r:id="rId61"/>
    <sheet name="Feed" sheetId="62" state="visible" r:id="rId62"/>
    <sheet name="Aspect Ratio" sheetId="63" state="visible" r:id="rId63"/>
    <sheet name="Toolbar" sheetId="64" state="visible" r:id="rId64"/>
    <sheet name="Chip" sheetId="65" state="visible" r:id="rId65"/>
    <sheet name="Combobox" sheetId="66" state="visible" r:id="rId66"/>
    <sheet name="Number Input" sheetId="67" state="visible" r:id="rId67"/>
    <sheet name="OTP Field" sheetId="68" state="visible" r:id="rId68"/>
    <sheet name="Password Toggle Field" sheetId="69" state="visible" r:id="rId69"/>
    <sheet name="Slider" sheetId="70" state="visible" r:id="rId70"/>
    <sheet name="Rating" sheetId="71" state="visible" r:id="rId71"/>
    <sheet name="File Upload" sheetId="72" state="visible" r:id="rId72"/>
    <sheet name="Skip Link" sheetId="73" state="visible" r:id="rId73"/>
    <sheet name="Show" sheetId="74" state="visible" r:id="rId74"/>
    <sheet name="Hide" sheetId="75" state="visible" r:id="rId75"/>
    <sheet name="Swipeable Item" sheetId="76" state="visible" r:id="rId76"/>
    <sheet name="Progress" sheetId="77" state="visible" r:id="rId77"/>
    <sheet name="Progress Circle" sheetId="78" state="visible" r:id="rId78"/>
    <sheet name="Carousel" sheetId="79" state="visible" r:id="rId79"/>
  </sheets>
  <definedNames>
    <definedName name="_xlnm._FilterDatabase" localSheetId="0" hidden="1">'Index'!$A$7:$M$83</definedName>
    <definedName name="_xlnm.Print_Area" localSheetId="0">'Index'!$A$1:$M$82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'Feed'!$A$8:$M$39</definedName>
    <definedName name="_xlnm.Print_Area" localSheetId="61">'Feed'!$A$1:$M$39</definedName>
    <definedName name="_xlnm._FilterDatabase" localSheetId="62" hidden="1">'Aspect Ratio'!$A$8:$M$34</definedName>
    <definedName name="_xlnm.Print_Area" localSheetId="62">'Aspect Ratio'!$A$1:$M$34</definedName>
    <definedName name="_xlnm._FilterDatabase" localSheetId="63" hidden="1">'Toolbar'!$A$8:$M$38</definedName>
    <definedName name="_xlnm.Print_Area" localSheetId="63">'Toolbar'!$A$1:$M$38</definedName>
    <definedName name="_xlnm._FilterDatabase" localSheetId="64" hidden="1">'Chip'!$A$8:$M$39</definedName>
    <definedName name="_xlnm.Print_Area" localSheetId="64">'Chip'!$A$1:$M$39</definedName>
    <definedName name="_xlnm.Print_Area" localSheetId="65">'Combobox'!$A$1:$M$30</definedName>
    <definedName name="_xlnm.Print_Area" localSheetId="66">'Number Input'!$A$1:$M$27</definedName>
    <definedName name="_xlnm.Print_Area" localSheetId="67">'OTP Field'!$A$1:$M$28</definedName>
    <definedName name="_xlnm.Print_Area" localSheetId="68">'Password Toggle Field'!$A$1:$M$28</definedName>
    <definedName name="_xlnm._FilterDatabase" localSheetId="69" hidden="1">'Slider'!$A$8:$M$24</definedName>
    <definedName name="_xlnm._FilterDatabase" localSheetId="70" hidden="1">'Rating'!$A$8:$M$25</definedName>
    <definedName name="_xlnm._FilterDatabase" localSheetId="71" hidden="1">'File Upload'!$A$8:$M$36</definedName>
    <definedName name="_xlnm.Print_Area" localSheetId="71">'File Upload'!$A$1:$M$36</definedName>
    <definedName name="_xlnm._FilterDatabase" localSheetId="72" hidden="1">'Skip Link'!$A$8:$M$28</definedName>
    <definedName name="_xlnm._FilterDatabase" localSheetId="73" hidden="1">'Show'!$A$8:$M$30</definedName>
    <definedName name="_xlnm.Print_Area" localSheetId="73">'Show'!$A$1:$M$30</definedName>
    <definedName name="_xlnm._FilterDatabase" localSheetId="74" hidden="1">'Hide'!$A$8:$M$30</definedName>
    <definedName name="_xlnm.Print_Area" localSheetId="74">'Hide'!$A$1:$M$30</definedName>
    <definedName name="_xlnm._FilterDatabase" localSheetId="75" hidden="1">'Swipeable Item'!$A$8:$M$39</definedName>
    <definedName name="_xlnm.Print_Area" localSheetId="75">'Swipeable Item'!$A$1:$M$39</definedName>
    <definedName name="_xlnm._FilterDatabase" localSheetId="76" hidden="1">'Progress'!$A$8:$M$30</definedName>
    <definedName name="_xlnm.Print_Area" localSheetId="76">'Progress'!$A$1:$M$30</definedName>
    <definedName name="_xlnm._FilterDatabase" localSheetId="77" hidden="1">'Progress Circle'!$A$8:$M$30</definedName>
    <definedName name="_xlnm.Print_Area" localSheetId="77">'Progress Circle'!$A$1:$M$30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ables/table1.xml><?xml version="1.0" encoding="utf-8"?>
<table xmlns="http://schemas.openxmlformats.org/spreadsheetml/2006/main" id="1" name="CoverageIndex" displayName="CoverageIndex" ref="A7:M82" headerRowCount="1" totalsRowCount="0" totalsRowShown="0">
  <autoFilter ref="A7:M8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70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71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72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8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76 independently documented public component owners across 75 package subpaths.</t>
        </is>
      </c>
    </row>
    <row r="4" ht="17.25" customHeight="1" s="17">
      <c r="A4" s="20" t="inlineStr">
        <is>
          <t>Components</t>
        </is>
      </c>
      <c r="B4" s="21">
        <f>COUNTA(A8:A83)</f>
        <v/>
      </c>
      <c r="D4" s="20" t="inlineStr">
        <is>
          <t>Complete</t>
        </is>
      </c>
      <c r="E4" s="21">
        <f>COUNTIF(M8:M83,"complete")</f>
        <v/>
      </c>
      <c r="G4" s="20" t="inlineStr">
        <is>
          <t>Blocked</t>
        </is>
      </c>
      <c r="H4" s="21">
        <f>COUNTIF(M8:M83,"blocked")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ht="15" customHeight="1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ht="15" customHeight="1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ht="15" customHeight="1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 ht="15" customHeight="1" s="17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 ht="15" customHeight="1" s="17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 ht="15" customHeight="1" s="17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  <row r="42" ht="15" customHeight="1" s="17">
      <c r="A42" s="23" t="inlineStr">
        <is>
          <t>Image</t>
        </is>
      </c>
      <c r="B42" s="23">
        <f>INDIRECT("'"&amp;A42&amp;"'!B4")</f>
        <v/>
      </c>
      <c r="C42" s="23">
        <f>COUNTIF(INDIRECT("'"&amp;A42&amp;"'!H9:H200"),"not started")</f>
        <v/>
      </c>
      <c r="D42" s="23">
        <f>COUNTIF(INDIRECT("'"&amp;A42&amp;"'!H9:H200"),"partial")</f>
        <v/>
      </c>
      <c r="E42" s="23">
        <f>COUNTIF(INDIRECT("'"&amp;A42&amp;"'!H9:H200"),"implemented")</f>
        <v/>
      </c>
      <c r="F42" s="23">
        <f>COUNTIF(INDIRECT("'"&amp;A42&amp;"'!H9:H200"),"tested")</f>
        <v/>
      </c>
      <c r="G42" s="23">
        <f>COUNTIF(INDIRECT("'"&amp;A42&amp;"'!H9:H200"),"verified")</f>
        <v/>
      </c>
      <c r="H42" s="23">
        <f>COUNTIF(INDIRECT("'"&amp;A42&amp;"'!H9:H200"),"blocked")</f>
        <v/>
      </c>
      <c r="I42" s="23">
        <f>COUNTIF(INDIRECT("'"&amp;A42&amp;"'!H9:H200"),"not applicable")</f>
        <v/>
      </c>
      <c r="J42" s="24">
        <f>INDIRECT("'"&amp;A42&amp;"'!H4")</f>
        <v/>
      </c>
      <c r="K42" s="23">
        <f>INDIRECT("'"&amp;A42&amp;"'!K4")</f>
        <v/>
      </c>
      <c r="L42" s="23">
        <f>INDIRECT("'"&amp;A42&amp;"'!E5")</f>
        <v/>
      </c>
      <c r="M42" s="23">
        <f>IF(AND(J42=1,K42="complete",L42="complete"),"complete",IF(H42&gt;0,"blocked","open"))</f>
        <v/>
      </c>
    </row>
    <row r="43" ht="15" customHeight="1" s="17">
      <c r="A43" s="23" t="inlineStr">
        <is>
          <t>List</t>
        </is>
      </c>
      <c r="B43" s="23">
        <f>INDIRECT("'"&amp;A43&amp;"'!B4")</f>
        <v/>
      </c>
      <c r="C43" s="23">
        <f>COUNTIF(INDIRECT("'"&amp;A43&amp;"'!H9:H200"),"not started")</f>
        <v/>
      </c>
      <c r="D43" s="23">
        <f>COUNTIF(INDIRECT("'"&amp;A43&amp;"'!H9:H200"),"partial")</f>
        <v/>
      </c>
      <c r="E43" s="23">
        <f>COUNTIF(INDIRECT("'"&amp;A43&amp;"'!H9:H200"),"implemented")</f>
        <v/>
      </c>
      <c r="F43" s="23">
        <f>COUNTIF(INDIRECT("'"&amp;A43&amp;"'!H9:H200"),"tested")</f>
        <v/>
      </c>
      <c r="G43" s="23">
        <f>COUNTIF(INDIRECT("'"&amp;A43&amp;"'!H9:H200"),"verified")</f>
        <v/>
      </c>
      <c r="H43" s="23">
        <f>COUNTIF(INDIRECT("'"&amp;A43&amp;"'!H9:H200"),"blocked")</f>
        <v/>
      </c>
      <c r="I43" s="23">
        <f>COUNTIF(INDIRECT("'"&amp;A43&amp;"'!H9:H200"),"not applicable")</f>
        <v/>
      </c>
      <c r="J43" s="24">
        <f>INDIRECT("'"&amp;A43&amp;"'!H4")</f>
        <v/>
      </c>
      <c r="K43" s="23">
        <f>INDIRECT("'"&amp;A43&amp;"'!K4")</f>
        <v/>
      </c>
      <c r="L43" s="23">
        <f>INDIRECT("'"&amp;A43&amp;"'!E5")</f>
        <v/>
      </c>
      <c r="M43" s="23">
        <f>IF(AND(J43=1,K43="complete",L43="complete"),"complete",IF(H43&gt;0,"blocked","open"))</f>
        <v/>
      </c>
    </row>
    <row r="44" ht="15" customHeight="1" s="17">
      <c r="A44" s="23" t="inlineStr">
        <is>
          <t>Select</t>
        </is>
      </c>
      <c r="B44" s="23">
        <f>INDIRECT("'"&amp;A44&amp;"'!B4")</f>
        <v/>
      </c>
      <c r="C44" s="23">
        <f>COUNTIF(INDIRECT("'"&amp;A44&amp;"'!H9:H200"),"not started")</f>
        <v/>
      </c>
      <c r="D44" s="23">
        <f>COUNTIF(INDIRECT("'"&amp;A44&amp;"'!H9:H200"),"partial")</f>
        <v/>
      </c>
      <c r="E44" s="23">
        <f>COUNTIF(INDIRECT("'"&amp;A44&amp;"'!H9:H200"),"implemented")</f>
        <v/>
      </c>
      <c r="F44" s="23">
        <f>COUNTIF(INDIRECT("'"&amp;A44&amp;"'!H9:H200"),"tested")</f>
        <v/>
      </c>
      <c r="G44" s="23">
        <f>COUNTIF(INDIRECT("'"&amp;A44&amp;"'!H9:H200"),"verified")</f>
        <v/>
      </c>
      <c r="H44" s="23">
        <f>COUNTIF(INDIRECT("'"&amp;A44&amp;"'!H9:H200"),"blocked")</f>
        <v/>
      </c>
      <c r="I44" s="23">
        <f>COUNTIF(INDIRECT("'"&amp;A44&amp;"'!H9:H200"),"not applicable")</f>
        <v/>
      </c>
      <c r="J44" s="24">
        <f>INDIRECT("'"&amp;A44&amp;"'!H4")</f>
        <v/>
      </c>
      <c r="K44" s="23">
        <f>INDIRECT("'"&amp;A44&amp;"'!K4")</f>
        <v/>
      </c>
      <c r="L44" s="23">
        <f>INDIRECT("'"&amp;A44&amp;"'!E5")</f>
        <v/>
      </c>
      <c r="M44" s="23">
        <f>IF(AND(J44=1,K44="complete",L44="complete"),"complete",IF(H44&gt;0,"blocked","open"))</f>
        <v/>
      </c>
    </row>
    <row r="45" ht="15" customHeight="1" s="17">
      <c r="A45" s="23" t="inlineStr">
        <is>
          <t>Multi Select</t>
        </is>
      </c>
      <c r="B45" s="23">
        <f>INDIRECT("'"&amp;A45&amp;"'!B4")</f>
        <v/>
      </c>
      <c r="C45" s="23">
        <f>COUNTIF(INDIRECT("'"&amp;A45&amp;"'!H9:H200"),"not started")</f>
        <v/>
      </c>
      <c r="D45" s="23">
        <f>COUNTIF(INDIRECT("'"&amp;A45&amp;"'!H9:H200"),"partial")</f>
        <v/>
      </c>
      <c r="E45" s="23">
        <f>COUNTIF(INDIRECT("'"&amp;A45&amp;"'!H9:H200"),"implemented")</f>
        <v/>
      </c>
      <c r="F45" s="23">
        <f>COUNTIF(INDIRECT("'"&amp;A45&amp;"'!H9:H200"),"tested")</f>
        <v/>
      </c>
      <c r="G45" s="23">
        <f>COUNTIF(INDIRECT("'"&amp;A45&amp;"'!H9:H200"),"verified")</f>
        <v/>
      </c>
      <c r="H45" s="23">
        <f>COUNTIF(INDIRECT("'"&amp;A45&amp;"'!H9:H200"),"blocked")</f>
        <v/>
      </c>
      <c r="I45" s="23">
        <f>COUNTIF(INDIRECT("'"&amp;A45&amp;"'!H9:H200"),"not applicable")</f>
        <v/>
      </c>
      <c r="J45" s="24">
        <f>INDIRECT("'"&amp;A45&amp;"'!H4")</f>
        <v/>
      </c>
      <c r="K45" s="23">
        <f>INDIRECT("'"&amp;A45&amp;"'!K4")</f>
        <v/>
      </c>
      <c r="L45" s="23">
        <f>INDIRECT("'"&amp;A45&amp;"'!E5")</f>
        <v/>
      </c>
      <c r="M45" s="23">
        <f>IF(AND(J45=1,K45="complete",L45="complete"),"complete",IF(H45&gt;0,"blocked","open"))</f>
        <v/>
      </c>
    </row>
    <row r="46" ht="15" customHeight="1" s="17">
      <c r="A46" s="23" t="inlineStr">
        <is>
          <t>Textarea</t>
        </is>
      </c>
      <c r="B46" s="23">
        <f>INDIRECT("'"&amp;A46&amp;"'!B4")</f>
        <v/>
      </c>
      <c r="C46" s="23">
        <f>COUNTIF(INDIRECT("'"&amp;A46&amp;"'!H9:H200"),"not started")</f>
        <v/>
      </c>
      <c r="D46" s="23">
        <f>COUNTIF(INDIRECT("'"&amp;A46&amp;"'!H9:H200"),"partial")</f>
        <v/>
      </c>
      <c r="E46" s="23">
        <f>COUNTIF(INDIRECT("'"&amp;A46&amp;"'!H9:H200"),"implemented")</f>
        <v/>
      </c>
      <c r="F46" s="23">
        <f>COUNTIF(INDIRECT("'"&amp;A46&amp;"'!H9:H200"),"tested")</f>
        <v/>
      </c>
      <c r="G46" s="23">
        <f>COUNTIF(INDIRECT("'"&amp;A46&amp;"'!H9:H200"),"verified")</f>
        <v/>
      </c>
      <c r="H46" s="23">
        <f>COUNTIF(INDIRECT("'"&amp;A46&amp;"'!H9:H200"),"blocked")</f>
        <v/>
      </c>
      <c r="I46" s="23">
        <f>COUNTIF(INDIRECT("'"&amp;A46&amp;"'!H9:H200"),"not applicable")</f>
        <v/>
      </c>
      <c r="J46" s="24">
        <f>INDIRECT("'"&amp;A46&amp;"'!H4")</f>
        <v/>
      </c>
      <c r="K46" s="23">
        <f>INDIRECT("'"&amp;A46&amp;"'!K4")</f>
        <v/>
      </c>
      <c r="L46" s="23">
        <f>INDIRECT("'"&amp;A46&amp;"'!E5")</f>
        <v/>
      </c>
      <c r="M46" s="23">
        <f>IF(AND(J46=1,K46="complete",L46="complete"),"complete",IF(H46&gt;0,"blocked","open"))</f>
        <v/>
      </c>
    </row>
    <row r="47" ht="15" customHeight="1" s="17">
      <c r="A47" s="23" t="inlineStr">
        <is>
          <t>Radio Group</t>
        </is>
      </c>
      <c r="B47" s="23">
        <f>INDIRECT("'"&amp;A47&amp;"'!B4")</f>
        <v/>
      </c>
      <c r="C47" s="23">
        <f>COUNTIF(INDIRECT("'"&amp;A47&amp;"'!H9:H200"),"not started")</f>
        <v/>
      </c>
      <c r="D47" s="23">
        <f>COUNTIF(INDIRECT("'"&amp;A47&amp;"'!H9:H200"),"partial")</f>
        <v/>
      </c>
      <c r="E47" s="23">
        <f>COUNTIF(INDIRECT("'"&amp;A47&amp;"'!H9:H200"),"implemented")</f>
        <v/>
      </c>
      <c r="F47" s="23">
        <f>COUNTIF(INDIRECT("'"&amp;A47&amp;"'!H9:H200"),"tested")</f>
        <v/>
      </c>
      <c r="G47" s="23">
        <f>COUNTIF(INDIRECT("'"&amp;A47&amp;"'!H9:H200"),"verified")</f>
        <v/>
      </c>
      <c r="H47" s="23">
        <f>COUNTIF(INDIRECT("'"&amp;A47&amp;"'!H9:H200"),"blocked")</f>
        <v/>
      </c>
      <c r="I47" s="23">
        <f>COUNTIF(INDIRECT("'"&amp;A47&amp;"'!H9:H200"),"not applicable")</f>
        <v/>
      </c>
      <c r="J47" s="24">
        <f>INDIRECT("'"&amp;A47&amp;"'!H4")</f>
        <v/>
      </c>
      <c r="K47" s="23">
        <f>INDIRECT("'"&amp;A47&amp;"'!K4")</f>
        <v/>
      </c>
      <c r="L47" s="23">
        <f>INDIRECT("'"&amp;A47&amp;"'!E5")</f>
        <v/>
      </c>
      <c r="M47" s="23">
        <f>IF(AND(J47=1,K47="complete",L47="complete"),"complete",IF(H47&gt;0,"blocked","open"))</f>
        <v/>
      </c>
    </row>
    <row r="48" ht="15" customHeight="1" s="17">
      <c r="A48" s="23" t="inlineStr">
        <is>
          <t>Switch</t>
        </is>
      </c>
      <c r="B48" s="23">
        <f>INDIRECT("'"&amp;A48&amp;"'!B4")</f>
        <v/>
      </c>
      <c r="C48" s="23">
        <f>COUNTIF(INDIRECT("'"&amp;A48&amp;"'!H9:H200"),"not started")</f>
        <v/>
      </c>
      <c r="D48" s="23">
        <f>COUNTIF(INDIRECT("'"&amp;A48&amp;"'!H9:H200"),"partial")</f>
        <v/>
      </c>
      <c r="E48" s="23">
        <f>COUNTIF(INDIRECT("'"&amp;A48&amp;"'!H9:H200"),"implemented")</f>
        <v/>
      </c>
      <c r="F48" s="23">
        <f>COUNTIF(INDIRECT("'"&amp;A48&amp;"'!H9:H200"),"tested")</f>
        <v/>
      </c>
      <c r="G48" s="23">
        <f>COUNTIF(INDIRECT("'"&amp;A48&amp;"'!H9:H200"),"verified")</f>
        <v/>
      </c>
      <c r="H48" s="23">
        <f>COUNTIF(INDIRECT("'"&amp;A48&amp;"'!H9:H200"),"blocked")</f>
        <v/>
      </c>
      <c r="I48" s="23">
        <f>COUNTIF(INDIRECT("'"&amp;A48&amp;"'!H9:H200"),"not applicable")</f>
        <v/>
      </c>
      <c r="J48" s="24">
        <f>INDIRECT("'"&amp;A48&amp;"'!H4")</f>
        <v/>
      </c>
      <c r="K48" s="23">
        <f>INDIRECT("'"&amp;A48&amp;"'!K4")</f>
        <v/>
      </c>
      <c r="L48" s="23">
        <f>INDIRECT("'"&amp;A48&amp;"'!E5")</f>
        <v/>
      </c>
      <c r="M48" s="23">
        <f>IF(AND(J48=1,K48="complete",L48="complete"),"complete",IF(H48&gt;0,"blocked","open"))</f>
        <v/>
      </c>
    </row>
    <row r="49" ht="15" customHeight="1" s="17">
      <c r="A49" s="23" t="inlineStr">
        <is>
          <t>Breadcrumb</t>
        </is>
      </c>
      <c r="B49" s="23">
        <f>INDIRECT("'"&amp;A49&amp;"'!B4")</f>
        <v/>
      </c>
      <c r="C49" s="23">
        <f>COUNTIF(INDIRECT("'"&amp;A49&amp;"'!H9:H200"),"not started")</f>
        <v/>
      </c>
      <c r="D49" s="23">
        <f>COUNTIF(INDIRECT("'"&amp;A49&amp;"'!H9:H200"),"partial")</f>
        <v/>
      </c>
      <c r="E49" s="23">
        <f>COUNTIF(INDIRECT("'"&amp;A49&amp;"'!H9:H200"),"implemented")</f>
        <v/>
      </c>
      <c r="F49" s="23">
        <f>COUNTIF(INDIRECT("'"&amp;A49&amp;"'!H9:H200"),"tested")</f>
        <v/>
      </c>
      <c r="G49" s="23">
        <f>COUNTIF(INDIRECT("'"&amp;A49&amp;"'!H9:H200"),"verified")</f>
        <v/>
      </c>
      <c r="H49" s="23">
        <f>COUNTIF(INDIRECT("'"&amp;A49&amp;"'!H9:H200"),"blocked")</f>
        <v/>
      </c>
      <c r="I49" s="23">
        <f>COUNTIF(INDIRECT("'"&amp;A49&amp;"'!H9:H200"),"not applicable")</f>
        <v/>
      </c>
      <c r="J49" s="24">
        <f>INDIRECT("'"&amp;A49&amp;"'!H4")</f>
        <v/>
      </c>
      <c r="K49" s="23">
        <f>INDIRECT("'"&amp;A49&amp;"'!K4")</f>
        <v/>
      </c>
      <c r="L49" s="23">
        <f>INDIRECT("'"&amp;A49&amp;"'!E5")</f>
        <v/>
      </c>
      <c r="M49" s="23">
        <f>IF(AND(J49=1,K49="complete",L49="complete"),"complete",IF(H49&gt;0,"blocked","open"))</f>
        <v/>
      </c>
    </row>
    <row r="50" ht="15" customHeight="1" s="17">
      <c r="A50" s="23" t="inlineStr">
        <is>
          <t>Tabs</t>
        </is>
      </c>
      <c r="B50" s="23">
        <f>INDIRECT("'"&amp;A50&amp;"'!B4")</f>
        <v/>
      </c>
      <c r="C50" s="23">
        <f>COUNTIF(INDIRECT("'"&amp;A50&amp;"'!H9:H200"),"not started")</f>
        <v/>
      </c>
      <c r="D50" s="23">
        <f>COUNTIF(INDIRECT("'"&amp;A50&amp;"'!H9:H200"),"partial")</f>
        <v/>
      </c>
      <c r="E50" s="23">
        <f>COUNTIF(INDIRECT("'"&amp;A50&amp;"'!H9:H200"),"implemented")</f>
        <v/>
      </c>
      <c r="F50" s="23">
        <f>COUNTIF(INDIRECT("'"&amp;A50&amp;"'!H9:H200"),"tested")</f>
        <v/>
      </c>
      <c r="G50" s="23">
        <f>COUNTIF(INDIRECT("'"&amp;A50&amp;"'!H9:H200"),"verified")</f>
        <v/>
      </c>
      <c r="H50" s="23">
        <f>COUNTIF(INDIRECT("'"&amp;A50&amp;"'!H9:H200"),"blocked")</f>
        <v/>
      </c>
      <c r="I50" s="23">
        <f>COUNTIF(INDIRECT("'"&amp;A50&amp;"'!H9:H200"),"not applicable")</f>
        <v/>
      </c>
      <c r="J50" s="24">
        <f>INDIRECT("'"&amp;A50&amp;"'!H4")</f>
        <v/>
      </c>
      <c r="K50" s="23">
        <f>INDIRECT("'"&amp;A50&amp;"'!K4")</f>
        <v/>
      </c>
      <c r="L50" s="23">
        <f>INDIRECT("'"&amp;A50&amp;"'!E5")</f>
        <v/>
      </c>
      <c r="M50" s="23">
        <f>IF(AND(J50=1,K50="complete",L50="complete"),"complete",IF(H50&gt;0,"blocked","open"))</f>
        <v/>
      </c>
    </row>
    <row r="51" ht="15" customHeight="1" s="17">
      <c r="A51" s="23" t="inlineStr">
        <is>
          <t>Skeleton</t>
        </is>
      </c>
      <c r="B51" s="23">
        <f>INDIRECT("'"&amp;A51&amp;"'!B4")</f>
        <v/>
      </c>
      <c r="C51" s="23">
        <f>COUNTIF(INDIRECT("'"&amp;A51&amp;"'!H9:H200"),"not started")</f>
        <v/>
      </c>
      <c r="D51" s="23">
        <f>COUNTIF(INDIRECT("'"&amp;A51&amp;"'!H9:H200"),"partial")</f>
        <v/>
      </c>
      <c r="E51" s="23">
        <f>COUNTIF(INDIRECT("'"&amp;A51&amp;"'!H9:H200"),"implemented")</f>
        <v/>
      </c>
      <c r="F51" s="23">
        <f>COUNTIF(INDIRECT("'"&amp;A51&amp;"'!H9:H200"),"tested")</f>
        <v/>
      </c>
      <c r="G51" s="23">
        <f>COUNTIF(INDIRECT("'"&amp;A51&amp;"'!H9:H200"),"verified")</f>
        <v/>
      </c>
      <c r="H51" s="23">
        <f>COUNTIF(INDIRECT("'"&amp;A51&amp;"'!H9:H200"),"blocked")</f>
        <v/>
      </c>
      <c r="I51" s="23">
        <f>COUNTIF(INDIRECT("'"&amp;A51&amp;"'!H9:H200"),"not applicable")</f>
        <v/>
      </c>
      <c r="J51" s="24">
        <f>INDIRECT("'"&amp;A51&amp;"'!H4")</f>
        <v/>
      </c>
      <c r="K51" s="23">
        <f>INDIRECT("'"&amp;A51&amp;"'!K4")</f>
        <v/>
      </c>
      <c r="L51" s="23">
        <f>INDIRECT("'"&amp;A51&amp;"'!E5")</f>
        <v/>
      </c>
      <c r="M51" s="23">
        <f>IF(AND(J51=1,K51="complete",L51="complete"),"complete",IF(H51&gt;0,"blocked","open"))</f>
        <v/>
      </c>
    </row>
    <row r="52" ht="15" customHeight="1" s="17">
      <c r="A52" s="23" t="inlineStr">
        <is>
          <t>Dropdown Menu</t>
        </is>
      </c>
      <c r="B52" s="23">
        <f>INDIRECT("'"&amp;A52&amp;"'!B4")</f>
        <v/>
      </c>
      <c r="C52" s="23">
        <f>COUNTIF(INDIRECT("'"&amp;A52&amp;"'!H9:H200"),"not started")</f>
        <v/>
      </c>
      <c r="D52" s="23">
        <f>COUNTIF(INDIRECT("'"&amp;A52&amp;"'!H9:H200"),"partial")</f>
        <v/>
      </c>
      <c r="E52" s="23">
        <f>COUNTIF(INDIRECT("'"&amp;A52&amp;"'!H9:H200"),"implemented")</f>
        <v/>
      </c>
      <c r="F52" s="23">
        <f>COUNTIF(INDIRECT("'"&amp;A52&amp;"'!H9:H200"),"tested")</f>
        <v/>
      </c>
      <c r="G52" s="23">
        <f>COUNTIF(INDIRECT("'"&amp;A52&amp;"'!H9:H200"),"verified")</f>
        <v/>
      </c>
      <c r="H52" s="23">
        <f>COUNTIF(INDIRECT("'"&amp;A52&amp;"'!H9:H200"),"blocked")</f>
        <v/>
      </c>
      <c r="I52" s="23">
        <f>COUNTIF(INDIRECT("'"&amp;A52&amp;"'!H9:H200"),"not applicable")</f>
        <v/>
      </c>
      <c r="J52" s="24">
        <f>INDIRECT("'"&amp;A52&amp;"'!H4")</f>
        <v/>
      </c>
      <c r="K52" s="23">
        <f>INDIRECT("'"&amp;A52&amp;"'!K4")</f>
        <v/>
      </c>
      <c r="L52" s="23">
        <f>INDIRECT("'"&amp;A52&amp;"'!E5")</f>
        <v/>
      </c>
      <c r="M52" s="23">
        <f>IF(AND(J52=1,K52="complete",L52="complete"),"complete",IF(H52&gt;0,"blocked","open"))</f>
        <v/>
      </c>
    </row>
    <row r="53" ht="15" customHeight="1" s="17">
      <c r="A53" s="23" t="inlineStr">
        <is>
          <t>Context Menu</t>
        </is>
      </c>
      <c r="B53" s="23">
        <f>INDIRECT("'"&amp;A53&amp;"'!B4")</f>
        <v/>
      </c>
      <c r="C53" s="23">
        <f>COUNTIF(INDIRECT("'"&amp;A53&amp;"'!H9:H200"),"not started")</f>
        <v/>
      </c>
      <c r="D53" s="23">
        <f>COUNTIF(INDIRECT("'"&amp;A53&amp;"'!H9:H200"),"partial")</f>
        <v/>
      </c>
      <c r="E53" s="23">
        <f>COUNTIF(INDIRECT("'"&amp;A53&amp;"'!H9:H200"),"implemented")</f>
        <v/>
      </c>
      <c r="F53" s="23">
        <f>COUNTIF(INDIRECT("'"&amp;A53&amp;"'!H9:H200"),"tested")</f>
        <v/>
      </c>
      <c r="G53" s="23">
        <f>COUNTIF(INDIRECT("'"&amp;A53&amp;"'!H9:H200"),"verified")</f>
        <v/>
      </c>
      <c r="H53" s="23">
        <f>COUNTIF(INDIRECT("'"&amp;A53&amp;"'!H9:H200"),"blocked")</f>
        <v/>
      </c>
      <c r="I53" s="23">
        <f>COUNTIF(INDIRECT("'"&amp;A53&amp;"'!H9:H200"),"not applicable")</f>
        <v/>
      </c>
      <c r="J53" s="24">
        <f>INDIRECT("'"&amp;A53&amp;"'!H4")</f>
        <v/>
      </c>
      <c r="K53" s="23">
        <f>INDIRECT("'"&amp;A53&amp;"'!K4")</f>
        <v/>
      </c>
      <c r="L53" s="23">
        <f>INDIRECT("'"&amp;A53&amp;"'!E5")</f>
        <v/>
      </c>
      <c r="M53" s="23">
        <f>IF(AND(J53=1,K53="complete",L53="complete"),"complete",IF(H53&gt;0,"blocked","open"))</f>
        <v/>
      </c>
    </row>
    <row r="54" ht="15" customHeight="1" s="17">
      <c r="A54" s="23" t="inlineStr">
        <is>
          <t>Menubar</t>
        </is>
      </c>
      <c r="B54" s="23">
        <f>INDIRECT("'"&amp;A54&amp;"'!B4")</f>
        <v/>
      </c>
      <c r="C54" s="23">
        <f>COUNTIF(INDIRECT("'"&amp;A54&amp;"'!H9:H200"),"not started")</f>
        <v/>
      </c>
      <c r="D54" s="23">
        <f>COUNTIF(INDIRECT("'"&amp;A54&amp;"'!H9:H200"),"partial")</f>
        <v/>
      </c>
      <c r="E54" s="23">
        <f>COUNTIF(INDIRECT("'"&amp;A54&amp;"'!H9:H200"),"implemented")</f>
        <v/>
      </c>
      <c r="F54" s="23">
        <f>COUNTIF(INDIRECT("'"&amp;A54&amp;"'!H9:H200"),"tested")</f>
        <v/>
      </c>
      <c r="G54" s="23">
        <f>COUNTIF(INDIRECT("'"&amp;A54&amp;"'!H9:H200"),"verified")</f>
        <v/>
      </c>
      <c r="H54" s="23">
        <f>COUNTIF(INDIRECT("'"&amp;A54&amp;"'!H9:H200"),"blocked")</f>
        <v/>
      </c>
      <c r="I54" s="23">
        <f>COUNTIF(INDIRECT("'"&amp;A54&amp;"'!H9:H200"),"not applicable")</f>
        <v/>
      </c>
      <c r="J54" s="24">
        <f>INDIRECT("'"&amp;A54&amp;"'!H4")</f>
        <v/>
      </c>
      <c r="K54" s="23">
        <f>INDIRECT("'"&amp;A54&amp;"'!K4")</f>
        <v/>
      </c>
      <c r="L54" s="23">
        <f>INDIRECT("'"&amp;A54&amp;"'!E5")</f>
        <v/>
      </c>
      <c r="M54" s="23">
        <f>IF(AND(J54=1,K54="complete",L54="complete"),"complete",IF(H54&gt;0,"blocked","open"))</f>
        <v/>
      </c>
    </row>
    <row r="55" ht="15" customHeight="1" s="17">
      <c r="A55" s="23" t="inlineStr">
        <is>
          <t>Navigation Menu</t>
        </is>
      </c>
      <c r="B55" s="23">
        <f>INDIRECT("'"&amp;A55&amp;"'!B4")</f>
        <v/>
      </c>
      <c r="C55" s="23">
        <f>COUNTIF(INDIRECT("'"&amp;A55&amp;"'!H9:H200"),"not started")</f>
        <v/>
      </c>
      <c r="D55" s="23">
        <f>COUNTIF(INDIRECT("'"&amp;A55&amp;"'!H9:H200"),"partial")</f>
        <v/>
      </c>
      <c r="E55" s="23">
        <f>COUNTIF(INDIRECT("'"&amp;A55&amp;"'!H9:H200"),"implemented")</f>
        <v/>
      </c>
      <c r="F55" s="23">
        <f>COUNTIF(INDIRECT("'"&amp;A55&amp;"'!H9:H200"),"tested")</f>
        <v/>
      </c>
      <c r="G55" s="23">
        <f>COUNTIF(INDIRECT("'"&amp;A55&amp;"'!H9:H200"),"verified")</f>
        <v/>
      </c>
      <c r="H55" s="23">
        <f>COUNTIF(INDIRECT("'"&amp;A55&amp;"'!H9:H200"),"blocked")</f>
        <v/>
      </c>
      <c r="I55" s="23">
        <f>COUNTIF(INDIRECT("'"&amp;A55&amp;"'!H9:H200"),"not applicable")</f>
        <v/>
      </c>
      <c r="J55" s="24">
        <f>INDIRECT("'"&amp;A55&amp;"'!H4")</f>
        <v/>
      </c>
      <c r="K55" s="23">
        <f>INDIRECT("'"&amp;A55&amp;"'!K4")</f>
        <v/>
      </c>
      <c r="L55" s="23">
        <f>INDIRECT("'"&amp;A55&amp;"'!E5")</f>
        <v/>
      </c>
      <c r="M55" s="23">
        <f>IF(AND(J55=1,K55="complete",L55="complete"),"complete",IF(H55&gt;0,"blocked","open"))</f>
        <v/>
      </c>
    </row>
    <row r="56" ht="15" customHeight="1" s="17">
      <c r="A56" s="23" t="inlineStr">
        <is>
          <t>Bottom Navigation</t>
        </is>
      </c>
      <c r="B56" s="23">
        <f>INDIRECT("'"&amp;A56&amp;"'!B4")</f>
        <v/>
      </c>
      <c r="C56" s="23">
        <f>COUNTIF(INDIRECT("'"&amp;A56&amp;"'!H9:H200"),"not started")</f>
        <v/>
      </c>
      <c r="D56" s="23">
        <f>COUNTIF(INDIRECT("'"&amp;A56&amp;"'!H9:H200"),"partial")</f>
        <v/>
      </c>
      <c r="E56" s="23">
        <f>COUNTIF(INDIRECT("'"&amp;A56&amp;"'!H9:H200"),"implemented")</f>
        <v/>
      </c>
      <c r="F56" s="23">
        <f>COUNTIF(INDIRECT("'"&amp;A56&amp;"'!H9:H200"),"tested")</f>
        <v/>
      </c>
      <c r="G56" s="23">
        <f>COUNTIF(INDIRECT("'"&amp;A56&amp;"'!H9:H200"),"verified")</f>
        <v/>
      </c>
      <c r="H56" s="23">
        <f>COUNTIF(INDIRECT("'"&amp;A56&amp;"'!H9:H200"),"blocked")</f>
        <v/>
      </c>
      <c r="I56" s="23">
        <f>COUNTIF(INDIRECT("'"&amp;A56&amp;"'!H9:H200"),"not applicable")</f>
        <v/>
      </c>
      <c r="J56" s="24">
        <f>INDIRECT("'"&amp;A56&amp;"'!H4")</f>
        <v/>
      </c>
      <c r="K56" s="23">
        <f>INDIRECT("'"&amp;A56&amp;"'!K4")</f>
        <v/>
      </c>
      <c r="L56" s="23">
        <f>INDIRECT("'"&amp;A56&amp;"'!E5")</f>
        <v/>
      </c>
      <c r="M56" s="23">
        <f>IF(AND(J56=1,K56="complete",L56="complete"),"complete",IF(H56&gt;0,"blocked","open"))</f>
        <v/>
      </c>
    </row>
    <row r="57" ht="15" customHeight="1" s="17">
      <c r="A57" s="23" t="inlineStr">
        <is>
          <t>Visually Hidden</t>
        </is>
      </c>
      <c r="B57" s="23">
        <f>INDIRECT("'"&amp;A57&amp;"'!B4")</f>
        <v/>
      </c>
      <c r="C57" s="23">
        <f>COUNTIF(INDIRECT("'"&amp;A57&amp;"'!H9:H200"),"not started")</f>
        <v/>
      </c>
      <c r="D57" s="23">
        <f>COUNTIF(INDIRECT("'"&amp;A57&amp;"'!H9:H200"),"partial")</f>
        <v/>
      </c>
      <c r="E57" s="23">
        <f>COUNTIF(INDIRECT("'"&amp;A57&amp;"'!H9:H200"),"implemented")</f>
        <v/>
      </c>
      <c r="F57" s="23">
        <f>COUNTIF(INDIRECT("'"&amp;A57&amp;"'!H9:H200"),"tested")</f>
        <v/>
      </c>
      <c r="G57" s="23">
        <f>COUNTIF(INDIRECT("'"&amp;A57&amp;"'!H9:H200"),"verified")</f>
        <v/>
      </c>
      <c r="H57" s="23">
        <f>COUNTIF(INDIRECT("'"&amp;A57&amp;"'!H9:H200"),"blocked")</f>
        <v/>
      </c>
      <c r="I57" s="23">
        <f>COUNTIF(INDIRECT("'"&amp;A57&amp;"'!H9:H200"),"not applicable")</f>
        <v/>
      </c>
      <c r="J57" s="24">
        <f>INDIRECT("'"&amp;A57&amp;"'!H4")</f>
        <v/>
      </c>
      <c r="K57" s="23">
        <f>INDIRECT("'"&amp;A57&amp;"'!K4")</f>
        <v/>
      </c>
      <c r="L57" s="23">
        <f>INDIRECT("'"&amp;A57&amp;"'!E5")</f>
        <v/>
      </c>
      <c r="M57" s="23">
        <f>IF(AND(J57=1,K57="complete",L57="complete"),"complete",IF(H57&gt;0,"blocked","open"))</f>
        <v/>
      </c>
    </row>
    <row r="58" ht="15" customHeight="1" s="17">
      <c r="A58" s="23" t="inlineStr">
        <is>
          <t>Collapsible</t>
        </is>
      </c>
      <c r="B58" s="23">
        <f>INDIRECT("'"&amp;A58&amp;"'!B4")</f>
        <v/>
      </c>
      <c r="C58" s="23">
        <f>COUNTIF(INDIRECT("'"&amp;A58&amp;"'!H9:H200"),"not started")</f>
        <v/>
      </c>
      <c r="D58" s="23">
        <f>COUNTIF(INDIRECT("'"&amp;A58&amp;"'!H9:H200"),"partial")</f>
        <v/>
      </c>
      <c r="E58" s="23">
        <f>COUNTIF(INDIRECT("'"&amp;A58&amp;"'!H9:H200"),"implemented")</f>
        <v/>
      </c>
      <c r="F58" s="23">
        <f>COUNTIF(INDIRECT("'"&amp;A58&amp;"'!H9:H200"),"tested")</f>
        <v/>
      </c>
      <c r="G58" s="23">
        <f>COUNTIF(INDIRECT("'"&amp;A58&amp;"'!H9:H200"),"verified")</f>
        <v/>
      </c>
      <c r="H58" s="23">
        <f>COUNTIF(INDIRECT("'"&amp;A58&amp;"'!H9:H200"),"blocked")</f>
        <v/>
      </c>
      <c r="I58" s="23">
        <f>COUNTIF(INDIRECT("'"&amp;A58&amp;"'!H9:H200"),"not applicable")</f>
        <v/>
      </c>
      <c r="J58" s="24">
        <f>INDIRECT("'"&amp;A58&amp;"'!H4")</f>
        <v/>
      </c>
      <c r="K58" s="23">
        <f>INDIRECT("'"&amp;A58&amp;"'!K4")</f>
        <v/>
      </c>
      <c r="L58" s="23">
        <f>INDIRECT("'"&amp;A58&amp;"'!E5")</f>
        <v/>
      </c>
      <c r="M58" s="23">
        <f>IF(AND(J58=1,K58="complete",L58="complete"),"complete",IF(H58&gt;0,"blocked","open"))</f>
        <v/>
      </c>
    </row>
    <row r="59" ht="15" customHeight="1" s="17">
      <c r="A59" s="23" t="inlineStr">
        <is>
          <t>Accordion</t>
        </is>
      </c>
      <c r="B59" s="23">
        <f>INDIRECT("'"&amp;A59&amp;"'!B4")</f>
        <v/>
      </c>
      <c r="C59" s="23">
        <f>COUNTIF(INDIRECT("'"&amp;A59&amp;"'!H9:H200"),"not started")</f>
        <v/>
      </c>
      <c r="D59" s="23">
        <f>COUNTIF(INDIRECT("'"&amp;A59&amp;"'!H9:H200"),"partial")</f>
        <v/>
      </c>
      <c r="E59" s="23">
        <f>COUNTIF(INDIRECT("'"&amp;A59&amp;"'!H9:H200"),"implemented")</f>
        <v/>
      </c>
      <c r="F59" s="23">
        <f>COUNTIF(INDIRECT("'"&amp;A59&amp;"'!H9:H200"),"tested")</f>
        <v/>
      </c>
      <c r="G59" s="23">
        <f>COUNTIF(INDIRECT("'"&amp;A59&amp;"'!H9:H200"),"verified")</f>
        <v/>
      </c>
      <c r="H59" s="23">
        <f>COUNTIF(INDIRECT("'"&amp;A59&amp;"'!H9:H200"),"blocked")</f>
        <v/>
      </c>
      <c r="I59" s="23">
        <f>COUNTIF(INDIRECT("'"&amp;A59&amp;"'!H9:H200"),"not applicable")</f>
        <v/>
      </c>
      <c r="J59" s="24">
        <f>INDIRECT("'"&amp;A59&amp;"'!H4")</f>
        <v/>
      </c>
      <c r="K59" s="23">
        <f>INDIRECT("'"&amp;A59&amp;"'!K4")</f>
        <v/>
      </c>
      <c r="L59" s="23">
        <f>INDIRECT("'"&amp;A59&amp;"'!E5")</f>
        <v/>
      </c>
      <c r="M59" s="23">
        <f>IF(AND(J59=1,K59="complete",L59="complete"),"complete",IF(H59&gt;0,"blocked","open"))</f>
        <v/>
      </c>
    </row>
    <row r="60" ht="15" customHeight="1" s="17">
      <c r="A60" s="23" t="inlineStr">
        <is>
          <t>Toast</t>
        </is>
      </c>
      <c r="B60" s="23">
        <f>INDIRECT("'"&amp;A60&amp;"'!B4")</f>
        <v/>
      </c>
      <c r="C60" s="23">
        <f>COUNTIF(INDIRECT("'"&amp;A60&amp;"'!H9:H200"),"not started")</f>
        <v/>
      </c>
      <c r="D60" s="23">
        <f>COUNTIF(INDIRECT("'"&amp;A60&amp;"'!H9:H200"),"partial")</f>
        <v/>
      </c>
      <c r="E60" s="23">
        <f>COUNTIF(INDIRECT("'"&amp;A60&amp;"'!H9:H200"),"implemented")</f>
        <v/>
      </c>
      <c r="F60" s="23">
        <f>COUNTIF(INDIRECT("'"&amp;A60&amp;"'!H9:H200"),"tested")</f>
        <v/>
      </c>
      <c r="G60" s="23">
        <f>COUNTIF(INDIRECT("'"&amp;A60&amp;"'!H9:H200"),"verified")</f>
        <v/>
      </c>
      <c r="H60" s="23">
        <f>COUNTIF(INDIRECT("'"&amp;A60&amp;"'!H9:H200"),"blocked")</f>
        <v/>
      </c>
      <c r="I60" s="23">
        <f>COUNTIF(INDIRECT("'"&amp;A60&amp;"'!H9:H200"),"not applicable")</f>
        <v/>
      </c>
      <c r="J60" s="24">
        <f>INDIRECT("'"&amp;A60&amp;"'!H4")</f>
        <v/>
      </c>
      <c r="K60" s="23">
        <f>INDIRECT("'"&amp;A60&amp;"'!K4")</f>
        <v/>
      </c>
      <c r="L60" s="23">
        <f>INDIRECT("'"&amp;A60&amp;"'!E5")</f>
        <v/>
      </c>
      <c r="M60" s="23">
        <f>IF(AND(J60=1,K60="complete",L60="complete"),"complete",IF(H60&gt;0,"blocked","open"))</f>
        <v/>
      </c>
    </row>
    <row r="61" ht="15" customHeight="1" s="17">
      <c r="A61" s="23" t="inlineStr">
        <is>
          <t>Pagination</t>
        </is>
      </c>
      <c r="B61" s="23">
        <f>INDIRECT("'"&amp;A61&amp;"'!B4")</f>
        <v/>
      </c>
      <c r="C61" s="23">
        <f>COUNTIF(INDIRECT("'"&amp;A61&amp;"'!H9:H200"),"not started")</f>
        <v/>
      </c>
      <c r="D61" s="23">
        <f>COUNTIF(INDIRECT("'"&amp;A61&amp;"'!H9:H200"),"partial")</f>
        <v/>
      </c>
      <c r="E61" s="23">
        <f>COUNTIF(INDIRECT("'"&amp;A61&amp;"'!H9:H200"),"implemented")</f>
        <v/>
      </c>
      <c r="F61" s="23">
        <f>COUNTIF(INDIRECT("'"&amp;A61&amp;"'!H9:H200"),"tested")</f>
        <v/>
      </c>
      <c r="G61" s="23">
        <f>COUNTIF(INDIRECT("'"&amp;A61&amp;"'!H9:H200"),"verified")</f>
        <v/>
      </c>
      <c r="H61" s="23">
        <f>COUNTIF(INDIRECT("'"&amp;A61&amp;"'!H9:H200"),"blocked")</f>
        <v/>
      </c>
      <c r="I61" s="23">
        <f>COUNTIF(INDIRECT("'"&amp;A61&amp;"'!H9:H200"),"not applicable")</f>
        <v/>
      </c>
      <c r="J61" s="24">
        <f>INDIRECT("'"&amp;A61&amp;"'!H4")</f>
        <v/>
      </c>
      <c r="K61" s="23">
        <f>INDIRECT("'"&amp;A61&amp;"'!K4")</f>
        <v/>
      </c>
      <c r="L61" s="23">
        <f>INDIRECT("'"&amp;A61&amp;"'!E5")</f>
        <v/>
      </c>
      <c r="M61" s="23">
        <f>IF(AND(J61=1,K61="complete",L61="complete"),"complete",IF(H61&gt;0,"blocked","open"))</f>
        <v/>
      </c>
    </row>
    <row r="62" ht="15" customHeight="1" s="17">
      <c r="A62" s="23" t="inlineStr">
        <is>
          <t>Data Grid</t>
        </is>
      </c>
      <c r="B62" s="23">
        <f>INDIRECT("'"&amp;A62&amp;"'!B4")</f>
        <v/>
      </c>
      <c r="C62" s="23">
        <f>COUNTIF(INDIRECT("'"&amp;A62&amp;"'!H9:H200"),"not started")</f>
        <v/>
      </c>
      <c r="D62" s="23">
        <f>COUNTIF(INDIRECT("'"&amp;A62&amp;"'!H9:H200"),"partial")</f>
        <v/>
      </c>
      <c r="E62" s="23">
        <f>COUNTIF(INDIRECT("'"&amp;A62&amp;"'!H9:H200"),"implemented")</f>
        <v/>
      </c>
      <c r="F62" s="23">
        <f>COUNTIF(INDIRECT("'"&amp;A62&amp;"'!H9:H200"),"tested")</f>
        <v/>
      </c>
      <c r="G62" s="23">
        <f>COUNTIF(INDIRECT("'"&amp;A62&amp;"'!H9:H200"),"verified")</f>
        <v/>
      </c>
      <c r="H62" s="23">
        <f>COUNTIF(INDIRECT("'"&amp;A62&amp;"'!H9:H200"),"blocked")</f>
        <v/>
      </c>
      <c r="I62" s="23">
        <f>COUNTIF(INDIRECT("'"&amp;A62&amp;"'!H9:H200"),"not applicable")</f>
        <v/>
      </c>
      <c r="J62" s="24">
        <f>INDIRECT("'"&amp;A62&amp;"'!H4")</f>
        <v/>
      </c>
      <c r="K62" s="23">
        <f>INDIRECT("'"&amp;A62&amp;"'!K4")</f>
        <v/>
      </c>
      <c r="L62" s="23">
        <f>INDIRECT("'"&amp;A62&amp;"'!E5")</f>
        <v/>
      </c>
      <c r="M62" s="23">
        <f>IF(AND(J62=1,K62="complete",L62="complete"),"complete",IF(H62&gt;0,"blocked","open"))</f>
        <v/>
      </c>
    </row>
    <row r="63" ht="15" customHeight="1" s="17">
      <c r="A63" s="23" t="inlineStr">
        <is>
          <t>Tree Grid</t>
        </is>
      </c>
      <c r="B63" s="23">
        <f>INDIRECT("'"&amp;A63&amp;"'!B4")</f>
        <v/>
      </c>
      <c r="C63" s="23">
        <f>COUNTIF(INDIRECT("'"&amp;A63&amp;"'!H9:H200"),"not started")</f>
        <v/>
      </c>
      <c r="D63" s="23">
        <f>COUNTIF(INDIRECT("'"&amp;A63&amp;"'!H9:H200"),"partial")</f>
        <v/>
      </c>
      <c r="E63" s="23">
        <f>COUNTIF(INDIRECT("'"&amp;A63&amp;"'!H9:H200"),"implemented")</f>
        <v/>
      </c>
      <c r="F63" s="23">
        <f>COUNTIF(INDIRECT("'"&amp;A63&amp;"'!H9:H200"),"tested")</f>
        <v/>
      </c>
      <c r="G63" s="23">
        <f>COUNTIF(INDIRECT("'"&amp;A63&amp;"'!H9:H200"),"verified")</f>
        <v/>
      </c>
      <c r="H63" s="23">
        <f>COUNTIF(INDIRECT("'"&amp;A63&amp;"'!H9:H200"),"blocked")</f>
        <v/>
      </c>
      <c r="I63" s="23">
        <f>COUNTIF(INDIRECT("'"&amp;A63&amp;"'!H9:H200"),"not applicable")</f>
        <v/>
      </c>
      <c r="J63" s="24">
        <f>INDIRECT("'"&amp;A63&amp;"'!H4")</f>
        <v/>
      </c>
      <c r="K63" s="23">
        <f>INDIRECT("'"&amp;A63&amp;"'!K4")</f>
        <v/>
      </c>
      <c r="L63" s="23">
        <f>INDIRECT("'"&amp;A63&amp;"'!E5")</f>
        <v/>
      </c>
      <c r="M63" s="23">
        <f>IF(AND(J63=1,K63="complete",L63="complete"),"complete",IF(H63&gt;0,"blocked","open"))</f>
        <v/>
      </c>
    </row>
    <row r="64" ht="15" customHeight="1" s="17">
      <c r="A64" s="23" t="inlineStr">
        <is>
          <t>Tree</t>
        </is>
      </c>
      <c r="B64" s="23">
        <f>INDIRECT("'"&amp;A64&amp;"'!B4")</f>
        <v/>
      </c>
      <c r="C64" s="23">
        <f>COUNTIF(INDIRECT("'"&amp;A64&amp;"'!H9:H200"),"not started")</f>
        <v/>
      </c>
      <c r="D64" s="23">
        <f>COUNTIF(INDIRECT("'"&amp;A64&amp;"'!H9:H200"),"partial")</f>
        <v/>
      </c>
      <c r="E64" s="23">
        <f>COUNTIF(INDIRECT("'"&amp;A64&amp;"'!H9:H200"),"implemented")</f>
        <v/>
      </c>
      <c r="F64" s="23">
        <f>COUNTIF(INDIRECT("'"&amp;A64&amp;"'!H9:H200"),"tested")</f>
        <v/>
      </c>
      <c r="G64" s="23">
        <f>COUNTIF(INDIRECT("'"&amp;A64&amp;"'!H9:H200"),"verified")</f>
        <v/>
      </c>
      <c r="H64" s="23">
        <f>COUNTIF(INDIRECT("'"&amp;A64&amp;"'!H9:H200"),"blocked")</f>
        <v/>
      </c>
      <c r="I64" s="23">
        <f>COUNTIF(INDIRECT("'"&amp;A64&amp;"'!H9:H200"),"not applicable")</f>
        <v/>
      </c>
      <c r="J64" s="24">
        <f>INDIRECT("'"&amp;A64&amp;"'!H4")</f>
        <v/>
      </c>
      <c r="K64" s="23">
        <f>INDIRECT("'"&amp;A64&amp;"'!K4")</f>
        <v/>
      </c>
      <c r="L64" s="23">
        <f>INDIRECT("'"&amp;A64&amp;"'!E5")</f>
        <v/>
      </c>
      <c r="M64" s="23">
        <f>IF(AND(J64=1,K64="complete",L64="complete"),"complete",IF(H64&gt;0,"blocked","open"))</f>
        <v/>
      </c>
    </row>
    <row r="65" ht="15" customHeight="1" s="17">
      <c r="A65" s="23" t="inlineStr">
        <is>
          <t>Feed</t>
        </is>
      </c>
      <c r="B65" s="23">
        <f>INDIRECT("'"&amp;A65&amp;"'!B4")</f>
        <v/>
      </c>
      <c r="C65" s="23">
        <f>COUNTIF(INDIRECT("'"&amp;A65&amp;"'!H9:H200"),"not started")</f>
        <v/>
      </c>
      <c r="D65" s="23">
        <f>COUNTIF(INDIRECT("'"&amp;A65&amp;"'!H9:H200"),"partial")</f>
        <v/>
      </c>
      <c r="E65" s="23">
        <f>COUNTIF(INDIRECT("'"&amp;A65&amp;"'!H9:H200"),"implemented")</f>
        <v/>
      </c>
      <c r="F65" s="23">
        <f>COUNTIF(INDIRECT("'"&amp;A65&amp;"'!H9:H200"),"tested")</f>
        <v/>
      </c>
      <c r="G65" s="23">
        <f>COUNTIF(INDIRECT("'"&amp;A65&amp;"'!H9:H200"),"verified")</f>
        <v/>
      </c>
      <c r="H65" s="23">
        <f>COUNTIF(INDIRECT("'"&amp;A65&amp;"'!H9:H200"),"blocked")</f>
        <v/>
      </c>
      <c r="I65" s="23">
        <f>COUNTIF(INDIRECT("'"&amp;A65&amp;"'!H9:H200"),"not applicable")</f>
        <v/>
      </c>
      <c r="J65" s="24">
        <f>INDIRECT("'"&amp;A65&amp;"'!H4")</f>
        <v/>
      </c>
      <c r="K65" s="23">
        <f>INDIRECT("'"&amp;A65&amp;"'!K4")</f>
        <v/>
      </c>
      <c r="L65" s="23">
        <f>INDIRECT("'"&amp;A65&amp;"'!E5")</f>
        <v/>
      </c>
      <c r="M65" s="23">
        <f>IF(AND(J65=1,K65="complete",L65="complete"),"complete",IF(H65&gt;0,"blocked","open"))</f>
        <v/>
      </c>
    </row>
    <row r="66" ht="15" customHeight="1" s="17">
      <c r="A66" s="23" t="inlineStr">
        <is>
          <t>Aspect Ratio</t>
        </is>
      </c>
      <c r="B66" s="23">
        <f>INDIRECT("'"&amp;A66&amp;"'!B4")</f>
        <v/>
      </c>
      <c r="C66" s="23">
        <f>COUNTIF(INDIRECT("'"&amp;A66&amp;"'!H9:H200"),"not started")</f>
        <v/>
      </c>
      <c r="D66" s="23">
        <f>COUNTIF(INDIRECT("'"&amp;A66&amp;"'!H9:H200"),"partial")</f>
        <v/>
      </c>
      <c r="E66" s="23">
        <f>COUNTIF(INDIRECT("'"&amp;A66&amp;"'!H9:H200"),"implemented")</f>
        <v/>
      </c>
      <c r="F66" s="23">
        <f>COUNTIF(INDIRECT("'"&amp;A66&amp;"'!H9:H200"),"tested")</f>
        <v/>
      </c>
      <c r="G66" s="23">
        <f>COUNTIF(INDIRECT("'"&amp;A66&amp;"'!H9:H200"),"verified")</f>
        <v/>
      </c>
      <c r="H66" s="23">
        <f>COUNTIF(INDIRECT("'"&amp;A66&amp;"'!H9:H200"),"blocked")</f>
        <v/>
      </c>
      <c r="I66" s="23">
        <f>COUNTIF(INDIRECT("'"&amp;A66&amp;"'!H9:H200"),"not applicable")</f>
        <v/>
      </c>
      <c r="J66" s="24">
        <f>INDIRECT("'"&amp;A66&amp;"'!H4")</f>
        <v/>
      </c>
      <c r="K66" s="23">
        <f>INDIRECT("'"&amp;A66&amp;"'!K4")</f>
        <v/>
      </c>
      <c r="L66" s="23">
        <f>INDIRECT("'"&amp;A66&amp;"'!E5")</f>
        <v/>
      </c>
      <c r="M66" s="23">
        <f>IF(AND(J66=1,K66="complete",L66="complete"),"complete",IF(H66&gt;0,"blocked","open"))</f>
        <v/>
      </c>
    </row>
    <row r="67" ht="15" customHeight="1" s="17">
      <c r="A67" s="23" t="inlineStr">
        <is>
          <t>Toolbar</t>
        </is>
      </c>
      <c r="B67" s="23">
        <f>INDIRECT("'"&amp;A67&amp;"'!B4")</f>
        <v/>
      </c>
      <c r="C67" s="23">
        <f>COUNTIF(INDIRECT("'"&amp;A67&amp;"'!H9:H200"),"not started")</f>
        <v/>
      </c>
      <c r="D67" s="23">
        <f>COUNTIF(INDIRECT("'"&amp;A67&amp;"'!H9:H200"),"partial")</f>
        <v/>
      </c>
      <c r="E67" s="23">
        <f>COUNTIF(INDIRECT("'"&amp;A67&amp;"'!H9:H200"),"implemented")</f>
        <v/>
      </c>
      <c r="F67" s="23">
        <f>COUNTIF(INDIRECT("'"&amp;A67&amp;"'!H9:H200"),"tested")</f>
        <v/>
      </c>
      <c r="G67" s="23">
        <f>COUNTIF(INDIRECT("'"&amp;A67&amp;"'!H9:H200"),"verified")</f>
        <v/>
      </c>
      <c r="H67" s="23">
        <f>COUNTIF(INDIRECT("'"&amp;A67&amp;"'!H9:H200"),"blocked")</f>
        <v/>
      </c>
      <c r="I67" s="23">
        <f>COUNTIF(INDIRECT("'"&amp;A67&amp;"'!H9:H200"),"not applicable")</f>
        <v/>
      </c>
      <c r="J67" s="24">
        <f>INDIRECT("'"&amp;A67&amp;"'!H4")</f>
        <v/>
      </c>
      <c r="K67" s="23">
        <f>INDIRECT("'"&amp;A67&amp;"'!K4")</f>
        <v/>
      </c>
      <c r="L67" s="23">
        <f>INDIRECT("'"&amp;A67&amp;"'!E5")</f>
        <v/>
      </c>
      <c r="M67" s="23">
        <f>IF(AND(J67=1,K67="complete",L67="complete"),"complete",IF(H67&gt;0,"blocked","open"))</f>
        <v/>
      </c>
    </row>
    <row r="68" ht="15" customHeight="1" s="17">
      <c r="A68" s="23" t="inlineStr">
        <is>
          <t>Chip</t>
        </is>
      </c>
      <c r="B68" s="23">
        <f>INDIRECT("'"&amp;A68&amp;"'!B4")</f>
        <v/>
      </c>
      <c r="C68" s="23">
        <f>COUNTIF(INDIRECT("'"&amp;A68&amp;"'!H9:H200"),"not started")</f>
        <v/>
      </c>
      <c r="D68" s="23">
        <f>COUNTIF(INDIRECT("'"&amp;A68&amp;"'!H9:H200"),"partial")</f>
        <v/>
      </c>
      <c r="E68" s="23">
        <f>COUNTIF(INDIRECT("'"&amp;A68&amp;"'!H9:H200"),"implemented")</f>
        <v/>
      </c>
      <c r="F68" s="23">
        <f>COUNTIF(INDIRECT("'"&amp;A68&amp;"'!H9:H200"),"tested")</f>
        <v/>
      </c>
      <c r="G68" s="23">
        <f>COUNTIF(INDIRECT("'"&amp;A68&amp;"'!H9:H200"),"verified")</f>
        <v/>
      </c>
      <c r="H68" s="23">
        <f>COUNTIF(INDIRECT("'"&amp;A68&amp;"'!H9:H200"),"blocked")</f>
        <v/>
      </c>
      <c r="I68" s="23">
        <f>COUNTIF(INDIRECT("'"&amp;A68&amp;"'!H9:H200"),"not applicable")</f>
        <v/>
      </c>
      <c r="J68" s="24">
        <f>INDIRECT("'"&amp;A68&amp;"'!H4")</f>
        <v/>
      </c>
      <c r="K68" s="23">
        <f>INDIRECT("'"&amp;A68&amp;"'!K4")</f>
        <v/>
      </c>
      <c r="L68" s="23">
        <f>INDIRECT("'"&amp;A68&amp;"'!E5")</f>
        <v/>
      </c>
      <c r="M68" s="23">
        <f>IF(AND(J68=1,K68="complete",L68="complete"),"complete",IF(H68&gt;0,"blocked","open"))</f>
        <v/>
      </c>
    </row>
    <row r="69" ht="15" customHeight="1" s="17">
      <c r="A69" s="23" t="inlineStr">
        <is>
          <t>Combobox</t>
        </is>
      </c>
      <c r="B69" s="23">
        <f>INDIRECT("'"&amp;A69&amp;"'!B4")</f>
        <v/>
      </c>
      <c r="C69" s="23">
        <f>COUNTIF(INDIRECT("'"&amp;A69&amp;"'!H9:H200"),"not started")</f>
        <v/>
      </c>
      <c r="D69" s="23">
        <f>COUNTIF(INDIRECT("'"&amp;A69&amp;"'!H9:H200"),"partial")</f>
        <v/>
      </c>
      <c r="E69" s="23">
        <f>COUNTIF(INDIRECT("'"&amp;A69&amp;"'!H9:H200"),"implemented")</f>
        <v/>
      </c>
      <c r="F69" s="23">
        <f>COUNTIF(INDIRECT("'"&amp;A69&amp;"'!H9:H200"),"tested")</f>
        <v/>
      </c>
      <c r="G69" s="23">
        <f>COUNTIF(INDIRECT("'"&amp;A69&amp;"'!H9:H200"),"verified")</f>
        <v/>
      </c>
      <c r="H69" s="23">
        <f>COUNTIF(INDIRECT("'"&amp;A69&amp;"'!H9:H200"),"blocked")</f>
        <v/>
      </c>
      <c r="I69" s="23">
        <f>COUNTIF(INDIRECT("'"&amp;A69&amp;"'!H9:H200"),"not applicable")</f>
        <v/>
      </c>
      <c r="J69" s="24">
        <f>INDIRECT("'"&amp;A69&amp;"'!H4")</f>
        <v/>
      </c>
      <c r="K69" s="23">
        <f>INDIRECT("'"&amp;A69&amp;"'!K4")</f>
        <v/>
      </c>
      <c r="L69" s="23">
        <f>INDIRECT("'"&amp;A69&amp;"'!E5")</f>
        <v/>
      </c>
      <c r="M69" s="23">
        <f>IF(AND(J69=1,K69="complete",L69="complete"),"complete",IF(H69&gt;0,"blocked","open"))</f>
        <v/>
      </c>
    </row>
    <row r="70" ht="15" customHeight="1" s="17">
      <c r="A70" s="23" t="inlineStr">
        <is>
          <t>Number Input</t>
        </is>
      </c>
      <c r="B70" s="23">
        <f>INDIRECT("'"&amp;A70&amp;"'!B4")</f>
        <v/>
      </c>
      <c r="C70" s="23">
        <f>COUNTIF(INDIRECT("'"&amp;A70&amp;"'!H9:H200"),"not started")</f>
        <v/>
      </c>
      <c r="D70" s="23">
        <f>COUNTIF(INDIRECT("'"&amp;A70&amp;"'!H9:H200"),"partial")</f>
        <v/>
      </c>
      <c r="E70" s="23">
        <f>COUNTIF(INDIRECT("'"&amp;A70&amp;"'!H9:H200"),"implemented")</f>
        <v/>
      </c>
      <c r="F70" s="23">
        <f>COUNTIF(INDIRECT("'"&amp;A70&amp;"'!H9:H200"),"tested")</f>
        <v/>
      </c>
      <c r="G70" s="23">
        <f>COUNTIF(INDIRECT("'"&amp;A70&amp;"'!H9:H200"),"verified")</f>
        <v/>
      </c>
      <c r="H70" s="23">
        <f>COUNTIF(INDIRECT("'"&amp;A70&amp;"'!H9:H200"),"blocked")</f>
        <v/>
      </c>
      <c r="I70" s="23">
        <f>COUNTIF(INDIRECT("'"&amp;A70&amp;"'!H9:H200"),"not applicable")</f>
        <v/>
      </c>
      <c r="J70" s="24">
        <f>INDIRECT("'"&amp;A70&amp;"'!H4")</f>
        <v/>
      </c>
      <c r="K70" s="23">
        <f>INDIRECT("'"&amp;A70&amp;"'!K4")</f>
        <v/>
      </c>
      <c r="L70" s="23">
        <f>INDIRECT("'"&amp;A70&amp;"'!E5")</f>
        <v/>
      </c>
      <c r="M70" s="23">
        <f>IF(AND(J70=1,K70="complete",L70="complete"),"complete",IF(H70&gt;0,"blocked","open"))</f>
        <v/>
      </c>
    </row>
    <row r="71" ht="15" customHeight="1" s="17">
      <c r="A71" s="23" t="inlineStr">
        <is>
          <t>OTP Field</t>
        </is>
      </c>
      <c r="B71" s="23">
        <f>INDIRECT("'"&amp;A71&amp;"'!B4")</f>
        <v/>
      </c>
      <c r="C71" s="23">
        <f>COUNTIF(INDIRECT("'"&amp;A71&amp;"'!H9:H200"),"not started")</f>
        <v/>
      </c>
      <c r="D71" s="23">
        <f>COUNTIF(INDIRECT("'"&amp;A71&amp;"'!H9:H200"),"partial")</f>
        <v/>
      </c>
      <c r="E71" s="23">
        <f>COUNTIF(INDIRECT("'"&amp;A71&amp;"'!H9:H200"),"implemented")</f>
        <v/>
      </c>
      <c r="F71" s="23">
        <f>COUNTIF(INDIRECT("'"&amp;A71&amp;"'!H9:H200"),"tested")</f>
        <v/>
      </c>
      <c r="G71" s="23">
        <f>COUNTIF(INDIRECT("'"&amp;A71&amp;"'!H9:H200"),"verified")</f>
        <v/>
      </c>
      <c r="H71" s="23">
        <f>COUNTIF(INDIRECT("'"&amp;A71&amp;"'!H9:H200"),"blocked")</f>
        <v/>
      </c>
      <c r="I71" s="23">
        <f>COUNTIF(INDIRECT("'"&amp;A71&amp;"'!H9:H200"),"not applicable")</f>
        <v/>
      </c>
      <c r="J71" s="24">
        <f>INDIRECT("'"&amp;A71&amp;"'!H4")</f>
        <v/>
      </c>
      <c r="K71" s="23">
        <f>INDIRECT("'"&amp;A71&amp;"'!K4")</f>
        <v/>
      </c>
      <c r="L71" s="23">
        <f>INDIRECT("'"&amp;A71&amp;"'!E5")</f>
        <v/>
      </c>
      <c r="M71" s="23">
        <f>IF(AND(J71=1,K71="complete",L71="complete"),"complete",IF(H71&gt;0,"blocked","open"))</f>
        <v/>
      </c>
    </row>
    <row r="72" ht="15" customHeight="1" s="17">
      <c r="A72" s="23" t="inlineStr">
        <is>
          <t>Password Toggle Field</t>
        </is>
      </c>
      <c r="B72" s="23">
        <f>INDIRECT("'"&amp;A72&amp;"'!B4")</f>
        <v/>
      </c>
      <c r="C72" s="23">
        <f>COUNTIF(INDIRECT("'"&amp;A72&amp;"'!H9:H200"),"not started")</f>
        <v/>
      </c>
      <c r="D72" s="23">
        <f>COUNTIF(INDIRECT("'"&amp;A72&amp;"'!H9:H200"),"partial")</f>
        <v/>
      </c>
      <c r="E72" s="23">
        <f>COUNTIF(INDIRECT("'"&amp;A72&amp;"'!H9:H200"),"implemented")</f>
        <v/>
      </c>
      <c r="F72" s="23">
        <f>COUNTIF(INDIRECT("'"&amp;A72&amp;"'!H9:H200"),"tested")</f>
        <v/>
      </c>
      <c r="G72" s="23">
        <f>COUNTIF(INDIRECT("'"&amp;A72&amp;"'!H9:H200"),"verified")</f>
        <v/>
      </c>
      <c r="H72" s="23">
        <f>COUNTIF(INDIRECT("'"&amp;A72&amp;"'!H9:H200"),"blocked")</f>
        <v/>
      </c>
      <c r="I72" s="23">
        <f>COUNTIF(INDIRECT("'"&amp;A72&amp;"'!H9:H200"),"not applicable")</f>
        <v/>
      </c>
      <c r="J72" s="24">
        <f>INDIRECT("'"&amp;A72&amp;"'!H4")</f>
        <v/>
      </c>
      <c r="K72" s="23">
        <f>INDIRECT("'"&amp;A72&amp;"'!K4")</f>
        <v/>
      </c>
      <c r="L72" s="23">
        <f>INDIRECT("'"&amp;A72&amp;"'!E5")</f>
        <v/>
      </c>
      <c r="M72" s="23">
        <f>IF(AND(J72=1,K72="complete",L72="complete"),"complete",IF(H72&gt;0,"blocked","open"))</f>
        <v/>
      </c>
    </row>
    <row r="73" ht="15" customHeight="1" s="17">
      <c r="A73" s="23" t="inlineStr">
        <is>
          <t>Slider</t>
        </is>
      </c>
      <c r="B73" s="23">
        <f>INDIRECT("'"&amp;A73&amp;"'!B4")</f>
        <v/>
      </c>
      <c r="C73" s="23">
        <f>COUNTIF(INDIRECT("'"&amp;A73&amp;"'!H9:H200"),"not started")</f>
        <v/>
      </c>
      <c r="D73" s="23">
        <f>COUNTIF(INDIRECT("'"&amp;A73&amp;"'!H9:H200"),"partial")</f>
        <v/>
      </c>
      <c r="E73" s="23">
        <f>COUNTIF(INDIRECT("'"&amp;A73&amp;"'!H9:H200"),"implemented")</f>
        <v/>
      </c>
      <c r="F73" s="23">
        <f>COUNTIF(INDIRECT("'"&amp;A73&amp;"'!H9:H200"),"tested")</f>
        <v/>
      </c>
      <c r="G73" s="23">
        <f>COUNTIF(INDIRECT("'"&amp;A73&amp;"'!H9:H200"),"verified")</f>
        <v/>
      </c>
      <c r="H73" s="23">
        <f>COUNTIF(INDIRECT("'"&amp;A73&amp;"'!H9:H200"),"blocked")</f>
        <v/>
      </c>
      <c r="I73" s="23">
        <f>COUNTIF(INDIRECT("'"&amp;A73&amp;"'!H9:H200"),"not applicable")</f>
        <v/>
      </c>
      <c r="J73" s="24">
        <f>INDIRECT("'"&amp;A73&amp;"'!H4")</f>
        <v/>
      </c>
      <c r="K73" s="23">
        <f>INDIRECT("'"&amp;A73&amp;"'!K4")</f>
        <v/>
      </c>
      <c r="L73" s="23">
        <f>INDIRECT("'"&amp;A73&amp;"'!E5")</f>
        <v/>
      </c>
      <c r="M73" s="23">
        <f>IF(AND(J73=1,K73="complete",L73="complete"),"complete",IF(H73&gt;0,"blocked","open"))</f>
        <v/>
      </c>
    </row>
    <row r="74" ht="15" customHeight="1" s="17">
      <c r="A74" s="23" t="inlineStr">
        <is>
          <t>Rating</t>
        </is>
      </c>
      <c r="B74" s="23">
        <f>INDIRECT("'"&amp;A74&amp;"'!B4")</f>
        <v/>
      </c>
      <c r="C74" s="23">
        <f>COUNTIF(INDIRECT("'"&amp;A74&amp;"'!H9:H200"),"not started")</f>
        <v/>
      </c>
      <c r="D74" s="23">
        <f>COUNTIF(INDIRECT("'"&amp;A74&amp;"'!H9:H200"),"partial")</f>
        <v/>
      </c>
      <c r="E74" s="23">
        <f>COUNTIF(INDIRECT("'"&amp;A74&amp;"'!H9:H200"),"implemented")</f>
        <v/>
      </c>
      <c r="F74" s="23">
        <f>COUNTIF(INDIRECT("'"&amp;A74&amp;"'!H9:H200"),"tested")</f>
        <v/>
      </c>
      <c r="G74" s="23">
        <f>COUNTIF(INDIRECT("'"&amp;A74&amp;"'!H9:H200"),"verified")</f>
        <v/>
      </c>
      <c r="H74" s="23">
        <f>COUNTIF(INDIRECT("'"&amp;A74&amp;"'!H9:H200"),"blocked")</f>
        <v/>
      </c>
      <c r="I74" s="23">
        <f>COUNTIF(INDIRECT("'"&amp;A74&amp;"'!H9:H200"),"not applicable")</f>
        <v/>
      </c>
      <c r="J74" s="24">
        <f>INDIRECT("'"&amp;A74&amp;"'!H4")</f>
        <v/>
      </c>
      <c r="K74" s="23">
        <f>INDIRECT("'"&amp;A74&amp;"'!K4")</f>
        <v/>
      </c>
      <c r="L74" s="23">
        <f>INDIRECT("'"&amp;A74&amp;"'!E5")</f>
        <v/>
      </c>
      <c r="M74" s="23">
        <f>IF(AND(J74=1,K74="complete",L74="complete"),"complete",IF(H74&gt;0,"blocked","open"))</f>
        <v/>
      </c>
    </row>
    <row r="75" ht="15" customHeight="1" s="17">
      <c r="A75" s="23" t="inlineStr">
        <is>
          <t>File Upload</t>
        </is>
      </c>
      <c r="B75" s="23">
        <f>INDIRECT("'"&amp;A75&amp;"'!B4")</f>
        <v/>
      </c>
      <c r="C75" s="23">
        <f>COUNTIF(INDIRECT("'"&amp;A75&amp;"'!H9:H200"),"not started")</f>
        <v/>
      </c>
      <c r="D75" s="23">
        <f>COUNTIF(INDIRECT("'"&amp;A75&amp;"'!H9:H200"),"partial")</f>
        <v/>
      </c>
      <c r="E75" s="23">
        <f>COUNTIF(INDIRECT("'"&amp;A75&amp;"'!H9:H200"),"implemented")</f>
        <v/>
      </c>
      <c r="F75" s="23">
        <f>COUNTIF(INDIRECT("'"&amp;A75&amp;"'!H9:H200"),"tested")</f>
        <v/>
      </c>
      <c r="G75" s="23">
        <f>COUNTIF(INDIRECT("'"&amp;A75&amp;"'!H9:H200"),"verified")</f>
        <v/>
      </c>
      <c r="H75" s="23">
        <f>COUNTIF(INDIRECT("'"&amp;A75&amp;"'!H9:H200"),"blocked")</f>
        <v/>
      </c>
      <c r="I75" s="23">
        <f>COUNTIF(INDIRECT("'"&amp;A75&amp;"'!H9:H200"),"not applicable")</f>
        <v/>
      </c>
      <c r="J75" s="24">
        <f>INDIRECT("'"&amp;A75&amp;"'!H4")</f>
        <v/>
      </c>
      <c r="K75" s="23">
        <f>INDIRECT("'"&amp;A75&amp;"'!K4")</f>
        <v/>
      </c>
      <c r="L75" s="23">
        <f>INDIRECT("'"&amp;A75&amp;"'!E5")</f>
        <v/>
      </c>
      <c r="M75" s="23">
        <f>IF(AND(J75=1,K75="complete",L75="complete"),"complete",IF(H75&gt;0,"blocked","open"))</f>
        <v/>
      </c>
    </row>
    <row r="76" ht="15" customHeight="1" s="17">
      <c r="A76" s="23" t="inlineStr">
        <is>
          <t>Skip Link</t>
        </is>
      </c>
      <c r="B76" s="23">
        <f>INDIRECT("'"&amp;A76&amp;"'!B4")</f>
        <v/>
      </c>
      <c r="C76" s="23">
        <f>COUNTIF(INDIRECT("'"&amp;A76&amp;"'!H9:H200"),"not started")</f>
        <v/>
      </c>
      <c r="D76" s="23">
        <f>COUNTIF(INDIRECT("'"&amp;A76&amp;"'!H9:H200"),"partial")</f>
        <v/>
      </c>
      <c r="E76" s="23">
        <f>COUNTIF(INDIRECT("'"&amp;A76&amp;"'!H9:H200"),"implemented")</f>
        <v/>
      </c>
      <c r="F76" s="23">
        <f>COUNTIF(INDIRECT("'"&amp;A76&amp;"'!H9:H200"),"tested")</f>
        <v/>
      </c>
      <c r="G76" s="23">
        <f>COUNTIF(INDIRECT("'"&amp;A76&amp;"'!H9:H200"),"verified")</f>
        <v/>
      </c>
      <c r="H76" s="23">
        <f>COUNTIF(INDIRECT("'"&amp;A76&amp;"'!H9:H200"),"blocked")</f>
        <v/>
      </c>
      <c r="I76" s="23">
        <f>COUNTIF(INDIRECT("'"&amp;A76&amp;"'!H9:H200"),"not applicable")</f>
        <v/>
      </c>
      <c r="J76" s="24">
        <f>INDIRECT("'"&amp;A76&amp;"'!H4")</f>
        <v/>
      </c>
      <c r="K76" s="23">
        <f>INDIRECT("'"&amp;A76&amp;"'!K4")</f>
        <v/>
      </c>
      <c r="L76" s="23">
        <f>INDIRECT("'"&amp;A76&amp;"'!E5")</f>
        <v/>
      </c>
      <c r="M76" s="23">
        <f>IF(AND(J76=1,K76="complete",L76="complete"),"complete",IF(H76&gt;0,"blocked","open"))</f>
        <v/>
      </c>
    </row>
    <row r="77" ht="15" customHeight="1" s="17">
      <c r="A77" s="23" t="inlineStr">
        <is>
          <t>Show</t>
        </is>
      </c>
      <c r="B77" s="23">
        <f>INDIRECT("'"&amp;A77&amp;"'!B4")</f>
        <v/>
      </c>
      <c r="C77" s="23">
        <f>COUNTIF(INDIRECT("'"&amp;A77&amp;"'!H9:H200"),"not started")</f>
        <v/>
      </c>
      <c r="D77" s="23">
        <f>COUNTIF(INDIRECT("'"&amp;A77&amp;"'!H9:H200"),"partial")</f>
        <v/>
      </c>
      <c r="E77" s="23">
        <f>COUNTIF(INDIRECT("'"&amp;A77&amp;"'!H9:H200"),"implemented")</f>
        <v/>
      </c>
      <c r="F77" s="23">
        <f>COUNTIF(INDIRECT("'"&amp;A77&amp;"'!H9:H200"),"tested")</f>
        <v/>
      </c>
      <c r="G77" s="23">
        <f>COUNTIF(INDIRECT("'"&amp;A77&amp;"'!H9:H200"),"verified")</f>
        <v/>
      </c>
      <c r="H77" s="23">
        <f>COUNTIF(INDIRECT("'"&amp;A77&amp;"'!H9:H200"),"blocked")</f>
        <v/>
      </c>
      <c r="I77" s="23">
        <f>COUNTIF(INDIRECT("'"&amp;A77&amp;"'!H9:H200"),"not applicable")</f>
        <v/>
      </c>
      <c r="J77" s="24">
        <f>INDIRECT("'"&amp;A77&amp;"'!H4")</f>
        <v/>
      </c>
      <c r="K77" s="23">
        <f>INDIRECT("'"&amp;A77&amp;"'!K4")</f>
        <v/>
      </c>
      <c r="L77" s="23">
        <f>INDIRECT("'"&amp;A77&amp;"'!E5")</f>
        <v/>
      </c>
      <c r="M77" s="23">
        <f>IF(AND(J77=1,K77="complete",L77="complete"),"complete",IF(H77&gt;0,"blocked","open"))</f>
        <v/>
      </c>
    </row>
    <row r="78" ht="15" customHeight="1" s="17">
      <c r="A78" s="23" t="inlineStr">
        <is>
          <t>Hide</t>
        </is>
      </c>
      <c r="B78" s="23">
        <f>INDIRECT("'"&amp;A78&amp;"'!B4")</f>
        <v/>
      </c>
      <c r="C78" s="23">
        <f>COUNTIF(INDIRECT("'"&amp;A78&amp;"'!H9:H200"),"not started")</f>
        <v/>
      </c>
      <c r="D78" s="23">
        <f>COUNTIF(INDIRECT("'"&amp;A78&amp;"'!H9:H200"),"partial")</f>
        <v/>
      </c>
      <c r="E78" s="23">
        <f>COUNTIF(INDIRECT("'"&amp;A78&amp;"'!H9:H200"),"implemented")</f>
        <v/>
      </c>
      <c r="F78" s="23">
        <f>COUNTIF(INDIRECT("'"&amp;A78&amp;"'!H9:H200"),"tested")</f>
        <v/>
      </c>
      <c r="G78" s="23">
        <f>COUNTIF(INDIRECT("'"&amp;A78&amp;"'!H9:H200"),"verified")</f>
        <v/>
      </c>
      <c r="H78" s="23">
        <f>COUNTIF(INDIRECT("'"&amp;A78&amp;"'!H9:H200"),"blocked")</f>
        <v/>
      </c>
      <c r="I78" s="23">
        <f>COUNTIF(INDIRECT("'"&amp;A78&amp;"'!H9:H200"),"not applicable")</f>
        <v/>
      </c>
      <c r="J78" s="24">
        <f>INDIRECT("'"&amp;A78&amp;"'!H4")</f>
        <v/>
      </c>
      <c r="K78" s="23">
        <f>INDIRECT("'"&amp;A78&amp;"'!K4")</f>
        <v/>
      </c>
      <c r="L78" s="23">
        <f>INDIRECT("'"&amp;A78&amp;"'!E5")</f>
        <v/>
      </c>
      <c r="M78" s="23">
        <f>IF(AND(J78=1,K78="complete",L78="complete"),"complete",IF(H78&gt;0,"blocked","open"))</f>
        <v/>
      </c>
    </row>
    <row r="79" ht="15" customHeight="1" s="17">
      <c r="A79" s="23" t="inlineStr">
        <is>
          <t>Swipeable Item</t>
        </is>
      </c>
      <c r="B79" s="23">
        <f>INDIRECT("'"&amp;A79&amp;"'!B4")</f>
        <v/>
      </c>
      <c r="C79" s="23">
        <f>COUNTIF(INDIRECT("'"&amp;A79&amp;"'!H9:H200"),"not started")</f>
        <v/>
      </c>
      <c r="D79" s="23">
        <f>COUNTIF(INDIRECT("'"&amp;A79&amp;"'!H9:H200"),"partial")</f>
        <v/>
      </c>
      <c r="E79" s="23">
        <f>COUNTIF(INDIRECT("'"&amp;A79&amp;"'!H9:H200"),"implemented")</f>
        <v/>
      </c>
      <c r="F79" s="23">
        <f>COUNTIF(INDIRECT("'"&amp;A79&amp;"'!H9:H200"),"tested")</f>
        <v/>
      </c>
      <c r="G79" s="23">
        <f>COUNTIF(INDIRECT("'"&amp;A79&amp;"'!H9:H200"),"verified")</f>
        <v/>
      </c>
      <c r="H79" s="23">
        <f>COUNTIF(INDIRECT("'"&amp;A79&amp;"'!H9:H200"),"blocked")</f>
        <v/>
      </c>
      <c r="I79" s="23">
        <f>COUNTIF(INDIRECT("'"&amp;A79&amp;"'!H9:H200"),"not applicable")</f>
        <v/>
      </c>
      <c r="J79" s="24">
        <f>INDIRECT("'"&amp;A79&amp;"'!H4")</f>
        <v/>
      </c>
      <c r="K79" s="23">
        <f>INDIRECT("'"&amp;A79&amp;"'!K4")</f>
        <v/>
      </c>
      <c r="L79" s="23">
        <f>INDIRECT("'"&amp;A79&amp;"'!E5")</f>
        <v/>
      </c>
      <c r="M79" s="23">
        <f>IF(AND(J79=1,K79="complete",L79="complete"),"complete",IF(H79&gt;0,"blocked","open"))</f>
        <v/>
      </c>
    </row>
    <row r="80" ht="15" customHeight="1" s="17">
      <c r="A80" s="23" t="inlineStr">
        <is>
          <t>Table</t>
        </is>
      </c>
      <c r="B80" s="23">
        <f>INDIRECT("'"&amp;A80&amp;"'!B4")</f>
        <v/>
      </c>
      <c r="C80" s="23">
        <f>COUNTIF(INDIRECT("'"&amp;A80&amp;"'!H9:H200"),"not started")</f>
        <v/>
      </c>
      <c r="D80" s="23">
        <f>COUNTIF(INDIRECT("'"&amp;A80&amp;"'!H9:H200"),"partial")</f>
        <v/>
      </c>
      <c r="E80" s="23">
        <f>COUNTIF(INDIRECT("'"&amp;A80&amp;"'!H9:H200"),"implemented")</f>
        <v/>
      </c>
      <c r="F80" s="23">
        <f>COUNTIF(INDIRECT("'"&amp;A80&amp;"'!H9:H200"),"tested")</f>
        <v/>
      </c>
      <c r="G80" s="23">
        <f>COUNTIF(INDIRECT("'"&amp;A80&amp;"'!H9:H200"),"verified")</f>
        <v/>
      </c>
      <c r="H80" s="23">
        <f>COUNTIF(INDIRECT("'"&amp;A80&amp;"'!H9:H200"),"blocked")</f>
        <v/>
      </c>
      <c r="I80" s="23">
        <f>COUNTIF(INDIRECT("'"&amp;A80&amp;"'!H9:H200"),"not applicable")</f>
        <v/>
      </c>
      <c r="J80" s="24">
        <f>INDIRECT("'"&amp;A80&amp;"'!H4")</f>
        <v/>
      </c>
      <c r="K80" s="23">
        <f>INDIRECT("'"&amp;A80&amp;"'!K4")</f>
        <v/>
      </c>
      <c r="L80" s="23">
        <f>INDIRECT("'"&amp;A80&amp;"'!E5")</f>
        <v/>
      </c>
      <c r="M80" s="23">
        <f>IF(AND(J80=1,K80="complete",L80="complete"),"complete",IF(H80&gt;0,"blocked","open"))</f>
        <v/>
      </c>
    </row>
    <row r="81" ht="15" customHeight="1" s="17">
      <c r="A81" s="23" t="inlineStr">
        <is>
          <t>Progress</t>
        </is>
      </c>
      <c r="B81" s="23">
        <f>INDIRECT("'"&amp;A81&amp;"'!B4")</f>
        <v/>
      </c>
      <c r="C81" s="23">
        <f>COUNTIF(INDIRECT("'"&amp;A81&amp;"'!H9:H200"),"not started")</f>
        <v/>
      </c>
      <c r="D81" s="23">
        <f>COUNTIF(INDIRECT("'"&amp;A81&amp;"'!H9:H200"),"partial")</f>
        <v/>
      </c>
      <c r="E81" s="23">
        <f>COUNTIF(INDIRECT("'"&amp;A81&amp;"'!H9:H200"),"implemented")</f>
        <v/>
      </c>
      <c r="F81" s="23">
        <f>COUNTIF(INDIRECT("'"&amp;A81&amp;"'!H9:H200"),"tested")</f>
        <v/>
      </c>
      <c r="G81" s="23">
        <f>COUNTIF(INDIRECT("'"&amp;A81&amp;"'!H9:H200"),"verified")</f>
        <v/>
      </c>
      <c r="H81" s="23">
        <f>COUNTIF(INDIRECT("'"&amp;A81&amp;"'!H9:H200"),"blocked")</f>
        <v/>
      </c>
      <c r="I81" s="23">
        <f>COUNTIF(INDIRECT("'"&amp;A81&amp;"'!H9:H200"),"not applicable")</f>
        <v/>
      </c>
      <c r="J81" s="24">
        <f>INDIRECT("'"&amp;A81&amp;"'!H4")</f>
        <v/>
      </c>
      <c r="K81" s="23">
        <f>INDIRECT("'"&amp;A81&amp;"'!K4")</f>
        <v/>
      </c>
      <c r="L81" s="23">
        <f>INDIRECT("'"&amp;A81&amp;"'!E5")</f>
        <v/>
      </c>
      <c r="M81" s="23">
        <f>IF(AND(J81=1,K81="complete",L81="complete"),"complete",IF(H81&gt;0,"blocked","open"))</f>
        <v/>
      </c>
    </row>
    <row r="82" ht="15" customHeight="1" s="17">
      <c r="A82" s="23" t="inlineStr">
        <is>
          <t>Progress Circle</t>
        </is>
      </c>
      <c r="B82" s="23">
        <f>INDIRECT("'"&amp;A82&amp;"'!B4")</f>
        <v/>
      </c>
      <c r="C82" s="23">
        <f>COUNTIF(INDIRECT("'"&amp;A82&amp;"'!H9:H200"),"not started")</f>
        <v/>
      </c>
      <c r="D82" s="23">
        <f>COUNTIF(INDIRECT("'"&amp;A82&amp;"'!H9:H200"),"partial")</f>
        <v/>
      </c>
      <c r="E82" s="23">
        <f>COUNTIF(INDIRECT("'"&amp;A82&amp;"'!H9:H200"),"implemented")</f>
        <v/>
      </c>
      <c r="F82" s="23">
        <f>COUNTIF(INDIRECT("'"&amp;A82&amp;"'!H9:H200"),"tested")</f>
        <v/>
      </c>
      <c r="G82" s="23">
        <f>COUNTIF(INDIRECT("'"&amp;A82&amp;"'!H9:H200"),"verified")</f>
        <v/>
      </c>
      <c r="H82" s="23">
        <f>COUNTIF(INDIRECT("'"&amp;A82&amp;"'!H9:H200"),"blocked")</f>
        <v/>
      </c>
      <c r="I82" s="23">
        <f>COUNTIF(INDIRECT("'"&amp;A82&amp;"'!H9:H200"),"not applicable")</f>
        <v/>
      </c>
      <c r="J82" s="24">
        <f>INDIRECT("'"&amp;A82&amp;"'!H4")</f>
        <v/>
      </c>
      <c r="K82" s="23">
        <f>INDIRECT("'"&amp;A82&amp;"'!K4")</f>
        <v/>
      </c>
      <c r="L82" s="23">
        <f>INDIRECT("'"&amp;A82&amp;"'!E5")</f>
        <v/>
      </c>
      <c r="M82" s="23">
        <f>IF(AND(J82=1,K82="complete",L82="complete"),"complete",IF(H82&gt;0,"blocked","open"))</f>
        <v/>
      </c>
    </row>
    <row r="83">
      <c r="A83" s="23" t="inlineStr">
        <is>
          <t>Carousel</t>
        </is>
      </c>
      <c r="B83" s="23">
        <f>INDIRECT("'"&amp;A83&amp;"'!B4")</f>
        <v/>
      </c>
      <c r="C83" s="23">
        <f>COUNTIF(INDIRECT("'"&amp;A83&amp;"'!H9:H200"),"not started")</f>
        <v/>
      </c>
      <c r="D83" s="23">
        <f>COUNTIF(INDIRECT("'"&amp;A83&amp;"'!H9:H200"),"partial")</f>
        <v/>
      </c>
      <c r="E83" s="23">
        <f>COUNTIF(INDIRECT("'"&amp;A83&amp;"'!H9:H200"),"implemented")</f>
        <v/>
      </c>
      <c r="F83" s="23">
        <f>COUNTIF(INDIRECT("'"&amp;A83&amp;"'!H9:H200"),"tested")</f>
        <v/>
      </c>
      <c r="G83" s="23">
        <f>COUNTIF(INDIRECT("'"&amp;A83&amp;"'!H9:H200"),"verified")</f>
        <v/>
      </c>
      <c r="H83" s="23">
        <f>COUNTIF(INDIRECT("'"&amp;A83&amp;"'!H9:H200"),"blocked")</f>
        <v/>
      </c>
      <c r="I83" s="23">
        <f>COUNTIF(INDIRECT("'"&amp;A83&amp;"'!H9:H200"),"not applicable")</f>
        <v/>
      </c>
      <c r="J83" s="24">
        <f>INDIRECT("'"&amp;A83&amp;"'!H4")</f>
        <v/>
      </c>
      <c r="K83" s="23">
        <f>INDIRECT("'"&amp;A83&amp;"'!K4")</f>
        <v/>
      </c>
      <c r="L83" s="23">
        <f>INDIRECT("'"&amp;A83&amp;"'!E5")</f>
        <v/>
      </c>
      <c r="M83" s="23">
        <f>IF(AND(J83=1,K83="complete",L83="complete"),"complete",IF(H83&gt;0,"blocked","open"))</f>
        <v/>
      </c>
    </row>
  </sheetData>
  <autoFilter ref="A7:M83"/>
  <mergeCells count="2">
    <mergeCell ref="A2:M2"/>
    <mergeCell ref="A1:M1"/>
  </mergeCells>
  <conditionalFormatting sqref="M8:M82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documented public component owner owns one sheet. Shared subpaths and family integration never replace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Human completion is recorded only after the owner executes the current component protocol; unrun profiles remain open or not run.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0.20.11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n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n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n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n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n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n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n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n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n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n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n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n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n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n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n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n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0.20.11.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n"/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n"/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n"/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0.20.11,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Select and visual context adapt released Atom 0.20.11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../test/components/select/select.test.tsx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Exports</t>
        </is>
      </c>
      <c r="C11" s="26" t="inlineStr">
        <is>
          <t>Select</t>
        </is>
      </c>
      <c r="D11" s="27" t="inlineStr">
        <is>
          <t>Root and 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no multiple mode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../src/components/select/select.css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selected values resolve authored ItemText labels before popup mount, including native forms.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../test/components/select/select.test.tsx; tests/components/select/behavior.spec.ts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typeahead, selection, Escape, focus return, disabled skip, and outside dismissal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tests/components/select/behavior.spec.ts; Atom 0.20.11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native submit/reset, external form ownership, and validation use Atom's native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tests/components/select/behavior.spec.ts; Atom 0.20.11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../test/components/select/select.test.tsx; tests/components/select/behavior.spec.ts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Accessibility</t>
        </is>
      </c>
      <c r="C20" s="26" t="inlineStr">
        <is>
          <t>Select</t>
        </is>
      </c>
      <c r="D20" s="27" t="inlineStr">
        <is>
          <t>Field naming, combobox/listbox states,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Visual</t>
        </is>
      </c>
      <c r="C21" s="26" t="inlineStr">
        <is>
          <t>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manual-tests/select.md; Atom 0.20.11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Screen reader</t>
        </is>
      </c>
      <c r="C24" s="26" t="inlineStr">
        <is>
          <t>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S-17</t>
        </is>
      </c>
      <c r="B25" s="26" t="inlineStr">
        <is>
          <t>Theme</t>
        </is>
      </c>
      <c r="C25" s="26" t="inlineStr">
        <is>
          <t>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manual-tests/select.md; tests/components/select/visual.spec.ts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S-18</t>
        </is>
      </c>
      <c r="B26" s="26" t="inlineStr">
        <is>
          <t>Manual</t>
        </is>
      </c>
      <c r="C26" s="26" t="inlineStr">
        <is>
          <t>Select</t>
        </is>
      </c>
      <c r="D26" s="27" t="inlineStr">
        <is>
          <t>The component-owned protocol passes every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S-19</t>
        </is>
      </c>
      <c r="B27" s="26" t="inlineStr">
        <is>
          <t>Docs</t>
        </is>
      </c>
      <c r="C27" s="26" t="inlineStr">
        <is>
          <t>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S-20</t>
        </is>
      </c>
      <c r="B28" s="26" t="inlineStr">
        <is>
          <t>Changelog</t>
        </is>
      </c>
      <c r="C28" s="26" t="inlineStr">
        <is>
          <t>Select</t>
        </is>
      </c>
      <c r="D28" s="27" t="inlineStr">
        <is>
          <t>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S-21</t>
        </is>
      </c>
      <c r="B29" s="26" t="inlineStr">
        <is>
          <t>Consumer</t>
        </is>
      </c>
      <c r="C29" s="26" t="inlineStr">
        <is>
          <t>Select</t>
        </is>
      </c>
      <c r="D29" s="27" t="inlineStr">
        <is>
          <t>Packed Consumer proves a realistic Field/Form plan chooser through the public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inlineStr">
        <is>
          <t>2026-07-26</t>
        </is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S-22</t>
        </is>
      </c>
      <c r="B30" s="26" t="inlineStr">
        <is>
          <t>Package</t>
        </is>
      </c>
      <c r="C30" s="26" t="inlineStr">
        <is>
          <t>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inlineStr">
        <is>
          <t>2026-07-26</t>
        </is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MS-01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Multi Select and visual context adapt released Atom 0.20.11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../src/components/multi-select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MS-02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../test/components/multi-select/multi-select.test.tsx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MS-03</t>
        </is>
      </c>
      <c r="B11" s="26" t="inlineStr">
        <is>
          <t>Exports</t>
        </is>
      </c>
      <c r="C11" s="26" t="inlineStr">
        <is>
          <t>Multi Select</t>
        </is>
      </c>
      <c r="D11" s="27" t="inlineStr">
        <is>
          <t>Root and multi-select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MS-04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array-valued selection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../test/types/components/multi-select.test.ts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MS-05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../src/components/multi-select/multi-select.css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MS-06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summaries resolve authored ItemText labels before popup mount and update for several selected values.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../test/components/multi-select/multi-select.test.tsx; tests/components/multi-select/behavior.spec.ts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MS-07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tests/components/multi-select/behavior.spec.ts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MS-08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buffered typeahead, toggle selection without closing, Escape, focus return, and disabled skip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tests/components/multi-select/behavior.spec.ts; Atom 0.20.11 Multi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MS-09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tests/components/multi-select/behavior.spec.ts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MS-10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repeated-value native submit/reset, external form ownership, and validation use Atom's native multiple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tests/components/multi-select/behavior.spec.ts; Atom 0.20.11 Multi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MS-11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../test/components/multi-select/multi-select.test.tsx; tests/components/multi-select/behavior.spec.ts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MS-12</t>
        </is>
      </c>
      <c r="B20" s="26" t="inlineStr">
        <is>
          <t>Accessibility</t>
        </is>
      </c>
      <c r="C20" s="26" t="inlineStr">
        <is>
          <t>Multi Select</t>
        </is>
      </c>
      <c r="D20" s="27" t="inlineStr">
        <is>
          <t>Field naming, button/listbox states, aria-multiselectable, selected options,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tests/components/multi-select/behavior.spec.ts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MS-13</t>
        </is>
      </c>
      <c r="B21" s="26" t="inlineStr">
        <is>
          <t>Visual</t>
        </is>
      </c>
      <c r="C21" s="26" t="inlineStr">
        <is>
          <t>Multi 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tests/components/multi-select/visual.spec.ts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MS-14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manual-tests/multi-select.md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MS-15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Multi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manual-tests/multi-select.md; Atom 0.20.11 Multi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MS-16</t>
        </is>
      </c>
      <c r="B24" s="26" t="inlineStr">
        <is>
          <t>Screen reader</t>
        </is>
      </c>
      <c r="C24" s="26" t="inlineStr">
        <is>
          <t>Multi 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manual-tests/multi-select.md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MS-17</t>
        </is>
      </c>
      <c r="B25" s="26" t="inlineStr">
        <is>
          <t>Theme</t>
        </is>
      </c>
      <c r="C25" s="26" t="inlineStr">
        <is>
          <t>Multi 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manual-tests/multi-select.md; tests/components/multi-select/visual.spec.ts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MS-18</t>
        </is>
      </c>
      <c r="B26" s="26" t="inlineStr">
        <is>
          <t>Manual</t>
        </is>
      </c>
      <c r="C26" s="26" t="inlineStr">
        <is>
          <t>Multi Select</t>
        </is>
      </c>
      <c r="D26" s="27" t="inlineStr">
        <is>
          <t>The component-owned protocol passes every Multi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manual-tests/multi-select.md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MS-19</t>
        </is>
      </c>
      <c r="B27" s="26" t="inlineStr">
        <is>
          <t>Docs</t>
        </is>
      </c>
      <c r="C27" s="26" t="inlineStr">
        <is>
          <t>Multi 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../docs/components/multi-select/README.md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MS-20</t>
        </is>
      </c>
      <c r="B28" s="26" t="inlineStr">
        <is>
          <t>Changelog</t>
        </is>
      </c>
      <c r="C28" s="26" t="inlineStr">
        <is>
          <t>Multi Select</t>
        </is>
      </c>
      <c r="D28" s="27" t="inlineStr">
        <is>
          <t>Multi 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../docs/components/multi-select/CHANGELOG.md;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MS-21</t>
        </is>
      </c>
      <c r="B29" s="26" t="inlineStr">
        <is>
          <t>Consumer</t>
        </is>
      </c>
      <c r="C29" s="26" t="inlineStr">
        <is>
          <t>Multi Select</t>
        </is>
      </c>
      <c r="D29" s="27" t="inlineStr">
        <is>
          <t>Packed Consumer proves a realistic Field/Form team-skills chooser through the public Multi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MS-22</t>
        </is>
      </c>
      <c r="B30" s="26" t="inlineStr">
        <is>
          <t>Package</t>
        </is>
      </c>
      <c r="C30" s="26" t="inlineStr">
        <is>
          <t>Multi 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Brick adapts the released Atom 0.20.11 Textarea primitive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../src/components/textarea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Anatomy</t>
        </is>
      </c>
      <c r="C10" s="26" t="inlineStr">
        <is>
          <t>Root/Count</t>
        </is>
      </c>
      <c r="D10" s="27" t="inlineStr">
        <is>
          <t>The independent Root and Count parts expose the native control and optional character-count evidence.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../test/components/textarea/textarea.test.tsx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Exports</t>
        </is>
      </c>
      <c r="C11" s="26" t="inlineStr">
        <is>
          <t>Textarea</t>
        </is>
      </c>
      <c r="D11" s="27" t="inlineStr">
        <is>
          <t>Root, Count, namespace, public types, and the textarea subpath are exported.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Root/Count</t>
        </is>
      </c>
      <c r="D12" s="27" t="inlineStr">
        <is>
          <t>Recipe props, native textarea props/ref, underline shape exclusion, and resize/auto-resize exclusivity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../test/types/components/textarea.test.ts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CSS</t>
        </is>
      </c>
      <c r="C13" s="26" t="inlineStr">
        <is>
          <t>Root/Count</t>
        </is>
      </c>
      <c r="D13" s="27" t="inlineStr">
        <is>
          <t>Static CSS ships variants, sizes, shapes, states, resize behavior, logical layout,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../src/components/textarea/textarea.css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Recipes</t>
        </is>
      </c>
      <c r="C14" s="26" t="inlineStr">
        <is>
          <t>Root</t>
        </is>
      </c>
      <c r="D14" s="27" t="inlineStr">
        <is>
          <t>Outline, soft, underline, sm/md/lg, and sharp/rounded change only their named visual dimension.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Manual resize</t>
        </is>
      </c>
      <c r="C15" s="26" t="inlineStr">
        <is>
          <t>Root</t>
        </is>
      </c>
      <c r="D15" s="27" t="inlineStr">
        <is>
          <t>None, vertical, horizontal, and both resize modes map to native CSS without changing textarea behavior.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tests/components/textarea/behavior.spec.ts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Auto resize</t>
        </is>
      </c>
      <c r="C16" s="26" t="inlineStr">
        <is>
          <t>Root</t>
        </is>
      </c>
      <c r="D16" s="27" t="inlineStr">
        <is>
          <t>Opt-in auto-resize grows within minRows/maxRows, clamps overflow, and remains mutually exclusive with manual resize.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tests/components/textarea/behavior.spec.ts; Atom 0.20.11 Textarea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Values/count</t>
        </is>
      </c>
      <c r="C17" s="26" t="inlineStr">
        <is>
          <t>Root/Count</t>
        </is>
      </c>
      <c r="D17" s="27" t="inlineStr">
        <is>
          <t>Controlled and uncontrolled values, native newlines, maxLength, reset, and the explicit Count part stay synchronized.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tests/components/textarea/behavior.spec.ts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Forms</t>
        </is>
      </c>
      <c r="C18" s="26" t="inlineStr">
        <is>
          <t>Root</t>
        </is>
      </c>
      <c r="D18" s="27" t="inlineStr">
        <is>
          <t>Field relationships, native submit/reset, required validity, and external form ownership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tests/components/textarea/behavior.spec.ts; Atom 0.20.11 Textarea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Composition</t>
        </is>
      </c>
      <c r="C19" s="26" t="inlineStr">
        <is>
          <t>Root</t>
        </is>
      </c>
      <c r="D19" s="27" t="inlineStr">
        <is>
          <t>Native textarea refs, rendered IDs/ARIA, wrapper/native prop routing, class/style escape hatches, and output remain correct.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../test/components/textarea/textarea.test.tsx; tests/components/textarea/behavior.spec.ts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Accessibility</t>
        </is>
      </c>
      <c r="C20" s="26" t="inlineStr">
        <is>
          <t>Textarea</t>
        </is>
      </c>
      <c r="D20" s="27" t="inlineStr">
        <is>
          <t>Field naming, descriptions, errors, availability states, counter semantics, focus,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tests/components/textarea/behavior.spec.ts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Customization</t>
        </is>
      </c>
      <c r="C21" s="26" t="inlineStr">
        <is>
          <t>Root</t>
        </is>
      </c>
      <c r="D21" s="27" t="inlineStr">
        <is>
          <t>Documented CSS variables and wrapper/native escape hatches customize the control without changing behavior.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tests/components/textarea/behavior.spec.ts; ../docs/components/textarea/README.md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Visual</t>
        </is>
      </c>
      <c r="C22" s="26" t="inlineStr">
        <is>
          <t>Textarea</t>
        </is>
      </c>
      <c r="D22" s="27" t="inlineStr">
        <is>
          <t>Baselines cover defaults, recipes, resize, values/states, scopes, mobile RTL, and forced colors.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tests/components/textarea/visual.spec.ts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Baselines exist and automated comparison passes; final owner visual review is not recorded.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Physical mobile, 200%/400% zoom, long content, manual resize, auto-resize, and RTL remain usable and contained.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manual-tests/textarea.md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Protocol is unrun; real-device and zoom review remain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Theme</t>
        </is>
      </c>
      <c r="C24" s="26" t="inlineStr">
        <is>
          <t>Root/Count</t>
        </is>
      </c>
      <c r="D24" s="27" t="inlineStr">
        <is>
          <t>Light, dark, focus, invalid, forced-colors, and reduced-motion treatment remain perceivable.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manual-tests/textarea.md; tests/components/textarea/visual.spec.ts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Automated baselines pass; complete human preference review is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TA-17</t>
        </is>
      </c>
      <c r="B25" s="26" t="inlineStr">
        <is>
          <t>Screen reader</t>
        </is>
      </c>
      <c r="C25" s="26" t="inlineStr">
        <is>
          <t>Textarea</t>
        </is>
      </c>
      <c r="D25" s="27" t="inlineStr">
        <is>
          <t>macOS/iOS VoiceOver and a second desktop AT/browser announce label, help, error, state, and count evidence.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manual-tests/textarea.md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Assistive-technology protocol is unrun.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TA-18</t>
        </is>
      </c>
      <c r="B26" s="26" t="inlineStr">
        <is>
          <t>Manual</t>
        </is>
      </c>
      <c r="C26" s="26" t="inlineStr">
        <is>
          <t>Textarea</t>
        </is>
      </c>
      <c r="D26" s="27" t="inlineStr">
        <is>
          <t>The component-owned protocol covers every Textarea playground scenario in one top-to-bottom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manual-tests/textarea.md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TA-19</t>
        </is>
      </c>
      <c r="B27" s="26" t="inlineStr">
        <is>
          <t>Docs</t>
        </is>
      </c>
      <c r="C27" s="26" t="inlineStr">
        <is>
          <t>Textarea</t>
        </is>
      </c>
      <c r="D27" s="27" t="inlineStr">
        <is>
          <t>Source-backed usage, API, anatomy, recipes, resize policy,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../docs/components/textarea/README.md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Textarea</t>
        </is>
      </c>
      <c r="D28" s="27" t="inlineStr">
        <is>
          <t>Textarea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../docs/components/textarea/CHANGELOG.md;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Textarea</t>
        </is>
      </c>
      <c r="D29" s="27" t="inlineStr">
        <is>
          <t>The packed Consumer proves a realistic Field/Form note with maxLength, Count, submit, and reset through the public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TA-22</t>
        </is>
      </c>
      <c r="B30" s="26" t="inlineStr">
        <is>
          <t>Package</t>
        </is>
      </c>
      <c r="C30" s="26" t="inlineStr">
        <is>
          <t>Textarea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RG-01</t>
        </is>
      </c>
      <c r="B9" s="23" t="inlineStr">
        <is>
          <t>Implementation</t>
        </is>
      </c>
      <c r="C9" s="23" t="inlineStr">
        <is>
          <t>Root/Item</t>
        </is>
      </c>
      <c r="D9" s="23" t="inlineStr">
        <is>
          <t>Brick adapts released Atom 0.20.11 Radio Group behavior without recreating selection, focus, keyboard, form, validation, direction, or read-only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../src/components/radio-group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RG-02</t>
        </is>
      </c>
      <c r="B10" s="23" t="inlineStr">
        <is>
          <t>Anatomy</t>
        </is>
      </c>
      <c r="C10" s="23" t="inlineStr">
        <is>
          <t>Root/Item</t>
        </is>
      </c>
      <c r="D10" s="23" t="inlineStr">
        <is>
          <t>The public two-part namespace and stable internal control, dot, and label hooks render without public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../test/components/radio-group/radio-group.test.tsx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RG-03</t>
        </is>
      </c>
      <c r="B11" s="23" t="inlineStr">
        <is>
          <t>Exports</t>
        </is>
      </c>
      <c r="C11" s="23" t="inlineStr">
        <is>
          <t>RadioGroup</t>
        </is>
      </c>
      <c r="D11" s="23" t="inlineStr">
        <is>
          <t>Namespace, named parts, public types, root export, and radio-group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RG-04</t>
        </is>
      </c>
      <c r="B12" s="23" t="inlineStr">
        <is>
          <t>Types</t>
        </is>
      </c>
      <c r="C12" s="23" t="inlineStr">
        <is>
          <t>Root/Item</t>
        </is>
      </c>
      <c r="D12" s="23" t="inlineStr">
        <is>
          <t>Sizes, Atom behavior props, refs, render/asChild branches, required item values, and invalid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../test/types/components/radio-group.test.ts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RG-05</t>
        </is>
      </c>
      <c r="B13" s="23" t="inlineStr">
        <is>
          <t>CSS</t>
        </is>
      </c>
      <c r="C13" s="23" t="inlineStr">
        <is>
          <t>Root/Item</t>
        </is>
      </c>
      <c r="D13" s="23" t="inlineStr">
        <is>
          <t>Static CSS provides the canonical circle/dot recipe, sizes, states, logical layout, stable hooks, reduced motion, and forced colors.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../src/components/radio-group/radio-group.css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RG-06</t>
        </is>
      </c>
      <c r="B14" s="23" t="inlineStr">
        <is>
          <t>Defaults</t>
        </is>
      </c>
      <c r="C14" s="23" t="inlineStr">
        <is>
          <t>Root/Item</t>
        </is>
      </c>
      <c r="D14" s="23" t="inlineStr">
        <is>
          <t>Medium vertical accent selection is the one canonical default and only one item remains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tests/components/radio-group/behavior.spec.ts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RG-07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change shared item/control geometry only.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tests/components/radio-group/behavior.spec.ts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RG-08</t>
        </is>
      </c>
      <c r="B16" s="23" t="inlineStr">
        <is>
          <t>Keyboard</t>
        </is>
      </c>
      <c r="C16" s="23" t="inlineStr">
        <is>
          <t>Root/Item</t>
        </is>
      </c>
      <c r="D16" s="23" t="inlineStr">
        <is>
          <t>Roving Tab focus, orientation arrows, Home/End, loop, disabled skipping, and RTL mapping work in a real browser.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tests/components/radio-group/behavior.spec.ts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RG-09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selection expose identical visuals and correct value-change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../test/components/radio-group/radio-group.test.tsx; tests/components/radio-group/behavior.spec.ts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RG-10</t>
        </is>
      </c>
      <c r="B18" s="23" t="inlineStr">
        <is>
          <t>States</t>
        </is>
      </c>
      <c r="C18" s="23" t="inlineStr">
        <is>
          <t>Root/Item</t>
        </is>
      </c>
      <c r="D18" s="23" t="inlineStr">
        <is>
          <t>Group/item disabled, required, invalid, and read-only states preserve correct behavior and visible distinctions.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tests/components/radio-group/behavior.spec.ts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RG-11</t>
        </is>
      </c>
      <c r="B19" s="23" t="inlineStr">
        <is>
          <t>Read only</t>
        </is>
      </c>
      <c r="C19" s="23" t="inlineStr">
        <is>
          <t>Root/Item</t>
        </is>
      </c>
      <c r="D19" s="23" t="inlineStr">
        <is>
          <t>Read-only remains focusable and submitted, permits focus navigation, and cannot mutate or emit value changes.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../test/components/radio-group/radio-group.test.tsx; tests/components/radio-group/behavior.spec.ts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RG-12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value submission, reset, external form ownership, native validation focus, and Fieldset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tests/components/radio-group/behavior.spec.ts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RG-13</t>
        </is>
      </c>
      <c r="B21" s="23" t="inlineStr">
        <is>
          <t>Composition</t>
        </is>
      </c>
      <c r="C21" s="23" t="inlineStr">
        <is>
          <t>Root/Item</t>
        </is>
      </c>
      <c r="D21" s="23" t="inlineStr">
        <is>
          <t>render and asChild preserve custom hosts, roles, built-in visuals, content, state, and events.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tests/components/radio-group/behavior.spec.ts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RG-14</t>
        </is>
      </c>
      <c r="B22" s="23" t="inlineStr">
        <is>
          <t>Accessibility</t>
        </is>
      </c>
      <c r="C22" s="23" t="inlineStr">
        <is>
          <t>Root/Item</t>
        </is>
      </c>
      <c r="D22" s="23" t="inlineStr">
        <is>
          <t>Automated accessible names, group/radio semantics, state,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tests/components/radio-group/behavior.spec.ts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RG-15</t>
        </is>
      </c>
      <c r="B23" s="23" t="inlineStr">
        <is>
          <t>Visual</t>
        </is>
      </c>
      <c r="C23" s="23" t="inlineStr">
        <is>
          <t>RadioGroup</t>
        </is>
      </c>
      <c r="D23" s="23" t="inlineStr">
        <is>
          <t>Risk-selected light, dark, size, orientation, state, composition, responsive,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tests/components/radio-group/visual.spec.ts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Owner visual review has not been recorded.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RG-16</t>
        </is>
      </c>
      <c r="B24" s="23" t="inlineStr">
        <is>
          <t>Manual</t>
        </is>
      </c>
      <c r="C24" s="23" t="inlineStr">
        <is>
          <t>RadioGroup</t>
        </is>
      </c>
      <c r="D24" s="23" t="inlineStr">
        <is>
          <t>A tester completes the short top-to-bottom protocol across keyboard, screen reader, zoom, mobile, RTL, and themes.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manual-tests/radio-group.md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Owner human review has not been recorded.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RG-17</t>
        </is>
      </c>
      <c r="B25" s="23" t="inlineStr">
        <is>
          <t>Docs</t>
        </is>
      </c>
      <c r="C25" s="23" t="inlineStr">
        <is>
          <t>RadioGroup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../docs/components/radio-group/README.md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RG-18</t>
        </is>
      </c>
      <c r="B26" s="23" t="inlineStr">
        <is>
          <t>Changelog</t>
        </is>
      </c>
      <c r="C26" s="23" t="inlineStr">
        <is>
          <t>RadioGroup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../docs/components/radio-group/CHANGELOG.md;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RG-19</t>
        </is>
      </c>
      <c r="B27" s="23" t="inlineStr">
        <is>
          <t>Consumer</t>
        </is>
      </c>
      <c r="C27" s="23" t="inlineStr">
        <is>
          <t>RadioGroup</t>
        </is>
      </c>
      <c r="D27" s="23" t="inlineStr">
        <is>
          <t>The packed Consumer imports the public subpath and exercises selection, disabled state, submit, and reset.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RG-20</t>
        </is>
      </c>
      <c r="B28" s="23" t="inlineStr">
        <is>
          <t>Package</t>
        </is>
      </c>
      <c r="C28" s="23" t="inlineStr">
        <is>
          <t>RadioGroup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SW-01</t>
        </is>
      </c>
      <c r="B9" s="23" t="inlineStr">
        <is>
          <t>Implementation</t>
        </is>
      </c>
      <c r="C9" s="23" t="inlineStr">
        <is>
          <t>Root/Thumb</t>
        </is>
      </c>
      <c r="D9" s="23" t="inlineStr">
        <is>
          <t>Brick adapts released Atom 0.20.11 Switch behavior without recreating state, keyboard, focus, form, validation, or composition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../src/components/switch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SW-02</t>
        </is>
      </c>
      <c r="B10" s="23" t="inlineStr">
        <is>
          <t>Anatomy</t>
        </is>
      </c>
      <c r="C10" s="23" t="inlineStr">
        <is>
          <t>Root/Thumb</t>
        </is>
      </c>
      <c r="D10" s="23" t="inlineStr">
        <is>
          <t>The public two-part namespace renders one track Root and one decorative Thumb without extra Brick wrappers or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../test/components/switch/switch.test.tsx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SW-03</t>
        </is>
      </c>
      <c r="B11" s="23" t="inlineStr">
        <is>
          <t>Exports</t>
        </is>
      </c>
      <c r="C11" s="23" t="inlineStr">
        <is>
          <t>Switch</t>
        </is>
      </c>
      <c r="D11" s="23" t="inlineStr">
        <is>
          <t>Namespace, named parts, public types, root export, and switch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SW-04</t>
        </is>
      </c>
      <c r="B12" s="23" t="inlineStr">
        <is>
          <t>Types</t>
        </is>
      </c>
      <c r="C12" s="23" t="inlineStr">
        <is>
          <t>Root/Thumb</t>
        </is>
      </c>
      <c r="D12" s="23" t="inlineStr">
        <is>
          <t>Closed sizes, Atom behavior props, refs, render/asChild branches, and rejected mixed/variant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../test/types/components/switch.test.ts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SW-05</t>
        </is>
      </c>
      <c r="B13" s="23" t="inlineStr">
        <is>
          <t>CSS</t>
        </is>
      </c>
      <c r="C13" s="23" t="inlineStr">
        <is>
          <t>Root/Thumb</t>
        </is>
      </c>
      <c r="D13" s="23" t="inlineStr">
        <is>
          <t>Static CSS provides canonical track/thumb paint, sizes, state hooks, RTL, reduced motion, forced colors, and public variables.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../src/components/switch/switch.css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SW-06</t>
        </is>
      </c>
      <c r="B14" s="23" t="inlineStr">
        <is>
          <t>Defaults</t>
        </is>
      </c>
      <c r="C14" s="23" t="inlineStr">
        <is>
          <t>Root/Thumb</t>
        </is>
      </c>
      <c r="D14" s="23" t="inlineStr">
        <is>
          <t>Medium unchecked neutral track is the canonical default and pointer activation changes only binary state.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tests/components/switch/behavior.spec.ts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SW-07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increase complete track, thumb, and travel geometry while preserving the target.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tests/components/switch/behavior.spec.ts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SW-08</t>
        </is>
      </c>
      <c r="B16" s="23" t="inlineStr">
        <is>
          <t>Keyboard</t>
        </is>
      </c>
      <c r="C16" s="23" t="inlineStr">
        <is>
          <t>Root</t>
        </is>
      </c>
      <c r="D16" s="23" t="inlineStr">
        <is>
          <t>Space and Enter toggle exactly once while native focus remains on Root.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tests/components/switch/behavior.spec.ts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SW-09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state expose identical visuals and correct checked-change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../test/components/switch/switch.test.tsx; tests/components/switch/behavior.spec.ts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SW-10</t>
        </is>
      </c>
      <c r="B18" s="23" t="inlineStr">
        <is>
          <t>States</t>
        </is>
      </c>
      <c r="C18" s="23" t="inlineStr">
        <is>
          <t>Root/Thumb</t>
        </is>
      </c>
      <c r="D18" s="23" t="inlineStr">
        <is>
          <t>Disabled, required, invalid, and read-only attributes propagate to both parts with distinct behavior and paint.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../test/components/switch/switch.test.tsx; tests/components/switch/behavior.spec.ts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SW-11</t>
        </is>
      </c>
      <c r="B19" s="23" t="inlineStr">
        <is>
          <t>Read only</t>
        </is>
      </c>
      <c r="C19" s="23" t="inlineStr">
        <is>
          <t>Root/Thumb</t>
        </is>
      </c>
      <c r="D19" s="23" t="inlineStr">
        <is>
          <t>Read-only remains focusable and submitted but cannot mutate or emit checked changes.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../test/components/switch/switch.test.tsx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SW-12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submission, native required focus, reset, external ownership, and Field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tests/components/switch/behavior.spec.ts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SW-13</t>
        </is>
      </c>
      <c r="B21" s="23" t="inlineStr">
        <is>
          <t>Composition</t>
        </is>
      </c>
      <c r="C21" s="23" t="inlineStr">
        <is>
          <t>Root/Thumb</t>
        </is>
      </c>
      <c r="D21" s="23" t="inlineStr">
        <is>
          <t>render and asChild preserve custom hosts, role, state, decorative semantics, classes, slots, and native props.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tests/components/switch/behavior.spec.ts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SW-14</t>
        </is>
      </c>
      <c r="B22" s="23" t="inlineStr">
        <is>
          <t>Accessibility</t>
        </is>
      </c>
      <c r="C22" s="23" t="inlineStr">
        <is>
          <t>Root/Thumb</t>
        </is>
      </c>
      <c r="D22" s="23" t="inlineStr">
        <is>
          <t>Accessible name, switch role, boolean checked state, decorative Thumb, Field relationships,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tests/components/switch/behavior.spec.ts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SW-15</t>
        </is>
      </c>
      <c r="B23" s="23" t="inlineStr">
        <is>
          <t>Visual</t>
        </is>
      </c>
      <c r="C23" s="23" t="inlineStr">
        <is>
          <t>Switch</t>
        </is>
      </c>
      <c r="D23" s="23" t="inlineStr">
        <is>
          <t>Risk-selected defaults, sizes, composition, dark appearance, responsive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tests/components/switch/visual.spec.ts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Generated and agent-inspected; owner review unclaimed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SW-16</t>
        </is>
      </c>
      <c r="B24" s="23" t="inlineStr">
        <is>
          <t>Manual</t>
        </is>
      </c>
      <c r="C24" s="23" t="inlineStr">
        <is>
          <t>Switch</t>
        </is>
      </c>
      <c r="D24" s="23" t="inlineStr">
        <is>
          <t>A tester completes the top-to-bottom keyboard, screen reader, zoom, mobile, RTL, appearance, reduced-motion, and forced-color protocol.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manual-tests/switch.md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Human run intentionally unclaimed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SW-17</t>
        </is>
      </c>
      <c r="B25" s="23" t="inlineStr">
        <is>
          <t>Docs</t>
        </is>
      </c>
      <c r="C25" s="23" t="inlineStr">
        <is>
          <t>Switch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../docs/components/switch/README.md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SW-18</t>
        </is>
      </c>
      <c r="B26" s="23" t="inlineStr">
        <is>
          <t>Changelog</t>
        </is>
      </c>
      <c r="C26" s="23" t="inlineStr">
        <is>
          <t>Switch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../docs/components/switch/CHANGELOG.md;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SW-19</t>
        </is>
      </c>
      <c r="B27" s="23" t="inlineStr">
        <is>
          <t>Consumer</t>
        </is>
      </c>
      <c r="C27" s="23" t="inlineStr">
        <is>
          <t>Switch</t>
        </is>
      </c>
      <c r="D27" s="23" t="inlineStr">
        <is>
          <t>The packed Consumer imports the public subpath and operates a controlled immediate setting in Popover.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SW-20</t>
        </is>
      </c>
      <c r="B28" s="23" t="inlineStr">
        <is>
          <t>Package</t>
        </is>
      </c>
      <c r="C28" s="23" t="inlineStr">
        <is>
          <t>Switch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BC-01</t>
        </is>
      </c>
      <c r="B9" s="23" t="inlineStr">
        <is>
          <t>Ownership</t>
        </is>
      </c>
      <c r="C9" s="23" t="inlineStr">
        <is>
          <t>Root/List/Item/Link/Page/Separator/Ellipsis</t>
        </is>
      </c>
      <c r="D9" s="23" t="inlineStr">
        <is>
          <t>Brick styles released Atom 0.20.11 Breadcrumb semantics and composition without recreating navigation, current-page, separator, or polymorphic behavior.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../src/components/breadcrumb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BC-02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seven-part namespace preserves nav, ordered-list, list-item, native-anchor, current-page, hidden-separator, and ellipsis hosts without Brick-only wrappers.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../test/components/breadcrumb/breadcrumb.test.tsx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BC-03</t>
        </is>
      </c>
      <c r="B11" s="23" t="inlineStr">
        <is>
          <t>Exports</t>
        </is>
      </c>
      <c r="C11" s="23" t="inlineStr">
        <is>
          <t>Breadcrumb</t>
        </is>
      </c>
      <c r="D11" s="23" t="inlineStr">
        <is>
          <t>Namespace, named parts, public types, root export, and breadcrumb subpath are exported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BC-04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 and variant recipes, native props, refs, render, asChild, separators, and ellipsis composition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../test/types/components/breadcrumb.test.ts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BC-05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typography, spacing, link, current-page, separator, ellipsis, focus, RTL, forced-color,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../src/components/breadcrumb/breadcrumb.css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BC-06</t>
        </is>
      </c>
      <c r="B14" s="23" t="inlineStr">
        <is>
          <t>Defaults</t>
        </is>
      </c>
      <c r="C14" s="23" t="inlineStr">
        <is>
          <t>Root/Link/Page</t>
        </is>
      </c>
      <c r="D14" s="23" t="inlineStr">
        <is>
          <t>Medium plain styling renders neutral ancestor links and a primary medium-emphasis current page as the canonical default.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tests/components/breadcrumb/behavior.spec.ts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BC-07</t>
        </is>
      </c>
      <c r="B15" s="23" t="inlineStr">
        <is>
          <t>Variants</t>
        </is>
      </c>
      <c r="C15" s="23" t="inlineStr">
        <is>
          <t>Root/Link</t>
        </is>
      </c>
      <c r="D15" s="23" t="inlineStr">
        <is>
          <t>Plain and underline alter only ancestor-link decoration while content, size, separators, and current-page styling remain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tests/components/breadcrumb/visual.spec.ts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BC-08</t>
        </is>
      </c>
      <c r="B16" s="23" t="inlineStr">
        <is>
          <t>Sizes</t>
        </is>
      </c>
      <c r="C16" s="23" t="inlineStr">
        <is>
          <t>Root</t>
        </is>
      </c>
      <c r="D16" s="23" t="inlineStr">
        <is>
          <t>Small, medium, and large change only typography and trail spacing while preserving native semantics and usable link targets.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tests/components/breadcrumb/visual.spec.ts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BC-09</t>
        </is>
      </c>
      <c r="B17" s="23" t="inlineStr">
        <is>
          <t>Content</t>
        </is>
      </c>
      <c r="C17" s="23" t="inlineStr">
        <is>
          <t>Link/Page/Separator</t>
        </is>
      </c>
      <c r="D17" s="23" t="inlineStr">
        <is>
          <t>Custom separators, contextual Brick Icons, and long localized page names preserve reading order and containment.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tests/components/breadcrumb/behavior.spec.ts; tests/components/breadcrumb/visual.spec.ts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BC-10</t>
        </is>
      </c>
      <c r="B18" s="23" t="inlineStr">
        <is>
          <t>Current page</t>
        </is>
      </c>
      <c r="C18" s="23" t="inlineStr">
        <is>
          <t>Page</t>
        </is>
      </c>
      <c r="D18" s="23" t="inlineStr">
        <is>
          <t>Page exposes aria-current=page, is not a link, and remains the final announced location.</t>
        </is>
      </c>
      <c r="E18" s="23" t="inlineStr">
        <is>
          <t>package</t>
        </is>
      </c>
      <c r="F18" s="23" t="inlineStr">
        <is>
          <t>axe</t>
        </is>
      </c>
      <c r="G18" s="23" t="inlineStr">
        <is>
          <t>../test/components/breadcrumb/breadcrumb.test.tsx; tests/components/breadcrumb/behavior.spec.ts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BC-11</t>
        </is>
      </c>
      <c r="B19" s="23" t="inlineStr">
        <is>
          <t>Static collapse</t>
        </is>
      </c>
      <c r="C19" s="23" t="inlineStr">
        <is>
          <t>Ellipsis</t>
        </is>
      </c>
      <c r="D19" s="23" t="inlineStr">
        <is>
          <t>A presentational ellipsis may replace omitted ancestors while remaining hidden from assistive technology.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../test/components/breadcrumb/breadcrumb.test.tsx; tests/components/breadcrumb/behavior.spec.ts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BC-12</t>
        </is>
      </c>
      <c r="B20" s="23" t="inlineStr">
        <is>
          <t>Interactive collapse</t>
        </is>
      </c>
      <c r="C20" s="23" t="inlineStr">
        <is>
          <t>Ellipsis</t>
        </is>
      </c>
      <c r="D20" s="23" t="inlineStr">
        <is>
          <t>Consumer-composed interactive ellipsis exposes a named button, a 44px target, and application-owned expansion status without changing Breadcrumb state ownership.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tests/components/breadcrumb/behavior.spec.ts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BC-13</t>
        </is>
      </c>
      <c r="B21" s="23" t="inlineStr">
        <is>
          <t>Native links</t>
        </is>
      </c>
      <c r="C21" s="23" t="inlineStr">
        <is>
          <t>Link</t>
        </is>
      </c>
      <c r="D21" s="23" t="inlineStr">
        <is>
          <t>Ancestor links preserve native href, target, rel, download, click, and focus behavior.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tests/components/breadcrumb/behavior.spec.ts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BC-14</t>
        </is>
      </c>
      <c r="B22" s="23" t="inlineStr">
        <is>
          <t>Composition</t>
        </is>
      </c>
      <c r="C22" s="23" t="inlineStr">
        <is>
          <t>All parts</t>
        </is>
      </c>
      <c r="D22" s="23" t="inlineStr">
        <is>
          <t>render and asChild preserve consumer hosts, native semantics, refs, classes, data slots, Atom attributes, and one inspectable final hierarchy.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../test/components/breadcrumb/breadcrumb.test.tsx; tests/components/breadcrumb/behavior.spec.ts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BC-15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Long trails wrap without clipping at constrained widths, 200%/400% zoom, text spacing, mobile widths, and RTL direction.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tests/components/breadcrumb/behavior.spec.ts; tests/components/breadcrumb/visual.spec.ts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BC-16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navigation, ordered-list structure, native links, current page, hidden separators, focus visibility, target size, and axe checks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tests/components/breadcrumb/behavior.spec.ts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BC-17</t>
        </is>
      </c>
      <c r="B25" s="23" t="inlineStr">
        <is>
          <t>Visual</t>
        </is>
      </c>
      <c r="C25" s="23" t="inlineStr">
        <is>
          <t>Breadcrumb</t>
        </is>
      </c>
      <c r="D25" s="23" t="inlineStr">
        <is>
          <t>Reviewed baselines cover default, variants, sizes, content, collapse, composition,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tests/components/breadcrumb/visual.spec.ts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46229</v>
      </c>
      <c r="K25" s="23" t="inlineStr">
        <is>
          <t>Agent-inspected all nine generated baselines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BC-18</t>
        </is>
      </c>
      <c r="B26" s="23" t="inlineStr">
        <is>
          <t>Manual</t>
        </is>
      </c>
      <c r="C26" s="23" t="inlineStr">
        <is>
          <t>Breadcrumb</t>
        </is>
      </c>
      <c r="D26" s="23" t="inlineStr">
        <is>
          <t>A tester completes the concise top-to-bottom pointer, keyboard, screen-reader, zoom, mobile, appearance, forced-color, and RTL protocol.</t>
        </is>
      </c>
      <c r="E26" s="23" t="inlineStr">
        <is>
          <t>package</t>
        </is>
      </c>
      <c r="F26" s="23" t="inlineStr">
        <is>
          <t>manual</t>
        </is>
      </c>
      <c r="G26" s="23" t="inlineStr">
        <is>
          <t>manual-tests/breadcrumb.md</t>
        </is>
      </c>
      <c r="H26" s="23" t="inlineStr">
        <is>
          <t>not started</t>
        </is>
      </c>
      <c r="I26" s="23" t="inlineStr">
        <is>
          <t>yes</t>
        </is>
      </c>
      <c r="J26" s="25" t="n">
        <v>46229</v>
      </c>
      <c r="K26" s="23" t="inlineStr">
        <is>
          <t>Human run intentionally unclaimed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BC-19</t>
        </is>
      </c>
      <c r="B27" s="23" t="inlineStr">
        <is>
          <t>Docs</t>
        </is>
      </c>
      <c r="C27" s="23" t="inlineStr">
        <is>
          <t>Breadcrumb</t>
        </is>
      </c>
      <c r="D27" s="23" t="inlineStr">
        <is>
          <t>Public use, anatomy, recipes, accessibility, native props, composition, responsive behavior, customization, evidence, and exclusions are documented.</t>
        </is>
      </c>
      <c r="E27" s="23" t="inlineStr">
        <is>
          <t>package</t>
        </is>
      </c>
      <c r="F27" s="23" t="inlineStr">
        <is>
          <t>docs</t>
        </is>
      </c>
      <c r="G27" s="23" t="inlineStr">
        <is>
          <t>../docs/components/breadcrumb/README.md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BC-20</t>
        </is>
      </c>
      <c r="B28" s="23" t="inlineStr">
        <is>
          <t>Changelog</t>
        </is>
      </c>
      <c r="C28" s="23" t="inlineStr">
        <is>
          <t>Breadcrumb</t>
        </is>
      </c>
      <c r="D28" s="23" t="inlineStr">
        <is>
          <t>The component owns a public changelog and the package changelog records its addition.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../docs/components/breadcrumb/CHANGELOG.md; ../CHANGELOG.md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15" customHeight="1" s="17">
      <c r="A29" s="23" t="inlineStr">
        <is>
          <t>BC-21</t>
        </is>
      </c>
      <c r="B29" s="23" t="inlineStr">
        <is>
          <t>Playground</t>
        </is>
      </c>
      <c r="C29" s="23" t="inlineStr">
        <is>
          <t>Breadcrumb</t>
        </is>
      </c>
      <c r="D29" s="23" t="inlineStr">
        <is>
          <t>One navigable route exposes all adopted defaults, recipes, content, collapse, native-link, composition, appearance, customization, responsive, and RTL scenarios.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src/components/breadcrumb/BreadcrumbPage.tsx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15" customHeight="1" s="17">
      <c r="A30" s="23" t="inlineStr">
        <is>
          <t>BC-22</t>
        </is>
      </c>
      <c r="B30" s="23" t="inlineStr">
        <is>
          <t>Consumer</t>
        </is>
      </c>
      <c r="C30" s="23" t="inlineStr">
        <is>
          <t>Breadcrumb</t>
        </is>
      </c>
      <c r="D30" s="23" t="inlineStr">
        <is>
          <t>The packed Consumer imports the public subpath and renders a realistic current-workspace trail.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15" customHeight="1" s="17">
      <c r="A31" s="23" t="inlineStr">
        <is>
          <t>BC-23</t>
        </is>
      </c>
      <c r="B31" s="23" t="inlineStr">
        <is>
          <t>Package</t>
        </is>
      </c>
      <c r="C31" s="23" t="inlineStr">
        <is>
          <t>Breadcrumb</t>
        </is>
      </c>
      <c r="D31" s="23" t="inlineStr">
        <is>
          <t>Build, exports, SSR, tarball, CSS, React 18/19, Consumer boundary, browser matrix, docs, and exact Atom 0.20.11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0.20.11 Tabs without recreating state, focus, keyboard, direction, relationships, panel lifecycle, or measurement.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../src/components/tabs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TB-02</t>
        </is>
      </c>
      <c r="B10" s="23" t="inlineStr">
        <is>
          <t>Anatomy</t>
        </is>
      </c>
      <c r="C10" s="23" t="inlineStr">
        <is>
          <t>Root/List/Trigger/Content/Indicator</t>
        </is>
      </c>
      <c r="D10" s="23" t="inlineStr">
        <is>
          <t>The public five-part namespace preserves Atom hosts, roles, relationships, refs, native props, and composition.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../test/components/tabs/tabs.test.tsx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TB-03</t>
        </is>
      </c>
      <c r="B11" s="23" t="inlineStr">
        <is>
          <t>Exports</t>
        </is>
      </c>
      <c r="C11" s="23" t="inlineStr">
        <is>
          <t>Tabs</t>
        </is>
      </c>
      <c r="D11" s="23" t="inlineStr">
        <is>
          <t>Root and tabs subpath expose the namespace, named parts, and every public type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TB-04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size/variant recipes plus Atom props, controlled state, orientation,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../test/types/components/tabs.test.ts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TB-05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layouts, four recipes, sizes, states, overflow, RTL, forced-color, reduced-motion,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../src/components/tabs/tabs.css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TB-06</t>
        </is>
      </c>
      <c r="B14" s="23" t="inlineStr">
        <is>
          <t>Defaults</t>
        </is>
      </c>
      <c r="C14" s="23" t="inlineStr">
        <is>
          <t>Root/List/Trigger/Content</t>
        </is>
      </c>
      <c r="D14" s="23" t="inlineStr">
        <is>
          <t>Medium horizontal line Tabs default to automatic looping activation with the authored initial panel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tests/components/tabs/behavior.spec.ts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TB-07</t>
        </is>
      </c>
      <c r="B15" s="23" t="inlineStr">
        <is>
          <t>Variants</t>
        </is>
      </c>
      <c r="C15" s="23" t="inlineStr">
        <is>
          <t>All parts</t>
        </is>
      </c>
      <c r="D15" s="23" t="inlineStr">
        <is>
          <t>Line, solid, soft, and enclosed are visually distinct while identical content, size, state, and orientation stay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tests/components/tabs/visual.spec.ts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TB-08</t>
        </is>
      </c>
      <c r="B16" s="23" t="inlineStr">
        <is>
          <t>Sizes</t>
        </is>
      </c>
      <c r="C16" s="23" t="inlineStr">
        <is>
          <t>Root/Trigger/Content</t>
        </is>
      </c>
      <c r="D16" s="23" t="inlineStr">
        <is>
          <t>Small, medium, and large alter shared typography, height, spacing, and panel inset only.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tests/components/tabs/visual.spec.ts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K16" s="23" t="inlineStr">
        <is>
          <t>Agent-inspected generated sizes baseline.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TB-09</t>
        </is>
      </c>
      <c r="B17" s="23" t="inlineStr">
        <is>
          <t>Layout</t>
        </is>
      </c>
      <c r="C17" s="23" t="inlineStr">
        <is>
          <t>Root/List/Trigger</t>
        </is>
      </c>
      <c r="D17" s="23" t="inlineStr">
        <is>
          <t>Vertical orientation changes physical layout and arrow axis; fullWidth distributes horizontal triggers equally.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tests/components/tabs/behavior.spec.ts; tests/components/tabs/visual.spec.ts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TB-10</t>
        </is>
      </c>
      <c r="B18" s="23" t="inlineStr">
        <is>
          <t>States</t>
        </is>
      </c>
      <c r="C18" s="23" t="inlineStr">
        <is>
          <t>Trigger</t>
        </is>
      </c>
      <c r="D18" s="23" t="inlineStr">
        <is>
          <t>Selected, inactive, hover, focus-visible, disabled, and composed-icon content remain aligned and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tests/components/tabs/behavior.spec.ts; tests/components/tabs/visual.spec.ts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TB-11</t>
        </is>
      </c>
      <c r="B19" s="23" t="inlineStr">
        <is>
          <t>Activation</t>
        </is>
      </c>
      <c r="C19" s="23" t="inlineStr">
        <is>
          <t>Root/List/Trigger</t>
        </is>
      </c>
      <c r="D19" s="23" t="inlineStr">
        <is>
          <t>Automatic activation selects on focus; manual activation waits for Enter/Space; Home/End and disabled skipping remain Atom-owned.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tests/components/tabs/behavior.spec.ts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TB-12</t>
        </is>
      </c>
      <c r="B20" s="23" t="inlineStr">
        <is>
          <t>Panels</t>
        </is>
      </c>
      <c r="C20" s="23" t="inlineStr">
        <is>
          <t>Content</t>
        </is>
      </c>
      <c r="D20" s="23" t="inlineStr">
        <is>
          <t>Active, unmounted, keepMounted, hidden, and focusable panel contracts remain correctly related to their triggers.</t>
        </is>
      </c>
      <c r="E20" s="23" t="inlineStr">
        <is>
          <t>package</t>
        </is>
      </c>
      <c r="F20" s="23" t="inlineStr">
        <is>
          <t>component</t>
        </is>
      </c>
      <c r="G20" s="23" t="inlineStr">
        <is>
          <t>../test/components/tabs/tabs.test.tsx; tests/components/tabs/behavior.spec.ts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TB-13</t>
        </is>
      </c>
      <c r="B21" s="23" t="inlineStr">
        <is>
          <t>Indicator</t>
        </is>
      </c>
      <c r="C21" s="23" t="inlineStr">
        <is>
          <t>Indicator</t>
        </is>
      </c>
      <c r="D21" s="23" t="inlineStr">
        <is>
          <t>Optional Indicator follows Atom trigger measurement, selected fallback remains visible, and reduced motion removes transitions.</t>
        </is>
      </c>
      <c r="E21" s="23" t="inlineStr">
        <is>
          <t>package</t>
        </is>
      </c>
      <c r="F21" s="23" t="inlineStr">
        <is>
          <t>visual</t>
        </is>
      </c>
      <c r="G21" s="23" t="inlineStr">
        <is>
          <t>tests/components/tabs/visual.spec.ts</t>
        </is>
      </c>
      <c r="H21" s="23" t="inlineStr">
        <is>
          <t>verified</t>
        </is>
      </c>
      <c r="I21" s="23" t="inlineStr">
        <is>
          <t>yes</t>
        </is>
      </c>
      <c r="J21" s="25" t="n">
        <v>46229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TB-14</t>
        </is>
      </c>
      <c r="B22" s="23" t="inlineStr">
        <is>
          <t>Composition</t>
        </is>
      </c>
      <c r="C22" s="23" t="inlineStr">
        <is>
          <t>Root/List/Trigger/Content</t>
        </is>
      </c>
      <c r="D22" s="23" t="inlineStr">
        <is>
          <t>render and asChild preserve roles, IDs, relationships, native hosts, classes, slots, and refs in actual HTML.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../test/components/tabs/tabs.test.tsx; tests/components/tabs/behavior.spec.ts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TB-15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Constrained horizontal lists stay one row and scroll rather than wrap; vertical semantic orientation is not changed by CSS.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tests/components/tabs/behavior.spec.ts; tests/components/tabs/visual.spec.ts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TB-16</t>
        </is>
      </c>
      <c r="B24" s="23" t="inlineStr">
        <is>
          <t>Direction</t>
        </is>
      </c>
      <c r="C24" s="23" t="inlineStr">
        <is>
          <t>Root/List</t>
        </is>
      </c>
      <c r="D24" s="23" t="inlineStr">
        <is>
          <t>Explicit RTL preserves genuine text and mirrors horizontal arrow navigation while vertical navigation is unchanged.</t>
        </is>
      </c>
      <c r="E24" s="23" t="inlineStr">
        <is>
          <t>package</t>
        </is>
      </c>
      <c r="F24" s="23" t="inlineStr">
        <is>
          <t>browser</t>
        </is>
      </c>
      <c r="G24" s="23" t="inlineStr">
        <is>
          <t>tests/components/tabs/behavior.spec.ts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TB-17</t>
        </is>
      </c>
      <c r="B25" s="23" t="inlineStr">
        <is>
          <t>Accessibility</t>
        </is>
      </c>
      <c r="C25" s="23" t="inlineStr">
        <is>
          <t>All parts</t>
        </is>
      </c>
      <c r="D25" s="23" t="inlineStr">
        <is>
          <t>Named tablists, selected/disabled states, relationships, roving focus, forced colors, and axe pass.</t>
        </is>
      </c>
      <c r="E25" s="23" t="inlineStr">
        <is>
          <t>package</t>
        </is>
      </c>
      <c r="F25" s="23" t="inlineStr">
        <is>
          <t>axe</t>
        </is>
      </c>
      <c r="G25" s="23" t="inlineStr">
        <is>
          <t>tests/components/tabs/behavior.spec.ts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TB-18</t>
        </is>
      </c>
      <c r="B26" s="23" t="inlineStr">
        <is>
          <t>Visual</t>
        </is>
      </c>
      <c r="C26" s="23" t="inlineStr">
        <is>
          <t>Tabs</t>
        </is>
      </c>
      <c r="D26" s="23" t="inlineStr">
        <is>
          <t>Reviewed baselines cover defaults, variants, sizes, layouts, content, dark appearance, mobile RTL, and forced colors.</t>
        </is>
      </c>
      <c r="E26" s="23" t="inlineStr">
        <is>
          <t>package</t>
        </is>
      </c>
      <c r="F26" s="23" t="inlineStr">
        <is>
          <t>visual</t>
        </is>
      </c>
      <c r="G26" s="23" t="inlineStr">
        <is>
          <t>tests/components/tabs/visual.spec.ts</t>
        </is>
      </c>
      <c r="H26" s="23" t="inlineStr">
        <is>
          <t>verified</t>
        </is>
      </c>
      <c r="I26" s="23" t="inlineStr">
        <is>
          <t>yes</t>
        </is>
      </c>
      <c r="J26" s="25" t="n">
        <v>46229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TB-19</t>
        </is>
      </c>
      <c r="B27" s="23" t="inlineStr">
        <is>
          <t>Manual</t>
        </is>
      </c>
      <c r="C27" s="23" t="inlineStr">
        <is>
          <t>Tabs</t>
        </is>
      </c>
      <c r="D27" s="23" t="inlineStr">
        <is>
          <t>A tester completes the concise top-to-bottom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manual-tests/tabs.md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46229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TB-20</t>
        </is>
      </c>
      <c r="B28" s="23" t="inlineStr">
        <is>
          <t>Docs</t>
        </is>
      </c>
      <c r="C28" s="23" t="inlineStr">
        <is>
          <t>Tabs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../docs/components/tabs/README.md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TB-21</t>
        </is>
      </c>
      <c r="B29" s="23" t="inlineStr">
        <is>
          <t>Playground</t>
        </is>
      </c>
      <c r="C29" s="23" t="inlineStr">
        <is>
          <t>Tabs</t>
        </is>
      </c>
      <c r="D29" s="23" t="inlineStr">
        <is>
          <t>One navigable route exposes all nine controlled scenarios and actual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src/components/tabs/TabsPage.tsx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TB-22</t>
        </is>
      </c>
      <c r="B30" s="23" t="inlineStr">
        <is>
          <t>Consumer</t>
        </is>
      </c>
      <c r="C30" s="23" t="inlineStr">
        <is>
          <t>Tabs</t>
        </is>
      </c>
      <c r="D30" s="23" t="inlineStr">
        <is>
          <t>Packed Consumer imports the public subpath and operates a realistic workspace preview.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TB-23</t>
        </is>
      </c>
      <c r="B31" s="23" t="inlineStr">
        <is>
          <t>Package</t>
        </is>
      </c>
      <c r="C31" s="23" t="inlineStr">
        <is>
          <t>Tabs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SK-01</t>
        </is>
      </c>
      <c r="B9" s="26" t="inlineStr">
        <is>
          <t>Ownership</t>
        </is>
      </c>
      <c r="C9" s="26" t="inlineStr">
        <is>
          <t>Skeleton</t>
        </is>
      </c>
      <c r="D9" s="27" t="inlineStr">
        <is>
          <t>Brick owns a purely visual loading placeholder; applications own loading state and region announcements, so no Atom primitive is duplicated.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../src/components/skeleton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SK-02</t>
        </is>
      </c>
      <c r="B10" s="26" t="inlineStr">
        <is>
          <t>Anatomy</t>
        </is>
      </c>
      <c r="C10" s="26" t="inlineStr">
        <is>
          <t>Skeleton</t>
        </is>
      </c>
      <c r="D10" s="27" t="inlineStr">
        <is>
          <t>One stable span preserves native props/ref and private content or line children without changing the root across loading transitions.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../test/components/skeleton/skeleton.test.tsx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SK-03</t>
        </is>
      </c>
      <c r="B11" s="26" t="inlineStr">
        <is>
          <t>Exports</t>
        </is>
      </c>
      <c r="C11" s="26" t="inlineStr">
        <is>
          <t>Skeleton</t>
        </is>
      </c>
      <c r="D11" s="27" t="inlineStr">
        <is>
          <t>Root and skeleton subpath expose the runtime component and every closed public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SK-04</t>
        </is>
      </c>
      <c r="B12" s="26" t="inlineStr">
        <is>
          <t>Types</t>
        </is>
      </c>
      <c r="C12" s="26" t="inlineStr">
        <is>
          <t>Skeleton</t>
        </is>
      </c>
      <c r="D12" s="27" t="inlineStr">
        <is>
          <t>Closed shapes and animations, dimensions, lines, native props, style, slot, children, and ref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../test/types/components/skeleton.test.ts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SK-05</t>
        </is>
      </c>
      <c r="B13" s="26" t="inlineStr">
        <is>
          <t>CSS</t>
        </is>
      </c>
      <c r="C13" s="26" t="inlineStr">
        <is>
          <t>Skeleton</t>
        </is>
      </c>
      <c r="D13" s="27" t="inlineStr">
        <is>
          <t>Static CSS ships geometry, pulse/wave/static recipes, child hiding, line layout, forced colors, reduced motion,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../src/components/skeleton/skeleton.css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SK-06</t>
        </is>
      </c>
      <c r="B14" s="26" t="inlineStr">
        <is>
          <t>Defaults</t>
        </is>
      </c>
      <c r="C14" s="26" t="inlineStr">
        <is>
          <t>Skeleton</t>
        </is>
      </c>
      <c r="D14" s="27" t="inlineStr">
        <is>
          <t>Text, pulse, loading, and one line render as a silent full-width font-height placeholder.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tests/components/skeleton/behavior.spec.ts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SK-07</t>
        </is>
      </c>
      <c r="B15" s="26" t="inlineStr">
        <is>
          <t>Variants</t>
        </is>
      </c>
      <c r="C15" s="26" t="inlineStr">
        <is>
          <t>Skeleton</t>
        </is>
      </c>
      <c r="D15" s="27" t="inlineStr">
        <is>
          <t>Text, circular, rectangular, and rounded change only intended geometry.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tests/components/skeleton/visual.spec.ts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46229</v>
      </c>
      <c r="K15" s="27" t="inlineStr">
        <is>
          <t>Agent-inspected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SK-08</t>
        </is>
      </c>
      <c r="B16" s="26" t="inlineStr">
        <is>
          <t>Animation</t>
        </is>
      </c>
      <c r="C16" s="26" t="inlineStr">
        <is>
          <t>Skeleton</t>
        </is>
      </c>
      <c r="D16" s="27" t="inlineStr">
        <is>
          <t>Pulse, wave, and none are visually distinct and all animation stops with prefers-reduced-motion.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tests/components/skeleton/visual.spec.ts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46229</v>
      </c>
      <c r="K16" s="27" t="inlineStr">
        <is>
          <t>Agent-inspected generated animation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SK-09</t>
        </is>
      </c>
      <c r="B17" s="26" t="inlineStr">
        <is>
          <t>Dimensions</t>
        </is>
      </c>
      <c r="C17" s="26" t="inlineStr">
        <is>
          <t>Skeleton</t>
        </is>
      </c>
      <c r="D17" s="27" t="inlineStr">
        <is>
          <t>Numeric, CSS-length, consumer style, defaults, and public variables size placeholders without a misleading component size scale.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tests/components/skeleton/behavior.spec.ts; tests/components/skeleton/visual.spec.ts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SK-10</t>
        </is>
      </c>
      <c r="B18" s="26" t="inlineStr">
        <is>
          <t>Text lines</t>
        </is>
      </c>
      <c r="C18" s="26" t="inlineStr">
        <is>
          <t>Skeleton</t>
        </is>
      </c>
      <c r="D18" s="27" t="inlineStr">
        <is>
          <t>One, three, and five-line standalone text render exact row counts and a shorter final line.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tests/components/skeleton/behavior.spec.ts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SK-11</t>
        </is>
      </c>
      <c r="B19" s="26" t="inlineStr">
        <is>
          <t>Loading</t>
        </is>
      </c>
      <c r="C19" s="26" t="inlineStr">
        <is>
          <t>Skeleton</t>
        </is>
      </c>
      <c r="D19" s="27" t="inlineStr">
        <is>
          <t>Wrapped content preserves exact layout, stays hidden/noninteractive while loading, and returns through the same root.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../test/components/skeleton/skeleton.test.tsx; tests/components/skeleton/behavior.spec.ts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SK-12</t>
        </is>
      </c>
      <c r="B20" s="26" t="inlineStr">
        <is>
          <t>Composition</t>
        </is>
      </c>
      <c r="C20" s="26" t="inlineStr">
        <is>
          <t>Skeleton</t>
        </is>
      </c>
      <c r="D20" s="27" t="inlineStr">
        <is>
          <t>Real Brick controls, surfaces, rows, and card previews compose without Skeleton taking their semantics or data ownership.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tests/components/skeleton/visual.spec.ts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46229</v>
      </c>
      <c r="K20" s="27" t="inlineStr">
        <is>
          <t>Agent-inspected loading and composition baselines.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SK-13</t>
        </is>
      </c>
      <c r="B21" s="26" t="inlineStr">
        <is>
          <t>Accessibility</t>
        </is>
      </c>
      <c r="C21" s="26" t="inlineStr">
        <is>
          <t>Skeleton</t>
        </is>
      </c>
      <c r="D21" s="27" t="inlineStr">
        <is>
          <t>Loading placeholders are aria-hidden, never focusable or named, and the owning region demonstrates aria-busy; axe passes.</t>
        </is>
      </c>
      <c r="E21" s="26" t="inlineStr">
        <is>
          <t>package</t>
        </is>
      </c>
      <c r="F21" s="26" t="inlineStr">
        <is>
          <t>axe</t>
        </is>
      </c>
      <c r="G21" s="27" t="inlineStr">
        <is>
          <t>tests/components/skeleton/behavior.spec.ts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SK-14</t>
        </is>
      </c>
      <c r="B22" s="26" t="inlineStr">
        <is>
          <t>Responsive</t>
        </is>
      </c>
      <c r="C22" s="26" t="inlineStr">
        <is>
          <t>Skeleton</t>
        </is>
      </c>
      <c r="D22" s="27" t="inlineStr">
        <is>
          <t>Logical dimensions stay bounded under narrow width, RTL, mobile, and zoom without page overflow.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tests/components/skeleton/behavior.spec.ts; tests/components/skeleton/visual.spec.ts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46229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SK-15</t>
        </is>
      </c>
      <c r="B23" s="26" t="inlineStr">
        <is>
          <t>Appearance</t>
        </is>
      </c>
      <c r="C23" s="26" t="inlineStr">
        <is>
          <t>Skeleton</t>
        </is>
      </c>
      <c r="D23" s="27" t="inlineStr">
        <is>
          <t>Semantic paint adapts in light/dark and forced colors; exact public variables match the customization example.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tests/components/skeleton/visual.spec.ts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46229</v>
      </c>
      <c r="K23" s="27" t="inlineStr">
        <is>
          <t>Agent-inspected appearance and forced-color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SK-16</t>
        </is>
      </c>
      <c r="B24" s="26" t="inlineStr">
        <is>
          <t>Visual</t>
        </is>
      </c>
      <c r="C24" s="26" t="inlineStr">
        <is>
          <t>Skeleton</t>
        </is>
      </c>
      <c r="D24" s="27" t="inlineStr">
        <is>
          <t>Reviewed baselines cover defaults, shapes, animation, dimensions, lines, loading, appearance,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tests/components/skeleton/visual.spec.ts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46229</v>
      </c>
      <c r="K24" s="27" t="inlineStr">
        <is>
          <t>Agent-inspected every generated Skeleton baseline.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SK-17</t>
        </is>
      </c>
      <c r="B25" s="26" t="inlineStr">
        <is>
          <t>Manual</t>
        </is>
      </c>
      <c r="C25" s="26" t="inlineStr">
        <is>
          <t>Skeleton</t>
        </is>
      </c>
      <c r="D25" s="27" t="inlineStr">
        <is>
          <t>A tester completes the concise shape, motion, loading, AT, zoom, device, appearance, forced-color, and reduced-motion protocol.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manual-tests/skeleton.md</t>
        </is>
      </c>
      <c r="H25" s="26" t="inlineStr">
        <is>
          <t>not started</t>
        </is>
      </c>
      <c r="I25" s="26" t="inlineStr">
        <is>
          <t>yes</t>
        </is>
      </c>
      <c r="J25" s="28" t="n">
        <v>46229</v>
      </c>
      <c r="K25" s="27" t="inlineStr">
        <is>
          <t>Human run intentionally unclaimed.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SK-18</t>
        </is>
      </c>
      <c r="B26" s="26" t="inlineStr">
        <is>
          <t>Docs</t>
        </is>
      </c>
      <c r="C26" s="26" t="inlineStr">
        <is>
          <t>Skeleton</t>
        </is>
      </c>
      <c r="D26" s="27" t="inlineStr">
        <is>
          <t>Source-backed use, anatomy, API, recipes, accessibility, responsive behavior, composition, CSS, customization, and evidence are documented.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../docs/components/skeleton/README.md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SK-19</t>
        </is>
      </c>
      <c r="B27" s="26" t="inlineStr">
        <is>
          <t>Changelog</t>
        </is>
      </c>
      <c r="C27" s="26" t="inlineStr">
        <is>
          <t>Skeleton</t>
        </is>
      </c>
      <c r="D27" s="27" t="inlineStr">
        <is>
          <t>Skeleton owns a public changelog and the package changelog records the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../docs/components/skeleton/CHANGELOG.md;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SK-20</t>
        </is>
      </c>
      <c r="B28" s="26" t="inlineStr">
        <is>
          <t>Playground</t>
        </is>
      </c>
      <c r="C28" s="26" t="inlineStr">
        <is>
          <t>Skeleton</t>
        </is>
      </c>
      <c r="D28" s="27" t="inlineStr">
        <is>
          <t>One navigable route exposes all nine controlled scenarios including loading and region ownership.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src/components/skeleton/SkeletonPage.tsx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SK-21</t>
        </is>
      </c>
      <c r="B29" s="26" t="inlineStr">
        <is>
          <t>Consumer</t>
        </is>
      </c>
      <c r="C29" s="26" t="inlineStr">
        <is>
          <t>Skeleton</t>
        </is>
      </c>
      <c r="D29" s="27" t="inlineStr">
        <is>
          <t>Packed Consumer imports the public subpath and renders multi-line loading geometry inside Tabs.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SK-22</t>
        </is>
      </c>
      <c r="B30" s="26" t="inlineStr">
        <is>
          <t>Package</t>
        </is>
      </c>
      <c r="C30" s="26" t="inlineStr">
        <is>
          <t>Skeleton</t>
        </is>
      </c>
      <c r="D30" s="27" t="inlineStr">
        <is>
          <t>Build, exports, SSR, tarball, CSS, React 18/19, Consumer, configured browsers, docs, and size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0.20.11 menu behavior without recreating open state, focus, keyboard, selection,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../src/components/dropdown-menu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DM-02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complete public namespace preserves trigger, popup, group, choice, indicator, static row, separator, arrow, and submenu ownership.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../test/components/dropdown-menu/dropdown-menu.test.tsx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DM-03</t>
        </is>
      </c>
      <c r="B11" s="23" t="inlineStr">
        <is>
          <t>Exports</t>
        </is>
      </c>
      <c r="C11" s="23" t="inlineStr">
        <is>
          <t>DropdownMenu</t>
        </is>
      </c>
      <c r="D11" s="23" t="inlineStr">
        <is>
          <t>Root and dropdown-menu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DM-04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sizes and tones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../test/types/components/dropdown-menu.test.ts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DM-05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the popup surface, row anatomy, selection, danger, disabled, submenu, preference, and public-token recipes.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../src/components/dropdown-menu/dropdown-menu.css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DM-06</t>
        </is>
      </c>
      <c r="B14" s="23" t="inlineStr">
        <is>
          <t>Defaults</t>
        </is>
      </c>
      <c r="C14" s="23" t="inlineStr">
        <is>
          <t>Root/Trigger/Content/Item</t>
        </is>
      </c>
      <c r="D14" s="23" t="inlineStr">
        <is>
          <t>A medium button-triggered menu opens with neutral rows and Atom-owned focus and dismissal.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tests/components/dropdown-menu/behavior.spec.ts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DM-07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shared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tests/components/dropdown-menu/visual.spec.ts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size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DM-08</t>
        </is>
      </c>
      <c r="B16" s="23" t="inlineStr">
        <is>
          <t>Anatomy</t>
        </is>
      </c>
      <c r="C16" s="23" t="inlineStr">
        <is>
          <t>Item anatomy</t>
        </is>
      </c>
      <c r="D16" s="23" t="inlineStr">
        <is>
          <t>Leading content, label, description, shortcut, groups, labels, separators, and Arrow align without changing command semantics.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tests/components/dropdown-menu/visual.spec.ts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open and anatomy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DM-09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expose persistent Atom selection and visible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tests/components/dropdown-menu/behavior.spec.ts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DM-10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remain distinct with identical default geometry.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tests/components/dropdown-menu/behavior.spec.ts; tests/components/dropdown-menu/visual.spec.ts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DM-11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Keyboard and pointer submenu opening preserves nested focus, direction, collision,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tests/components/dropdown-menu/behavior.spec.ts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DM-12</t>
        </is>
      </c>
      <c r="B20" s="23" t="inlineStr">
        <is>
          <t>Keyboard</t>
        </is>
      </c>
      <c r="C20" s="23" t="inlineStr">
        <is>
          <t>Trigger/Content</t>
        </is>
      </c>
      <c r="D20" s="23" t="inlineStr">
        <is>
          <t>Enter opens, menu focus enters, Escape closes, and focus returns to the trigger.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tests/components/dropdown-menu/behavior.spec.ts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DM-13</t>
        </is>
      </c>
      <c r="B21" s="23" t="inlineStr">
        <is>
          <t>Composition</t>
        </is>
      </c>
      <c r="C21" s="23" t="inlineStr">
        <is>
          <t>Trigger/static parts</t>
        </is>
      </c>
      <c r="D21" s="23" t="inlineStr">
        <is>
          <t>asChild and render preserve the authored host, attributes, handlers, slots, and refs without duplicate controls.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../test/components/dropdown-menu/dropdown-menu.test.tsx; tests/components/dropdown-menu/behavior.spec.ts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DM-14</t>
        </is>
      </c>
      <c r="B22" s="23" t="inlineStr">
        <is>
          <t>Responsive</t>
        </is>
      </c>
      <c r="C22" s="23" t="inlineStr">
        <is>
          <t>Content/SubContent</t>
        </is>
      </c>
      <c r="D22" s="23" t="inlineStr">
        <is>
          <t>Constrained popups remain inside the viewport with reachable long and repeated commands.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tests/components/dropdown-menu/behavior.spec.ts; tests/components/dropdown-menu/visual.spec.ts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DM-15</t>
        </is>
      </c>
      <c r="B23" s="23" t="inlineStr">
        <is>
          <t>Direction</t>
        </is>
      </c>
      <c r="C23" s="23" t="inlineStr">
        <is>
          <t>Content/SubContent</t>
        </is>
      </c>
      <c r="D23" s="23" t="inlineStr">
        <is>
          <t>RTL content and submenu direction mirror while authored text stays genuine.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tests/components/dropdown-menu/behavior.spec.ts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DM-16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triggers and menus, roles, choice states, disabled state, focus return, forced colors, and axe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tests/components/dropdown-menu/behavior.spec.ts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DM-17</t>
        </is>
      </c>
      <c r="B25" s="23" t="inlineStr">
        <is>
          <t>Visual</t>
        </is>
      </c>
      <c r="C25" s="23" t="inlineStr">
        <is>
          <t>DropdownMenu</t>
        </is>
      </c>
      <c r="D25" s="23" t="inlineStr">
        <is>
          <t>Reviewed baselines cover closed and open defaults, anatomy, choices,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tests/components/dropdown-menu/visual.spec.ts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Dropdown Menu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DM-18</t>
        </is>
      </c>
      <c r="B26" s="23" t="inlineStr">
        <is>
          <t>Keyboard</t>
        </is>
      </c>
      <c r="C26" s="23" t="inlineStr">
        <is>
          <t>Interactive parts</t>
        </is>
      </c>
      <c r="D26" s="23" t="inlineStr">
        <is>
          <t>Keyboard opening, roving or adjacent navigation, activation, dismissal, and focus return remain Atom-owned.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tests/components/dropdown-menu/behavior.spec.ts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DM-19</t>
        </is>
      </c>
      <c r="B27" s="23" t="inlineStr">
        <is>
          <t>Manual</t>
        </is>
      </c>
      <c r="C27" s="23" t="inlineStr">
        <is>
          <t>Dropdown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manual-tests/dropdown-menu.md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DM-20</t>
        </is>
      </c>
      <c r="B28" s="23" t="inlineStr">
        <is>
          <t>Docs</t>
        </is>
      </c>
      <c r="C28" s="23" t="inlineStr">
        <is>
          <t>Dropdown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../docs/components/dropdown-menu/README.md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DM-21</t>
        </is>
      </c>
      <c r="B29" s="23" t="inlineStr">
        <is>
          <t>Playground</t>
        </is>
      </c>
      <c r="C29" s="23" t="inlineStr">
        <is>
          <t>Dropdown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src/components/dropdown-menu/DropdownMenuPage.tsx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DM-22</t>
        </is>
      </c>
      <c r="B30" s="23" t="inlineStr">
        <is>
          <t>Consumer</t>
        </is>
      </c>
      <c r="C30" s="23" t="inlineStr">
        <is>
          <t>Dropdown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DM-23</t>
        </is>
      </c>
      <c r="B31" s="23" t="inlineStr">
        <is>
          <t>Package</t>
        </is>
      </c>
      <c r="C31" s="23" t="inlineStr">
        <is>
          <t>Dropdown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0.20.11 Context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../src/components/context-menu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CM-02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../test/components/context-menu/context-menu.test.tsx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CM-03</t>
        </is>
      </c>
      <c r="B11" s="23" t="inlineStr">
        <is>
          <t>Exports</t>
        </is>
      </c>
      <c r="C11" s="23" t="inlineStr">
        <is>
          <t>ContextMenu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CM-04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../test/types/components/context-menu.test.ts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CM-05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../src/components/context-menu/context-menu.css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CM-06</t>
        </is>
      </c>
      <c r="B14" s="23" t="inlineStr">
        <is>
          <t>Invocation</t>
        </is>
      </c>
      <c r="C14" s="23" t="inlineStr">
        <is>
          <t>Trigger/Content</t>
        </is>
      </c>
      <c r="D14" s="23" t="inlineStr">
        <is>
          <t>Pointer context gesture and Shift+F10 open at the intended target while essential actions remain visibly available.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tests/components/context-menu/behavior.spec.ts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CM-07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tests/components/context-menu/visual.spec.ts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component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CM-08</t>
        </is>
      </c>
      <c r="B16" s="23" t="inlineStr">
        <is>
          <t>Anatomy</t>
        </is>
      </c>
      <c r="C16" s="23" t="inlineStr">
        <is>
          <t>All popup parts</t>
        </is>
      </c>
      <c r="D16" s="23" t="inlineStr">
        <is>
          <t>Groups, labels, rows, supporting content, separators, Arrow, choices, danger, disabled, and submenus remain aligned.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tests/components/context-menu/visual.spec.ts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CM-09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preserve Atom selection and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tests/components/context-menu/behavior.spec.ts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CM-10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stay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tests/components/context-menu/behavior.spec.ts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CM-11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context actions preserve keyboard direction, collision, focus,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tests/components/context-menu/behavior.spec.ts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CM-12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tests/components/context-menu/behavior.spec.ts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CM-13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tests/components/context-menu/behavior.spec.ts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CM-14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tests/components/context-menu/behavior.spec.ts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CM-15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tests/components/context-menu/behavior.spec.ts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CM-16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tests/components/context-menu/behavior.spec.ts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CM-17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tests/components/context-menu/visual.spec.ts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CM-18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tests/components/context-menu/behavior.spec.ts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CM-19</t>
        </is>
      </c>
      <c r="B27" s="23" t="inlineStr">
        <is>
          <t>Manual</t>
        </is>
      </c>
      <c r="C27" s="23" t="inlineStr">
        <is>
          <t>Context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manual-tests/context-menu.md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CM-20</t>
        </is>
      </c>
      <c r="B28" s="23" t="inlineStr">
        <is>
          <t>Docs</t>
        </is>
      </c>
      <c r="C28" s="23" t="inlineStr">
        <is>
          <t>Context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../docs/components/context-menu/README.md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CM-21</t>
        </is>
      </c>
      <c r="B29" s="23" t="inlineStr">
        <is>
          <t>Playground</t>
        </is>
      </c>
      <c r="C29" s="23" t="inlineStr">
        <is>
          <t>Context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src/components/context-menu/ContextMenuPage.tsx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CM-22</t>
        </is>
      </c>
      <c r="B30" s="23" t="inlineStr">
        <is>
          <t>Consumer</t>
        </is>
      </c>
      <c r="C30" s="23" t="inlineStr">
        <is>
          <t>Context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CM-23</t>
        </is>
      </c>
      <c r="B31" s="23" t="inlineStr">
        <is>
          <t>Package</t>
        </is>
      </c>
      <c r="C31" s="23" t="inlineStr">
        <is>
          <t>Context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MB-01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0.20.11 Menubar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../src/components/menubar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MB-02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../test/components/menubar/menubar.test.tsx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MB-03</t>
        </is>
      </c>
      <c r="B11" s="23" t="inlineStr">
        <is>
          <t>Exports</t>
        </is>
      </c>
      <c r="C11" s="23" t="inlineStr">
        <is>
          <t>Menubar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MB-04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../test/types/components/menubar.test.ts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MB-05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../src/components/menubar/menubar.css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MB-06</t>
        </is>
      </c>
      <c r="B14" s="23" t="inlineStr">
        <is>
          <t>Defaults</t>
        </is>
      </c>
      <c r="C14" s="23" t="inlineStr">
        <is>
          <t>Root/Menu/Trigger/Content</t>
        </is>
      </c>
      <c r="D14" s="23" t="inlineStr">
        <is>
          <t>A medium horizontal menubar presents adjacent command categories and one Atom-owned popup.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tests/components/menubar/behavior.spec.ts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MB-07</t>
        </is>
      </c>
      <c r="B15" s="23" t="inlineStr">
        <is>
          <t>Orientation</t>
        </is>
      </c>
      <c r="C15" s="23" t="inlineStr">
        <is>
          <t>Root/Trigger</t>
        </is>
      </c>
      <c r="D15" s="23" t="inlineStr">
        <is>
          <t>Horizontal and vertical orientations change layout and adjacent-trigger keyboard axis together.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tests/components/menubar/behavior.spec.ts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MB-08</t>
        </is>
      </c>
      <c r="B16" s="23" t="inlineStr">
        <is>
          <t>Sizes</t>
        </is>
      </c>
      <c r="C16" s="23" t="inlineStr">
        <is>
          <t>Root/Content</t>
        </is>
      </c>
      <c r="D16" s="23" t="inlineStr">
        <is>
          <t>Small, medium, and large change only persistent and popup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tests/components/menubar/visual.spec.ts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MB-09</t>
        </is>
      </c>
      <c r="B17" s="23" t="inlineStr">
        <is>
          <t>States</t>
        </is>
      </c>
      <c r="C17" s="23" t="inlineStr">
        <is>
          <t>Trigger/Item</t>
        </is>
      </c>
      <c r="D17" s="23" t="inlineStr">
        <is>
          <t>Idle, focused, open, disabled, neutral, and danger states remain distinct.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tests/components/menubar/behavior.spec.ts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MB-10</t>
        </is>
      </c>
      <c r="B18" s="23" t="inlineStr">
        <is>
          <t>Selection</t>
        </is>
      </c>
      <c r="C18" s="23" t="inlineStr">
        <is>
          <t>CheckboxItem/RadioItem</t>
        </is>
      </c>
      <c r="D18" s="23" t="inlineStr">
        <is>
          <t>Persistent choices and indicators work inside command categories.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tests/components/menubar/behavior.spec.ts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MB-11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command categories preserve focus, keyboard direction,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tests/components/menubar/behavior.spec.ts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MB-12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tests/components/menubar/behavior.spec.ts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MB-13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tests/components/menubar/behavior.spec.ts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MB-14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tests/components/menubar/behavior.spec.ts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MB-15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tests/components/menubar/behavior.spec.ts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MB-16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tests/components/menubar/behavior.spec.ts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MB-17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tests/components/menubar/visual.spec.ts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MB-18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tests/components/menubar/behavior.spec.ts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MB-19</t>
        </is>
      </c>
      <c r="B27" s="23" t="inlineStr">
        <is>
          <t>Manual</t>
        </is>
      </c>
      <c r="C27" s="23" t="inlineStr">
        <is>
          <t>Menubar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manual-tests/menubar.md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MB-20</t>
        </is>
      </c>
      <c r="B28" s="23" t="inlineStr">
        <is>
          <t>Docs</t>
        </is>
      </c>
      <c r="C28" s="23" t="inlineStr">
        <is>
          <t>Menubar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../docs/components/menubar/README.md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MB-21</t>
        </is>
      </c>
      <c r="B29" s="23" t="inlineStr">
        <is>
          <t>Playground</t>
        </is>
      </c>
      <c r="C29" s="23" t="inlineStr">
        <is>
          <t>Menubar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src/components/menubar/MenubarPage.tsx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MB-22</t>
        </is>
      </c>
      <c r="B30" s="23" t="inlineStr">
        <is>
          <t>Consumer</t>
        </is>
      </c>
      <c r="C30" s="23" t="inlineStr">
        <is>
          <t>Menubar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MB-23</t>
        </is>
      </c>
      <c r="B31" s="23" t="inlineStr">
        <is>
          <t>Package</t>
        </is>
      </c>
      <c r="C31" s="23" t="inlineStr">
        <is>
          <t>Menubar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0.20.11 Navigation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../src/components/navigation-menu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NM-02</t>
        </is>
      </c>
      <c r="B10" s="23" t="inlineStr">
        <is>
          <t>Anatomy</t>
        </is>
      </c>
      <c r="C10" s="23" t="inlineStr">
        <is>
          <t>All parts including IndicatorArrow</t>
        </is>
      </c>
      <c r="D10" s="23" t="inlineStr">
        <is>
          <t>The public namespace preserves every adopted host, semantic relationship, native prop, ref, and composition boundary; Indicator supplies the decorative IndicatorArrow only when no custom child is authored.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../test/components/navigation-menu/navigation-menu.test.tsx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NM-03</t>
        </is>
      </c>
      <c r="B11" s="23" t="inlineStr">
        <is>
          <t>Exports</t>
        </is>
      </c>
      <c r="C11" s="23" t="inlineStr">
        <is>
          <t>NavigationMenu/IndicatorArrow</t>
        </is>
      </c>
      <c r="D11" s="23" t="inlineStr">
        <is>
          <t>Root and component subpath expose the namespace, named parts including IndicatorArrow,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NM-04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../test/types/components/navigation-menu.test.ts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NM-05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../src/components/navigation-menu/navigation-menu.css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NM-06</t>
        </is>
      </c>
      <c r="B14" s="23" t="inlineStr">
        <is>
          <t>Defaults</t>
        </is>
      </c>
      <c r="C14" s="23" t="inlineStr">
        <is>
          <t>Root/List/Item/Trigger/Content</t>
        </is>
      </c>
      <c r="D14" s="23" t="inlineStr">
        <is>
          <t>A medium horizontal navigation landmark combines native destinations with an optional rich panel.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tests/components/navigation-menu/behavior.spec.ts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NM-07</t>
        </is>
      </c>
      <c r="B15" s="23" t="inlineStr">
        <is>
          <t>Link model</t>
        </is>
      </c>
      <c r="C15" s="23" t="inlineStr">
        <is>
          <t>Link/Trigger</t>
        </is>
      </c>
      <c r="D15" s="23" t="inlineStr">
        <is>
          <t>Direct current links remain anchors while disclosure triggers remain buttons.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tests/components/navigation-menu/behavior.spec.ts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NM-08</t>
        </is>
      </c>
      <c r="B16" s="23" t="inlineStr">
        <is>
          <t>Sizes</t>
        </is>
      </c>
      <c r="C16" s="23" t="inlineStr">
        <is>
          <t>Root/Sub</t>
        </is>
      </c>
      <c r="D16" s="23" t="inlineStr">
        <is>
          <t>Small, medium, and large change only navigation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tests/components/navigation-menu/visual.spec.ts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NM-09</t>
        </is>
      </c>
      <c r="B17" s="23" t="inlineStr">
        <is>
          <t>Orientation</t>
        </is>
      </c>
      <c r="C17" s="23" t="inlineStr">
        <is>
          <t>Root/List/IndicatorArrow</t>
        </is>
      </c>
      <c r="D17" s="23" t="inlineStr">
        <is>
          <t>Horizontal and vertical orientation change layout and keyboard axis together while the IndicatorArrow connects the active trigger to the Viewport on the logical side.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tests/components/navigation-menu/behavior.spec.ts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NM-10</t>
        </is>
      </c>
      <c r="B18" s="23" t="inlineStr">
        <is>
          <t>Viewport</t>
        </is>
      </c>
      <c r="C18" s="23" t="inlineStr">
        <is>
          <t>Content/Viewport/Indicator/IndicatorArrow</t>
        </is>
      </c>
      <c r="D18" s="23" t="inlineStr">
        <is>
          <t>Measured rich content, the surface-matched IndicatorArrow, and Viewport geometry follow Atom state and trigger measurements.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tests/components/navigation-menu/behavior.spec.ts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NM-11</t>
        </is>
      </c>
      <c r="B19" s="23" t="inlineStr">
        <is>
          <t>States</t>
        </is>
      </c>
      <c r="C19" s="23" t="inlineStr">
        <is>
          <t>Trigger/Link</t>
        </is>
      </c>
      <c r="D19" s="23" t="inlineStr">
        <is>
          <t>Controlled open, current link, disabled trigger, hover, and focus states remain distinct.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tests/components/navigation-menu/behavior.spec.ts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NM-12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tests/components/navigation-menu/behavior.spec.ts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NM-13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tests/components/navigation-menu/behavior.spec.ts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NM-14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tests/components/navigation-menu/behavior.spec.ts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NM-15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tests/components/navigation-menu/behavior.spec.ts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NM-16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tests/components/navigation-menu/behavior.spec.ts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NM-17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compact chevrons, the one-pixel current underline, the open IndicatorArrow connector,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tests/components/navigation-menu/visual.spec.ts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NM-18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tests/components/navigation-menu/behavior.spec.ts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NM-19</t>
        </is>
      </c>
      <c r="B27" s="23" t="inlineStr">
        <is>
          <t>Manual</t>
        </is>
      </c>
      <c r="C27" s="23" t="inlineStr">
        <is>
          <t>Navigation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manual-tests/navigation-menu.md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NM-20</t>
        </is>
      </c>
      <c r="B28" s="23" t="inlineStr">
        <is>
          <t>Docs</t>
        </is>
      </c>
      <c r="C28" s="23" t="inlineStr">
        <is>
          <t>Navigation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../docs/components/navigation-menu/README.md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NM-21</t>
        </is>
      </c>
      <c r="B29" s="23" t="inlineStr">
        <is>
          <t>Playground</t>
        </is>
      </c>
      <c r="C29" s="23" t="inlineStr">
        <is>
          <t>Navigation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src/components/navigation-menu/NavigationMenuPage.tsx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NM-22</t>
        </is>
      </c>
      <c r="B30" s="23" t="inlineStr">
        <is>
          <t>Consumer</t>
        </is>
      </c>
      <c r="C30" s="23" t="inlineStr">
        <is>
          <t>Navigation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NM-23</t>
        </is>
      </c>
      <c r="B31" s="23" t="inlineStr">
        <is>
          <t>Package</t>
        </is>
      </c>
      <c r="C31" s="23" t="inlineStr">
        <is>
          <t>Navigation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BN-01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Bottom Navigation behavior without recreating selection, native destination semantics, position, label visibility, disabled behavior, accessibility,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../src/components/bottom-navigation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BN-02</t>
        </is>
      </c>
      <c r="B10" s="26" t="inlineStr">
        <is>
          <t>Anatomy</t>
        </is>
      </c>
      <c r="C10" s="26" t="inlineStr">
        <is>
          <t>Root/Item/Icon/Label</t>
        </is>
      </c>
      <c r="D10" s="27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../test/components/bottom-navigation/bottom-navigation.test.tsx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BN-03</t>
        </is>
      </c>
      <c r="B11" s="26" t="inlineStr">
        <is>
          <t>Exports</t>
        </is>
      </c>
      <c r="C11" s="26" t="inlineStr">
        <is>
          <t>BottomNavigation</t>
        </is>
      </c>
      <c r="D11" s="27" t="inlineStr">
        <is>
          <t>Root and bottom-navigation subpath expose the namespace, named parts, recipe types, inherited position/label types, and public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BN-04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 and the discriminated indicator/item selection shapes type-check; unsupported sizes and a circular whole-item selection fail.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../test/types/components/bottom-navigation.test.ts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BN-05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../src/components/bottom-navigation/bottom-navigation.css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BN-06</t>
        </is>
      </c>
      <c r="B14" s="26" t="inlineStr">
        <is>
          <t>Defaults</t>
        </is>
      </c>
      <c r="C14" s="26" t="inlineStr">
        <is>
          <t>Root/Item/Icon/Label</t>
        </is>
      </c>
      <c r="D14" s="27" t="inlineStr">
        <is>
          <t>Defaults are outline, accent, full, equal, medium, static, indicator/pill, always-visible labels, safe-area support, and no blur or elevation.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tests/components/bottom-navigation/behavior.spec.ts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BN-07</t>
        </is>
      </c>
      <c r="B15" s="26" t="inlineStr">
        <is>
          <t>Recipes</t>
        </is>
      </c>
      <c r="C15" s="26" t="inlineStr">
        <is>
          <t>Root</t>
        </is>
      </c>
      <c r="D15" s="27" t="inlineStr">
        <is>
          <t>Solid, soft, outline, and ghost remain visually distinct in accent and fully neutral palettes without changing destination geometry.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tests/components/bottom-navigation/behavior.spec.ts; tests/components/bottom-navigation/visual.spec.ts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BN-08</t>
        </is>
      </c>
      <c r="B16" s="26" t="inlineStr">
        <is>
          <t>Layout</t>
        </is>
      </c>
      <c r="C16" s="26" t="inlineStr">
        <is>
          <t>Root/Item</t>
        </is>
      </c>
      <c r="D16" s="27" t="inlineStr">
        <is>
          <t>Full versus floating controls outer geometry independently from equal versus centered destination distribution.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tests/components/bottom-navigation/behavior.spec.ts; tests/components/bottom-navigation/visual.spec.ts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BN-09</t>
        </is>
      </c>
      <c r="B17" s="26" t="inlineStr">
        <is>
          <t>Sizes</t>
        </is>
      </c>
      <c r="C17" s="26" t="inlineStr">
        <is>
          <t>All parts</t>
        </is>
      </c>
      <c r="D17" s="27" t="inlineStr">
        <is>
          <t>Small, medium, and large coordinate Root padding, Item target, Icon, indicator, and label typography as one recipe.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tests/components/bottom-navigation/behavior.spec.ts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BN-10</t>
        </is>
      </c>
      <c r="B18" s="26" t="inlineStr">
        <is>
          <t>Position</t>
        </is>
      </c>
      <c r="C18" s="26" t="inlineStr">
        <is>
          <t>Root</t>
        </is>
      </c>
      <c r="D18" s="27" t="inlineStr">
        <is>
          <t>Static, sticky, absolute, and fixed retain distinct computed positioning; safe-area ownership is internal for full bars and an outer offset for positioned floating bars.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tests/components/bottom-navigation/behavior.spec.ts; ../test/components/bottom-navigation/bottom-navigation.test.tsx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BN-11</t>
        </is>
      </c>
      <c r="B19" s="26" t="inlineStr">
        <is>
          <t>Selection</t>
        </is>
      </c>
      <c r="C19" s="26" t="inlineStr">
        <is>
          <t>Root/Icon/Item</t>
        </is>
      </c>
      <c r="D19" s="27" t="inlineStr">
        <is>
          <t>Indicator selection paints only Icon with circle, rounded, or pill geometry; Item selection paints the whole destination with square, rounded, or pill geometry and no layout shift.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tests/components/bottom-navigation/behavior.spec.ts; tests/components/bottom-navigation/visual.spec.ts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BN-12</t>
        </is>
      </c>
      <c r="B20" s="26" t="inlineStr">
        <is>
          <t>Labels</t>
        </is>
      </c>
      <c r="C20" s="26" t="inlineStr">
        <is>
          <t>Root/Label</t>
        </is>
      </c>
      <c r="D20" s="27" t="inlineStr">
        <is>
          <t>always, active, and hidden policies change only visual label presentation while every destination retains the authored accessible name.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tests/components/bottom-navigation/behavior.spec.ts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BN-13</t>
        </is>
      </c>
      <c r="B21" s="26" t="inlineStr">
        <is>
          <t>Selection behavior</t>
        </is>
      </c>
      <c r="C21" s="26" t="inlineStr">
        <is>
          <t>Root/Item</t>
        </is>
      </c>
      <c r="D21" s="27" t="inlineStr">
        <is>
          <t>Controlled and uncontrolled values update exactly one active destination and call the application change handler.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../test/components/bottom-navigation/bottom-navigation.test.tsx; tests/components/bottom-navigation/behavior.spec.ts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BN-14</t>
        </is>
      </c>
      <c r="B22" s="26" t="inlineStr">
        <is>
          <t>Destinations/states</t>
        </is>
      </c>
      <c r="C22" s="26" t="inlineStr">
        <is>
          <t>Item</t>
        </is>
      </c>
      <c r="D22" s="27" t="inlineStr">
        <is>
          <t>href Items remain native current-page anchors; Items without href remain buttons; hover, pressed, focus-visible, current, and disabled behavior stay distinct.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tests/components/bottom-navigation/behavior.spec.ts; ../test/components/bottom-navigation/bottom-navigation.test.tsx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BN-15</t>
        </is>
      </c>
      <c r="B23" s="26" t="inlineStr">
        <is>
          <t>Content</t>
        </is>
      </c>
      <c r="C23" s="26" t="inlineStr">
        <is>
          <t>Icon/Label</t>
        </is>
      </c>
      <c r="D23" s="27" t="inlineStr">
        <is>
          <t>Three, four, and five destinations plus Notification Badge composition retain one destination name, one focus target, and bounded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tests/components/bottom-navigation/behavior.spec.ts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BN-16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Router asChild output preserves the native anchor, href, state, Brick/Atom class and slot ownership without another interactive wrapper.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../test/components/bottom-navigation/bottom-navigation.test.tsx; tests/components/bottom-navigation/behavior.spec.ts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BN-17</t>
        </is>
      </c>
      <c r="B25" s="26" t="inlineStr">
        <is>
          <t>Effects</t>
        </is>
      </c>
      <c r="C25" s="26" t="inlineStr">
        <is>
          <t>Root</t>
        </is>
      </c>
      <c r="D25" s="27" t="inlineStr">
        <is>
          <t>Elevation and blur are opt-in paint effects that do not imply layout or position; reduced transparency removes blur while preserving the surface.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tests/components/bottom-navigation/behavior.spec.ts; tests/components/bottom-navigation/visual.spec.ts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BN-18</t>
        </is>
      </c>
      <c r="B26" s="26" t="inlineStr">
        <is>
          <t>Customization</t>
        </is>
      </c>
      <c r="C26" s="26" t="inlineStr">
        <is>
          <t>Root</t>
        </is>
      </c>
      <c r="D26" s="27" t="inlineStr">
        <is>
          <t>The documented CSS variables exactly produce the amber surface, border, selected indicator, and active foreground shown beside the code.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src/components/bottom-navigation/BottomNavigationPage.tsx; tests/components/bottom-navigation/visual.spec.ts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 inspected the generated customization and appearance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BN-19</t>
        </is>
      </c>
      <c r="B27" s="26" t="inlineStr">
        <is>
          <t>Responsive</t>
        </is>
      </c>
      <c r="C27" s="26" t="inlineStr">
        <is>
          <t>All parts</t>
        </is>
      </c>
      <c r="D27" s="27" t="inlineStr">
        <is>
          <t>Narrow width, genuine long labels, three-to-five destinations, mobile viewports, and zoom guidance remain contained without horizontal page overflow.</t>
        </is>
      </c>
      <c r="E27" s="26" t="inlineStr">
        <is>
          <t>package</t>
        </is>
      </c>
      <c r="F27" s="26" t="inlineStr">
        <is>
          <t>browser</t>
        </is>
      </c>
      <c r="G27" s="27" t="inlineStr">
        <is>
          <t>tests/components/bottom-navigation/behavior.spec.ts; tests/components/bottom-navigation/visual.spec.ts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BN-20</t>
        </is>
      </c>
      <c r="B28" s="26" t="inlineStr">
        <is>
          <t>Direction/preferences</t>
        </is>
      </c>
      <c r="C28" s="26" t="inlineStr">
        <is>
          <t>All parts</t>
        </is>
      </c>
      <c r="D28" s="27" t="inlineStr">
        <is>
          <t>RTL uses logical order and genuine Arabic content; forced colors and reduced motion preserve selection, focus, and usable geometry.</t>
        </is>
      </c>
      <c r="E28" s="26" t="inlineStr">
        <is>
          <t>package</t>
        </is>
      </c>
      <c r="F28" s="26" t="inlineStr">
        <is>
          <t>browser</t>
        </is>
      </c>
      <c r="G28" s="27" t="inlineStr">
        <is>
          <t>tests/components/bottom-navigation/behavior.spec.ts; tests/components/bottom-navigation/visual.spec.ts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BN-21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Named navigation landmarks, native link/button roles, aria-current, disabled state, silent Icons, hidden labels, focus, target geometry, and axe remain valid.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tests/components/bottom-navigation/behavior.spec.ts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BN-22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Chromium baselines cover defaults, all recipes, layout, selection, content, behavior, effects, dark appearance, mobile RTL, safe areas, and forced colors.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tests/components/bottom-navigation/visual.spec.ts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every revised Bottom Navigation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BN-23</t>
        </is>
      </c>
      <c r="B31" s="26" t="inlineStr">
        <is>
          <t>Manual</t>
        </is>
      </c>
      <c r="C31" s="26" t="inlineStr">
        <is>
          <t>Bottom Navigation</t>
        </is>
      </c>
      <c r="D31" s="27" t="inlineStr">
        <is>
          <t>A tester completes the concise top-down pointer, keyboard, AT, zoom, mobile, safe-area, appearance, RTL, forced-color, and preference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manual-tests/bottom-navigation.md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BN-24</t>
        </is>
      </c>
      <c r="B32" s="26" t="inlineStr">
        <is>
          <t>Docs</t>
        </is>
      </c>
      <c r="C32" s="26" t="inlineStr">
        <is>
          <t>Bottom Navigation</t>
        </is>
      </c>
      <c r="D32" s="27" t="inlineStr">
        <is>
          <t>Source-backed usage, anatomy, API, recipes, positions, labels, accessibility, responsive behavior, composition, CSS, customization, and evidence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../docs/components/bottom-navigation/README.md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BN-25</t>
        </is>
      </c>
      <c r="B33" s="26" t="inlineStr">
        <is>
          <t>Changelog</t>
        </is>
      </c>
      <c r="C33" s="26" t="inlineStr">
        <is>
          <t>Bottom Navigation</t>
        </is>
      </c>
      <c r="D33" s="27" t="inlineStr">
        <is>
          <t>Bottom Navigation owns a public changelog and the package changelog records the public addition.</t>
        </is>
      </c>
      <c r="E33" s="26" t="inlineStr">
        <is>
          <t>package</t>
        </is>
      </c>
      <c r="F33" s="26" t="inlineStr">
        <is>
          <t>docs</t>
        </is>
      </c>
      <c r="G33" s="27" t="inlineStr">
        <is>
          <t>../docs/components/bottom-navigation/CHANGELOG.md; ../CHANGELOG.md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BN-26</t>
        </is>
      </c>
      <c r="B34" s="26" t="inlineStr">
        <is>
          <t>Playground</t>
        </is>
      </c>
      <c r="C34" s="26" t="inlineStr">
        <is>
          <t>Bottom Navigation</t>
        </is>
      </c>
      <c r="D34" s="27" t="inlineStr">
        <is>
          <t>One navigable route exposes nine comprehensive scenarios, actual rendered composition output, and Brick-only public imports.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src/components/bottom-navigation/BottomNavigationPage.tsx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BN-27</t>
        </is>
      </c>
      <c r="B35" s="26" t="inlineStr">
        <is>
          <t>Consumer</t>
        </is>
      </c>
      <c r="C35" s="26" t="inlineStr">
        <is>
          <t>Bottom Navigation</t>
        </is>
      </c>
      <c r="D35" s="27" t="inlineStr">
        <is>
          <t>Packed Consumer imports the public subpath and operates realistic controlled and badged destinations on desktop and mobile.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46230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BN-28</t>
        </is>
      </c>
      <c r="B36" s="26" t="inlineStr">
        <is>
          <t>Package</t>
        </is>
      </c>
      <c r="C36" s="26" t="inlineStr">
        <is>
          <t>Bottom Navigation</t>
        </is>
      </c>
      <c r="D36" s="27" t="inlineStr">
        <is>
          <t>Build, exports, SSR, tarball, CSS, React 18/19, Consumer, configured desktop/mobile browsers, docs, ownership, and exact Atom 0.20.11 dependency pass.</t>
        </is>
      </c>
      <c r="E36" s="26" t="inlineStr">
        <is>
          <t>package</t>
        </is>
      </c>
      <c r="F36" s="26" t="inlineStr">
        <is>
          <t>package</t>
        </is>
      </c>
      <c r="G36" s="27" t="inlineStr">
        <is>
          <t>../scripts/verify-package.mjs; ../scripts/verify-consumers.mjs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VH-01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delegates all assistive-text behavior to released Atom 0.20.11 Visually Hidden and adds only the stable Brick class and default slot.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../src/components/visually-hidden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VH-02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The one-part namespace preserves Atom's default span, children, inline hiding behavior, native props, composition, and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../test/components/visually-hidden/visually-hidden.test.tsx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VH-03</t>
        </is>
      </c>
      <c r="B11" s="26" t="inlineStr">
        <is>
          <t>Exports</t>
        </is>
      </c>
      <c r="C11" s="26" t="inlineStr">
        <is>
          <t>VisuallyHidden</t>
        </is>
      </c>
      <c r="D11" s="27" t="inlineStr">
        <is>
          <t>Root and visually-hidden subpath expose the namespace, named Root, and Root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VH-04</t>
        </is>
      </c>
      <c r="B12" s="26" t="inlineStr">
        <is>
          <t>Types</t>
        </is>
      </c>
      <c r="C12" s="26" t="inlineStr">
        <is>
          <t>Root</t>
        </is>
      </c>
      <c r="D12" s="27" t="inlineStr">
        <is>
          <t>Children, native span attributes, style, ref, render, and asChild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../test/types/components/visually-hidden.test.ts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VH-05</t>
        </is>
      </c>
      <c r="B13" s="26" t="inlineStr">
        <is>
          <t>Hooks</t>
        </is>
      </c>
      <c r="C13" s="26" t="inlineStr">
        <is>
          <t>Root</t>
        </is>
      </c>
      <c r="D13" s="27" t="inlineStr">
        <is>
          <t>Root emits the stable brick-visually-hidden class and default data-slot without inventing recipe props or public CSS variables.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../test/components/visually-hidden/visually-hidden.test.tsx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VH-06</t>
        </is>
      </c>
      <c r="B14" s="26" t="inlineStr">
        <is>
          <t>Geometry</t>
        </is>
      </c>
      <c r="C14" s="26" t="inlineStr">
        <is>
          <t>Root</t>
        </is>
      </c>
      <c r="D14" s="27" t="inlineStr">
        <is>
          <t>Atom-owned inline styles resolve to an absolute 1px by 1px clipped box with no visible layout footprint.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tests/components/visually-hidden/behavior.spec.ts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VH-07</t>
        </is>
      </c>
      <c r="B15" s="26" t="inlineStr">
        <is>
          <t>Accessible naming</t>
        </is>
      </c>
      <c r="C15" s="26" t="inlineStr">
        <is>
          <t>Root</t>
        </is>
      </c>
      <c r="D15" s="27" t="inlineStr">
        <is>
          <t>Hidden text supplies the complete accessible name for an icon-only Brick Button while the Icon remains decorative.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tests/components/visually-hidden/behavior.spec.ts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VH-08</t>
        </is>
      </c>
      <c r="B16" s="26" t="inlineStr">
        <is>
          <t>Supplemental context</t>
        </is>
      </c>
      <c r="C16" s="26" t="inlineStr">
        <is>
          <t>Root</t>
        </is>
      </c>
      <c r="D16" s="27" t="inlineStr">
        <is>
          <t>Hidden context extends visible destructive-action text into one complete accessible name without duplicate visible copy.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tests/components/visually-hidden/behavior.spec.ts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VH-09</t>
        </is>
      </c>
      <c r="B17" s="26" t="inlineStr">
        <is>
          <t>Composition</t>
        </is>
      </c>
      <c r="C17" s="26" t="inlineStr">
        <is>
          <t>Root</t>
        </is>
      </c>
      <c r="D17" s="27" t="inlineStr">
        <is>
          <t>render and asChild change the host to strong or em while preserving hidden behavior, authored content, class, and slot.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../test/components/visually-hidden/visually-hidden.test.tsx; tests/components/visually-hidden/behavior.spec.ts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VH-10</t>
        </is>
      </c>
      <c r="B18" s="26" t="inlineStr">
        <is>
          <t>Native ownership</t>
        </is>
      </c>
      <c r="C18" s="26" t="inlineStr">
        <is>
          <t>Root</t>
        </is>
      </c>
      <c r="D18" s="27" t="inlineStr">
        <is>
          <t>Consumer class, data attributes, authored slot, styles, and the default span ref pass through and remain inspectable.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tests/components/visually-hidden/behavior.spec.ts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VH-11</t>
        </is>
      </c>
      <c r="B19" s="26" t="inlineStr">
        <is>
          <t>Responsive</t>
        </is>
      </c>
      <c r="C19" s="26" t="inlineStr">
        <is>
          <t>Root</t>
        </is>
      </c>
      <c r="D19" s="27" t="inlineStr">
        <is>
          <t>Long English and Arabic names, RTL, dark appearance, narrow mobile layout, and zoom create no visible footprint or horizontal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tests/components/visually-hidden/behavior.spec.ts; tests/components/visually-hidden/visual.spec.ts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VH-12</t>
        </is>
      </c>
      <c r="B20" s="26" t="inlineStr">
        <is>
          <t>Accessibility</t>
        </is>
      </c>
      <c r="C20" s="26" t="inlineStr">
        <is>
          <t>Root</t>
        </is>
      </c>
      <c r="D20" s="27" t="inlineStr">
        <is>
          <t>Named controls remain discoverable and the route has no automatically detectable accessibility violations across configured desktop/mobile browsers.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tests/components/visually-hidden/behavior.spec.ts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VH-13</t>
        </is>
      </c>
      <c r="B21" s="26" t="inlineStr">
        <is>
          <t>Visual</t>
        </is>
      </c>
      <c r="C21" s="26" t="inlineStr">
        <is>
          <t>Root</t>
        </is>
      </c>
      <c r="D21" s="27" t="inlineStr">
        <is>
          <t>Reviewed baselines prove that naming, composition, output, appearance, RTL, and mobile stress add no visible hidden-text footprint.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tests/components/visually-hidden/visual.spec.ts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 inspected every Visually Hidden baseline.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VH-14</t>
        </is>
      </c>
      <c r="B22" s="26" t="inlineStr">
        <is>
          <t>Manual</t>
        </is>
      </c>
      <c r="C22" s="26" t="inlineStr">
        <is>
          <t>Visually Hidden</t>
        </is>
      </c>
      <c r="D22" s="27" t="inlineStr">
        <is>
          <t>A tester completes the concise naming, output, composition, native ownership, mobile, zoom, forced-color, and screen-reader protocol.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manual-tests/visually-hidden.md</t>
        </is>
      </c>
      <c r="H22" s="26" t="inlineStr">
        <is>
          <t>not started</t>
        </is>
      </c>
      <c r="I22" s="26" t="inlineStr">
        <is>
          <t>yes</t>
        </is>
      </c>
      <c r="J22" s="28" t="n">
        <v>46230</v>
      </c>
      <c r="K22" s="27" t="inlineStr">
        <is>
          <t>Human run intentionally unclaimed.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VH-15</t>
        </is>
      </c>
      <c r="B23" s="26" t="inlineStr">
        <is>
          <t>Docs</t>
        </is>
      </c>
      <c r="C23" s="26" t="inlineStr">
        <is>
          <t>Visually Hidden</t>
        </is>
      </c>
      <c r="D23" s="27" t="inlineStr">
        <is>
          <t>Source-backed use, misuse, anatomy, API, hooks, customization limits, responsive behavior, accessibility, composition, and evidence are documented.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../docs/components/visually-hidden/README.md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VH-16</t>
        </is>
      </c>
      <c r="B24" s="26" t="inlineStr">
        <is>
          <t>Changelog</t>
        </is>
      </c>
      <c r="C24" s="26" t="inlineStr">
        <is>
          <t>Visually Hidden</t>
        </is>
      </c>
      <c r="D24" s="27" t="inlineStr">
        <is>
          <t>Visually Hidden owns a public changelog and the package changelog records the public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../docs/components/visually-hidden/CHANGELOG.md;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VH-17</t>
        </is>
      </c>
      <c r="B25" s="26" t="inlineStr">
        <is>
          <t>Playground</t>
        </is>
      </c>
      <c r="C25" s="26" t="inlineStr">
        <is>
          <t>Visually Hidden</t>
        </is>
      </c>
      <c r="D25" s="27" t="inlineStr">
        <is>
          <t>One navigable route exposes six focused scenarios, actual rendered output, composition evidence, native props, and responsive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src/components/visually-hidden/VisuallyHiddenPage.tsx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VH-18</t>
        </is>
      </c>
      <c r="B26" s="26" t="inlineStr">
        <is>
          <t>Consumer</t>
        </is>
      </c>
      <c r="C26" s="26" t="inlineStr">
        <is>
          <t>Visually Hidden</t>
        </is>
      </c>
      <c r="D26" s="27" t="inlineStr">
        <is>
          <t>Packed Consumer imports the public subpath and adds supplemental context to a real link on desktop and mobile.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VH-19</t>
        </is>
      </c>
      <c r="B27" s="26" t="inlineStr">
        <is>
          <t>Package</t>
        </is>
      </c>
      <c r="C27" s="26" t="inlineStr">
        <is>
          <t>Visually Hidden</t>
        </is>
      </c>
      <c r="D27" s="27" t="inlineStr">
        <is>
          <t>Build, exports, SSR, tarball, React 18/19, Consumer, configured desktop/mobile browsers, docs, ownership, and exact Atom 0.20.11 dependency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../scripts/verify-package.mjs; ../scripts/verify-consumers.mjs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../src/components/collapsible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Trigger, Indicator, Content, and ContentInner render their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../test/components/collapsible/collapsible.test.tsx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collapsible subpath expose the namespace, five named parts, every prop type, and the closed size and variant unions.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recipes, Atom prop inheritance, native attributes, refs, Indicator decoration, and ContentInner attributes type-check from both entrypoints.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../test/types/components/collapsible.test.ts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../src/components/collapsible/collapsible.css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and unmounted with one full-width Trigger and decorative end Indicator.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tests/components/collapsible/behavior.spec.ts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containing surface while size, content,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tests/components/collapsible/visual.spec.ts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 size,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tests/components/collapsible/visual.spec.ts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State</t>
        </is>
      </c>
      <c r="C17" s="26" t="inlineStr">
        <is>
          <t>Root</t>
        </is>
      </c>
      <c r="D17" s="27" t="inlineStr">
        <is>
          <t>Uncontrolled and controlled open state change exactly once and preserve the authored onOpenChange and Trigger handlers.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../test/components/collapsible/collapsible.test.tsx; tests/components/collapsible/behavior.spec.ts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Disabled</t>
        </is>
      </c>
      <c r="C18" s="26" t="inlineStr">
        <is>
          <t>Root / Trigger</t>
        </is>
      </c>
      <c r="D18" s="27" t="inlineStr">
        <is>
          <t>Disabled state exposes Atom disabled semantics, does not open, and has no enabled hover or active response.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../test/components/collapsible/collapsible.test.tsx; tests/components/collapsible/behavior.spec.ts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Lifecycle</t>
        </is>
      </c>
      <c r="C19" s="26" t="inlineStr">
        <is>
          <t>Content</t>
        </is>
      </c>
      <c r="D19" s="27" t="inlineStr">
        <is>
          <t>Closed Content unmounts after exit unless keepMounted is requested; kept content becomes hidden after motion settles.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../test/components/collapsible/collapsible.test.tsx; tests/components/collapsible/behavior.spec.ts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Relationships</t>
        </is>
      </c>
      <c r="C20" s="26" t="inlineStr">
        <is>
          <t>Trigger / Content</t>
        </is>
      </c>
      <c r="D20" s="27" t="inlineStr">
        <is>
          <t>Trigger and Content retain matching generated aria-controls, id, aria-labelledby, region role, and expanded state.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tests/components/collapsible/behavior.spec.ts; ../test/package/ssr.test.mjs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Indicator</t>
        </is>
      </c>
      <c r="C21" s="26" t="inlineStr">
        <is>
          <t>Indicator</t>
        </is>
      </c>
      <c r="D21" s="27" t="inlineStr">
        <is>
          <t>Default and authored Indicator artwork remain decorative, nonshrinking, logically placed, and synchronized with open state.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tests/components/collapsible/visual.spec.ts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Agent-inspected default, custom, state, and RTL indicator baselines.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Composition</t>
        </is>
      </c>
      <c r="C22" s="26" t="inlineStr">
        <is>
          <t>Root / Trigger / Content</t>
        </is>
      </c>
      <c r="D22" s="27" t="inlineStr">
        <is>
          <t>Atom render and asChild composition preserve semantic custom hosts, event adaptation, relationships, class, style, slot, native props, and refs.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../test/components/collapsible/collapsible.test.tsx; tests/components/collapsible/behavior.spec.ts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Motion</t>
        </is>
      </c>
      <c r="C23" s="26" t="inlineStr">
        <is>
          <t>Content</t>
        </is>
      </c>
      <c r="D23" s="27" t="inlineStr">
        <is>
          <t>Vertical open and close use live --content-height measurement; horizontal open and close use live --content-width measurement with stable ContentInner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tests/components/collapsible/behavior.spec.ts; ../test/components/collapsible/collapsible.test.tsx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CO-16</t>
        </is>
      </c>
      <c r="B24" s="26" t="inlineStr">
        <is>
          <t>Accessibility</t>
        </is>
      </c>
      <c r="C24" s="26" t="inlineStr">
        <is>
          <t>All parts</t>
        </is>
      </c>
      <c r="D24" s="27" t="inlineStr">
        <is>
          <t>Keyboard activation, button/region semantics, focus retention, decoration, disabled behavior, and scoped axe checks pass.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tests/components/collapsible/behavior.spec.ts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CO-17</t>
        </is>
      </c>
      <c r="B25" s="26" t="inlineStr">
        <is>
          <t>Responsive</t>
        </is>
      </c>
      <c r="C25" s="26" t="inlineStr">
        <is>
          <t>All parts</t>
        </is>
      </c>
      <c r="D25" s="27" t="inlineStr">
        <is>
          <t>Long text, narrow width, mobile profiles, zoom-oriented reflow, horizontal contained scrolling, and RTL remain bounded without stale dimension clipping.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tests/components/collapsible/behavior.spec.ts; tests/components/collapsible/visual.spec.ts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CO-18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paint adapts in light, dark, and forced colors; supported variables exactly match the customization example.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tests/components/collapsible/visual.spec.ts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Agent-inspected appearance, customization, and forced-color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CO-19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Reviewed baselines cover defaults, variants, sizes, states, Indicator anatomy, both orientations, appearance, mobile stress,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tests/components/collapsible/visual.spec.ts</t>
        </is>
      </c>
      <c r="H27" s="26" t="inlineStr">
        <is>
          <t>verified</t>
        </is>
      </c>
      <c r="I27" s="26" t="inlineStr">
        <is>
          <t>yes</t>
        </is>
      </c>
      <c r="J27" s="28" t="n">
        <v>46230</v>
      </c>
      <c r="K27" s="27" t="inlineStr">
        <is>
          <t>Agent-inspected every generated Collapsible baseline, including horizontal orientation and RTL.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CO-20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route exposes nine controlled scenarios for defaults, recipes, state, anatomy, composition, appearance, both orientations, live motion, and stress.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src/components/collapsible/CollapsiblePage.tsx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CO-21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A tester completes the concise pointer, keyboard, assistive-technology, appearance, zoom, mobile, RTL, forced-color, and reduced-motion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manual-tests/collapsible.md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CO-22</t>
        </is>
      </c>
      <c r="B30" s="26" t="inlineStr">
        <is>
          <t>Docs</t>
        </is>
      </c>
      <c r="C30" s="26" t="inlineStr">
        <is>
          <t>All parts</t>
        </is>
      </c>
      <c r="D30" s="27" t="inlineStr">
        <is>
          <t>Source-backed use, anatomy, API, recipes, accessibility, responsive motion, composition, CSS hooks, customization, and evidence are documented.</t>
        </is>
      </c>
      <c r="E30" s="26" t="inlineStr">
        <is>
          <t>package</t>
        </is>
      </c>
      <c r="F30" s="26" t="inlineStr">
        <is>
          <t>docs</t>
        </is>
      </c>
      <c r="G30" s="27" t="inlineStr">
        <is>
          <t>../docs/components/collapsible/README.md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CO-23</t>
        </is>
      </c>
      <c r="B31" s="26" t="inlineStr">
        <is>
          <t>Changelog</t>
        </is>
      </c>
      <c r="C31" s="26" t="inlineStr">
        <is>
          <t>Collapsible</t>
        </is>
      </c>
      <c r="D31" s="27" t="inlineStr">
        <is>
          <t>Collapsible owns a public changelog and the package changelog records the user-facing addition.</t>
        </is>
      </c>
      <c r="E31" s="26" t="inlineStr">
        <is>
          <t>package</t>
        </is>
      </c>
      <c r="F31" s="26" t="inlineStr">
        <is>
          <t>docs</t>
        </is>
      </c>
      <c r="G31" s="27" t="inlineStr">
        <is>
          <t>../docs/components/collapsible/CHANGELOG.md; ../CHANGELOG.md</t>
        </is>
      </c>
      <c r="H31" s="26" t="inlineStr">
        <is>
          <t>tested</t>
        </is>
      </c>
      <c r="I31" s="26" t="inlineStr">
        <is>
          <t>no</t>
        </is>
      </c>
      <c r="J31" s="28" t="n">
        <v>46230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CO-24</t>
        </is>
      </c>
      <c r="B32" s="26" t="inlineStr">
        <is>
          <t>Consumer</t>
        </is>
      </c>
      <c r="C32" s="26" t="inlineStr">
        <is>
          <t>Collapsible</t>
        </is>
      </c>
      <c r="D32" s="27" t="inlineStr">
        <is>
          <t>Packed Consumer imports the public collapsible subpath and operates a realistic outlined disclosure on desktop and mobile.</t>
        </is>
      </c>
      <c r="E32" s="26" t="inlineStr">
        <is>
          <t>consumer</t>
        </is>
      </c>
      <c r="F32" s="26" t="inlineStr">
        <is>
          <t>consumer</t>
        </is>
      </c>
      <c r="G32" s="27" t="inlineStr">
        <is>
          <t>../apps/consumer/src/App.tsx; ../apps/consumer/tests/consumer.spec.ts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CO-25</t>
        </is>
      </c>
      <c r="B33" s="26" t="inlineStr">
        <is>
          <t>Package</t>
        </is>
      </c>
      <c r="C33" s="26" t="inlineStr">
        <is>
          <t>Collapsible</t>
        </is>
      </c>
      <c r="D33" s="27" t="inlineStr">
        <is>
          <t>Build, declarations, exports, SSR, CSS, tarball, docs, ownership, component coverage, and the configured browser matrix pass for Collapsible.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../test/package/ssr.test.mjs;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AC-01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0.20.11 Accordion behavior without recreating selection, generated relationships, keyboard navigation, disabled state, mount lifecycle, or live dimension measurement.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../src/components/accordion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AC-02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Item, Header, Trigger, Indicator, Content, and ContentInner render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../test/components/accordion/accordion.test.tsx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AC-03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accordion subpath expose the namespace, seven named parts, every prop type, and closed size and variant unions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AC-04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Single and multiple value models, recipes, Atom props, native attributes, refs, composition, Indicator, and ContentInner type-check from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../test/types/components/accordion.test.ts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AC-05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surfaces, dividers, sizes, state paint, focus, disabled and locked-open treatment, two-axis motion, RTL,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../src/components/accordion/accordion.css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AC-06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single-selection, and collapsible with labelled panel landmarks.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tests/components/accordion/behavior.spec.ts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AC-07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group surface while content, size, orientation,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tests/components/accordion/visual.spec.ts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AC-08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tests/components/accordion/visual.spec.ts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AC-09</t>
        </is>
      </c>
      <c r="B17" s="26" t="inlineStr">
        <is>
          <t>Single selection</t>
        </is>
      </c>
      <c r="C17" s="26" t="inlineStr">
        <is>
          <t>Root / Item</t>
        </is>
      </c>
      <c r="D17" s="27" t="inlineStr">
        <is>
          <t>Single mode opens one Item, replaces the previous value, and optionally allows the active Item to close.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../test/components/accordion/accordion.test.tsx; tests/components/accordion/behavior.spec.ts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AC-10</t>
        </is>
      </c>
      <c r="B18" s="26" t="inlineStr">
        <is>
          <t>Multiple selection</t>
        </is>
      </c>
      <c r="C18" s="26" t="inlineStr">
        <is>
          <t>Root / Item</t>
        </is>
      </c>
      <c r="D18" s="27" t="inlineStr">
        <is>
          <t>Multiple mode independently opens and closes several unique Item values while preserving authored order.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../test/components/accordion/accordion.test.tsx; tests/components/accordion/behavior.spec.ts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AC-11</t>
        </is>
      </c>
      <c r="B19" s="26" t="inlineStr">
        <is>
          <t>Controlled state</t>
        </is>
      </c>
      <c r="C19" s="26" t="inlineStr">
        <is>
          <t>Root</t>
        </is>
      </c>
      <c r="D19" s="27" t="inlineStr">
        <is>
          <t>Controlled selection reports the next exact string or string-array value once and preserves the authored callback.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../test/components/accordion/accordion.test.tsx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AC-12</t>
        </is>
      </c>
      <c r="B20" s="26" t="inlineStr">
        <is>
          <t>Locked open</t>
        </is>
      </c>
      <c r="C20" s="26" t="inlineStr">
        <is>
          <t>Trigger</t>
        </is>
      </c>
      <c r="D20" s="27" t="inlineStr">
        <is>
          <t>A non-collapsible active single Trigger stays focusable, exposes aria-disabled and data-locked-open, and does not close.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../test/components/accordion/accordion.test.tsx; tests/components/accordion/behavior.spec.ts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AC-13</t>
        </is>
      </c>
      <c r="B21" s="26" t="inlineStr">
        <is>
          <t>Disabled</t>
        </is>
      </c>
      <c r="C21" s="26" t="inlineStr">
        <is>
          <t>Root / Item / Trigger</t>
        </is>
      </c>
      <c r="D21" s="27" t="inlineStr">
        <is>
          <t>Root and Item disabled states expose Atom semantics, are skipped by navigation, and never change selection.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../test/components/accordion/accordion.test.tsx; tests/components/accordion/behavior.spec.ts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AC-14</t>
        </is>
      </c>
      <c r="B22" s="26" t="inlineStr">
        <is>
          <t>Lifecycle</t>
        </is>
      </c>
      <c r="C22" s="26" t="inlineStr">
        <is>
          <t>Content</t>
        </is>
      </c>
      <c r="D22" s="27" t="inlineStr">
        <is>
          <t>Closed Content unmounts unless keepMounted is requested; landmark false omits region and aria-labelledby without changing visible content.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../test/components/accordion/accordion.test.tsx; tests/components/accordion/behavior.spec.ts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AC-15</t>
        </is>
      </c>
      <c r="B23" s="26" t="inlineStr">
        <is>
          <t>Relationships</t>
        </is>
      </c>
      <c r="C23" s="26" t="inlineStr">
        <is>
          <t>Header / Trigger / Content</t>
        </is>
      </c>
      <c r="D23" s="27" t="inlineStr">
        <is>
          <t>Heading-contained Trigger and Content retain matching generated IDs, controls, labels, expanded state, and optional region role.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tests/components/accordion/behavior.spec.ts; ../test/package/ssr.test.mjs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AC-16</t>
        </is>
      </c>
      <c r="B24" s="26" t="inlineStr">
        <is>
          <t>Keyboard</t>
        </is>
      </c>
      <c r="C24" s="26" t="inlineStr">
        <is>
          <t>Trigger</t>
        </is>
      </c>
      <c r="D24" s="27" t="inlineStr">
        <is>
          <t>Enter and Space activate once; Home, End, and orientation-aware arrow keys move focus in enabled visual reading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tests/components/accordion/behavior.spec.ts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AC-17</t>
        </is>
      </c>
      <c r="B25" s="26" t="inlineStr">
        <is>
          <t>Orientation</t>
        </is>
      </c>
      <c r="C25" s="26" t="inlineStr">
        <is>
          <t>All parts</t>
        </is>
      </c>
      <c r="D25" s="27" t="inlineStr">
        <is>
          <t>Vertical Items stack and animate measured height; horizontal Items order inline, pair Header beside Content, animate measured width, and reverse navigation in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tests/components/accordion/behavior.spec.ts; tests/components/accordion/visual.spec.ts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46230</v>
      </c>
      <c r="K25" s="27" t="inlineStr">
        <is>
          <t>Agent-inspected vertical, horizontal, narrow, and RTL baselines.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AC-18</t>
        </is>
      </c>
      <c r="B26" s="26" t="inlineStr">
        <is>
          <t>Composition</t>
        </is>
      </c>
      <c r="C26" s="26" t="inlineStr">
        <is>
          <t>Atom-backed parts</t>
        </is>
      </c>
      <c r="D26" s="27" t="inlineStr">
        <is>
          <t>Render and asChild composition preserve semantic hosts, heading levels, relationships, classes, styles, slots, native props, events, and refs.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../test/components/accordion/accordion.test.tsx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AC-19</t>
        </is>
      </c>
      <c r="B27" s="26" t="inlineStr">
        <is>
          <t>Responsive and accessibility</t>
        </is>
      </c>
      <c r="C27" s="26" t="inlineStr">
        <is>
          <t>All parts</t>
        </is>
      </c>
      <c r="D27" s="27" t="inlineStr">
        <is>
          <t>Narrow horizontal scrolling stays inside Accordion, the page remains bounded, keyboard focus stays visible, and scoped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tests/components/accordion/behavior.spec.ts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AC-20</t>
        </is>
      </c>
      <c r="B28" s="26" t="inlineStr">
        <is>
          <t>Appearance</t>
        </is>
      </c>
      <c r="C28" s="26" t="inlineStr">
        <is>
          <t>All parts</t>
        </is>
      </c>
      <c r="D28" s="27" t="inlineStr">
        <is>
          <t>Semantic paint adapts in light, dark, and forced colors; supported variables exactly match the customization example.</t>
        </is>
      </c>
      <c r="E28" s="26" t="inlineStr">
        <is>
          <t>package</t>
        </is>
      </c>
      <c r="F28" s="26" t="inlineStr">
        <is>
          <t>visual</t>
        </is>
      </c>
      <c r="G28" s="27" t="inlineStr">
        <is>
          <t>tests/components/accordion/visual.spec.ts</t>
        </is>
      </c>
      <c r="H28" s="26" t="inlineStr">
        <is>
          <t>verified</t>
        </is>
      </c>
      <c r="I28" s="26" t="inlineStr">
        <is>
          <t>yes</t>
        </is>
      </c>
      <c r="J28" s="28" t="n">
        <v>46230</v>
      </c>
      <c r="K28" s="27" t="inlineStr">
        <is>
          <t>Agent-inspected appearance, customization, and forced-color baselines.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AC-21</t>
        </is>
      </c>
      <c r="B29" s="26" t="inlineStr">
        <is>
          <t>Visual</t>
        </is>
      </c>
      <c r="C29" s="26" t="inlineStr">
        <is>
          <t>All parts</t>
        </is>
      </c>
      <c r="D29" s="27" t="inlineStr">
        <is>
          <t>Reviewed baselines cover defaults, variants, sizes, selection, states, both orientations, appearance, mobile RTL stress, and forced colors.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tests/components/accordion/visual.spec.ts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Agent-inspected every generated Accordion baseline.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AC-22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route exposes nine controlled scenarios for defaults, recipes, selection, state, orientation, keyboard, composition, appearance, and stress.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src/components/accordion/AccordionPage.tsx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AC-23</t>
        </is>
      </c>
      <c r="B31" s="26" t="inlineStr">
        <is>
          <t>Manual</t>
        </is>
      </c>
      <c r="C31" s="26" t="inlineStr">
        <is>
          <t>All parts</t>
        </is>
      </c>
      <c r="D31" s="27" t="inlineStr">
        <is>
          <t>A tester completes the concise pointer, keyboard, assistive-technology, appearance, zoom, mobile, RTL, forced-color, and reduced-motion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manual-tests/accordion.md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AC-24</t>
        </is>
      </c>
      <c r="B32" s="26" t="inlineStr">
        <is>
          <t>Documentation</t>
        </is>
      </c>
      <c r="C32" s="26" t="inlineStr">
        <is>
          <t>All parts</t>
        </is>
      </c>
      <c r="D32" s="27" t="inlineStr">
        <is>
          <t>Source-backed use, anatomy, API, recipes, accessibility, responsive behavior, composition, hooks, customization, evidence, and public changes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../docs/components/accordion/README.md; ../docs/components/accordion/CHANGELOG.md;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AC-25</t>
        </is>
      </c>
      <c r="B33" s="26" t="inlineStr">
        <is>
          <t>Consumer</t>
        </is>
      </c>
      <c r="C33" s="26" t="inlineStr">
        <is>
          <t>Accordion</t>
        </is>
      </c>
      <c r="D33" s="27" t="inlineStr">
        <is>
          <t>Packed Consumer imports the public accordion subpath and operates a realistic linked disclosure group on desktop and mobile.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33.75" customHeight="1" s="17">
      <c r="A34" s="26" t="inlineStr">
        <is>
          <t>AC-26</t>
        </is>
      </c>
      <c r="B34" s="26" t="inlineStr">
        <is>
          <t>Package</t>
        </is>
      </c>
      <c r="C34" s="26" t="inlineStr">
        <is>
          <t>Accordion</t>
        </is>
      </c>
      <c r="D34" s="27" t="inlineStr">
        <is>
          <t>Build, declarations, exports, SSR, CSS, tarball, docs, ownership, component coverage, and configured browser checks pass for Accordion.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../test/package/ssr.test.mjs;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TO-01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Toast behavior without recreating the store, queue, timers, announcements, focus, keyboard, portal, swipe, or lifecycle.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../src/components/toast/Toast.tsx;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TO-02</t>
        </is>
      </c>
      <c r="B10" s="26" t="inlineStr">
        <is>
          <t>API</t>
        </is>
      </c>
      <c r="C10" s="26" t="inlineStr">
        <is>
          <t>Toaster / toast</t>
        </is>
      </c>
      <c r="D10" s="27" t="inlineStr">
        <is>
          <t>One installed Toaster and the imperative toast helper expose create, success, error, warning, info, loading, update, promise, dismiss-one, and dismiss-all workflows.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../test/components/toast/toast.test.tsx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TO-03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Root, Icon, Content, Title, Description, Actions, Action, Close, and Viewport render stable Brick classes and slots with optional parts omitted when absent.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../test/components/toast/toast.test.tsx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TO-04</t>
        </is>
      </c>
      <c r="B12" s="26" t="inlineStr">
        <is>
          <t>Exports</t>
        </is>
      </c>
      <c r="C12" s="26" t="inlineStr">
        <is>
          <t>All parts</t>
        </is>
      </c>
      <c r="D12" s="27" t="inlineStr">
        <is>
          <t>Root and toast subpath exports provide Toaster, toast, the Toast namespace, named compound parts, public option/data types, and runtime identity parity.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TO-05</t>
        </is>
      </c>
      <c r="B13" s="26" t="inlineStr">
        <is>
          <t>Types</t>
        </is>
      </c>
      <c r="C13" s="26" t="inlineStr">
        <is>
          <t>Public surface</t>
        </is>
      </c>
      <c r="D13" s="27" t="inlineStr">
        <is>
          <t>Closed types, logical positions, widths, stacking, swipe direction, action, promise inference, native props, composition, and refs type-check while unsupported APIs fail.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../test/types/components/toast.test.ts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TO-06</t>
        </is>
      </c>
      <c r="B14" s="26" t="inlineStr">
        <is>
          <t>CSS</t>
        </is>
      </c>
      <c r="C14" s="26" t="inlineStr">
        <is>
          <t>All parts</t>
        </is>
      </c>
      <c r="D14" s="27" t="inlineStr">
        <is>
          <t>Static CSS ships viewport placement, raised cards, semantic accents, widths, stacking, lifecycle, swipe, dark, reduced-motion, forced-color, responsive, RTL, and customization recipes.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../src/components/toast/toast.css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TO-07</t>
        </is>
      </c>
      <c r="B15" s="26" t="inlineStr">
        <is>
          <t>Defaults</t>
        </is>
      </c>
      <c r="C15" s="26" t="inlineStr">
        <is>
          <t>Toaster</t>
        </is>
      </c>
      <c r="D15" s="27" t="inlineStr">
        <is>
          <t>Defaults are bottom-end, maximum three visible, close enabled, responsive width, separated stacking, F8 region focus, paused timers on hover/focus/page loss, and no swipe.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tests/components/toast/behavior.spec.ts; ../test/components/toast/toast.test.tsx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TO-08</t>
        </is>
      </c>
      <c r="B16" s="26" t="inlineStr">
        <is>
          <t>Types</t>
        </is>
      </c>
      <c r="C16" s="26" t="inlineStr">
        <is>
          <t>Root / Icon</t>
        </is>
      </c>
      <c r="D16" s="27" t="inlineStr">
        <is>
          <t>Default, success, error, warning, info, and loading change only semantic accent, glyph or spinner, and announcement priority while preserving geometry.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tests/components/toast/visual.spec.ts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 inspected the complete six-type baseline in light and forced-color modes.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TO-09</t>
        </is>
      </c>
      <c r="B17" s="26" t="inlineStr">
        <is>
          <t>Content</t>
        </is>
      </c>
      <c r="C17" s="26" t="inlineStr">
        <is>
          <t>Content anatomy</t>
        </is>
      </c>
      <c r="D17" s="27" t="inlineStr">
        <is>
          <t>Title-only, description-only, combined, long localized content, component-owned default glyphs, and consumer-authored icon content preserve intended anatomy and hierarchy.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tests/components/toast/visual.spec.ts; ../test/components/toast/toast.test.tsx</t>
        </is>
      </c>
      <c r="H17" s="26" t="inlineStr">
        <is>
          <t>verified</t>
        </is>
      </c>
      <c r="I17" s="26" t="inlineStr">
        <is>
          <t>yes</t>
        </is>
      </c>
      <c r="J17" s="28" t="n">
        <v>46230</v>
      </c>
      <c r="K17" s="27" t="inlineStr">
        <is>
          <t>Agent inspected title-only, combined-content, custom-icon, loading, and localized-content baselines.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TO-10</t>
        </is>
      </c>
      <c r="B18" s="26" t="inlineStr">
        <is>
          <t>Actions</t>
        </is>
      </c>
      <c r="C18" s="26" t="inlineStr">
        <is>
          <t>Action / Close</t>
        </is>
      </c>
      <c r="D18" s="27" t="inlineStr">
        <is>
          <t>One safe-to-ignore action runs once and dismisses only its toast; close policy resolves Toaster and per-toast settings with localized labels and dismissibility respected.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tests/components/toast/behavior.spec.ts; ../test/components/toast/toast.test.tsx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TO-11</t>
        </is>
      </c>
      <c r="B19" s="26" t="inlineStr">
        <is>
          <t>Widths</t>
        </is>
      </c>
      <c r="C19" s="26" t="inlineStr">
        <is>
          <t>Viewport / Root</t>
        </is>
      </c>
      <c r="D19" s="27" t="inlineStr">
        <is>
          <t>Responsive width is near-full on narrow viewports and compact on larger screens; compact and full remain closed supported alternatives without page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tests/components/toast/behavior.spec.ts; tests/components/toast/visual.spec.ts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TO-12</t>
        </is>
      </c>
      <c r="B20" s="26" t="inlineStr">
        <is>
          <t>Positions</t>
        </is>
      </c>
      <c r="C20" s="26" t="inlineStr">
        <is>
          <t>Viewport</t>
        </is>
      </c>
      <c r="D20" s="27" t="inlineStr">
        <is>
          <t>Top-start, top-center, top-end, bottom-start, bottom-center, and bottom-end map through logical inline direction in LTR and RTL.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tests/components/toast/behavior.spec.ts; tests/components/toast/visual.spec.ts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46230</v>
      </c>
      <c r="K20" s="27" t="inlineStr">
        <is>
          <t>Agent inspected the six-position comparison and RTL logical anatomy baseline.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TO-13</t>
        </is>
      </c>
      <c r="B21" s="26" t="inlineStr">
        <is>
          <t>Stacking</t>
        </is>
      </c>
      <c r="C21" s="26" t="inlineStr">
        <is>
          <t>Viewport / Root</t>
        </is>
      </c>
      <c r="D21" s="27" t="inlineStr">
        <is>
          <t>Separated stacking supports variable-height cards without collision; overlap layers inactive cards and expands for pointer or keyboard entry.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tests/components/toast/behavior.spec.ts; tests/components/toast/visual.spec.ts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TO-14</t>
        </is>
      </c>
      <c r="B22" s="26" t="inlineStr">
        <is>
          <t>Queue and timers</t>
        </is>
      </c>
      <c r="C22" s="26" t="inlineStr">
        <is>
          <t>Toaster / Root</t>
        </is>
      </c>
      <c r="D22" s="27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tests/components/toast/behavior.spec.ts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TO-15</t>
        </is>
      </c>
      <c r="B23" s="26" t="inlineStr">
        <is>
          <t>Async lifecycle</t>
        </is>
      </c>
      <c r="C23" s="26" t="inlineStr">
        <is>
          <t>toast</t>
        </is>
      </c>
      <c r="D23" s="27" t="inlineStr">
        <is>
          <t>Loading, update, promise success/error, stable immutable IDs, callbacks, and dismiss-one/all preserve one logical toast lifecycle without duplicate records.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../test/components/toast/toast.test.tsx; tests/components/toast/behavior.spec.ts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TO-16</t>
        </is>
      </c>
      <c r="B24" s="26" t="inlineStr">
        <is>
          <t>Announcements</t>
        </is>
      </c>
      <c r="C24" s="26" t="inlineStr">
        <is>
          <t>Toaster / Root</t>
        </is>
      </c>
      <c r="D24" s="27" t="inlineStr">
        <is>
          <t>Create and update use exactly one persistent Atom-owned polite or assertive announcement path; visible cards do not create a second live region.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tests/components/toast/behavior.spec.ts; ../test/components/toast/toast.test.tsx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TO-17</t>
        </is>
      </c>
      <c r="B25" s="26" t="inlineStr">
        <is>
          <t>Keyboard</t>
        </is>
      </c>
      <c r="C25" s="26" t="inlineStr">
        <is>
          <t>Viewport / controls</t>
        </is>
      </c>
      <c r="D25" s="27" t="inlineStr">
        <is>
          <t>Appearance never steals focus; F8 enters the labelled region, Tab and Shift+Tab reach controls, focused Escape dismisses, and prior focus restores safely.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tests/components/toast/behavior.spec.ts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TO-18</t>
        </is>
      </c>
      <c r="B26" s="26" t="inlineStr">
        <is>
          <t>Swipe</t>
        </is>
      </c>
      <c r="C26" s="26" t="inlineStr">
        <is>
          <t>Root</t>
        </is>
      </c>
      <c r="D26" s="27" t="inlineStr">
        <is>
          <t>Optional left, right, up, or down swipe dismissal exposes directional movement and cancellation at the configured threshold without enabling arbitrary dragging by default.</t>
        </is>
      </c>
      <c r="E26" s="26" t="inlineStr">
        <is>
          <t>package</t>
        </is>
      </c>
      <c r="F26" s="26" t="inlineStr">
        <is>
          <t>source</t>
        </is>
      </c>
      <c r="G26" s="27" t="inlineStr">
        <is>
          <t>../src/components/toast/Toast.tsx; ../src/components/toast/toast.css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TO-19</t>
        </is>
      </c>
      <c r="B27" s="26" t="inlineStr">
        <is>
          <t>Portal and props</t>
        </is>
      </c>
      <c r="C27" s="26" t="inlineStr">
        <is>
          <t>Toaster / Viewport</t>
        </is>
      </c>
      <c r="D27" s="27" t="inlineStr">
        <is>
          <t>Body portal, custom container, disabled portal, native viewport props, style, class, data attributes, and the empty-to-visible viewport ref lifecycle preserve the public boundary.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../test/components/toast/toast.test.tsx; ../test/package/ssr.test.mjs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TO-20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../test/components/toast/toast.test.tsx; ../docs/components/toast/README.md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TO-21</t>
        </is>
      </c>
      <c r="B29" s="26" t="inlineStr">
        <is>
          <t>Responsive / RTL</t>
        </is>
      </c>
      <c r="C29" s="26" t="inlineStr">
        <is>
          <t>All parts</t>
        </is>
      </c>
      <c r="D29" s="27" t="inlineStr">
        <is>
          <t>Mobile width, long Arabic content, RTL logical anatomy, variable heights, text spacing, safe-area fixtures, and narrow containment remain readable without horizontal page overflow.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tests/components/toast/behavior.spec.ts; tests/components/toast/visual.spec.ts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 inspected the mobile RTL stress and logical-position baselines.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TO-22</t>
        </is>
      </c>
      <c r="B30" s="26" t="inlineStr">
        <is>
          <t>Appearance</t>
        </is>
      </c>
      <c r="C30" s="26" t="inlineStr">
        <is>
          <t>All parts</t>
        </is>
      </c>
      <c r="D30" s="27" t="inlineStr">
        <is>
          <t>Semantic surface, text, accent, glyph, close, action, focus, and elevation remain legible and intentionally hierarchical in light and dark appearance.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tests/components/toast/visual.spec.ts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the light and dark appearance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TO-23</t>
        </is>
      </c>
      <c r="B31" s="26" t="inlineStr">
        <is>
          <t>Preferences</t>
        </is>
      </c>
      <c r="C31" s="26" t="inlineStr">
        <is>
          <t>Root / Icon</t>
        </is>
      </c>
      <c r="D31" s="27" t="inlineStr">
        <is>
          <t>Reduced motion removes lifecycle and loading animation while preserving state; forced colors preserves boundaries, icons, text, controls, and focus geometry.</t>
        </is>
      </c>
      <c r="E31" s="26" t="inlineStr">
        <is>
          <t>package</t>
        </is>
      </c>
      <c r="F31" s="26" t="inlineStr">
        <is>
          <t>visual</t>
        </is>
      </c>
      <c r="G31" s="27" t="inlineStr">
        <is>
          <t>tests/components/toast/visual.spec.ts</t>
        </is>
      </c>
      <c r="H31" s="26" t="inlineStr">
        <is>
          <t>verified</t>
        </is>
      </c>
      <c r="I31" s="26" t="inlineStr">
        <is>
          <t>yes</t>
        </is>
      </c>
      <c r="J31" s="28" t="n">
        <v>46230</v>
      </c>
      <c r="K31" s="27" t="inlineStr">
        <is>
          <t>Agent inspected the reduced-motion loading and forced-color type baselines.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TO-24</t>
        </is>
      </c>
      <c r="B32" s="26" t="inlineStr">
        <is>
          <t>Accessibility</t>
        </is>
      </c>
      <c r="C32" s="26" t="inlineStr">
        <is>
          <t>All parts</t>
        </is>
      </c>
      <c r="D32" s="27" t="inlineStr">
        <is>
          <t>Labelled region, exactly-once live semantics, decorative glyphs, native buttons, focus order, target geometry, localized labels, and scoped axe checks remain valid.</t>
        </is>
      </c>
      <c r="E32" s="26" t="inlineStr">
        <is>
          <t>package</t>
        </is>
      </c>
      <c r="F32" s="26" t="inlineStr">
        <is>
          <t>axe</t>
        </is>
      </c>
      <c r="G32" s="27" t="inlineStr">
        <is>
          <t>tests/components/toast/behavior.spec.ts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TO-25</t>
        </is>
      </c>
      <c r="B33" s="26" t="inlineStr">
        <is>
          <t>Visual</t>
        </is>
      </c>
      <c r="C33" s="26" t="inlineStr">
        <is>
          <t>All parts</t>
        </is>
      </c>
      <c r="D33" s="27" t="inlineStr">
        <is>
          <t>Nine reviewed Chromium baselines cover overview, six types, content, queue, positions, appearance, mobile RTL stress, reduced-motion loading, and forced colors.</t>
        </is>
      </c>
      <c r="E33" s="26" t="inlineStr">
        <is>
          <t>package</t>
        </is>
      </c>
      <c r="F33" s="26" t="inlineStr">
        <is>
          <t>visual</t>
        </is>
      </c>
      <c r="G33" s="27" t="inlineStr">
        <is>
          <t>tests/components/toast/visual.spec.ts</t>
        </is>
      </c>
      <c r="H33" s="26" t="inlineStr">
        <is>
          <t>verified</t>
        </is>
      </c>
      <c r="I33" s="26" t="inlineStr">
        <is>
          <t>yes</t>
        </is>
      </c>
      <c r="J33" s="28" t="n">
        <v>46230</v>
      </c>
      <c r="K33" s="27" t="inlineStr">
        <is>
          <t>Agent inspected every generated Toast baseline after the final typography-token correction.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TO-26</t>
        </is>
      </c>
      <c r="B34" s="26" t="inlineStr">
        <is>
          <t>Playground</t>
        </is>
      </c>
      <c r="C34" s="26" t="inlineStr">
        <is>
          <t>All parts</t>
        </is>
      </c>
      <c r="D34" s="27" t="inlineStr">
        <is>
          <t>One navigable Toast route exposes nine controlled scenarios for overview, types, content, queue, positions, async lifecycle, customization, accessibility, and stress.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src/components/toast/ToastPage.tsx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TO-27</t>
        </is>
      </c>
      <c r="B35" s="26" t="inlineStr">
        <is>
          <t>Manual</t>
        </is>
      </c>
      <c r="C35" s="26" t="inlineStr">
        <is>
          <t>All parts</t>
        </is>
      </c>
      <c r="D35" s="27" t="inlineStr">
        <is>
          <t>A tester completes the pointer, keyboard, assistive-technology, announcement, timer, zoom, mobile, RTL, safe-area, appearance, forced-color, reduced-motion, and portal protocol.</t>
        </is>
      </c>
      <c r="E35" s="26" t="inlineStr">
        <is>
          <t>package</t>
        </is>
      </c>
      <c r="F35" s="26" t="inlineStr">
        <is>
          <t>manual</t>
        </is>
      </c>
      <c r="G35" s="27" t="inlineStr">
        <is>
          <t>manual-tests/toast.md</t>
        </is>
      </c>
      <c r="H35" s="26" t="inlineStr">
        <is>
          <t>not started</t>
        </is>
      </c>
      <c r="I35" s="26" t="inlineStr">
        <is>
          <t>yes</t>
        </is>
      </c>
      <c r="J35" s="28" t="n">
        <v>46230</v>
      </c>
      <c r="K35" s="27" t="inlineStr">
        <is>
          <t>Human run intentionally unclaimed.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TO-28</t>
        </is>
      </c>
      <c r="B36" s="26" t="inlineStr">
        <is>
          <t>Documentation</t>
        </is>
      </c>
      <c r="C36" s="26" t="inlineStr">
        <is>
          <t>Toast</t>
        </is>
      </c>
      <c r="D36" s="27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6" t="inlineStr">
        <is>
          <t>package</t>
        </is>
      </c>
      <c r="F36" s="26" t="inlineStr">
        <is>
          <t>docs</t>
        </is>
      </c>
      <c r="G36" s="27" t="inlineStr">
        <is>
          <t>../docs/components/toast/README.md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TO-29</t>
        </is>
      </c>
      <c r="B37" s="26" t="inlineStr">
        <is>
          <t>Changelog</t>
        </is>
      </c>
      <c r="C37" s="26" t="inlineStr">
        <is>
          <t>Toast</t>
        </is>
      </c>
      <c r="D37" s="27" t="inlineStr">
        <is>
          <t>Toast owns a public component changelog and the package changelog records the complete public addition and exact Atom dependency update.</t>
        </is>
      </c>
      <c r="E37" s="26" t="inlineStr">
        <is>
          <t>package</t>
        </is>
      </c>
      <c r="F37" s="26" t="inlineStr">
        <is>
          <t>docs</t>
        </is>
      </c>
      <c r="G37" s="27" t="inlineStr">
        <is>
          <t>../docs/components/toast/CHANGELOG.md; ../CHANGELOG.md</t>
        </is>
      </c>
      <c r="H37" s="26" t="inlineStr">
        <is>
          <t>tested</t>
        </is>
      </c>
      <c r="I37" s="26" t="inlineStr">
        <is>
          <t>no</t>
        </is>
      </c>
      <c r="J37" s="28" t="n">
        <v>46230</v>
      </c>
      <c r="K37" s="27" t="n"/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TO-30</t>
        </is>
      </c>
      <c r="B38" s="26" t="inlineStr">
        <is>
          <t>Consumer</t>
        </is>
      </c>
      <c r="C38" s="26" t="inlineStr">
        <is>
          <t>Toaster / toast</t>
        </is>
      </c>
      <c r="D38" s="27" t="inlineStr">
        <is>
          <t>Packed Consumer imports the public toast subpath, installs one Toaster, and produces durable duplicate success feedback after publishing on desktop and mobile.</t>
        </is>
      </c>
      <c r="E38" s="26" t="inlineStr">
        <is>
          <t>consumer</t>
        </is>
      </c>
      <c r="F38" s="26" t="inlineStr">
        <is>
          <t>consumer</t>
        </is>
      </c>
      <c r="G38" s="27" t="inlineStr">
        <is>
          <t>../apps/consumer/src/App.tsx; ../apps/consumer/tests/consumer.spec.ts</t>
        </is>
      </c>
      <c r="H38" s="26" t="inlineStr">
        <is>
          <t>tested</t>
        </is>
      </c>
      <c r="I38" s="26" t="inlineStr">
        <is>
          <t>no</t>
        </is>
      </c>
      <c r="J38" s="28" t="n">
        <v>46230</v>
      </c>
      <c r="K38" s="27" t="n"/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TO-31</t>
        </is>
      </c>
      <c r="B39" s="26" t="inlineStr">
        <is>
          <t>Package</t>
        </is>
      </c>
      <c r="C39" s="26" t="inlineStr">
        <is>
          <t>Toast</t>
        </is>
      </c>
      <c r="D39" s="27" t="inlineStr">
        <is>
          <t>Build, declarations, root/subpath exports, SSR, CSS, tarball, docs, ownership, clean React 18/19 consumers, full browser suite, packed Consumer, and exact Atom 0.20.11 dependency pass in GitHub Actions run 30316339713.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../test/package/ssr.test.mjs; ../scripts/verify-package.mjs; ../scripts/verify-consumers.mjs</t>
        </is>
      </c>
      <c r="H39" s="26" t="inlineStr">
        <is>
          <t>tested</t>
        </is>
      </c>
      <c r="I39" s="26" t="inlineStr">
        <is>
          <t>no</t>
        </is>
      </c>
      <c r="J39" s="28" t="n">
        <v>46230</v>
      </c>
      <c r="K39" s="27" t="n"/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native Table semantics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../src/components/table/Table.tsx;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the adopted static Table surface.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../test/components/table/table.test.tsx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Anatomy</t>
        </is>
      </c>
      <c r="C11" s="26" t="inlineStr">
        <is>
          <t>Root and sections</t>
        </is>
      </c>
      <c r="D11" s="27" t="inlineStr">
        <is>
          <t>Container, table, caption, sections, rows, headers, cells, and indicator render exact native hosts and refs.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../test/components/table/table.test.tsx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variants, sizes, densities, caption sides, logical alignment, numeric formatting,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../test/types/components/table.test.ts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table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Table imports server-safely and emits deterministic native anatomy without grid roles.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line, medium, comfortable, unstriped, non-sticky, top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../test/components/table/table.test.tsx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compact/comfortable, and stripe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tests/components/table/behavior.spec.ts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Semantics</t>
        </is>
      </c>
      <c r="C17" s="26" t="inlineStr">
        <is>
          <t>Head / Cell</t>
        </is>
      </c>
      <c r="D17" s="27" t="inlineStr">
        <is>
          <t>Scope, headers, spans, caption, section relationships, and sort metadata remain native.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../test/components/table/table.test.tsx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Alignment</t>
        </is>
      </c>
      <c r="C18" s="26" t="inlineStr">
        <is>
          <t>Head / Cell</t>
        </is>
      </c>
      <c r="D18" s="27" t="inlineStr">
        <is>
          <t>Start, center, end, and numeric formatting use logical alignment and tabular figures with explicit precedence.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tests/components/table/behavior.spec.ts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Sorting</t>
        </is>
      </c>
      <c r="C19" s="26" t="inlineStr">
        <is>
          <t>Head / SortIndicator</t>
        </is>
      </c>
      <c r="D19" s="27" t="inlineStr">
        <is>
          <t>Application Button owns sorting while Head exposes aria-sort and decorative artwork remains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tests/components/table/behavior.spec.ts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Responsive</t>
        </is>
      </c>
      <c r="C20" s="26" t="inlineStr">
        <is>
          <t>Container</t>
        </is>
      </c>
      <c r="D20" s="27" t="inlineStr">
        <is>
          <t>Explicit horizontal containment preserves every column without page overflow or card conversion.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tests/components/table/behavior.spec.ts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Sticky</t>
        </is>
      </c>
      <c r="C21" s="26" t="inlineStr">
        <is>
          <t>Header</t>
        </is>
      </c>
      <c r="D21" s="27" t="inlineStr">
        <is>
          <t>Header cells remain opaque and sticky within an authored vertical scroll boundary.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tests/components/table/behavior.spec.ts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RTL</t>
        </is>
      </c>
      <c r="C22" s="26" t="inlineStr">
        <is>
          <t>All parts</t>
        </is>
      </c>
      <c r="D22" s="27" t="inlineStr">
        <is>
          <t>Logical alignment and overflow remain usable with translated RTL data.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tests/components/table/visual.spec.ts</t>
        </is>
      </c>
      <c r="H22" s="26" t="inlineStr">
        <is>
          <t>verified</t>
        </is>
      </c>
      <c r="I22" s="26" t="inlineStr">
        <is>
          <t>yes</t>
        </is>
      </c>
      <c r="J22" s="28" t="n">
        <v>46230</v>
      </c>
      <c r="K22" s="27" t="inlineStr">
        <is>
          <t>Agent inspected the final mobile RTL baseline.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Light, dark, forced-color, boundaries, text, badges, controls, and focus remain legible.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tests/components/table/visual.spec.ts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46230</v>
      </c>
      <c r="K23" s="27" t="inlineStr">
        <is>
          <t>Agent inspected the final appearance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Visual</t>
        </is>
      </c>
      <c r="C24" s="26" t="inlineStr">
        <is>
          <t>All parts</t>
        </is>
      </c>
      <c r="D24" s="27" t="inlineStr">
        <is>
          <t>Ten reviewed baselines cover overview, variants, sizing, alignment, sorting, sticky, dark, responsive mobile, RTL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tests/components/table/visual.spec.ts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46231</v>
      </c>
      <c r="K24" s="27" t="inlineStr">
        <is>
          <t>Agent inspected every final Table baseline after the playground review corrections.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TA-17</t>
        </is>
      </c>
      <c r="B25" s="26" t="inlineStr">
        <is>
          <t>Accessibility</t>
        </is>
      </c>
      <c r="C25" s="26" t="inlineStr">
        <is>
          <t>All parts</t>
        </is>
      </c>
      <c r="D25" s="27" t="inlineStr">
        <is>
          <t>Native structure, independent tab stops, no grid role/tabindex, labelled scrolling, and axe remain valid.</t>
        </is>
      </c>
      <c r="E25" s="26" t="inlineStr">
        <is>
          <t>package</t>
        </is>
      </c>
      <c r="F25" s="26" t="inlineStr">
        <is>
          <t>axe</t>
        </is>
      </c>
      <c r="G25" s="27" t="inlineStr">
        <is>
          <t>tests/components/table/behavior.spec.ts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TA-18</t>
        </is>
      </c>
      <c r="B26" s="26" t="inlineStr">
        <is>
          <t>Playground</t>
        </is>
      </c>
      <c r="C26" s="26" t="inlineStr">
        <is>
          <t>All parts</t>
        </is>
      </c>
      <c r="D26" s="27" t="inlineStr">
        <is>
          <t>One navigable Table route exposes nine persistent controlled scenarios.</t>
        </is>
      </c>
      <c r="E26" s="26" t="inlineStr">
        <is>
          <t>package</t>
        </is>
      </c>
      <c r="F26" s="26" t="inlineStr">
        <is>
          <t>playground</t>
        </is>
      </c>
      <c r="G26" s="27" t="inlineStr">
        <is>
          <t>src/components/table/TablePage.tsx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TA-19</t>
        </is>
      </c>
      <c r="B27" s="26" t="inlineStr">
        <is>
          <t>Documentation</t>
        </is>
      </c>
      <c r="C27" s="26" t="inlineStr">
        <is>
          <t>Table</t>
        </is>
      </c>
      <c r="D27" s="27" t="inlineStr">
        <is>
          <t>The public guide documents role, anatomy, API, defaults, sorting, responsive/sticky behavior, accessibility, CSS, and exclusions.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../docs/components/table/README.md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Table</t>
        </is>
      </c>
      <c r="D28" s="27" t="inlineStr">
        <is>
          <t>Component and package changelogs record the complete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../docs/components/table/CHANGELOG.md;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Table</t>
        </is>
      </c>
      <c r="D29" s="27" t="inlineStr">
        <is>
          <t>Packed Consumer imports the table subpath and composes caption, headers, numeric values, Badge, Link, footer, overflow, and controlled sorting.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Owner completes visual, keyboard, screen-reader, mobile, zoom, RTL, appearance, sticky, and overflow protocol.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manual-tests/table.md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46230</v>
      </c>
      <c r="K30" s="27" t="inlineStr">
        <is>
          <t>Human run intentionally unclaimed.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TA-23</t>
        </is>
      </c>
      <c r="B31" s="26" t="inlineStr">
        <is>
          <t>Package</t>
        </is>
      </c>
      <c r="C31" s="26" t="inlineStr">
        <is>
          <t>Table</t>
        </is>
      </c>
      <c r="D31" s="27" t="inlineStr">
        <is>
          <t>Build, declarations, exports, SSR, CSS, docs, tarball, consumers, browser matrix, and CI pass.</t>
        </is>
      </c>
      <c r="E31" s="26" t="inlineStr">
        <is>
          <t>package</t>
        </is>
      </c>
      <c r="F31" s="26" t="inlineStr">
        <is>
          <t>package</t>
        </is>
      </c>
      <c r="G31" s="27" t="inlineStr">
        <is>
          <t>../test/package/package.test.mjs; ../scripts/verify-package.mjs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GitHub Actions run 30322250031 passed package, full browser, and packed Consumer verification on commit fde38a9.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n"/>
      <c r="B32" s="26" t="n"/>
      <c r="C32" s="26" t="n"/>
      <c r="D32" s="27" t="n"/>
      <c r="E32" s="26" t="n"/>
      <c r="F32" s="26" t="n"/>
      <c r="G32" s="27" t="n"/>
      <c r="H32" s="26" t="n"/>
      <c r="I32" s="26" t="n"/>
      <c r="J32" s="28" t="n"/>
      <c r="K32" s="27" t="n"/>
      <c r="L32" s="26" t="n"/>
      <c r="M32" s="26" t="n"/>
    </row>
    <row r="33" ht="54" customHeight="1" s="17">
      <c r="A33" s="26" t="n"/>
      <c r="B33" s="26" t="n"/>
      <c r="C33" s="26" t="n"/>
      <c r="D33" s="27" t="n"/>
      <c r="E33" s="26" t="n"/>
      <c r="F33" s="26" t="n"/>
      <c r="G33" s="27" t="n"/>
      <c r="H33" s="26" t="n"/>
      <c r="I33" s="26" t="n"/>
      <c r="J33" s="28" t="n"/>
      <c r="K33" s="27" t="n"/>
      <c r="L33" s="26" t="n"/>
      <c r="M33" s="26" t="n"/>
    </row>
    <row r="34" ht="54" customHeight="1" s="17">
      <c r="A34" s="26" t="n"/>
      <c r="B34" s="26" t="n"/>
      <c r="C34" s="26" t="n"/>
      <c r="D34" s="27" t="n"/>
      <c r="E34" s="26" t="n"/>
      <c r="F34" s="26" t="n"/>
      <c r="G34" s="27" t="n"/>
      <c r="H34" s="26" t="n"/>
      <c r="I34" s="26" t="n"/>
      <c r="J34" s="28" t="n"/>
      <c r="K34" s="27" t="n"/>
      <c r="L34" s="26" t="n"/>
      <c r="M34" s="26" t="n"/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Pagination behavior without recreating state, range,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../src/components/pagination/Pagination.tsx;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PA-02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Seven-part namespace and named exports expose Root, List, Previous, Items, Item, Ellipsis, and Next.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../test/components/pagination/pagination.test.tsx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PA-03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 nav, List ol, Atom list items, native buttons, hostless Items, and assistive-hidden Ellipsis render with exact refs and hooks.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../test/components/pagination/pagination.test.tsx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PA-04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 and sizes, Atom state/localization props, shared Items props,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../test/types/components/pagination.test.ts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PA-05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pagination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PA-06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Pagination imports server-safely and emits deterministic generated native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PA-07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page 1, sibling count 1, and boundary count 1.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../test/components/pagination/pagination.test.tsx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PA-08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outline and sm, md, lg recipes remain independent and preserve geometry by state.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tests/components/pagination/behavior.spec.ts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PA-09</t>
        </is>
      </c>
      <c r="B17" s="26" t="inlineStr">
        <is>
          <t>Range</t>
        </is>
      </c>
      <c r="C17" s="26" t="inlineStr">
        <is>
          <t>Items</t>
        </is>
      </c>
      <c r="D17" s="27" t="inlineStr">
        <is>
          <t>Items renders Atom's generated stable page and Ellipsis range without a Brick algorithm copy.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../test/components/pagination/pagination.test.tsx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PA-10</t>
        </is>
      </c>
      <c r="B18" s="26" t="inlineStr">
        <is>
          <t>State</t>
        </is>
      </c>
      <c r="C18" s="26" t="inlineStr">
        <is>
          <t>Controls</t>
        </is>
      </c>
      <c r="D18" s="27" t="inlineStr">
        <is>
          <t>Controlled and uncontrolled page changes, current-page no-op, and first/last/whole-root disabled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tests/components/pagination/behavior.spec.ts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PA-11</t>
        </is>
      </c>
      <c r="B19" s="26" t="inlineStr">
        <is>
          <t>Localization</t>
        </is>
      </c>
      <c r="C19" s="26" t="inlineStr">
        <is>
          <t>Controls</t>
        </is>
      </c>
      <c r="D19" s="27" t="inlineStr">
        <is>
          <t>Root localizes generated page and boundary labels while direct aria-label remains authoritative.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tests/components/pagination/behavior.spec.ts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PA-12</t>
        </is>
      </c>
      <c r="B20" s="26" t="inlineStr">
        <is>
          <t>Icons</t>
        </is>
      </c>
      <c r="C20" s="26" t="inlineStr">
        <is>
          <t>Previous / Next</t>
        </is>
      </c>
      <c r="D20" s="27" t="inlineStr">
        <is>
          <t>Default logical chevrons are decorative, centered, and mirror in RTL; authored children replace them.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tests/components/pagination/behavior.spec.ts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PA-13</t>
        </is>
      </c>
      <c r="B21" s="26" t="inlineStr">
        <is>
          <t>Accessibility</t>
        </is>
      </c>
      <c r="C21" s="26" t="inlineStr">
        <is>
          <t>All parts</t>
        </is>
      </c>
      <c r="D21" s="27" t="inlineStr">
        <is>
          <t>Labelled nav/list semantics, current state, native Tab and activation, disabled controls, decorative gaps, and axe checks pass.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tests/components/pagination/behavior.spec.ts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PA-14</t>
        </is>
      </c>
      <c r="B22" s="26" t="inlineStr">
        <is>
          <t>Responsive</t>
        </is>
      </c>
      <c r="C22" s="26" t="inlineStr">
        <is>
          <t>Root / List</t>
        </is>
      </c>
      <c r="D22" s="27" t="inlineStr">
        <is>
          <t>The list stays bounded, never wraps or hides items, and scrolls inline when constrained.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tests/components/pagination/behavior.spec.ts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PA-15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 and dark semantic scopes preserve current, neutral, disabled, and surface recipes.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tests/components/pagination/visual.spec.ts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PA-16</t>
        </is>
      </c>
      <c r="B24" s="26" t="inlineStr">
        <is>
          <t>Preferences</t>
        </is>
      </c>
      <c r="C24" s="26" t="inlineStr">
        <is>
          <t>Controls</t>
        </is>
      </c>
      <c r="D24" s="27" t="inlineStr">
        <is>
          <t>Forced colors keeps current, disabled, and focus distinctions; reduced motion removes color transitions.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manual-tests/pagination.md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forced-colors and reduced-motion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PA-17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Reviewed baselines cover overview, variants, sizes, appearance, customization, responsive overflow, and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tests/components/pagination/visual.spec.ts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approval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PA-18</t>
        </is>
      </c>
      <c r="B26" s="26" t="inlineStr">
        <is>
          <t>Customization</t>
        </is>
      </c>
      <c r="C26" s="26" t="inlineStr">
        <is>
          <t>Root / parts</t>
        </is>
      </c>
      <c r="D26" s="27" t="inlineStr">
        <is>
          <t>Stable classes, slots, data attributes, component variables, className, and style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../test/components/pagination/pagination.test.tsx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PA-19</t>
        </is>
      </c>
      <c r="B27" s="26" t="inlineStr">
        <is>
          <t>Documentation</t>
        </is>
      </c>
      <c r="C27" s="26" t="inlineStr">
        <is>
          <t>Public guide</t>
        </is>
      </c>
      <c r="D27" s="27" t="inlineStr">
        <is>
          <t>Guide documents all exports, recipes, hooks, responsibilities, exclusions, and evidence.</t>
        </is>
      </c>
      <c r="E27" s="26" t="inlineStr">
        <is>
          <t>package</t>
        </is>
      </c>
      <c r="F27" s="26" t="inlineStr">
        <is>
          <t>documentation</t>
        </is>
      </c>
      <c r="G27" s="27" t="inlineStr">
        <is>
          <t>../docs/components/pagination/README.md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PA-20</t>
        </is>
      </c>
      <c r="B28" s="26" t="inlineStr">
        <is>
          <t>Changelog</t>
        </is>
      </c>
      <c r="C28" s="26" t="inlineStr">
        <is>
          <t>Public record</t>
        </is>
      </c>
      <c r="D28" s="27" t="inlineStr">
        <is>
          <t>Component and package changelogs describe the release-facing Pagination addition.</t>
        </is>
      </c>
      <c r="E28" s="26" t="inlineStr">
        <is>
          <t>package</t>
        </is>
      </c>
      <c r="F28" s="26" t="inlineStr">
        <is>
          <t>documentation</t>
        </is>
      </c>
      <c r="G28" s="27" t="inlineStr">
        <is>
          <t>../docs/components/pagination/CHANGELOG.md;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PA-21</t>
        </is>
      </c>
      <c r="B29" s="26" t="inlineStr">
        <is>
          <t>Playground</t>
        </is>
      </c>
      <c r="C29" s="26" t="inlineStr">
        <is>
          <t>All parts</t>
        </is>
      </c>
      <c r="D29" s="27" t="inlineStr">
        <is>
          <t>Deterministic route exposes every adopted scenario with semantically distinct content.</t>
        </is>
      </c>
      <c r="E29" s="26" t="inlineStr">
        <is>
          <t>package</t>
        </is>
      </c>
      <c r="F29" s="26" t="inlineStr">
        <is>
          <t>playground</t>
        </is>
      </c>
      <c r="G29" s="27" t="inlineStr">
        <is>
          <t>../playground/src/components/pagination/PaginationPage.tsx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PA-22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Numbered protocol reviews semantics, recipes, preferences, zoom, RTL, overflow, and physical touch.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manual-tests/pagination.md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46231</v>
      </c>
      <c r="K30" s="27" t="inlineStr">
        <is>
          <t>Owner manual run not yet completed.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PA-23</t>
        </is>
      </c>
      <c r="B31" s="26" t="inlineStr">
        <is>
          <t>Consumer</t>
        </is>
      </c>
      <c r="C31" s="26" t="inlineStr">
        <is>
          <t>Root / generated controls</t>
        </is>
      </c>
      <c r="D31" s="27" t="inlineStr">
        <is>
          <t>Packed Consumer composes controlled Pagination through its public subpath.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PA-24</t>
        </is>
      </c>
      <c r="B32" s="26" t="inlineStr">
        <is>
          <t>Package</t>
        </is>
      </c>
      <c r="C32" s="26" t="inlineStr">
        <is>
          <t>Artifact</t>
        </is>
      </c>
      <c r="D32" s="27" t="inlineStr">
        <is>
          <t>Packed archive includes root/subpath declarations, runtime exports, CSS, exact Atom dependency, and React 18/19 compatibility.</t>
        </is>
      </c>
      <c r="E32" s="26" t="inlineStr">
        <is>
          <t>package</t>
        </is>
      </c>
      <c r="F32" s="26" t="inlineStr">
        <is>
          <t>package</t>
        </is>
      </c>
      <c r="G32" s="27" t="inlineStr">
        <is>
          <t>../scripts/verify-package.mjs; ../scripts/verify-consumers.mjs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PA-25</t>
        </is>
      </c>
      <c r="B33" s="26" t="inlineStr">
        <is>
          <t>Exclusion</t>
        </is>
      </c>
      <c r="C33" s="26" t="inlineStr">
        <is>
          <t>All parts</t>
        </is>
      </c>
      <c r="D33" s="27" t="inlineStr">
        <is>
          <t>URL/router navigation, page size, totals, fetching, loading, quick jump, and responsive range policy remain outside Pagination.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../docs/components/pagination/README.md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Data Grid behavior without recreating navigation,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../src/components/data-grid/DataGrid.tsx;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Container, Root, Caption, Header, Body, Footer, Row, ColumnHeader, Cell,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../test/components/data-grid/data-grid.test.tsx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 and exact native table hosts, grid roles,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../test/components/data-grid/data-grid.test.tsx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Atom state, indexes, controlled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../test/types/components/data-grid.test.ts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data-grid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Data Grid imports server-safely and emits deterministic labelled grid,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../test/components/data-grid/data-grid.test.tsx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tests/components/data-grid/behavior.spec.ts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DG-09</t>
        </is>
      </c>
      <c r="B17" s="26" t="inlineStr">
        <is>
          <t>Navigation</t>
        </is>
      </c>
      <c r="C17" s="26" t="inlineStr">
        <is>
          <t>Root / cells</t>
        </is>
      </c>
      <c r="D17" s="27" t="inlineStr">
        <is>
          <t>Root owns focus and active descendant while arrow, boundary, page, loop, wrap, RTL, and disabled-cell navigation remain Atom-owned.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tests/components/data-grid/behavior.spec.ts; @flowstack-ui/atom 0.17.0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DG-10</t>
        </is>
      </c>
      <c r="B18" s="26" t="inlineStr">
        <is>
          <t>Selection</t>
        </is>
      </c>
      <c r="C18" s="26" t="inlineStr">
        <is>
          <t>Root / Row</t>
        </is>
      </c>
      <c r="D18" s="27" t="inlineStr">
        <is>
          <t>Controlled/uncontrolled single and multiple row selection, row-click policy, Space activation, and disabled/read-only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tests/components/data-grid/behavior.spec.ts; @flowstack-ui/atom 0.17.0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DG-11</t>
        </is>
      </c>
      <c r="B19" s="26" t="inlineStr">
        <is>
          <t>Sorting</t>
        </is>
      </c>
      <c r="C19" s="26" t="inlineStr">
        <is>
          <t>ColumnHeader / SortIndicator</t>
        </is>
      </c>
      <c r="D19" s="27" t="inlineStr">
        <is>
          <t>Indexed actionable headers request application sorting by pointer and Enter; aria-sort stays controlled and artwork stays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tests/components/data-grid/behavior.spec.ts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DG-12</t>
        </is>
      </c>
      <c r="B20" s="26" t="inlineStr">
        <is>
          <t>Alignment</t>
        </is>
      </c>
      <c r="C20" s="26" t="inlineStr">
        <is>
          <t>ColumnHeader / Cell</t>
        </is>
      </c>
      <c r="D20" s="27" t="inlineStr">
        <is>
          <t>Start, center, end, and numeric formatting use logical alignment, tabular figures, and explicit precedence.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../test/components/data-grid/data-grid.test.tsx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DG-13</t>
        </is>
      </c>
      <c r="B21" s="26" t="inlineStr">
        <is>
          <t>States</t>
        </is>
      </c>
      <c r="C21" s="26" t="inlineStr">
        <is>
          <t>Rows / cells</t>
        </is>
      </c>
      <c r="D21" s="27" t="inlineStr">
        <is>
          <t>Selected, active, disabled, selectable, actionable, hover, and sorted paint follows Atom attributes without geometry changes.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tests/components/data-grid/behavior.spec.ts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DG-14</t>
        </is>
      </c>
      <c r="B22" s="26" t="inlineStr">
        <is>
          <t>Responsive</t>
        </is>
      </c>
      <c r="C22" s="26" t="inlineStr">
        <is>
          <t>Container</t>
        </is>
      </c>
      <c r="D22" s="27" t="inlineStr">
        <is>
          <t>Explicit horizontal containment preserves columns without page overflow, card conversion, or implicit wrapping.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tests/components/data-grid/behavior.spec.ts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DG-15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navigation, alignment, sorting indicator placement, and overflow remain usable with RTL content.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tests/components/data-grid/visual.spec.ts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DG-16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boundaries, state distinctions, badges, and focus.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tests/components/data-grid/visual.spec.ts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DG-17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sizing, selection, sorting,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tests/components/data-grid/visual.spec.ts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DG-18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classes, styles, and custom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../test/components/data-grid/data-grid.test.tsx; ../docs/components/data-grid/README.md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DG-19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Label, roles, counts, coordinates, selection, disabled, active descendant, sort metadata,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tests/components/data-grid/behavior.spec.ts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DG-20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Data Grid route exposes nine persistent controlled scenarios.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src/components/data-grid/DataGridPage.tsx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DG-21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sorting, containment,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../docs/components/data-grid/README.md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DG-22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Data Grid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../docs/components/data-grid/CHANGELOG.md;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DG-23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Data Grid with controlled sorting and selection plus external Toolbar, Pagination, and Badge.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Packed Consumer passed 74 desktop/mobile checks on July 28, 2026.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DG-24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mobile overflow, RTL, appearance, preferences,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manual-tests/data-grid.md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DG-25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Package, tarball, SSR, CSS, and clean React 18/19 consumer verification passed locally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DG-26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Editing, interactive cells, filtering, pagination, resizing, virtualization, schemas, enterprise processing, hierarchy, and page layout remain outside Data Grid.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../docs/components/data-grid/README.md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TreeGrid behavior without recreating hierarchy, navigation, expansion,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../src/components/tree-grid/TreeGrid.tsx;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Twelve-part namespace and named exports expose Container, Root, Caption, Header, Body, Footer, Row, ColumnHeader, RowHeader, Cell, Indicator,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../test/components/tree-grid/tree-grid.test.tsx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Container, exact native table hosts, treegrid roles, silent indicators,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../test/components/tree-grid/tree-grid.test.tsx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hierarchy, Atom state, controlled expansion,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inlineStr">
        <is>
          <t>Root/subpath runtime identity passed in the complete package check on July 28, 2026.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Tree Grid imports server-safely and emits deterministic labelled treegrid, hierarchy,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inlineStr">
        <is>
          <t>Tree Grid SSR anatomy passed in the complete package check on July 28, 2026.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../test/components/tree-grid/tree-grid.test.tsx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inlineStr">
        <is>
          <t>Focused Chromium behavior and visual owners passed on July 28, 2026.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TG-09</t>
        </is>
      </c>
      <c r="B17" s="26" t="inlineStr">
        <is>
          <t>Hierarchy</t>
        </is>
      </c>
      <c r="C17" s="26" t="inlineStr">
        <is>
          <t>Row / RowHeader / Indicator</t>
        </is>
      </c>
      <c r="D17" s="27" t="inlineStr">
        <is>
          <t>Levels one through ten indent only the column-1 RowHeader; branches and leaves retain stable indicator space and expansion artwork.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tests/components/tree-grid/behavior.spec.ts; @flowstack-ui/atom 0.18.0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inlineStr">
        <is>
          <t>Behavior owner passed Chromium, Firefox, WebKit, Pixel 7, and iPhone 15 profiles on July 28, 2026.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TG-10</t>
        </is>
      </c>
      <c r="B18" s="26" t="inlineStr">
        <is>
          <t>Navigation</t>
        </is>
      </c>
      <c r="C18" s="26" t="inlineStr">
        <is>
          <t>Root / cells</t>
        </is>
      </c>
      <c r="D18" s="27" t="inlineStr">
        <is>
          <t>Root owns focus and active descendant while visible-cell boundaries, hierarchy movement, RTL, and disabled-cell navigation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tests/components/tree-grid/behavior.spec.ts; @flowstack-ui/atom 0.18.0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inlineStr">
        <is>
          <t>Behavior owner and Atom 0.20.11 collapse regression passed on July 28, 2026.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TG-11</t>
        </is>
      </c>
      <c r="B19" s="26" t="inlineStr">
        <is>
          <t>Collapse</t>
        </is>
      </c>
      <c r="C19" s="26" t="inlineStr">
        <is>
          <t>Root / Row</t>
        </is>
      </c>
      <c r="D19" s="27" t="inlineStr">
        <is>
          <t>Collapsing a branch that hides the active descendant relocates active state to the ancestor's column-1 cell.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tests/components/tree-grid/behavior.spec.ts; @flowstack-ui/atom 0.18.0 behavior suite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inlineStr">
        <is>
          <t>Behavior owner passed Chromium, Firefox, WebKit, Pixel 7, and iPhone 15 profiles on July 28, 2026.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TG-12</t>
        </is>
      </c>
      <c r="B20" s="26" t="inlineStr">
        <is>
          <t>Selection</t>
        </is>
      </c>
      <c r="C20" s="26" t="inlineStr">
        <is>
          <t>Root / Row</t>
        </is>
      </c>
      <c r="D20" s="27" t="inlineStr">
        <is>
          <t>Controlled and uncontrolled selection, row-click policy, Space activation, disabled/read-only boundaries, and expansion remain distinct.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tests/components/tree-grid/behavior.spec.ts; @flowstack-ui/atom 0.18.0 behavior suite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inlineStr">
        <is>
          <t>Focused collapse relocation passed in five browser/device profiles on July 28, 2026.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TG-13</t>
        </is>
      </c>
      <c r="B21" s="26" t="inlineStr">
        <is>
          <t>Sorting</t>
        </is>
      </c>
      <c r="C21" s="26" t="inlineStr">
        <is>
          <t>ColumnHeader / SortIndicator</t>
        </is>
      </c>
      <c r="D21" s="27" t="inlineStr">
        <is>
          <t>Indexed actionable headers request application sorting by pointer and Enter; aria-sort stays controlled and artwork stays silent.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inlineStr">
        <is>
          <t>Selection and read-only coverage passed in five browser/device profiles on July 28, 2026.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TG-14</t>
        </is>
      </c>
      <c r="B22" s="26" t="inlineStr">
        <is>
          <t>Alignment</t>
        </is>
      </c>
      <c r="C22" s="26" t="inlineStr">
        <is>
          <t>ColumnHeader / RowHeader / Cell</t>
        </is>
      </c>
      <c r="D22" s="27" t="inlineStr">
        <is>
          <t>Start, center, end, and numeric formatting use logical alignment, tabular figures, and explicit precedence.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../test/components/tree-grid/tree-grid.test.tsx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inlineStr">
        <is>
          <t>Pointer and Enter sorting parity passed in five browser/device profiles on July 28, 2026.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TG-15</t>
        </is>
      </c>
      <c r="B23" s="26" t="inlineStr">
        <is>
          <t>States</t>
        </is>
      </c>
      <c r="C23" s="26" t="inlineStr">
        <is>
          <t>Rows / cells</t>
        </is>
      </c>
      <c r="D23" s="27" t="inlineStr">
        <is>
          <t>Selected, active, expanded, disabled, read-only, actionable, hover, and sorted paint follows Atom attributes without geometry changes.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tests/components/tree-grid/behavior.spec.ts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TG-16</t>
        </is>
      </c>
      <c r="B24" s="26" t="inlineStr">
        <is>
          <t>Responsive</t>
        </is>
      </c>
      <c r="C24" s="26" t="inlineStr">
        <is>
          <t>Container</t>
        </is>
      </c>
      <c r="D24" s="27" t="inlineStr">
        <is>
          <t>Explicit horizontal containment preserves hierarchy and columns without page overflow, card conversion, or implicit root scrolling.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tests/components/tree-grid/behavior.spec.ts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inlineStr">
        <is>
          <t>State and geometry checks passed in five browser/device profiles on July 28, 2026.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TG-17</t>
        </is>
      </c>
      <c r="B25" s="26" t="inlineStr">
        <is>
          <t>RTL</t>
        </is>
      </c>
      <c r="C25" s="26" t="inlineStr">
        <is>
          <t>All parts</t>
        </is>
      </c>
      <c r="D25" s="27" t="inlineStr">
        <is>
          <t>Logical hierarchy navigation, indentation, indicator direction, alignment, sorting placement, and overflow remain usable with localized RTL content.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Containment and page-overflow checks passed in five browser/device profiles on July 28, 2026.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TG-18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Light and dark badges plus forced-color surfaces preserve clipped boundaries, hierarchy, state distinctions, and focus.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tests/components/tree-grid/visual.spec.ts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Owner visual review not yet recorded.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TG-19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Baselines cover overview, variants, sizing, hierarchy, controlled sorting, dark customization, responsive mobile, RTL mobile,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tests/components/tree-grid/visual.spec.ts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Owner baseline review not yet recorded.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TG-20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Stable classes, slots, public variables, styles, custom indicators, and accent outline clipping preserve behavior and rounded edges.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../test/components/tree-grid/tree-grid.test.tsx; ../docs/components/tree-grid/README.md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TG-21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Name, roles, hierarchy, counts, coordinates, expansion, selection, disabled/read-only, active descendant, sort metadata, and axe checks pass.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tests/components/tree-grid/behavior.spec.ts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inlineStr">
        <is>
          <t>Axe and accessibility assertions passed in five browser/device profiles on July 28, 2026.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TG-22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Tree Grid route exposes nine persistent, controlled scenarios with realistic hierarchical release content.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src/components/tree-grid/TreeGridPage.tsx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TG-23</t>
        </is>
      </c>
      <c r="B31" s="26" t="inlineStr">
        <is>
          <t>Documentation</t>
        </is>
      </c>
      <c r="C31" s="26" t="inlineStr">
        <is>
          <t>Public guide</t>
        </is>
      </c>
      <c r="D31" s="27" t="inlineStr">
        <is>
          <t>Guide documents boundary, anatomy, authored coordinates, API, recipes, hierarchy, keyboard, expansion, selection, sorting, containment, accessibility, CSS, and exclusions.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../docs/components/tree-grid/README.md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TG-24</t>
        </is>
      </c>
      <c r="B32" s="26" t="inlineStr">
        <is>
          <t>Changelog</t>
        </is>
      </c>
      <c r="C32" s="26" t="inlineStr">
        <is>
          <t>Public record</t>
        </is>
      </c>
      <c r="D32" s="27" t="inlineStr">
        <is>
          <t>Component and package changelogs describe the release-facing Tree Grid addition.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../docs/components/tree-grid/CHANGELOG.md;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TG-25</t>
        </is>
      </c>
      <c r="B33" s="26" t="inlineStr">
        <is>
          <t>Consumer</t>
        </is>
      </c>
      <c r="C33" s="26" t="inlineStr">
        <is>
          <t>All parts</t>
        </is>
      </c>
      <c r="D33" s="27" t="inlineStr">
        <is>
          <t>Packed Consumer composes Tree Grid with controlled hierarchy, sorting and selection plus external Toolbar, Badge metadata, and a details Surface.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Packed Consumer flow passed 76 desktop/mobile checks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TG-26</t>
        </is>
      </c>
      <c r="B34" s="26" t="inlineStr">
        <is>
          <t>Manual</t>
        </is>
      </c>
      <c r="C34" s="26" t="inlineStr">
        <is>
          <t>All parts</t>
        </is>
      </c>
      <c r="D34" s="27" t="inlineStr">
        <is>
          <t>Owner reviews hierarchy keyboard, collapse focus, screen reader, zoom, touch, RTL, appearances, preferences, rounded clipping, and component boundaries.</t>
        </is>
      </c>
      <c r="E34" s="26" t="inlineStr">
        <is>
          <t>package</t>
        </is>
      </c>
      <c r="F34" s="26" t="inlineStr">
        <is>
          <t>manual</t>
        </is>
      </c>
      <c r="G34" s="27" t="inlineStr">
        <is>
          <t>manual-tests/tree-grid.md</t>
        </is>
      </c>
      <c r="H34" s="26" t="inlineStr">
        <is>
          <t>not started</t>
        </is>
      </c>
      <c r="I34" s="26" t="inlineStr">
        <is>
          <t>yes</t>
        </is>
      </c>
      <c r="J34" s="28" t="n">
        <v>46231</v>
      </c>
      <c r="K34" s="27" t="inlineStr">
        <is>
          <t>Human run intentionally unclaimed.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TG-27</t>
        </is>
      </c>
      <c r="B35" s="26" t="inlineStr">
        <is>
          <t>Package</t>
        </is>
      </c>
      <c r="C35" s="26" t="inlineStr">
        <is>
          <t>Artifact</t>
        </is>
      </c>
      <c r="D35" s="27" t="inlineStr">
        <is>
          <t>Build, declarations, exports, SSR, CSS, docs, tarball, clean React consumers, focused browser/device matrix, and Consumer pass.</t>
        </is>
      </c>
      <c r="E35" s="26" t="inlineStr">
        <is>
          <t>package</t>
        </is>
      </c>
      <c r="F35" s="26" t="inlineStr">
        <is>
          <t>package</t>
        </is>
      </c>
      <c r="G35" s="27" t="inlineStr">
        <is>
          <t>../test/package/package.test.mjs; ../scripts/verify-package.mjs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Complete package check, CSS size report, tarball, React 18/19, five-profile Tree Grid browser owner, and packed Consumer passed locally on July 28, 2026.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TG-28</t>
        </is>
      </c>
      <c r="B36" s="26" t="inlineStr">
        <is>
          <t>Boundary</t>
        </is>
      </c>
      <c r="C36" s="26" t="inlineStr">
        <is>
          <t>All parts</t>
        </is>
      </c>
      <c r="D36" s="27" t="inlineStr">
        <is>
          <t>Editing, interactive cells, filtering, pagination, resizing, reordering, virtualization, schemas, enterprise processing, and spreadsheet behavior remain outside Tree Grid.</t>
        </is>
      </c>
      <c r="E36" s="26" t="inlineStr">
        <is>
          <t>package</t>
        </is>
      </c>
      <c r="F36" s="26" t="inlineStr">
        <is>
          <t>documentation</t>
        </is>
      </c>
      <c r="G36" s="27" t="inlineStr">
        <is>
          <t>../docs/components/tree-grid/README.md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46231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TR-01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Tree behavior without recreating focus, navigation, selection, expansion, typeahead, forms,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../src/components/tree/Tree.tsx;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TR-02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Six-part namespace and named exports expose Root, Item, ItemContent, Indicator, ItemText, and Group.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../test/components/tree/tree.test.tsx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TR-03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Atom-backed semantic parts and Brick-owned content-row and indicator hosts, roles, slots, state attributes, and refs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../test/components/tree/tree.test.tsx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vertical-only omission, Atom selection and expansion props,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TR-05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TR-06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Tree imports server-safely and emits deterministic labelled tree, item, text, indicator, and group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TR-07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guides off, vertical orientation, and bounded navigation.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../test/components/tree/tree.test.tsx; tests/components/tree/behavior.spec.ts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TR-08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and outline variants remain independent from sm/md size and optional hierarchy guides.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TR-09</t>
        </is>
      </c>
      <c r="B17" s="26" t="inlineStr">
        <is>
          <t>Focus</t>
        </is>
      </c>
      <c r="C17" s="26" t="inlineStr">
        <is>
          <t>Root / Item</t>
        </is>
      </c>
      <c r="D17" s="27" t="inlineStr">
        <is>
          <t>Initial focus activates the first visible selected item, then the first enabled visible item; focus remains distinct from selection.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tests/components/tree/behavior.spec.ts; @flowstack-ui/atom 0.17.1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TR-10</t>
        </is>
      </c>
      <c r="B18" s="26" t="inlineStr">
        <is>
          <t>Navigation</t>
        </is>
      </c>
      <c r="C18" s="26" t="inlineStr">
        <is>
          <t>Root / Item</t>
        </is>
      </c>
      <c r="D18" s="27" t="inlineStr">
        <is>
          <t>Arrow keys, Home/End, bounded default movement, opt-in loop, typeahead, disabled skipping, and logical expansion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tests/components/tree/behavior.spec.ts; @flowstack-ui/atom 0.17.1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TR-11</t>
        </is>
      </c>
      <c r="B19" s="26" t="inlineStr">
        <is>
          <t>Selection</t>
        </is>
      </c>
      <c r="C19" s="26" t="inlineStr">
        <is>
          <t>Root / Item</t>
        </is>
      </c>
      <c r="D19" s="27" t="inlineStr">
        <is>
          <t>Controlled/uncontrolled single and multiple selection, activation, and disabled/read-only boundaries remain Atom-owned.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TR-12</t>
        </is>
      </c>
      <c r="B20" s="26" t="inlineStr">
        <is>
          <t>Expansion</t>
        </is>
      </c>
      <c r="C20" s="26" t="inlineStr">
        <is>
          <t>Item / Group / Indicator</t>
        </is>
      </c>
      <c r="D20" s="27" t="inlineStr">
        <is>
          <t>Controlled/uncontrolled expansion keeps Group lifecycle and aria-expanded in Atom while Indicator follows expansion visually.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TR-13</t>
        </is>
      </c>
      <c r="B21" s="26" t="inlineStr">
        <is>
          <t>States</t>
        </is>
      </c>
      <c r="C21" s="26" t="inlineStr">
        <is>
          <t>ItemContent</t>
        </is>
      </c>
      <c r="D21" s="27" t="inlineStr">
        <is>
          <t>Hover, active focus, selected, expanded, and disabled paint follows Atom attributes without painting Group descendants or changing geometry.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TR-14</t>
        </is>
      </c>
      <c r="B22" s="26" t="inlineStr">
        <is>
          <t>Responsive</t>
        </is>
      </c>
      <c r="C22" s="26" t="inlineStr">
        <is>
          <t>Root / ItemContent</t>
        </is>
      </c>
      <c r="D22" s="27" t="inlineStr">
        <is>
          <t>Inline containment and wrapping preserve indicators, metadata, indentation, and focus without page overflow at 320 CSS px.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tests/components/tree/behavior.spec.ts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TR-15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indentation, hierarchy guides, trailing metadata, and closed chevrons mirror while expanded chevrons remain downward.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tests/components/tree/visual.spec.ts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TR-16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hierarchy boundaries, focus, selection, and disabled distinctions.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tests/components/tree/visual.spec.ts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TR-17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 and guides, selection,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TR-18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native props, custom row content, and custom decorative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../test/components/tree/tree.test.tsx; ../docs/components/tree/README.md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TR-19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Accessible naming, roles, levels, selection, expansion, disabled state, active descendant, silent decoration,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tests/components/tree/behavior.spec.ts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TR-20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Tree route exposes eight persistent, controlled scenarios with realistic hierarchical content.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src/components/tree/TreePage.tsx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expansion, responsive behavior,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../docs/components/tree/README.md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Tree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../docs/components/tree/CHANGELOG.md;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TR-23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Tree with selection, expansion, guides, metadata Badge, and public subpath imports.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TR-24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touch, RTL, appearance, preferences, content stress,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manual-tests/tree.md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TR-25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TR-26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Tree Grid, loading, filtering, links, checking, rename, drag/drop, virtualization, context menus, routing, persistence, and interactive descendants remain outside Tree.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../docs/components/tree/README.md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Feed Evidence</t>
        </is>
      </c>
    </row>
    <row r="2" ht="27.75" customHeight="1" s="17">
      <c r="A2" s="19" t="inlineStr">
        <is>
          <t>Assertion-level Atom ownership, direct anatomy, dynamic positions, keyboard focus, recipes,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FD-01</t>
        </is>
      </c>
      <c r="B9" s="26" t="inlineStr">
        <is>
          <t>Atom ownership</t>
        </is>
      </c>
      <c r="C9" s="26" t="inlineStr">
        <is>
          <t>Root / Item</t>
        </is>
      </c>
      <c r="D9" s="27" t="inlineStr">
        <is>
          <t>Brick styles and forwards the released Atom Feed contract; Atom 0.20.11 owns roles, dynamic metadata, Page Up/Down movement, focus handoff, and the nearest-item reveal correction.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../src/components/feed/Feed.tsx; @flowstack-ui/atom 0.19.8</t>
        </is>
      </c>
      <c r="H9" s="26" t="inlineStr">
        <is>
          <t>tested</t>
        </is>
      </c>
      <c r="I9" s="26" t="inlineStr">
        <is>
          <t>no</t>
        </is>
      </c>
      <c r="J9" s="28" t="n">
        <v>46232</v>
      </c>
      <c r="K9" s="27" t="inlineStr">
        <is>
          <t>Released Atom package and Brick adapter audit pass.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FD-02</t>
        </is>
      </c>
      <c r="B10" s="26" t="inlineStr">
        <is>
          <t>API</t>
        </is>
      </c>
      <c r="C10" s="26" t="inlineStr">
        <is>
          <t>Root / Item</t>
        </is>
      </c>
      <c r="D10" s="27" t="inlineStr">
        <is>
          <t>The public namespace contains exactly Root and Item, with no Brick-owned loading, list, virtualizer, selection, or item-content schema.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../test/components/feed/feed.test.tsx; ../docs/components/feed/README.md</t>
        </is>
      </c>
      <c r="H10" s="26" t="inlineStr">
        <is>
          <t>tested</t>
        </is>
      </c>
      <c r="I10" s="26" t="inlineStr">
        <is>
          <t>no</t>
        </is>
      </c>
      <c r="J10" s="28" t="n">
        <v>46232</v>
      </c>
      <c r="K10" s="27" t="inlineStr">
        <is>
          <t>Closed namespace and exclusion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FD-03</t>
        </is>
      </c>
      <c r="B11" s="26" t="inlineStr">
        <is>
          <t>Anatomy</t>
        </is>
      </c>
      <c r="C11" s="26" t="inlineStr">
        <is>
          <t>Root / Item</t>
        </is>
      </c>
      <c r="D11" s="27" t="inlineStr">
        <is>
          <t>Root directly contains focusable Item article hosts without a Brick wrapper, cloned child, or invented internal content element.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../test/components/feed/feed.test.tsx; tests/components/feed/behavior.spec.ts</t>
        </is>
      </c>
      <c r="H11" s="26" t="inlineStr">
        <is>
          <t>tested</t>
        </is>
      </c>
      <c r="I11" s="26" t="inlineStr">
        <is>
          <t>no</t>
        </is>
      </c>
      <c r="J11" s="28" t="n">
        <v>46232</v>
      </c>
      <c r="K11" s="27" t="inlineStr">
        <is>
          <t>Direct-child and rendered anatomy assertions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FD-04</t>
        </is>
      </c>
      <c r="B12" s="26" t="inlineStr">
        <is>
          <t>Root semantics</t>
        </is>
      </c>
      <c r="C12" s="26" t="inlineStr">
        <is>
          <t>Root</t>
        </is>
      </c>
      <c r="D12" s="27" t="inlineStr">
        <is>
          <t>The native div exposes role feed, accessible naming, aria-busy only while busy, and an optional known or unknown set size without inventing live-region behavior.</t>
        </is>
      </c>
      <c r="E12" s="26" t="inlineStr">
        <is>
          <t>browser</t>
        </is>
      </c>
      <c r="F12" s="26" t="inlineStr">
        <is>
          <t>browser</t>
        </is>
      </c>
      <c r="G12" s="27" t="inlineStr">
        <is>
          <t>tests/components/feed/behavior.spec.ts; @flowstack-ui/atom 0.19.8 behavior suite</t>
        </is>
      </c>
      <c r="H12" s="26" t="inlineStr">
        <is>
          <t>tested</t>
        </is>
      </c>
      <c r="I12" s="26" t="inlineStr">
        <is>
          <t>no</t>
        </is>
      </c>
      <c r="J12" s="28" t="n">
        <v>46232</v>
      </c>
      <c r="K12" s="27" t="inlineStr">
        <is>
          <t>Semantic and dynamic metadata assertions pass in five projects.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FD-05</t>
        </is>
      </c>
      <c r="B13" s="26" t="inlineStr">
        <is>
          <t>Item semantics</t>
        </is>
      </c>
      <c r="C13" s="26" t="inlineStr">
        <is>
          <t>Item</t>
        </is>
      </c>
      <c r="D13" s="27" t="inlineStr">
        <is>
          <t>Each direct article is programmatically named, receives a one-based position and optional known set size, remains focusable, and preserves nested interactive descendants.</t>
        </is>
      </c>
      <c r="E13" s="26" t="inlineStr">
        <is>
          <t>browser</t>
        </is>
      </c>
      <c r="F13" s="26" t="inlineStr">
        <is>
          <t>browser</t>
        </is>
      </c>
      <c r="G13" s="27" t="inlineStr">
        <is>
          <t>tests/components/feed/behavior.spec.ts; @flowstack-ui/atom 0.19.8 behavior suite</t>
        </is>
      </c>
      <c r="H13" s="26" t="inlineStr">
        <is>
          <t>tested</t>
        </is>
      </c>
      <c r="I13" s="26" t="inlineStr">
        <is>
          <t>no</t>
        </is>
      </c>
      <c r="J13" s="28" t="n">
        <v>46232</v>
      </c>
      <c r="K13" s="27" t="inlineStr">
        <is>
          <t>Article relationships and descendant-interaction assertions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FD-06</t>
        </is>
      </c>
      <c r="B14" s="26" t="inlineStr">
        <is>
          <t>Dynamic positions</t>
        </is>
      </c>
      <c r="C14" s="26" t="inlineStr">
        <is>
          <t>Root / Item</t>
        </is>
      </c>
      <c r="D14" s="27" t="inlineStr">
        <is>
          <t>Application-owned prepend, append, remove, busy, known-size, and unknown-size updates keep every surviving Item position and Root size coherent.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tests/components/feed/behavior.spec.ts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46232</v>
      </c>
      <c r="K14" s="27" t="inlineStr">
        <is>
          <t>Mutation and metadata assertions pass in all configured projects.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FD-07</t>
        </is>
      </c>
      <c r="B15" s="26" t="inlineStr">
        <is>
          <t>Keyboard</t>
        </is>
      </c>
      <c r="C15" s="26" t="inlineStr">
        <is>
          <t>Root / Item</t>
        </is>
      </c>
      <c r="D15" s="27" t="inlineStr">
        <is>
          <t>Page Down and Page Up move between adjacent Item articles only while an Item or its descendant is the event target.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tests/components/feed/behavior.spec.ts; @flowstack-ui/atom 0.19.8 behavior suite</t>
        </is>
      </c>
      <c r="H15" s="26" t="inlineStr">
        <is>
          <t>tested</t>
        </is>
      </c>
      <c r="I15" s="26" t="inlineStr">
        <is>
          <t>no</t>
        </is>
      </c>
      <c r="J15" s="28" t="n">
        <v>46232</v>
      </c>
      <c r="K15" s="27" t="inlineStr">
        <is>
          <t>Forward, backward, and descendant-origin movement assertions pass.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FD-08</t>
        </is>
      </c>
      <c r="B16" s="26" t="inlineStr">
        <is>
          <t>Focus boundary</t>
        </is>
      </c>
      <c r="C16" s="26" t="inlineStr">
        <is>
          <t>Root / Item</t>
        </is>
      </c>
      <c r="D16" s="27" t="inlineStr">
        <is>
          <t>Movement beyond the first or last Item transfers focus to the nearest focusable control outside the Feed instead of trapping focus.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tests/components/feed/behavior.spec.ts; @flowstack-ui/atom 0.19.8 behavior suite</t>
        </is>
      </c>
      <c r="H16" s="26" t="inlineStr">
        <is>
          <t>tested</t>
        </is>
      </c>
      <c r="I16" s="26" t="inlineStr">
        <is>
          <t>no</t>
        </is>
      </c>
      <c r="J16" s="28" t="n">
        <v>46232</v>
      </c>
      <c r="K16" s="27" t="inlineStr">
        <is>
          <t>Before-feed and after-feed focus handoff assertions pass.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FD-09</t>
        </is>
      </c>
      <c r="B17" s="26" t="inlineStr">
        <is>
          <t>Reveal</t>
        </is>
      </c>
      <c r="C17" s="26" t="inlineStr">
        <is>
          <t>Item</t>
        </is>
      </c>
      <c r="D17" s="27" t="inlineStr">
        <is>
          <t>Keyboard movement focuses the destination Item and scrolls it into the nearest visible position inside a bounded Scroll Area.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tests/components/feed/behavior.spec.ts; @flowstack-ui/atom 0.19.8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46232</v>
      </c>
      <c r="K17" s="27" t="inlineStr">
        <is>
          <t>Offscreen destination reveal passes in Chromium, Firefox, and WebKit.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FD-10</t>
        </is>
      </c>
      <c r="B18" s="26" t="inlineStr">
        <is>
          <t>Event ownership</t>
        </is>
      </c>
      <c r="C18" s="26" t="inlineStr">
        <is>
          <t>Root</t>
        </is>
      </c>
      <c r="D18" s="27" t="inlineStr">
        <is>
          <t>A consumer onKeyDown handler can prevent the Atom Page-key movement before the default focus change occurs.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tests/components/feed/behavior.spec.ts; @flowstack-ui/atom 0.19.8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46232</v>
      </c>
      <c r="K18" s="27" t="inlineStr">
        <is>
          <t>Consumer prevention assertion passes in five projects.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FD-11</t>
        </is>
      </c>
      <c r="B19" s="26" t="inlineStr">
        <is>
          <t>Exports</t>
        </is>
      </c>
      <c r="C19" s="26" t="inlineStr">
        <is>
          <t>Feed</t>
        </is>
      </c>
      <c r="D19" s="27" t="inlineStr">
        <is>
          <t>Root and feed subpath exports expose Feed, FeedRootProps, FeedItemProps, FeedVariant, and FeedDensity with identical runtime identity.</t>
        </is>
      </c>
      <c r="E19" s="26" t="inlineStr">
        <is>
          <t>package</t>
        </is>
      </c>
      <c r="F19" s="26" t="inlineStr">
        <is>
          <t>package</t>
        </is>
      </c>
      <c r="G19" s="27" t="inlineStr">
        <is>
          <t>../test/package/package.test.mjs; ../package.json</t>
        </is>
      </c>
      <c r="H19" s="26" t="inlineStr">
        <is>
          <t>tested</t>
        </is>
      </c>
      <c r="I19" s="26" t="inlineStr">
        <is>
          <t>no</t>
        </is>
      </c>
      <c r="J19" s="28" t="n">
        <v>46232</v>
      </c>
      <c r="K19" s="27" t="inlineStr">
        <is>
          <t>Root, subpath, declaration, and clean-consumer export checks pass.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FD-12</t>
        </is>
      </c>
      <c r="B20" s="26" t="inlineStr">
        <is>
          <t>Types</t>
        </is>
      </c>
      <c r="C20" s="26" t="inlineStr">
        <is>
          <t>Public surface</t>
        </is>
      </c>
      <c r="D20" s="27" t="inlineStr">
        <is>
          <t>Atom Root and Item props, refs, render/asChild composition, native events, aria/data attributes, closed variant and density recipes, className, and style type-check.</t>
        </is>
      </c>
      <c r="E20" s="26" t="inlineStr">
        <is>
          <t>package</t>
        </is>
      </c>
      <c r="F20" s="26" t="inlineStr">
        <is>
          <t>types</t>
        </is>
      </c>
      <c r="G20" s="27" t="inlineStr">
        <is>
          <t>../test/types/components/feed.test.ts</t>
        </is>
      </c>
      <c r="H20" s="26" t="inlineStr">
        <is>
          <t>tested</t>
        </is>
      </c>
      <c r="I20" s="26" t="inlineStr">
        <is>
          <t>no</t>
        </is>
      </c>
      <c r="J20" s="28" t="n">
        <v>46232</v>
      </c>
      <c r="K20" s="27" t="inlineStr">
        <is>
          <t>Positive and negative public-surface type checks pass.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FD-13</t>
        </is>
      </c>
      <c r="B21" s="26" t="inlineStr">
        <is>
          <t>SSR</t>
        </is>
      </c>
      <c r="C21" s="26" t="inlineStr">
        <is>
          <t>Root / Item</t>
        </is>
      </c>
      <c r="D21" s="27" t="inlineStr">
        <is>
          <t>Feed imports server-safely and emits deterministic direct role feed and article anatomy without browser reads during render.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>
        <v>46232</v>
      </c>
      <c r="K21" s="27" t="inlineStr">
        <is>
          <t>SSR and clean React 18/19 consumer checks pass.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FD-14</t>
        </is>
      </c>
      <c r="B22" s="26" t="inlineStr">
        <is>
          <t>CSS</t>
        </is>
      </c>
      <c r="C22" s="26" t="inlineStr">
        <is>
          <t>Root / Item</t>
        </is>
      </c>
      <c r="D22" s="27" t="inlineStr">
        <is>
          <t>Production CSS ships the documented variables, logical layout, divided separators, outline item boundaries, preference fallbacks, and no undeclared global selector.</t>
        </is>
      </c>
      <c r="E22" s="26" t="inlineStr">
        <is>
          <t>package</t>
        </is>
      </c>
      <c r="F22" s="26" t="inlineStr">
        <is>
          <t>css</t>
        </is>
      </c>
      <c r="G22" s="27" t="inlineStr">
        <is>
          <t>../src/components/feed/feed.css; ../scripts/build-styles.mjs</t>
        </is>
      </c>
      <c r="H22" s="26" t="inlineStr">
        <is>
          <t>tested</t>
        </is>
      </c>
      <c r="I22" s="26" t="inlineStr">
        <is>
          <t>no</t>
        </is>
      </c>
      <c r="J22" s="28" t="n">
        <v>46232</v>
      </c>
      <c r="K22" s="27" t="inlineStr">
        <is>
          <t>Production CSS, prototype, package, and semantic documentation checks pass.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FD-15</t>
        </is>
      </c>
      <c r="B23" s="26" t="inlineStr">
        <is>
          <t>Variants</t>
        </is>
      </c>
      <c r="C23" s="26" t="inlineStr">
        <is>
          <t>Root / Item</t>
        </is>
      </c>
      <c r="D23" s="27" t="inlineStr">
        <is>
          <t>Plain, divided, and outline recipes change only article separation and neutral surface treatment; each outline Item owns its rounded background and border.</t>
        </is>
      </c>
      <c r="E23" s="26" t="inlineStr">
        <is>
          <t>browser</t>
        </is>
      </c>
      <c r="F23" s="26" t="inlineStr">
        <is>
          <t>visual</t>
        </is>
      </c>
      <c r="G23" s="27" t="inlineStr">
        <is>
          <t>tests/components/feed/behavior.spec.ts; tests/components/feed/visual.spec.ts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46232</v>
      </c>
      <c r="K23" s="27" t="inlineStr">
        <is>
          <t>Recipe geometry and rounded containment baselines pass.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FD-16</t>
        </is>
      </c>
      <c r="B24" s="26" t="inlineStr">
        <is>
          <t>Density</t>
        </is>
      </c>
      <c r="C24" s="26" t="inlineStr">
        <is>
          <t>Root / Item</t>
        </is>
      </c>
      <c r="D24" s="27" t="inlineStr">
        <is>
          <t>Compact and comfortable recipes change only coordinated gaps and logical Item padding while preserving semantics and action geometry.</t>
        </is>
      </c>
      <c r="E24" s="26" t="inlineStr">
        <is>
          <t>browser</t>
        </is>
      </c>
      <c r="F24" s="26" t="inlineStr">
        <is>
          <t>visual</t>
        </is>
      </c>
      <c r="G24" s="27" t="inlineStr">
        <is>
          <t>tests/components/feed/behavior.spec.ts; tests/components/feed/visual.spec.ts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46232</v>
      </c>
      <c r="K24" s="27" t="inlineStr">
        <is>
          <t>Density comparison and baseline pass.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FD-17</t>
        </is>
      </c>
      <c r="B25" s="26" t="inlineStr">
        <is>
          <t>Focus paint</t>
        </is>
      </c>
      <c r="C25" s="26" t="inlineStr">
        <is>
          <t>Item / descendants</t>
        </is>
      </c>
      <c r="D25" s="27" t="inlineStr">
        <is>
          <t>Focus-visible paint belongs only to the focused Item; focusing a nested link or button paints that descendant without adding an Item outline.</t>
        </is>
      </c>
      <c r="E25" s="26" t="inlineStr">
        <is>
          <t>browser</t>
        </is>
      </c>
      <c r="F25" s="26" t="inlineStr">
        <is>
          <t>visual</t>
        </is>
      </c>
      <c r="G25" s="27" t="inlineStr">
        <is>
          <t>tests/components/feed/behavior.spec.ts; tests/components/feed/visual.spec.ts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46232</v>
      </c>
      <c r="K25" s="27" t="inlineStr">
        <is>
          <t>Item and descendant focus baselines and computed-style assertions pass.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FD-18</t>
        </is>
      </c>
      <c r="B26" s="26" t="inlineStr">
        <is>
          <t>Native composition</t>
        </is>
      </c>
      <c r="C26" s="26" t="inlineStr">
        <is>
          <t>Root / Item</t>
        </is>
      </c>
      <c r="D26" s="27" t="inlineStr">
        <is>
          <t>Classes merge Brick first, public slots remain stable, and className, style, native events, aria/data attributes, children, refs, render, and asChild target the public hosts.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../test/components/feed/feed.test.tsx; tests/components/feed/behavior.spec.ts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46232</v>
      </c>
      <c r="K26" s="27" t="inlineStr">
        <is>
          <t>Component and browser composition assertions pass.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FD-19</t>
        </is>
      </c>
      <c r="B27" s="26" t="inlineStr">
        <is>
          <t>Rich content</t>
        </is>
      </c>
      <c r="C27" s="26" t="inlineStr">
        <is>
          <t>Item children</t>
        </is>
      </c>
      <c r="D27" s="27" t="inlineStr">
        <is>
          <t>Badges, headings, metadata, links, buttons, and arbitrary authored article content remain ordinary children and keep their own semantics and interaction.</t>
        </is>
      </c>
      <c r="E27" s="26" t="inlineStr">
        <is>
          <t>browser</t>
        </is>
      </c>
      <c r="F27" s="26" t="inlineStr">
        <is>
          <t>browser</t>
        </is>
      </c>
      <c r="G27" s="27" t="inlineStr">
        <is>
          <t>tests/components/feed/behavior.spec.ts; src/components/feed/FeedPage.tsx</t>
        </is>
      </c>
      <c r="H27" s="26" t="inlineStr">
        <is>
          <t>tested</t>
        </is>
      </c>
      <c r="I27" s="26" t="inlineStr">
        <is>
          <t>no</t>
        </is>
      </c>
      <c r="J27" s="28" t="n">
        <v>46232</v>
      </c>
      <c r="K27" s="27" t="inlineStr">
        <is>
          <t>Nested-content interaction and accessibility assertions pass.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FD-20</t>
        </is>
      </c>
      <c r="B28" s="26" t="inlineStr">
        <is>
          <t>Responsive</t>
        </is>
      </c>
      <c r="C28" s="26" t="inlineStr">
        <is>
          <t>Root / Item</t>
        </is>
      </c>
      <c r="D28" s="27" t="inlineStr">
        <is>
          <t>Full-width and 320px-constrained streams wrap long localized headings, metadata, summaries, and actions without horizontal component overflow.</t>
        </is>
      </c>
      <c r="E28" s="26" t="inlineStr">
        <is>
          <t>browser</t>
        </is>
      </c>
      <c r="F28" s="26" t="inlineStr">
        <is>
          <t>browser</t>
        </is>
      </c>
      <c r="G28" s="27" t="inlineStr">
        <is>
          <t>tests/components/feed/behavior.spec.ts; tests/components/feed/visual.spec.ts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46232</v>
      </c>
      <c r="K28" s="27" t="inlineStr">
        <is>
          <t>Narrow containment passes in desktop and mobile projects.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FD-21</t>
        </is>
      </c>
      <c r="B29" s="26" t="inlineStr">
        <is>
          <t>RTL</t>
        </is>
      </c>
      <c r="C29" s="26" t="inlineStr">
        <is>
          <t>Root / Item</t>
        </is>
      </c>
      <c r="D29" s="27" t="inlineStr">
        <is>
          <t>Logical padding, metadata, actions, separators, and outline radii visibly follow genuine Arabic page direction without reversing article order or introducing overflow.</t>
        </is>
      </c>
      <c r="E29" s="26" t="inlineStr">
        <is>
          <t>browser</t>
        </is>
      </c>
      <c r="F29" s="26" t="inlineStr">
        <is>
          <t>browser</t>
        </is>
      </c>
      <c r="G29" s="27" t="inlineStr">
        <is>
          <t>tests/components/feed/behavior.spec.ts; tests/components/feed/visual.spec.ts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46232</v>
      </c>
      <c r="K29" s="27" t="inlineStr">
        <is>
          <t>RTL direction, placement, and mobile baseline assertions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FD-22</t>
        </is>
      </c>
      <c r="B30" s="26" t="inlineStr">
        <is>
          <t>Appearance and preferences</t>
        </is>
      </c>
      <c r="C30" s="26" t="inlineStr">
        <is>
          <t>Root / Item</t>
        </is>
      </c>
      <c r="D30" s="27" t="inlineStr">
        <is>
          <t>Separate light and dark scopes, forced colors, and reduced motion retain boundaries, focus visibility, readable content, and no color-only state distinction.</t>
        </is>
      </c>
      <c r="E30" s="26" t="inlineStr">
        <is>
          <t>browser</t>
        </is>
      </c>
      <c r="F30" s="26" t="inlineStr">
        <is>
          <t>visual</t>
        </is>
      </c>
      <c r="G30" s="27" t="inlineStr">
        <is>
          <t>tests/components/feed/behavior.spec.ts; tests/components/feed/visual.spec.ts</t>
        </is>
      </c>
      <c r="H30" s="26" t="inlineStr">
        <is>
          <t>tested</t>
        </is>
      </c>
      <c r="I30" s="26" t="inlineStr">
        <is>
          <t>no</t>
        </is>
      </c>
      <c r="J30" s="28" t="n">
        <v>46232</v>
      </c>
      <c r="K30" s="27" t="inlineStr">
        <is>
          <t>Appearance and forced-color evidence passes.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FD-23</t>
        </is>
      </c>
      <c r="B31" s="26" t="inlineStr">
        <is>
          <t>Customization</t>
        </is>
      </c>
      <c r="C31" s="26" t="inlineStr">
        <is>
          <t>Root / Item</t>
        </is>
      </c>
      <c r="D31" s="27" t="inlineStr">
        <is>
          <t>Documented Feed variables recolor backgrounds, borders, dividers, focus, radius, inset, and spacing while preserving rounded ownership and Atom behavior.</t>
        </is>
      </c>
      <c r="E31" s="26" t="inlineStr">
        <is>
          <t>package</t>
        </is>
      </c>
      <c r="F31" s="26" t="inlineStr">
        <is>
          <t>component</t>
        </is>
      </c>
      <c r="G31" s="27" t="inlineStr">
        <is>
          <t>../test/components/feed/feed.test.tsx; ../docs/components/feed/README.md; tests/components/feed/behavior.spec.ts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46232</v>
      </c>
      <c r="K31" s="27" t="inlineStr">
        <is>
          <t>Customization hooks and rounded-boundary assertions pass.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FD-24</t>
        </is>
      </c>
      <c r="B32" s="26" t="inlineStr">
        <is>
          <t>Accessibility</t>
        </is>
      </c>
      <c r="C32" s="26" t="inlineStr">
        <is>
          <t>Root / Item</t>
        </is>
      </c>
      <c r="D32" s="27" t="inlineStr">
        <is>
          <t>Accessible Feed and Item names, direct article structure, dynamic positions, focus order, keyboard movement, descendant controls, forced-color focus, and focused axe checks pass.</t>
        </is>
      </c>
      <c r="E32" s="26" t="inlineStr">
        <is>
          <t>browser</t>
        </is>
      </c>
      <c r="F32" s="26" t="inlineStr">
        <is>
          <t>axe</t>
        </is>
      </c>
      <c r="G32" s="27" t="inlineStr">
        <is>
          <t>tests/components/feed/behavior.spec.ts; @flowstack-ui/atom 0.19.8 behavior suite</t>
        </is>
      </c>
      <c r="H32" s="26" t="inlineStr">
        <is>
          <t>tested</t>
        </is>
      </c>
      <c r="I32" s="26" t="inlineStr">
        <is>
          <t>no</t>
        </is>
      </c>
      <c r="J32" s="28" t="n">
        <v>46232</v>
      </c>
      <c r="K32" s="27" t="inlineStr">
        <is>
          <t>Semantic and axe assertions pass across the focused five-project matrix.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FD-25</t>
        </is>
      </c>
      <c r="B33" s="26" t="inlineStr">
        <is>
          <t>Playground</t>
        </is>
      </c>
      <c r="C33" s="26" t="inlineStr">
        <is>
          <t>Root / Item</t>
        </is>
      </c>
      <c r="D33" s="27" t="inlineStr">
        <is>
          <t>One route exposes ten ordered, independently padded scenarios with compact badges, titles/descriptions, dynamic state, keyboard, appearance, customization, responsive, and genuine RTL evidence.</t>
        </is>
      </c>
      <c r="E33" s="26" t="inlineStr">
        <is>
          <t>package</t>
        </is>
      </c>
      <c r="F33" s="26" t="inlineStr">
        <is>
          <t>playground</t>
        </is>
      </c>
      <c r="G33" s="27" t="inlineStr">
        <is>
          <t>src/components/feed/FeedPage.tsx; ../scripts/verify-component-tests.mjs</t>
        </is>
      </c>
      <c r="H33" s="26" t="inlineStr">
        <is>
          <t>tested</t>
        </is>
      </c>
      <c r="I33" s="26" t="inlineStr">
        <is>
          <t>no</t>
        </is>
      </c>
      <c r="J33" s="28" t="n">
        <v>46232</v>
      </c>
      <c r="K33" s="27" t="inlineStr">
        <is>
          <t>Ownership, route, primitive, composition, and focused browser checks pass.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FD-26</t>
        </is>
      </c>
      <c r="B34" s="26" t="inlineStr">
        <is>
          <t>Visual baselines</t>
        </is>
      </c>
      <c r="C34" s="26" t="inlineStr">
        <is>
          <t>Root / Item</t>
        </is>
      </c>
      <c r="D34" s="27" t="inlineStr">
        <is>
          <t>Reviewed baselines cover defaults, variants, density, Item focus, descendant focus, busy state, appearance, customization, mobile RTL, and forced colors.</t>
        </is>
      </c>
      <c r="E34" s="26" t="inlineStr">
        <is>
          <t>browser</t>
        </is>
      </c>
      <c r="F34" s="26" t="inlineStr">
        <is>
          <t>visual</t>
        </is>
      </c>
      <c r="G34" s="27" t="inlineStr">
        <is>
          <t>tests/components/feed/visual.spec.ts; tests/components/feed/visual.spec.ts-snapshots</t>
        </is>
      </c>
      <c r="H34" s="26" t="inlineStr">
        <is>
          <t>verified</t>
        </is>
      </c>
      <c r="I34" s="26" t="inlineStr">
        <is>
          <t>yes</t>
        </is>
      </c>
      <c r="J34" s="28" t="n">
        <v>46232</v>
      </c>
      <c r="K34" s="27" t="inlineStr">
        <is>
          <t>Agent inspected all ten Feed-owned Chromium baselines on July 29, 2026.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FD-27</t>
        </is>
      </c>
      <c r="B35" s="26" t="inlineStr">
        <is>
          <t>Documentation</t>
        </is>
      </c>
      <c r="C35" s="26" t="inlineStr">
        <is>
          <t>Public guide / changelog</t>
        </is>
      </c>
      <c r="D35" s="27" t="inlineStr">
        <is>
          <t>The guide documents role, exclusions, anatomy, API, dynamic metadata, keyboard/focus, constraints, recipes, accessibility, customization, refs, examples, and evidence; changelogs record the addition.</t>
        </is>
      </c>
      <c r="E35" s="26" t="inlineStr">
        <is>
          <t>package</t>
        </is>
      </c>
      <c r="F35" s="26" t="inlineStr">
        <is>
          <t>documentation</t>
        </is>
      </c>
      <c r="G35" s="27" t="inlineStr">
        <is>
          <t>../docs/components/feed/README.md; ../docs/components/feed/CHANGELOG.md; ../CHANGELOG.md</t>
        </is>
      </c>
      <c r="H35" s="26" t="inlineStr">
        <is>
          <t>tested</t>
        </is>
      </c>
      <c r="I35" s="26" t="inlineStr">
        <is>
          <t>no</t>
        </is>
      </c>
      <c r="J35" s="28" t="n">
        <v>46232</v>
      </c>
      <c r="K35" s="27" t="inlineStr">
        <is>
          <t>Structural, semantic, index, and changelog verification passes.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FD-28</t>
        </is>
      </c>
      <c r="B36" s="26" t="inlineStr">
        <is>
          <t>Consumer</t>
        </is>
      </c>
      <c r="C36" s="26" t="inlineStr">
        <is>
          <t>Root / Item</t>
        </is>
      </c>
      <c r="D36" s="27" t="inlineStr">
        <is>
          <t>The packed Consumer imports Feed from its public subpath and composes a realistic application-owned activity stream with local item actions and append behavior.</t>
        </is>
      </c>
      <c r="E36" s="26" t="inlineStr">
        <is>
          <t>consumer</t>
        </is>
      </c>
      <c r="F36" s="26" t="inlineStr">
        <is>
          <t>consumer</t>
        </is>
      </c>
      <c r="G36" s="27" t="inlineStr">
        <is>
          <t>../apps/consumer/src/App.tsx; ../apps/consumer/tests/consumer.spec.ts</t>
        </is>
      </c>
      <c r="H36" s="26" t="inlineStr">
        <is>
          <t>tested</t>
        </is>
      </c>
      <c r="I36" s="26" t="inlineStr">
        <is>
          <t>no</t>
        </is>
      </c>
      <c r="J36" s="28" t="n">
        <v>46232</v>
      </c>
      <c r="K36" s="27" t="inlineStr">
        <is>
          <t>Desktop/mobile Consumer suite and packed artifact verification pass.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FD-29</t>
        </is>
      </c>
      <c r="B37" s="26" t="inlineStr">
        <is>
          <t>Manual</t>
        </is>
      </c>
      <c r="C37" s="26" t="inlineStr">
        <is>
          <t>Root / Item</t>
        </is>
      </c>
      <c r="D37" s="27" t="inlineStr">
        <is>
          <t>A tester completes the numbered desktop/mobile, keyboard, scroll reveal, focus handoff, nested-action, dynamic-update, zoom, appearance, preferences, RTL, and assistive-technology protocol.</t>
        </is>
      </c>
      <c r="E37" s="26" t="inlineStr">
        <is>
          <t>human</t>
        </is>
      </c>
      <c r="F37" s="26" t="inlineStr">
        <is>
          <t>manual</t>
        </is>
      </c>
      <c r="G37" s="27" t="inlineStr">
        <is>
          <t>manual-tests/feed.md</t>
        </is>
      </c>
      <c r="H37" s="26" t="inlineStr">
        <is>
          <t>not started</t>
        </is>
      </c>
      <c r="I37" s="26" t="inlineStr">
        <is>
          <t>yes</t>
        </is>
      </c>
      <c r="J37" s="28" t="n"/>
      <c r="K37" s="27" t="inlineStr">
        <is>
          <t>Human manual run intentionally remains the sole component gate.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FD-30</t>
        </is>
      </c>
      <c r="B38" s="26" t="inlineStr">
        <is>
          <t>Package</t>
        </is>
      </c>
      <c r="C38" s="26" t="inlineStr">
        <is>
          <t>Artifact</t>
        </is>
      </c>
      <c r="D38" s="27" t="inlineStr">
        <is>
          <t>Build, declarations, exports, SSR, CSS, docs, tarball, exact Atom 0.20.11, clean React 18/19 consumers, focused five-project browsers, reviewed visuals, and packed Consumer pass.</t>
        </is>
      </c>
      <c r="E38" s="26" t="inlineStr">
        <is>
          <t>package</t>
        </is>
      </c>
      <c r="F38" s="26" t="inlineStr">
        <is>
          <t>package</t>
        </is>
      </c>
      <c r="G38" s="27" t="inlineStr">
        <is>
          <t>../scripts/verify-package.mjs; ../scripts/verify-consumers.mjs; ../scripts/verify-app-consumer.mjs</t>
        </is>
      </c>
      <c r="H38" s="26" t="inlineStr">
        <is>
          <t>tested</t>
        </is>
      </c>
      <c r="I38" s="26" t="inlineStr">
        <is>
          <t>no</t>
        </is>
      </c>
      <c r="J38" s="28" t="n">
        <v>46232</v>
      </c>
      <c r="K38" s="27" t="inlineStr">
        <is>
          <t>Complete non-browser gate, 905-file pack check, 20 focused browser tests, 10 visual baselines, 90 Consumer tests, and packed verification pass.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FD-31</t>
        </is>
      </c>
      <c r="B39" s="26" t="inlineStr">
        <is>
          <t>Boundary</t>
        </is>
      </c>
      <c r="C39" s="26" t="inlineStr">
        <is>
          <t>Root / Item</t>
        </is>
      </c>
      <c r="D39" s="27" t="inlineStr">
        <is>
          <t>Fetching, loading triggers, infinite-scroll observation, virtualization, ranking, filtering, selection, unread state, timestamps, moderation, persistence, and whole-row links remain application-owned.</t>
        </is>
      </c>
      <c r="E39" s="26" t="inlineStr">
        <is>
          <t>package</t>
        </is>
      </c>
      <c r="F39" s="26" t="inlineStr">
        <is>
          <t>documentation</t>
        </is>
      </c>
      <c r="G39" s="27" t="inlineStr">
        <is>
          <t>../docs/components/feed/README.md</t>
        </is>
      </c>
      <c r="H39" s="26" t="inlineStr">
        <is>
          <t>tested</t>
        </is>
      </c>
      <c r="I39" s="26" t="inlineStr">
        <is>
          <t>no</t>
        </is>
      </c>
      <c r="J39" s="28" t="n">
        <v>46232</v>
      </c>
      <c r="K39" s="27" t="inlineStr">
        <is>
          <t>Public boundary and exclusions are documented and verified.</t>
        </is>
      </c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AR-01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0.20.11 AspectRatio geometry without recreating normalization, native CSS sizing,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../src/components/aspect-ratio/AspectRatio.tsx;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boundary is covered by source and component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AR-02</t>
        </is>
      </c>
      <c r="B10" s="26" t="inlineStr">
        <is>
          <t>API</t>
        </is>
      </c>
      <c r="C10" s="26" t="inlineStr">
        <is>
          <t>Root</t>
        </is>
      </c>
      <c r="D10" s="27" t="inlineStr">
        <is>
          <t>Root namespace and named exports expose AspectRatioRoot plus variant, radius, overflow, and props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../test/components/aspect-ratio/aspect-ratio.test.tsx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AR-03</t>
        </is>
      </c>
      <c r="B11" s="26" t="inlineStr">
        <is>
          <t>Anatomy</t>
        </is>
      </c>
      <c r="C11" s="26" t="inlineStr">
        <is>
          <t>Root</t>
        </is>
      </c>
      <c r="D11" s="27" t="inlineStr">
        <is>
          <t>One default div, no Content wrapper, HTMLDivElement ref, Brick class, Atom slot, and recipe attributes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../test/components/aspect-ratio/aspect-ratio.test.tsx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visual unions, numeric-only ratio, native props, refs, asChild, render, and rejected responsive values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../test/types/components/aspect-ratio.test.ts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AR-05</t>
        </is>
      </c>
      <c r="B13" s="26" t="inlineStr">
        <is>
          <t>Exports</t>
        </is>
      </c>
      <c r="C13" s="26" t="inlineStr">
        <is>
          <t>Root</t>
        </is>
      </c>
      <c r="D13" s="27" t="inlineStr">
        <is>
          <t>Root and aspect-ratio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AR-06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Aspect Ratio imports server-safely and emits deterministic layout-only anatomy with child semantics intact.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AR-07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Default 16:9, positive numeric ratios, and invalid-value normalization remain Atom-owned and browser-accurate.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tests/components/aspect-ratio/behavior.spec.ts; @flowstack-ui/atom 0.18.0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AR-08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subtle, and outline change frame paint only without geometry, content, or semantic drift.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tests/components/aspect-ratio/behavior.spec.ts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AR-09</t>
        </is>
      </c>
      <c r="B17" s="26" t="inlineStr">
        <is>
          <t>Radius</t>
        </is>
      </c>
      <c r="C17" s="26" t="inlineStr">
        <is>
          <t>Root</t>
        </is>
      </c>
      <c r="D17" s="27" t="inlineStr">
        <is>
          <t>None, sm, md, lg, and full change only corner geometry with five distinct computed results.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tests/components/aspect-ratio/behavior.spec.ts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AR-10</t>
        </is>
      </c>
      <c r="B18" s="26" t="inlineStr">
        <is>
          <t>Overflow</t>
        </is>
      </c>
      <c r="C18" s="26" t="inlineStr">
        <is>
          <t>Root</t>
        </is>
      </c>
      <c r="D18" s="27" t="inlineStr">
        <is>
          <t>Hidden clips authored edges and visible permits overflow without changing the ratio box size.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tests/components/aspect-ratio/behavior.spec.ts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AR-11</t>
        </is>
      </c>
      <c r="B19" s="26" t="inlineStr">
        <is>
          <t>Content</t>
        </is>
      </c>
      <c r="C19" s="26" t="inlineStr">
        <is>
          <t>Children</t>
        </is>
      </c>
      <c r="D19" s="27" t="inlineStr">
        <is>
          <t>Aspect Ratio does not stretch or position children; Image-like media, iframe, Skeleton, and passive layout retain ownership.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tests/components/aspect-ratio/behavior.spec.ts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AR-12</t>
        </is>
      </c>
      <c r="B20" s="26" t="inlineStr">
        <is>
          <t>Composition</t>
        </is>
      </c>
      <c r="C20" s="26" t="inlineStr">
        <is>
          <t>Root</t>
        </is>
      </c>
      <c r="D20" s="27" t="inlineStr">
        <is>
          <t>Native attributes, events, class, style, custom slot, ref, asChild, and render remain supported without recipe leakage.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../test/components/aspect-ratio/aspect-ratio.test.tsx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AR-13</t>
        </is>
      </c>
      <c r="B21" s="26" t="inlineStr">
        <is>
          <t>Semantics</t>
        </is>
      </c>
      <c r="C21" s="26" t="inlineStr">
        <is>
          <t>Root / children</t>
        </is>
      </c>
      <c r="D21" s="27" t="inlineStr">
        <is>
          <t>Root adds no role, name, focus, state, or announcement while child image and iframe naming remains authoritative.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tests/components/aspect-ratio/behavior.spec.ts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AR-14</t>
        </is>
      </c>
      <c r="B22" s="26" t="inlineStr">
        <is>
          <t>Accessibility</t>
        </is>
      </c>
      <c r="C22" s="26" t="inlineStr">
        <is>
          <t>Root / children</t>
        </is>
      </c>
      <c r="D22" s="27" t="inlineStr">
        <is>
          <t>Authored semantics, focusable descendants, narrow containment, and the component-owned axe scan pass.</t>
        </is>
      </c>
      <c r="E22" s="26" t="inlineStr">
        <is>
          <t>package</t>
        </is>
      </c>
      <c r="F22" s="26" t="inlineStr">
        <is>
          <t>axe</t>
        </is>
      </c>
      <c r="G22" s="27" t="inlineStr">
        <is>
          <t>tests/components/aspect-ratio/behavior.spec.ts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AR-15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At narrow widths Root remains inline-contained and every ratio preserves its width-to-height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tests/components/aspect-ratio/behavior.spec.ts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AR-16</t>
        </is>
      </c>
      <c r="B24" s="26" t="inlineStr">
        <is>
          <t>RTL</t>
        </is>
      </c>
      <c r="C24" s="26" t="inlineStr">
        <is>
          <t>Root / children</t>
        </is>
      </c>
      <c r="D24" s="27" t="inlineStr">
        <is>
          <t>Direction-neutral geometry matches LTR while localized Arabic child content retains RTL direction.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tests/components/aspect-ratio/visual.spec.ts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Automated geometry passes; owner visual judgment remains open.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AR-17</t>
        </is>
      </c>
      <c r="B25" s="26" t="inlineStr">
        <is>
          <t>Appearance</t>
        </is>
      </c>
      <c r="C25" s="26" t="inlineStr">
        <is>
          <t>Root</t>
        </is>
      </c>
      <c r="D25" s="27" t="inlineStr">
        <is>
          <t>Light and dark badge scopes preserve neutral framing and the customized accent specimen remains legible.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tests/components/aspect-ratio/visual.spec.ts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appearance review remains open.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AR-18</t>
        </is>
      </c>
      <c r="B26" s="26" t="inlineStr">
        <is>
          <t>Preferences</t>
        </is>
      </c>
      <c r="C26" s="26" t="inlineStr">
        <is>
          <t>Root</t>
        </is>
      </c>
      <c r="D26" s="27" t="inlineStr">
        <is>
          <t>Forced colors preserves outline boundaries and reduced motion adds no component animation.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tests/components/aspect-ratio/visual.spec.ts; manual-tests/aspect-ratio.md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Automated forced-color baseline exists; complete human preference review remains open.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AR-19</t>
        </is>
      </c>
      <c r="B27" s="26" t="inlineStr">
        <is>
          <t>Customization</t>
        </is>
      </c>
      <c r="C27" s="26" t="inlineStr">
        <is>
          <t>Root</t>
        </is>
      </c>
      <c r="D27" s="27" t="inlineStr">
        <is>
          <t>Five public variables, class, slot, recipe attributes, and consumer style customize framing without overriding Atom ratio authority.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../test/components/aspect-ratio/aspect-ratio.test.tsx; ../docs/components/aspect-ratio/README.md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AR-20</t>
        </is>
      </c>
      <c r="B28" s="26" t="inlineStr">
        <is>
          <t>Playground</t>
        </is>
      </c>
      <c r="C28" s="26" t="inlineStr">
        <is>
          <t>Root</t>
        </is>
      </c>
      <c r="D28" s="27" t="inlineStr">
        <is>
          <t>One navigable Aspect Ratio route exposes nine deterministic scenarios with distinct real content and controlled comparisons.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src/components/aspect-ratio/AspectRatioPage.tsx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role, boundaries, anatomy, API, sizing caveat, recipes, semantics, composition, CSS, customization,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../docs/components/aspect-ratio/README.md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AspectRatio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../docs/components/aspect-ratio/CHANGELOG.md;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AR-23</t>
        </is>
      </c>
      <c r="B31" s="26" t="inlineStr">
        <is>
          <t>Consumer</t>
        </is>
      </c>
      <c r="C31" s="26" t="inlineStr">
        <is>
          <t>Root</t>
        </is>
      </c>
      <c r="D31" s="27" t="inlineStr">
        <is>
          <t>Packed Consumer composes Aspect Ratio from its public subpath with Badge/Text metadata inside a realistic project Card.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inlineStr">
        <is>
          <t>2026-07-28</t>
        </is>
      </c>
      <c r="K31" s="27" t="inlineStr">
        <is>
          <t>Tested through the packed public subpath in the real Consumer on desktop and mobile Chromium.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AR-24</t>
        </is>
      </c>
      <c r="B32" s="26" t="inlineStr">
        <is>
          <t>Visual</t>
        </is>
      </c>
      <c r="C32" s="26" t="inlineStr">
        <is>
          <t>Root / children</t>
        </is>
      </c>
      <c r="D32" s="27" t="inlineStr">
        <is>
          <t>Baselines cover overview, ratios, variants, radii, content, dark customization, mobile RTL, and forced colors.</t>
        </is>
      </c>
      <c r="E32" s="26" t="inlineStr">
        <is>
          <t>package</t>
        </is>
      </c>
      <c r="F32" s="26" t="inlineStr">
        <is>
          <t>visual</t>
        </is>
      </c>
      <c r="G32" s="27" t="inlineStr">
        <is>
          <t>tests/components/aspect-ratio/visual.spec.ts</t>
        </is>
      </c>
      <c r="H32" s="26" t="inlineStr">
        <is>
          <t>implemented</t>
        </is>
      </c>
      <c r="I32" s="26" t="inlineStr">
        <is>
          <t>yes</t>
        </is>
      </c>
      <c r="J32" s="28" t="n">
        <v>46231</v>
      </c>
      <c r="K32" s="27" t="inlineStr">
        <is>
          <t>Owner baseline review remains open.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AR-25</t>
        </is>
      </c>
      <c r="B33" s="26" t="inlineStr">
        <is>
          <t>Manual</t>
        </is>
      </c>
      <c r="C33" s="26" t="inlineStr">
        <is>
          <t>Root / children</t>
        </is>
      </c>
      <c r="D33" s="27" t="inlineStr">
        <is>
          <t>Owner reviews geometry, clipping, semantics, keyboard focus, zoom, touch, RTL, appearances, and preferences.</t>
        </is>
      </c>
      <c r="E33" s="26" t="inlineStr">
        <is>
          <t>package</t>
        </is>
      </c>
      <c r="F33" s="26" t="inlineStr">
        <is>
          <t>manual</t>
        </is>
      </c>
      <c r="G33" s="27" t="inlineStr">
        <is>
          <t>manual-tests/aspect-ratio.md</t>
        </is>
      </c>
      <c r="H33" s="26" t="inlineStr">
        <is>
          <t>not started</t>
        </is>
      </c>
      <c r="I33" s="26" t="inlineStr">
        <is>
          <t>yes</t>
        </is>
      </c>
      <c r="J33" s="28" t="n"/>
      <c r="K33" s="27" t="inlineStr">
        <is>
          <t>Human run intentionally unclaimed.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AR-26</t>
        </is>
      </c>
      <c r="B34" s="26" t="inlineStr">
        <is>
          <t>Package</t>
        </is>
      </c>
      <c r="C34" s="26" t="inlineStr">
        <is>
          <t>Artifact</t>
        </is>
      </c>
      <c r="D34" s="27" t="inlineStr">
        <is>
          <t>Build, declarations, exports, SSR, CSS, docs, tarball, React 18/19, browser matrix, and packed Consumer pass.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inlineStr">
        <is>
          <t>2026-07-28</t>
        </is>
      </c>
      <c r="K34" s="27" t="inlineStr">
        <is>
          <t>Unit, type, package, SSR, browser, visual, documentation, ownership, Consumer, and CSS build gates pass.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Toolbar Evidence</t>
        </is>
      </c>
    </row>
    <row r="2" ht="27.75" customHeight="1" s="17">
      <c r="A2" s="19" t="inlineStr">
        <is>
          <t>Assertion-level Atom ownership, six-part anatomy, visual recipes, keyboard behavior, toggle models,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COUNTA(A9:A38)</f>
        <v/>
      </c>
      <c r="D4" s="20" t="inlineStr">
        <is>
          <t>Resolved</t>
        </is>
      </c>
      <c r="E4" s="21">
        <f>SUM(M9:M38)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IF(COUNTIFS(E9:E38,"package",M9:M38,0)&gt;0,"open","complete")</f>
        <v/>
      </c>
    </row>
    <row r="5" ht="17.25" customHeight="1" s="17">
      <c r="A5" s="20" t="inlineStr">
        <is>
          <t>Manual review</t>
        </is>
      </c>
      <c r="B5" s="21">
        <f>IF(COUNTIFS(I9:I38,"yes",M9:M38,0)&gt;0,"open","complete")</f>
        <v/>
      </c>
      <c r="D5" s="20" t="inlineStr">
        <is>
          <t>Consumer gate</t>
        </is>
      </c>
      <c r="E5" s="21">
        <f>IF(COUNTIFS(E9:E38,"consumer",M9:M38,0)&gt;0,"open","complete")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TB-01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Toolbar behavior without recreating roving focus, orientation, direction, looping, or toggle state.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../src/components/toolbar/Toolbar.tsx;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ownership is covered by source and focused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TB-02</t>
        </is>
      </c>
      <c r="B10" s="26" t="inlineStr">
        <is>
          <t>API</t>
        </is>
      </c>
      <c r="C10" s="26" t="inlineStr">
        <is>
          <t>Public surface</t>
        </is>
      </c>
      <c r="D10" s="27" t="inlineStr">
        <is>
          <t>The Toolbar namespace and named exports expose Root, Button, Link, Separator, ToggleGroup, ToggleItem, props, size, and variant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../test/components/toolbar/toolbar.test.tsx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TB-03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Six public parts render their exact Atom/native hosts, Brick classes, slots, roles, and relationships without added wrappers.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../test/components/toolbar/toolbar.test.tsx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TB-04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 and size unions, native props, orientation, direction, refs, asChild, render, and toggle models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../test/types/components/toolbar.test.ts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TB-05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toolbar subpath exports preserve namespace and named runtime identity in the packed package.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TB-06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Toolbar imports server-safely and emits deterministic toolbar, command, link, separator, group, and pressed-state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TB-07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The default soft, medium, horizontal, LTR Toolbar remains content-sized and exposes one named toolbar landmark.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tests/components/toolbar/behavior.spec.ts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TB-08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soft, and outline change only the coordinated surface treatment.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tests/components/toolbar/visual.spec.ts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46231</v>
      </c>
      <c r="K16" s="27" t="inlineStr">
        <is>
          <t>Owner comparison review remains open.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TB-09</t>
        </is>
      </c>
      <c r="B17" s="26" t="inlineStr">
        <is>
          <t>Sizes</t>
        </is>
      </c>
      <c r="C17" s="26" t="inlineStr">
        <is>
          <t>Root / items</t>
        </is>
      </c>
      <c r="D17" s="27" t="inlineStr">
        <is>
          <t>Small, medium, and large coordinate root padding, target height, typography, icons, and separators without behavioral drift.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tests/components/toolbar/visual.spec.ts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>
        <v>46231</v>
      </c>
      <c r="K17" s="27" t="inlineStr">
        <is>
          <t>Owner size review remains open.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TB-10</t>
        </is>
      </c>
      <c r="B18" s="26" t="inlineStr">
        <is>
          <t>Commands</t>
        </is>
      </c>
      <c r="C18" s="26" t="inlineStr">
        <is>
          <t>Button</t>
        </is>
      </c>
      <c r="D18" s="27" t="inlineStr">
        <is>
          <t>Command buttons preserve native activation, disabled behavior, naming, focusability, and authored application actions.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../test/components/toolbar/toolbar.test.tsx; tests/components/toolbar/behavior.spec.ts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TB-11</t>
        </is>
      </c>
      <c r="B19" s="26" t="inlineStr">
        <is>
          <t>Links</t>
        </is>
      </c>
      <c r="C19" s="26" t="inlineStr">
        <is>
          <t>Link</t>
        </is>
      </c>
      <c r="D19" s="27" t="inlineStr">
        <is>
          <t>Links retain native anchor navigation and participate in the Toolbar roving-focus sequence without button semantics.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tests/components/toolbar/behavior.spec.ts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TB-12</t>
        </is>
      </c>
      <c r="B20" s="26" t="inlineStr">
        <is>
          <t>Separators</t>
        </is>
      </c>
      <c r="C20" s="26" t="inlineStr">
        <is>
          <t>Separator</t>
        </is>
      </c>
      <c r="D20" s="27" t="inlineStr">
        <is>
          <t>Separators preserve semantic orientation and remain unfocusable visual boundaries.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../test/components/toolbar/toolbar.test.tsx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TB-13</t>
        </is>
      </c>
      <c r="B21" s="26" t="inlineStr">
        <is>
          <t>Single toggle</t>
        </is>
      </c>
      <c r="C21" s="26" t="inlineStr">
        <is>
          <t>ToggleGroup / ToggleItem</t>
        </is>
      </c>
      <c r="D21" s="27" t="inlineStr">
        <is>
          <t>Single-value toggles preserve controlled and uncontrolled Atom state with exact aria-pressed output.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../test/components/toolbar/toolbar.test.tsx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TB-14</t>
        </is>
      </c>
      <c r="B22" s="26" t="inlineStr">
        <is>
          <t>Multiple toggle</t>
        </is>
      </c>
      <c r="C22" s="26" t="inlineStr">
        <is>
          <t>ToggleGroup / ToggleItem</t>
        </is>
      </c>
      <c r="D22" s="27" t="inlineStr">
        <is>
          <t>Multiple-value toggles preserve independent pressed state without Toolbar absorbing selection ownership.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tests/components/toolbar/behavior.spec.ts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TB-15</t>
        </is>
      </c>
      <c r="B23" s="26" t="inlineStr">
        <is>
          <t>Keyboard</t>
        </is>
      </c>
      <c r="C23" s="26" t="inlineStr">
        <is>
          <t>All focusable parts</t>
        </is>
      </c>
      <c r="D23" s="27" t="inlineStr">
        <is>
          <t>One Tab entry, orientation-aware arrows, Home, End, looping, and disabled-item omission remain Atom-owned.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tests/components/toolbar/behavior.spec.ts; @flowstack-ui/atom 0.15.0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TB-16</t>
        </is>
      </c>
      <c r="B24" s="26" t="inlineStr">
        <is>
          <t>Orientation</t>
        </is>
      </c>
      <c r="C24" s="26" t="inlineStr">
        <is>
          <t>Root / Separator</t>
        </is>
      </c>
      <c r="D24" s="27" t="inlineStr">
        <is>
          <t>Horizontal and vertical layouts coordinate main-axis overflow, separator orientation, and direction-aware keyboard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tests/components/toolbar/behavior.spec.ts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TB-17</t>
        </is>
      </c>
      <c r="B25" s="26" t="inlineStr">
        <is>
          <t>Composition</t>
        </is>
      </c>
      <c r="C25" s="26" t="inlineStr">
        <is>
          <t>Root / items</t>
        </is>
      </c>
      <c r="D25" s="27" t="inlineStr">
        <is>
          <t>Native attributes, events, class, style, refs, asChild, render, and popup-trigger composition preserve exact final hosts.</t>
        </is>
      </c>
      <c r="E25" s="26" t="inlineStr">
        <is>
          <t>package</t>
        </is>
      </c>
      <c r="F25" s="26" t="inlineStr">
        <is>
          <t>component</t>
        </is>
      </c>
      <c r="G25" s="27" t="inlineStr">
        <is>
          <t>../test/components/toolbar/toolbar.test.tsx; src/components/toolbar/ToolbarPage.tsx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46231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TB-18</t>
        </is>
      </c>
      <c r="B26" s="26" t="inlineStr">
        <is>
          <t>Responsive</t>
        </is>
      </c>
      <c r="C26" s="26" t="inlineStr">
        <is>
          <t>Root</t>
        </is>
      </c>
      <c r="D26" s="27" t="inlineStr">
        <is>
          <t>Toolbar never wraps and uses main-axis overflow at narrow widths while consumers retain item-priority and overflow-menu ownership.</t>
        </is>
      </c>
      <c r="E26" s="26" t="inlineStr">
        <is>
          <t>package</t>
        </is>
      </c>
      <c r="F26" s="26" t="inlineStr">
        <is>
          <t>browser</t>
        </is>
      </c>
      <c r="G26" s="27" t="inlineStr">
        <is>
          <t>tests/components/toolbar/behavior.spec.ts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TB-19</t>
        </is>
      </c>
      <c r="B27" s="26" t="inlineStr">
        <is>
          <t>RTL</t>
        </is>
      </c>
      <c r="C27" s="26" t="inlineStr">
        <is>
          <t>Root / items</t>
        </is>
      </c>
      <c r="D27" s="27" t="inlineStr">
        <is>
          <t>Localized RTL evidence aligns logically and reverses horizontal Arrow navigation without changing authored DOM order.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tests/components/toolbar/visual.spec.ts; tests/components/toolbar/behavior.spec.ts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Automated RTL behavior passes; owner visual judgment remains open.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TB-20</t>
        </is>
      </c>
      <c r="B28" s="26" t="inlineStr">
        <is>
          <t>Accessibility</t>
        </is>
      </c>
      <c r="C28" s="26" t="inlineStr">
        <is>
          <t>All parts</t>
        </is>
      </c>
      <c r="D28" s="27" t="inlineStr">
        <is>
          <t>Named toolbar/group semantics, native commands and links, pressed state, focus order, disabled omission, and the focused axe scan pass.</t>
        </is>
      </c>
      <c r="E28" s="26" t="inlineStr">
        <is>
          <t>package</t>
        </is>
      </c>
      <c r="F28" s="26" t="inlineStr">
        <is>
          <t>axe</t>
        </is>
      </c>
      <c r="G28" s="27" t="inlineStr">
        <is>
          <t>tests/components/toolbar/behavior.spec.ts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TB-21</t>
        </is>
      </c>
      <c r="B29" s="26" t="inlineStr">
        <is>
          <t>Appearance</t>
        </is>
      </c>
      <c r="C29" s="26" t="inlineStr">
        <is>
          <t>All parts</t>
        </is>
      </c>
      <c r="D29" s="27" t="inlineStr">
        <is>
          <t>Light and dark scopes preserve surface, text, state, separator, and focus contrast; customization remains legible.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tests/components/toolbar/visual.spec.ts</t>
        </is>
      </c>
      <c r="H29" s="26" t="inlineStr">
        <is>
          <t>implemented</t>
        </is>
      </c>
      <c r="I29" s="26" t="inlineStr">
        <is>
          <t>yes</t>
        </is>
      </c>
      <c r="J29" s="28" t="n">
        <v>46231</v>
      </c>
      <c r="K29" s="27" t="inlineStr">
        <is>
          <t>Owner appearance review remains open.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TB-22</t>
        </is>
      </c>
      <c r="B30" s="26" t="inlineStr">
        <is>
          <t>Preferences</t>
        </is>
      </c>
      <c r="C30" s="26" t="inlineStr">
        <is>
          <t>All parts</t>
        </is>
      </c>
      <c r="D30" s="27" t="inlineStr">
        <is>
          <t>Forced colors preserves boundaries, separators, focus, disabled, and pressed cues; reduced motion adds no Toolbar-owned motion.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tests/components/toolbar/visual.spec.ts; manual-tests/toolbar.md</t>
        </is>
      </c>
      <c r="H30" s="26" t="inlineStr">
        <is>
          <t>implemented</t>
        </is>
      </c>
      <c r="I30" s="26" t="inlineStr">
        <is>
          <t>yes</t>
        </is>
      </c>
      <c r="J30" s="28" t="n">
        <v>46231</v>
      </c>
      <c r="K30" s="27" t="inlineStr">
        <is>
          <t>Automated preference baselines exist; human review remains open.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TB-23</t>
        </is>
      </c>
      <c r="B31" s="26" t="inlineStr">
        <is>
          <t>Customization</t>
        </is>
      </c>
      <c r="C31" s="26" t="inlineStr">
        <is>
          <t>All parts</t>
        </is>
      </c>
      <c r="D31" s="27" t="inlineStr">
        <is>
          <t>Documented --brick-toolbar-* variables, stable classes, slots, data attributes, className, and style customize visuals without behavior drift.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../docs/components/toolbar/README.md; src/components/toolbar/ToolbarPage.tsx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TB-24</t>
        </is>
      </c>
      <c r="B32" s="26" t="inlineStr">
        <is>
          <t>Playground</t>
        </is>
      </c>
      <c r="C32" s="26" t="inlineStr">
        <is>
          <t>All parts</t>
        </is>
      </c>
      <c r="D32" s="27" t="inlineStr">
        <is>
          <t>One navigable Toolbar route exposes nine deterministic scenarios with real editor and data-view controls.</t>
        </is>
      </c>
      <c r="E32" s="26" t="inlineStr">
        <is>
          <t>package</t>
        </is>
      </c>
      <c r="F32" s="26" t="inlineStr">
        <is>
          <t>playground</t>
        </is>
      </c>
      <c r="G32" s="27" t="inlineStr">
        <is>
          <t>src/components/toolbar/ToolbarPage.tsx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TB-25</t>
        </is>
      </c>
      <c r="B33" s="26" t="inlineStr">
        <is>
          <t>Documentation</t>
        </is>
      </c>
      <c r="C33" s="26" t="inlineStr">
        <is>
          <t>Public guide</t>
        </is>
      </c>
      <c r="D33" s="27" t="inlineStr">
        <is>
          <t>The guide documents role, boundaries, six-part anatomy, API, keyboard model, recipes, responsive behavior, composition, customization, and exclusions.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../docs/components/toolbar/README.md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TB-26</t>
        </is>
      </c>
      <c r="B34" s="26" t="inlineStr">
        <is>
          <t>Changelog</t>
        </is>
      </c>
      <c r="C34" s="26" t="inlineStr">
        <is>
          <t>Public record</t>
        </is>
      </c>
      <c r="D34" s="27" t="inlineStr">
        <is>
          <t>Component and package changelogs describe the release-facing Toolbar family.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../docs/components/toolbar/CHANGELOG.md; ../CHANGELOG.md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TB-27</t>
        </is>
      </c>
      <c r="B35" s="26" t="inlineStr">
        <is>
          <t>Consumer</t>
        </is>
      </c>
      <c r="C35" s="26" t="inlineStr">
        <is>
          <t>All parts</t>
        </is>
      </c>
      <c r="D35" s="27" t="inlineStr">
        <is>
          <t>The packed Consumer composes document-view commands, separator, view toggles, and a help link through the public Toolbar subpath.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Packed Consumer evidence passes on desktop and mobile Chromium.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TB-28</t>
        </is>
      </c>
      <c r="B36" s="26" t="inlineStr">
        <is>
          <t>Visual</t>
        </is>
      </c>
      <c r="C36" s="26" t="inlineStr">
        <is>
          <t>All parts</t>
        </is>
      </c>
      <c r="D36" s="27" t="inlineStr">
        <is>
          <t>Baselines cover overview, anatomy, variants, sizes, commands, toggles, orientations, appearance, customization, responsive overflow, RTL, and preferences.</t>
        </is>
      </c>
      <c r="E36" s="26" t="inlineStr">
        <is>
          <t>package</t>
        </is>
      </c>
      <c r="F36" s="26" t="inlineStr">
        <is>
          <t>visual</t>
        </is>
      </c>
      <c r="G36" s="27" t="inlineStr">
        <is>
          <t>tests/components/toolbar/visual.spec.ts</t>
        </is>
      </c>
      <c r="H36" s="26" t="inlineStr">
        <is>
          <t>implemented</t>
        </is>
      </c>
      <c r="I36" s="26" t="inlineStr">
        <is>
          <t>yes</t>
        </is>
      </c>
      <c r="J36" s="28" t="n">
        <v>46231</v>
      </c>
      <c r="K36" s="27" t="inlineStr">
        <is>
          <t>Owner baseline review remains open.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TB-29</t>
        </is>
      </c>
      <c r="B37" s="26" t="inlineStr">
        <is>
          <t>Manual</t>
        </is>
      </c>
      <c r="C37" s="26" t="inlineStr">
        <is>
          <t>All parts</t>
        </is>
      </c>
      <c r="D37" s="27" t="inlineStr">
        <is>
          <t>Owner reviews semantics, keyboard order, focus, commands, links, toggles, overflow, zoom, touch, RTL, appearances, and preferences.</t>
        </is>
      </c>
      <c r="E37" s="26" t="inlineStr">
        <is>
          <t>package</t>
        </is>
      </c>
      <c r="F37" s="26" t="inlineStr">
        <is>
          <t>manual</t>
        </is>
      </c>
      <c r="G37" s="27" t="inlineStr">
        <is>
          <t>manual-tests/toolbar.md</t>
        </is>
      </c>
      <c r="H37" s="26" t="inlineStr">
        <is>
          <t>not started</t>
        </is>
      </c>
      <c r="I37" s="26" t="inlineStr">
        <is>
          <t>yes</t>
        </is>
      </c>
      <c r="J37" s="28" t="n"/>
      <c r="K37" s="27" t="inlineStr">
        <is>
          <t>Human run intentionally unclaimed.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TB-30</t>
        </is>
      </c>
      <c r="B38" s="26" t="inlineStr">
        <is>
          <t>Package</t>
        </is>
      </c>
      <c r="C38" s="26" t="inlineStr">
        <is>
          <t>Artifact</t>
        </is>
      </c>
      <c r="D38" s="27" t="inlineStr">
        <is>
          <t>Build, declarations, exports, SSR, CSS, docs, tarball, React 18/19, browser matrix, packed Consumer, and release gates pass.</t>
        </is>
      </c>
      <c r="E38" s="26" t="inlineStr">
        <is>
          <t>package</t>
        </is>
      </c>
      <c r="F38" s="26" t="inlineStr">
        <is>
          <t>package</t>
        </is>
      </c>
      <c r="G38" s="27" t="inlineStr">
        <is>
          <t>../test/package/package.test.mjs; ../scripts/verify-package.mjs</t>
        </is>
      </c>
      <c r="H38" s="26" t="inlineStr">
        <is>
          <t>tested</t>
        </is>
      </c>
      <c r="I38" s="26" t="inlineStr">
        <is>
          <t>no</t>
        </is>
      </c>
      <c r="J38" s="28" t="n">
        <v>46231</v>
      </c>
      <c r="K38" s="27" t="inlineStr">
        <is>
          <t>Local complete release verification passes; GitHub Actions verification is recorded in the private project record.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/>
  </sheetData>
  <autoFilter ref="A8:M38"/>
  <mergeCells count="2">
    <mergeCell ref="A2:M2"/>
    <mergeCell ref="A1:M1"/>
  </mergeCells>
  <conditionalFormatting sqref="H9:H38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3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Chip Evidence</t>
        </is>
      </c>
    </row>
    <row r="2" ht="27.75" customHeight="1" s="17">
      <c r="A2" s="19" t="inlineStr">
        <is>
          <t>Assertion-level Atom ownership, three-part passive value anatomy, visual recipes, explicit removal,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CH-01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Badge and Button primitives without recreating activation or disabled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../src/components/chip/Chip.tsx;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ownership is covered by source and focused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CH-02</t>
        </is>
      </c>
      <c r="B10" s="26" t="inlineStr">
        <is>
          <t>API</t>
        </is>
      </c>
      <c r="C10" s="26" t="inlineStr">
        <is>
          <t>Public surface</t>
        </is>
      </c>
      <c r="D10" s="27" t="inlineStr">
        <is>
          <t>The Chip namespace and named exports expose Root, Label, RemoveTrigger, props, variants, tones, sizes, and shapes.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../test/components/chip/chip.test.tsx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CH-03</t>
        </is>
      </c>
      <c r="B11" s="26" t="inlineStr">
        <is>
          <t>Anatomy</t>
        </is>
      </c>
      <c r="C11" s="26" t="inlineStr">
        <is>
          <t>Root / Label / RemoveTrigger</t>
        </is>
      </c>
      <c r="D11" s="27" t="inlineStr">
        <is>
          <t>Three public parts render their exact Atom/native hosts, Brick classes, slots, metadata, and refs without added wrappers.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../test/components/chip/chip.test.tsx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CH-04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 unions, native props, required accessible removal naming, refs, asChild, and render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../test/types/components/chip.test.ts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CH-05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chip subpath exports preserve namespace and named runtime identity in the built package.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CH-06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Chip imports server-safely and emits deterministic passive span, label, and independently named button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CH-07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The default soft, neutral, medium, pill Chip remains passive and content-sized with no role, tab stop, or selection state.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tests/components/chip/behavior.spec.ts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CH-08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Soft and outline change coordinated surface and border treatment without semantic drift.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tests/components/chip/visual.spec.ts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46231</v>
      </c>
      <c r="K16" s="27" t="inlineStr">
        <is>
          <t>Owner comparison review remains open.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CH-09</t>
        </is>
      </c>
      <c r="B17" s="26" t="inlineStr">
        <is>
          <t>Tones</t>
        </is>
      </c>
      <c r="C17" s="26" t="inlineStr">
        <is>
          <t>Root</t>
        </is>
      </c>
      <c r="D17" s="27" t="inlineStr">
        <is>
          <t>Neutral and accent express identity emphasis without introducing success, warning, or error semantics.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tests/components/chip/visual.spec.ts</t>
        </is>
      </c>
      <c r="H17" s="26" t="inlineStr">
        <is>
          <t>implemented</t>
        </is>
      </c>
      <c r="I17" s="26" t="inlineStr">
        <is>
          <t>yes</t>
        </is>
      </c>
      <c r="J17" s="28" t="n">
        <v>46231</v>
      </c>
      <c r="K17" s="27" t="inlineStr">
        <is>
          <t>Owner tone review remains open.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CH-10</t>
        </is>
      </c>
      <c r="B18" s="26" t="inlineStr">
        <is>
          <t>Sizes</t>
        </is>
      </c>
      <c r="C18" s="26" t="inlineStr">
        <is>
          <t>Root / RemoveTrigger</t>
        </is>
      </c>
      <c r="D18" s="27" t="inlineStr">
        <is>
          <t>Small, medium, and large coordinate typography, leading content, padding, and a minimum 24px remove target.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tests/components/chip/visual.spec.ts; tests/components/chip/behavior.spec.ts</t>
        </is>
      </c>
      <c r="H18" s="26" t="inlineStr">
        <is>
          <t>implemented</t>
        </is>
      </c>
      <c r="I18" s="26" t="inlineStr">
        <is>
          <t>yes</t>
        </is>
      </c>
      <c r="J18" s="28" t="n">
        <v>46231</v>
      </c>
      <c r="K18" s="27" t="inlineStr">
        <is>
          <t>Automated target geometry passes; owner size review remains open.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CH-11</t>
        </is>
      </c>
      <c r="B19" s="26" t="inlineStr">
        <is>
          <t>Shapes</t>
        </is>
      </c>
      <c r="C19" s="26" t="inlineStr">
        <is>
          <t>Root</t>
        </is>
      </c>
      <c r="D19" s="27" t="inlineStr">
        <is>
          <t>Rounded and pill recipes change corners only while preserving anatomy and target geometry.</t>
        </is>
      </c>
      <c r="E19" s="26" t="inlineStr">
        <is>
          <t>package</t>
        </is>
      </c>
      <c r="F19" s="26" t="inlineStr">
        <is>
          <t>visual</t>
        </is>
      </c>
      <c r="G19" s="27" t="inlineStr">
        <is>
          <t>tests/components/chip/visual.spec.ts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46231</v>
      </c>
      <c r="K19" s="27" t="inlineStr">
        <is>
          <t>Owner shape review remains open.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CH-12</t>
        </is>
      </c>
      <c r="B20" s="26" t="inlineStr">
        <is>
          <t>Label</t>
        </is>
      </c>
      <c r="C20" s="26" t="inlineStr">
        <is>
          <t>Label</t>
        </is>
      </c>
      <c r="D20" s="27" t="inlineStr">
        <is>
          <t>Label remains a native one-line span and truncates long authored values without displacing adjacent content.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tests/components/chip/behavior.spec.ts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CH-13</t>
        </is>
      </c>
      <c r="B21" s="26" t="inlineStr">
        <is>
          <t>Leading content</t>
        </is>
      </c>
      <c r="C21" s="26" t="inlineStr">
        <is>
          <t>Root / Label</t>
        </is>
      </c>
      <c r="D21" s="27" t="inlineStr">
        <is>
          <t>Authored Icon and Avatar content align without adding a Chip-owned semantic contract.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tests/components/chip/visual.spec.ts</t>
        </is>
      </c>
      <c r="H21" s="26" t="inlineStr">
        <is>
          <t>implemented</t>
        </is>
      </c>
      <c r="I21" s="26" t="inlineStr">
        <is>
          <t>yes</t>
        </is>
      </c>
      <c r="J21" s="28" t="n">
        <v>46231</v>
      </c>
      <c r="K21" s="27" t="inlineStr">
        <is>
          <t>Owner leading-content review remains open.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CH-14</t>
        </is>
      </c>
      <c r="B22" s="26" t="inlineStr">
        <is>
          <t>Removal</t>
        </is>
      </c>
      <c r="C22" s="26" t="inlineStr">
        <is>
          <t>RemoveTrigger</t>
        </is>
      </c>
      <c r="D22" s="27" t="inlineStr">
        <is>
          <t>An explicitly named native button requests application-owned removal and preserves Enter, Space, click, and focus behavior.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tests/components/chip/behavior.spec.ts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CH-15</t>
        </is>
      </c>
      <c r="B23" s="26" t="inlineStr">
        <is>
          <t>Disabled</t>
        </is>
      </c>
      <c r="C23" s="26" t="inlineStr">
        <is>
          <t>RemoveTrigger</t>
        </is>
      </c>
      <c r="D23" s="27" t="inlineStr">
        <is>
          <t>Disabled removal remains unavailable and exposes stable disabled metadata without disabling the passive value container.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../test/components/chip/chip.test.tsx; tests/components/chip/behavior.spec.ts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CH-16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Native attributes, events, class, style, refs, asChild, render, authored icon content, and custom trigger content preserve final hosts.</t>
        </is>
      </c>
      <c r="E24" s="26" t="inlineStr">
        <is>
          <t>package</t>
        </is>
      </c>
      <c r="F24" s="26" t="inlineStr">
        <is>
          <t>component</t>
        </is>
      </c>
      <c r="G24" s="27" t="inlineStr">
        <is>
          <t>../test/components/chip/chip.test.tsx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CH-17</t>
        </is>
      </c>
      <c r="B25" s="26" t="inlineStr">
        <is>
          <t>Responsive</t>
        </is>
      </c>
      <c r="C25" s="26" t="inlineStr">
        <is>
          <t>Root / Label</t>
        </is>
      </c>
      <c r="D25" s="27" t="inlineStr">
        <is>
          <t>One Chip remains max-width contained while the parent owns wrapping between Chips and the remove target stays visible.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tests/components/chip/behavior.spec.ts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46231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CH-18</t>
        </is>
      </c>
      <c r="B26" s="26" t="inlineStr">
        <is>
          <t>Localization</t>
        </is>
      </c>
      <c r="C26" s="26" t="inlineStr">
        <is>
          <t>Root / Label</t>
        </is>
      </c>
      <c r="D26" s="27" t="inlineStr">
        <is>
          <t>Long English and Arabic values remain contained and use authored localized removal names.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tests/components/chip/visual.spec.ts; tests/components/chip/behavior.spec.ts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Automated containment passes; owner localization review remains open.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CH-19</t>
        </is>
      </c>
      <c r="B27" s="26" t="inlineStr">
        <is>
          <t>RTL</t>
        </is>
      </c>
      <c r="C27" s="26" t="inlineStr">
        <is>
          <t>All parts</t>
        </is>
      </c>
      <c r="D27" s="27" t="inlineStr">
        <is>
          <t>Logical padding and authored child order place label, leading content, and remove action correctly in RTL.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tests/components/chip/visual.spec.ts; tests/components/chip/behavior.spec.ts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Automated RTL geometry passes; owner visual judgment remains open.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CH-20</t>
        </is>
      </c>
      <c r="B28" s="26" t="inlineStr">
        <is>
          <t>Accessibility</t>
        </is>
      </c>
      <c r="C28" s="26" t="inlineStr">
        <is>
          <t>All parts</t>
        </is>
      </c>
      <c r="D28" s="27" t="inlineStr">
        <is>
          <t>Passive Root semantics, localized button naming, native disabled behavior, focus visibility, target geometry, and focused axe scan pass.</t>
        </is>
      </c>
      <c r="E28" s="26" t="inlineStr">
        <is>
          <t>package</t>
        </is>
      </c>
      <c r="F28" s="26" t="inlineStr">
        <is>
          <t>axe</t>
        </is>
      </c>
      <c r="G28" s="27" t="inlineStr">
        <is>
          <t>tests/components/chip/behavior.spec.ts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CH-21</t>
        </is>
      </c>
      <c r="B29" s="26" t="inlineStr">
        <is>
          <t>Appearance</t>
        </is>
      </c>
      <c r="C29" s="26" t="inlineStr">
        <is>
          <t>All parts</t>
        </is>
      </c>
      <c r="D29" s="27" t="inlineStr">
        <is>
          <t>Light and dark scopes preserve surface, border, text, remove-action, and focus contrast.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tests/components/chip/visual.spec.ts</t>
        </is>
      </c>
      <c r="H29" s="26" t="inlineStr">
        <is>
          <t>implemented</t>
        </is>
      </c>
      <c r="I29" s="26" t="inlineStr">
        <is>
          <t>yes</t>
        </is>
      </c>
      <c r="J29" s="28" t="n">
        <v>46231</v>
      </c>
      <c r="K29" s="27" t="inlineStr">
        <is>
          <t>Owner appearance review remains open.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CH-22</t>
        </is>
      </c>
      <c r="B30" s="26" t="inlineStr">
        <is>
          <t>Preferences</t>
        </is>
      </c>
      <c r="C30" s="26" t="inlineStr">
        <is>
          <t>All parts</t>
        </is>
      </c>
      <c r="D30" s="27" t="inlineStr">
        <is>
          <t>Forced colors preserves boundaries, removal, disabled, and focus cues; reduced motion adds no Chip-owned motion.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manual-tests/chip.md</t>
        </is>
      </c>
      <c r="H30" s="26" t="inlineStr">
        <is>
          <t>implemented</t>
        </is>
      </c>
      <c r="I30" s="26" t="inlineStr">
        <is>
          <t>yes</t>
        </is>
      </c>
      <c r="J30" s="28" t="n">
        <v>46231</v>
      </c>
      <c r="K30" s="27" t="inlineStr">
        <is>
          <t>Preference protocol exists; human review remains open.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CH-23</t>
        </is>
      </c>
      <c r="B31" s="26" t="inlineStr">
        <is>
          <t>Customization</t>
        </is>
      </c>
      <c r="C31" s="26" t="inlineStr">
        <is>
          <t>All parts</t>
        </is>
      </c>
      <c r="D31" s="27" t="inlineStr">
        <is>
          <t>Documented --brick-chip-* variables, stable classes, slots, data attributes, className, and style customize paint without semantic drift.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../docs/components/chip/README.md; src/components/chip/ChipPage.tsx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CH-24</t>
        </is>
      </c>
      <c r="B32" s="26" t="inlineStr">
        <is>
          <t>Boundary</t>
        </is>
      </c>
      <c r="C32" s="26" t="inlineStr">
        <is>
          <t>Public guidance</t>
        </is>
      </c>
      <c r="D32" s="27" t="inlineStr">
        <is>
          <t>The playground and guide distinguish Chip values from passive Badge tags and selectable Toggle filters; no Tag export exists.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../docs/components/chip/README.md; src/components/chip/ChipPage.tsx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CH-25</t>
        </is>
      </c>
      <c r="B33" s="26" t="inlineStr">
        <is>
          <t>Playground</t>
        </is>
      </c>
      <c r="C33" s="26" t="inlineStr">
        <is>
          <t>All parts</t>
        </is>
      </c>
      <c r="D33" s="27" t="inlineStr">
        <is>
          <t>One navigable Chip route exposes nine deterministic scenarios for anatomy, recipes, content, removal, containment, appearance, and boundaries.</t>
        </is>
      </c>
      <c r="E33" s="26" t="inlineStr">
        <is>
          <t>package</t>
        </is>
      </c>
      <c r="F33" s="26" t="inlineStr">
        <is>
          <t>playground</t>
        </is>
      </c>
      <c r="G33" s="27" t="inlineStr">
        <is>
          <t>src/components/chip/ChipPage.tsx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CH-26</t>
        </is>
      </c>
      <c r="B34" s="26" t="inlineStr">
        <is>
          <t>Documentation</t>
        </is>
      </c>
      <c r="C34" s="26" t="inlineStr">
        <is>
          <t>Public guide</t>
        </is>
      </c>
      <c r="D34" s="27" t="inlineStr">
        <is>
          <t>The guide documents role, exclusions, anatomy, API, recipes, responsive behavior, accessibility, composition, customization, and tag terminology.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../docs/components/chip/README.md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CH-27</t>
        </is>
      </c>
      <c r="B35" s="26" t="inlineStr">
        <is>
          <t>Changelog</t>
        </is>
      </c>
      <c r="C35" s="26" t="inlineStr">
        <is>
          <t>Public record</t>
        </is>
      </c>
      <c r="D35" s="27" t="inlineStr">
        <is>
          <t>Component and package changelogs describe the release-facing Chip family and its Atom-backed ownership.</t>
        </is>
      </c>
      <c r="E35" s="26" t="inlineStr">
        <is>
          <t>package</t>
        </is>
      </c>
      <c r="F35" s="26" t="inlineStr">
        <is>
          <t>documentation</t>
        </is>
      </c>
      <c r="G35" s="27" t="inlineStr">
        <is>
          <t>../docs/components/chip/CHANGELOG.md; ../CHANGELOG.md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CH-28</t>
        </is>
      </c>
      <c r="B36" s="26" t="inlineStr">
        <is>
          <t>Consumer</t>
        </is>
      </c>
      <c r="C36" s="26" t="inlineStr">
        <is>
          <t>All parts</t>
        </is>
      </c>
      <c r="D36" s="27" t="inlineStr">
        <is>
          <t>The packed Consumer composes removable release-reviewer values through the public chip subpath.</t>
        </is>
      </c>
      <c r="E36" s="26" t="inlineStr">
        <is>
          <t>consumer</t>
        </is>
      </c>
      <c r="F36" s="26" t="inlineStr">
        <is>
          <t>consumer</t>
        </is>
      </c>
      <c r="G36" s="27" t="inlineStr">
        <is>
          <t>../apps/consumer/src/App.tsx; ../apps/consumer/tests/consumer.spec.ts</t>
        </is>
      </c>
      <c r="H36" s="26" t="inlineStr">
        <is>
          <t>tested</t>
        </is>
      </c>
      <c r="I36" s="26" t="inlineStr">
        <is>
          <t>no</t>
        </is>
      </c>
      <c r="J36" s="28" t="n">
        <v>46231</v>
      </c>
      <c r="K36" s="27" t="inlineStr">
        <is>
          <t>Packed Consumer evidence passes on desktop and mobile Chromium.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CH-29</t>
        </is>
      </c>
      <c r="B37" s="26" t="inlineStr">
        <is>
          <t>Visual</t>
        </is>
      </c>
      <c r="C37" s="26" t="inlineStr">
        <is>
          <t>All parts</t>
        </is>
      </c>
      <c r="D37" s="27" t="inlineStr">
        <is>
          <t>Baselines cover overview, recipes, leading content, removal focus, appearance, customization, containment, RTL, and boundaries.</t>
        </is>
      </c>
      <c r="E37" s="26" t="inlineStr">
        <is>
          <t>package</t>
        </is>
      </c>
      <c r="F37" s="26" t="inlineStr">
        <is>
          <t>visual</t>
        </is>
      </c>
      <c r="G37" s="27" t="inlineStr">
        <is>
          <t>tests/components/chip/visual.spec.ts</t>
        </is>
      </c>
      <c r="H37" s="26" t="inlineStr">
        <is>
          <t>implemented</t>
        </is>
      </c>
      <c r="I37" s="26" t="inlineStr">
        <is>
          <t>yes</t>
        </is>
      </c>
      <c r="J37" s="28" t="n">
        <v>46231</v>
      </c>
      <c r="K37" s="27" t="inlineStr">
        <is>
          <t>Owner baseline review remains open.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CH-30</t>
        </is>
      </c>
      <c r="B38" s="26" t="inlineStr">
        <is>
          <t>Manual</t>
        </is>
      </c>
      <c r="C38" s="26" t="inlineStr">
        <is>
          <t>All parts</t>
        </is>
      </c>
      <c r="D38" s="27" t="inlineStr">
        <is>
          <t>Owner reviews semantics, removal focus, disabled state, zoom, touch, localization, RTL, appearances, preferences, and component boundaries.</t>
        </is>
      </c>
      <c r="E38" s="26" t="inlineStr">
        <is>
          <t>package</t>
        </is>
      </c>
      <c r="F38" s="26" t="inlineStr">
        <is>
          <t>manual</t>
        </is>
      </c>
      <c r="G38" s="27" t="inlineStr">
        <is>
          <t>manual-tests/chip.md</t>
        </is>
      </c>
      <c r="H38" s="26" t="inlineStr">
        <is>
          <t>not started</t>
        </is>
      </c>
      <c r="I38" s="26" t="inlineStr">
        <is>
          <t>yes</t>
        </is>
      </c>
      <c r="J38" s="28" t="n"/>
      <c r="K38" s="27" t="inlineStr">
        <is>
          <t>Human run intentionally unclaimed.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CH-31</t>
        </is>
      </c>
      <c r="B39" s="26" t="inlineStr">
        <is>
          <t>Package</t>
        </is>
      </c>
      <c r="C39" s="26" t="inlineStr">
        <is>
          <t>Artifact</t>
        </is>
      </c>
      <c r="D39" s="27" t="inlineStr">
        <is>
          <t>Build, declarations, exports, SSR, CSS, docs, tarball, React 18/19, browser coverage, packed Consumer, and release gates pass.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../scripts/verify-package.mjs</t>
        </is>
      </c>
      <c r="H39" s="26" t="inlineStr">
        <is>
          <t>tested</t>
        </is>
      </c>
      <c r="I39" s="26" t="inlineStr">
        <is>
          <t>no</t>
        </is>
      </c>
      <c r="J39" s="28" t="n">
        <v>46231</v>
      </c>
      <c r="K39" s="27" t="inlineStr">
        <is>
          <t>Complete local check, packed React 18/19 consumers, focused browser suite, and packed Consumer verification pass.</t>
        </is>
      </c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Combobox Evidence</t>
        </is>
      </c>
    </row>
    <row r="2" ht="27.75" customHeight="1" s="17">
      <c r="A2" s="19" t="inlineStr">
        <is>
          <t>Assertion-level Atom-backed package, browser, mobile, human-review, documentation, Consumer, filtering, and positioning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Root/Control</t>
        </is>
      </c>
      <c r="D9" s="27" t="inlineStr">
        <is>
          <t>Compound Combobox and visual context adapt released Atom 0.20.11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../src/components/combobox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CB-02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Label, Control, Input, Clear, Indicator, Portal, Content, Listbox, Group, Item, Empty, and Loading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../test/components/combobox/combobox.test.tsx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CB-03</t>
        </is>
      </c>
      <c r="B11" s="26" t="inlineStr">
        <is>
          <t>Exports</t>
        </is>
      </c>
      <c r="C11" s="26" t="inlineStr">
        <is>
          <t>Combobox</t>
        </is>
      </c>
      <c r="D11" s="27" t="inlineStr">
        <is>
          <t>Root and combobox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CB-04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../test/types/components/combobox.test.ts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CB-05</t>
        </is>
      </c>
      <c r="B13" s="26" t="inlineStr">
        <is>
          <t>CSS</t>
        </is>
      </c>
      <c r="C13" s="26" t="inlineStr">
        <is>
          <t>Control/Content/Item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../src/components/combobox/combobox.css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CB-06</t>
        </is>
      </c>
      <c r="B14" s="26" t="inlineStr">
        <is>
          <t>Filtering</t>
        </is>
      </c>
      <c r="C14" s="26" t="inlineStr">
        <is>
          <t>Input/Listbox</t>
        </is>
      </c>
      <c r="D14" s="27" t="inlineStr">
        <is>
          <t>Typing filters authored options and exposes an empty result.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tests/components/combobox/behavior.spec.ts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CB-07</t>
        </is>
      </c>
      <c r="B15" s="26" t="inlineStr">
        <is>
          <t>Selection</t>
        </is>
      </c>
      <c r="C15" s="26" t="inlineStr">
        <is>
          <t>Input/Item/Clear</t>
        </is>
      </c>
      <c r="D15" s="27" t="inlineStr">
        <is>
          <t>Keyboard and pointer selection update one value and Clear removes it.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tests/components/combobox/behavior.spec.ts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CB-08</t>
        </is>
      </c>
      <c r="B16" s="26" t="inlineStr">
        <is>
          <t>Free text</t>
        </is>
      </c>
      <c r="C16" s="26" t="inlineStr">
        <is>
          <t>Root/Input</t>
        </is>
      </c>
      <c r="D16" s="27" t="inlineStr">
        <is>
          <t>freeSolo permits values outside the option set.</t>
        </is>
      </c>
      <c r="E16" s="26" t="inlineStr">
        <is>
          <t>package</t>
        </is>
      </c>
      <c r="F16" s="26" t="inlineStr">
        <is>
          <t>component</t>
        </is>
      </c>
      <c r="G16" s="27" t="inlineStr">
        <is>
          <t>../test/components/combobox/combobox.test.tsx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Focused implementation evidence passes.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CB-09</t>
        </is>
      </c>
      <c r="B17" s="26" t="inlineStr">
        <is>
          <t>States</t>
        </is>
      </c>
      <c r="C17" s="26" t="inlineStr">
        <is>
          <t>Input/Item/Messages</t>
        </is>
      </c>
      <c r="D17" s="27" t="inlineStr">
        <is>
          <t>Disabled, read-only, highlighted, selected, empty, and loading states remain distinct.</t>
        </is>
      </c>
      <c r="E17" s="26" t="inlineStr">
        <is>
          <t>human</t>
        </is>
      </c>
      <c r="F17" s="26" t="inlineStr">
        <is>
          <t>visual</t>
        </is>
      </c>
      <c r="G17" s="27" t="inlineStr">
        <is>
          <t>tests/components/combobox/visual.spec.ts</t>
        </is>
      </c>
      <c r="H17" s="26" t="inlineStr">
        <is>
          <t>implemented</t>
        </is>
      </c>
      <c r="I17" s="26" t="inlineStr">
        <is>
          <t>yes</t>
        </is>
      </c>
      <c r="J17" s="28" t="inlineStr">
        <is>
          <t>Combobox implementation evidence added; manual human-review rows remain open.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CB-10</t>
        </is>
      </c>
      <c r="B18" s="26" t="inlineStr">
        <is>
          <t>Recipes</t>
        </is>
      </c>
      <c r="C18" s="26" t="inlineStr">
        <is>
          <t>Control</t>
        </is>
      </c>
      <c r="D18" s="27" t="inlineStr">
        <is>
          <t>Outline, soft, underline, sizes, shapes, and width retain closed recipe data.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tests/components/combobox/behavior.spec.ts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CB-11</t>
        </is>
      </c>
      <c r="B19" s="26" t="inlineStr">
        <is>
          <t>Positioning</t>
        </is>
      </c>
      <c r="C19" s="26" t="inlineStr">
        <is>
          <t>Content</t>
        </is>
      </c>
      <c r="D19" s="27" t="inlineStr">
        <is>
          <t>Popup exposes collision-resolved side and remains viewport bounded.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tests/components/combobox/behavior.spec.ts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Focused implementation evidence passes.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CB-12</t>
        </is>
      </c>
      <c r="B20" s="26" t="inlineStr">
        <is>
          <t>Touch</t>
        </is>
      </c>
      <c r="C20" s="26" t="inlineStr">
        <is>
          <t>Content</t>
        </is>
      </c>
      <c r="D20" s="27" t="inlineStr">
        <is>
          <t>Atom 0.20.11 defers outside-touch dismissal; physical mobile scrolling and flipping remain reachable.</t>
        </is>
      </c>
      <c r="E20" s="26" t="inlineStr">
        <is>
          <t>human</t>
        </is>
      </c>
      <c r="F20" s="26" t="inlineStr">
        <is>
          <t>manual</t>
        </is>
      </c>
      <c r="G20" s="27" t="inlineStr">
        <is>
          <t>manual-tests/combobox.md</t>
        </is>
      </c>
      <c r="H20" s="26" t="inlineStr">
        <is>
          <t>implemented</t>
        </is>
      </c>
      <c r="I20" s="26" t="inlineStr">
        <is>
          <t>yes</t>
        </is>
      </c>
      <c r="J20" s="28" t="inlineStr">
        <is>
          <t>Combobox implementation evidence added; manual human-review rows remain open.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CB-13</t>
        </is>
      </c>
      <c r="B21" s="26" t="inlineStr">
        <is>
          <t>Accessibility</t>
        </is>
      </c>
      <c r="C21" s="26" t="inlineStr">
        <is>
          <t>All parts</t>
        </is>
      </c>
      <c r="D21" s="27" t="inlineStr">
        <is>
          <t>Combobox route has no automated axe violations and preserves native roles.</t>
        </is>
      </c>
      <c r="E21" s="26" t="inlineStr">
        <is>
          <t>browser</t>
        </is>
      </c>
      <c r="F21" s="26" t="inlineStr">
        <is>
          <t>axe</t>
        </is>
      </c>
      <c r="G21" s="27" t="inlineStr">
        <is>
          <t>tests/components/combobox/behavior.spec.ts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Focused implementation evidence passes.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CB-14</t>
        </is>
      </c>
      <c r="B22" s="26" t="inlineStr">
        <is>
          <t>Appearance</t>
        </is>
      </c>
      <c r="C22" s="26" t="inlineStr">
        <is>
          <t>All parts</t>
        </is>
      </c>
      <c r="D22" s="27" t="inlineStr">
        <is>
          <t>Light, dark, and forced-color states retain contrast and visible focus.</t>
        </is>
      </c>
      <c r="E22" s="26" t="inlineStr">
        <is>
          <t>human</t>
        </is>
      </c>
      <c r="F22" s="26" t="inlineStr">
        <is>
          <t>visual</t>
        </is>
      </c>
      <c r="G22" s="27" t="inlineStr">
        <is>
          <t>tests/components/combobox/visual.spec.ts</t>
        </is>
      </c>
      <c r="H22" s="26" t="inlineStr">
        <is>
          <t>implemented</t>
        </is>
      </c>
      <c r="I22" s="26" t="inlineStr">
        <is>
          <t>yes</t>
        </is>
      </c>
      <c r="J22" s="28" t="inlineStr">
        <is>
          <t>Combobox implementation evidence added; manual human-review rows remain open.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CB-15</t>
        </is>
      </c>
      <c r="B23" s="26" t="inlineStr">
        <is>
          <t>Responsive</t>
        </is>
      </c>
      <c r="C23" s="26" t="inlineStr">
        <is>
          <t>Control/Content</t>
        </is>
      </c>
      <c r="D23" s="27" t="inlineStr">
        <is>
          <t>Narrow, zoomed, and keyboard-open layouts remain reachable without page overflow.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manual-tests/combobox.md</t>
        </is>
      </c>
      <c r="H23" s="26" t="inlineStr">
        <is>
          <t>implemented</t>
        </is>
      </c>
      <c r="I23" s="26" t="inlineStr">
        <is>
          <t>yes</t>
        </is>
      </c>
      <c r="J23" s="28" t="inlineStr">
        <is>
          <t>Combobox implementation evidence added; manual human-review rows remain open.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CB-16</t>
        </is>
      </c>
      <c r="B24" s="26" t="inlineStr">
        <is>
          <t>RTL</t>
        </is>
      </c>
      <c r="C24" s="26" t="inlineStr">
        <is>
          <t>Control/Content</t>
        </is>
      </c>
      <c r="D24" s="27" t="inlineStr">
        <is>
          <t>Arabic RTL uses logical control and popup placement.</t>
        </is>
      </c>
      <c r="E24" s="26" t="inlineStr">
        <is>
          <t>human</t>
        </is>
      </c>
      <c r="F24" s="26" t="inlineStr">
        <is>
          <t>visual</t>
        </is>
      </c>
      <c r="G24" s="27" t="inlineStr">
        <is>
          <t>tests/components/combobox/visual.spec.ts</t>
        </is>
      </c>
      <c r="H24" s="26" t="inlineStr">
        <is>
          <t>implemented</t>
        </is>
      </c>
      <c r="I24" s="26" t="inlineStr">
        <is>
          <t>yes</t>
        </is>
      </c>
      <c r="J24" s="28" t="inlineStr">
        <is>
          <t>Combobox implementation evidence added; manual human-review rows remain open.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CB-17</t>
        </is>
      </c>
      <c r="B25" s="26" t="inlineStr">
        <is>
          <t>Customization</t>
        </is>
      </c>
      <c r="C25" s="26" t="inlineStr">
        <is>
          <t>Control</t>
        </is>
      </c>
      <c r="D25" s="27" t="inlineStr">
        <is>
          <t>Documented variables customize paint and radius without changing anatomy.</t>
        </is>
      </c>
      <c r="E25" s="26" t="inlineStr">
        <is>
          <t>human</t>
        </is>
      </c>
      <c r="F25" s="26" t="inlineStr">
        <is>
          <t>manual</t>
        </is>
      </c>
      <c r="G25" s="27" t="inlineStr">
        <is>
          <t>manual-tests/combobox.md</t>
        </is>
      </c>
      <c r="H25" s="26" t="inlineStr">
        <is>
          <t>implemented</t>
        </is>
      </c>
      <c r="I25" s="26" t="inlineStr">
        <is>
          <t>yes</t>
        </is>
      </c>
      <c r="J25" s="28" t="inlineStr">
        <is>
          <t>Combobox implementation evidence added; manual human-review rows remain open.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CB-18</t>
        </is>
      </c>
      <c r="B26" s="26" t="inlineStr">
        <is>
          <t>Documentation</t>
        </is>
      </c>
      <c r="C26" s="26" t="inlineStr">
        <is>
          <t>Combobox</t>
        </is>
      </c>
      <c r="D26" s="27" t="inlineStr">
        <is>
          <t>Guide, changelog, contract metadata, and nine scenarios agree.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../docs/components/combobox/README.md</t>
        </is>
      </c>
      <c r="H26" s="26" t="inlineStr">
        <is>
          <t>tested</t>
        </is>
      </c>
      <c r="I26" s="26" t="inlineStr">
        <is>
          <t>no</t>
        </is>
      </c>
      <c r="J26" s="28" t="inlineStr">
        <is>
          <t>Focused implementation evidence passes.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CB-19</t>
        </is>
      </c>
      <c r="B27" s="26" t="inlineStr">
        <is>
          <t>Consumer</t>
        </is>
      </c>
      <c r="C27" s="26" t="inlineStr">
        <is>
          <t>Combobox</t>
        </is>
      </c>
      <c r="D27" s="27" t="inlineStr">
        <is>
          <t>Packed Consumer imports the public subpath and filters/selects a realistic city.</t>
        </is>
      </c>
      <c r="E27" s="26" t="inlineStr">
        <is>
          <t>consumer</t>
        </is>
      </c>
      <c r="F27" s="26" t="inlineStr">
        <is>
          <t>consumer</t>
        </is>
      </c>
      <c r="G27" s="27" t="inlineStr">
        <is>
          <t>../apps/consumer/tests/consumer.spec.ts</t>
        </is>
      </c>
      <c r="H27" s="26" t="inlineStr">
        <is>
          <t>tested</t>
        </is>
      </c>
      <c r="I27" s="26" t="inlineStr">
        <is>
          <t>no</t>
        </is>
      </c>
      <c r="J27" s="28" t="inlineStr">
        <is>
          <t>Focused implementation evidence passes.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inlineStr">
        <is>
          <t>CB-20</t>
        </is>
      </c>
      <c r="B28" s="26" t="inlineStr">
        <is>
          <t>Package</t>
        </is>
      </c>
      <c r="C28" s="26" t="inlineStr">
        <is>
          <t>Combobox</t>
        </is>
      </c>
      <c r="D28" s="27" t="inlineStr">
        <is>
          <t>Packed artifact and clean React 18/19 consumers resolve JS, types, CSS, and Atom 0.20.11.</t>
        </is>
      </c>
      <c r="E28" s="26" t="inlineStr">
        <is>
          <t>consumer</t>
        </is>
      </c>
      <c r="F28" s="26" t="inlineStr">
        <is>
          <t>package</t>
        </is>
      </c>
      <c r="G28" s="27" t="inlineStr">
        <is>
          <t>../scripts/verify-consumers.mjs</t>
        </is>
      </c>
      <c r="H28" s="26" t="inlineStr">
        <is>
          <t>tested</t>
        </is>
      </c>
      <c r="I28" s="26" t="inlineStr">
        <is>
          <t>no</t>
        </is>
      </c>
      <c r="J28" s="28" t="inlineStr">
        <is>
          <t>Focused implementation evidence passes.</t>
        </is>
      </c>
      <c r="K28" s="27" t="n"/>
      <c r="L28" s="26" t="n"/>
      <c r="M28" s="26">
        <f>IF(OR(H28="tested",H28="verified",H28="not applicable"),1,0)</f>
        <v/>
      </c>
    </row>
    <row r="29" ht="23.25" customHeight="1" s="17">
      <c r="A29" s="26" t="inlineStr">
        <is>
          <t>CB-21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Numbered owner protocol covers visual, keyboard, touch, assistive technology, preferences, zoom, and RTL.</t>
        </is>
      </c>
      <c r="E29" s="26" t="inlineStr">
        <is>
          <t>human</t>
        </is>
      </c>
      <c r="F29" s="26" t="inlineStr">
        <is>
          <t>manual</t>
        </is>
      </c>
      <c r="G29" s="27" t="inlineStr">
        <is>
          <t>manual-tests/combobox.md</t>
        </is>
      </c>
      <c r="H29" s="26" t="inlineStr">
        <is>
          <t>implemented</t>
        </is>
      </c>
      <c r="I29" s="26" t="inlineStr">
        <is>
          <t>yes</t>
        </is>
      </c>
      <c r="J29" s="28" t="inlineStr">
        <is>
          <t>Combobox implementation evidence added; manual human-review rows remain open.</t>
        </is>
      </c>
      <c r="K29" s="27" t="n"/>
      <c r="L29" s="26" t="n"/>
      <c r="M29" s="26">
        <f>IF(OR(H29="tested",H29="verified",H29="not applicable"),1,0)</f>
        <v/>
      </c>
    </row>
    <row r="30" ht="23.25" customHeight="1" s="17">
      <c r="A30" s="26" t="inlineStr">
        <is>
          <t>CB-22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snapshots cover default, recipes, states, dark appearance, mobile RTL, and forced colors.</t>
        </is>
      </c>
      <c r="E30" s="26" t="inlineStr">
        <is>
          <t>human</t>
        </is>
      </c>
      <c r="F30" s="26" t="inlineStr">
        <is>
          <t>visual</t>
        </is>
      </c>
      <c r="G30" s="27" t="inlineStr">
        <is>
          <t>tests/components/combobox/visual.spec.ts</t>
        </is>
      </c>
      <c r="H30" s="26" t="inlineStr">
        <is>
          <t>implemented</t>
        </is>
      </c>
      <c r="I30" s="26" t="inlineStr">
        <is>
          <t>yes</t>
        </is>
      </c>
      <c r="J30" s="28" t="inlineStr">
        <is>
          <t>Combobox implementation evidence added; manual human-review rows remain open.</t>
        </is>
      </c>
      <c r="K30" s="27" t="n"/>
      <c r="L30" s="26" t="n"/>
      <c r="M30" s="26">
        <f>IF(OR(H30="tested",H30="verified",H30="not applicable"),1,0)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Number Input Evidence</t>
        </is>
      </c>
    </row>
    <row r="2" ht="27.75" customHeight="1" s="17">
      <c r="A2" s="19" t="inlineStr">
        <is>
          <t>Assertion-level Atom-backed package, browser, human-review, documentation, Consumer, stepping, bounds, and form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NI-01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Compound Number Input adapts released Atom 0.20.11 without recreating stepping or validation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../src/components/number-input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NI-02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Input, Increment, and Decrement are styled and independently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../test/components/number-input/number-input.test.tsx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NI-03</t>
        </is>
      </c>
      <c r="B11" s="26" t="inlineStr">
        <is>
          <t>Exports</t>
        </is>
      </c>
      <c r="C11" s="26" t="inlineStr">
        <is>
          <t>NumberInput</t>
        </is>
      </c>
      <c r="D11" s="27" t="inlineStr">
        <is>
          <t>Root and number-input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NI-04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../test/types/components/number-input.test.ts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NI-05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recipes, state paint, logical actions,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../src/components/number-input/number-input.css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NI-06</t>
        </is>
      </c>
      <c r="B14" s="26" t="inlineStr">
        <is>
          <t>Stepping</t>
        </is>
      </c>
      <c r="C14" s="26" t="inlineStr">
        <is>
          <t>Input/actions</t>
        </is>
      </c>
      <c r="D14" s="27" t="inlineStr">
        <is>
          <t>Pointer and keyboard stepping respect step, precision, minimum, and maximum boundaries.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tests/components/number-input/behavior.spec.ts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NI-07</t>
        </is>
      </c>
      <c r="B15" s="26" t="inlineStr">
        <is>
          <t>Forms</t>
        </is>
      </c>
      <c r="C15" s="26" t="inlineStr">
        <is>
          <t>Root/Input</t>
        </is>
      </c>
      <c r="D15" s="27" t="inlineStr">
        <is>
          <t>Field relationships, required validity, native submission, and focus-on-error remain intact.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tests/components/number-input/behavior.spec.ts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NI-08</t>
        </is>
      </c>
      <c r="B16" s="26" t="inlineStr">
        <is>
          <t>States</t>
        </is>
      </c>
      <c r="C16" s="26" t="inlineStr">
        <is>
          <t>All parts</t>
        </is>
      </c>
      <c r="D16" s="27" t="inlineStr">
        <is>
          <t>Disabled, read-only, invalid, required, and boundary-disabled actions remain distinct.</t>
        </is>
      </c>
      <c r="E16" s="26" t="inlineStr">
        <is>
          <t>human</t>
        </is>
      </c>
      <c r="F16" s="26" t="inlineStr">
        <is>
          <t>visual</t>
        </is>
      </c>
      <c r="G16" s="27" t="inlineStr">
        <is>
          <t>tests/components/number-input/visual.spec.ts</t>
        </is>
      </c>
      <c r="H16" s="26" t="inlineStr">
        <is>
          <t>verified</t>
        </is>
      </c>
      <c r="I16" s="26" t="inlineStr">
        <is>
          <t>yes</t>
        </is>
      </c>
      <c r="J16" s="28" t="inlineStr">
        <is>
          <t>2026-07-28: owner reviewed the generated Chromium baseline and its focused visual assertion.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NI-09</t>
        </is>
      </c>
      <c r="B17" s="26" t="inlineStr">
        <is>
          <t>Recipes</t>
        </is>
      </c>
      <c r="C17" s="26" t="inlineStr">
        <is>
          <t>Root</t>
        </is>
      </c>
      <c r="D17" s="27" t="inlineStr">
        <is>
          <t>Outline, soft, underline, sizes, shapes, and width retain stable recipe data.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tests/components/number-input/behavior.spec.ts</t>
        </is>
      </c>
      <c r="H17" s="26" t="inlineStr">
        <is>
          <t>tested</t>
        </is>
      </c>
      <c r="I17" s="26" t="inlineStr">
        <is>
          <t>no</t>
        </is>
      </c>
      <c r="J17" s="28" t="inlineStr">
        <is>
          <t>Focused implementation evidence passes.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NI-10</t>
        </is>
      </c>
      <c r="B18" s="26" t="inlineStr">
        <is>
          <t>Accessibility</t>
        </is>
      </c>
      <c r="C18" s="26" t="inlineStr">
        <is>
          <t>All parts</t>
        </is>
      </c>
      <c r="D18" s="27" t="inlineStr">
        <is>
          <t>Spinbutton and named step actions expose valid roles and the route has no axe violations.</t>
        </is>
      </c>
      <c r="E18" s="26" t="inlineStr">
        <is>
          <t>browser</t>
        </is>
      </c>
      <c r="F18" s="26" t="inlineStr">
        <is>
          <t>axe</t>
        </is>
      </c>
      <c r="G18" s="27" t="inlineStr">
        <is>
          <t>tests/components/number-input/behavior.spec.ts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NI-11</t>
        </is>
      </c>
      <c r="B19" s="26" t="inlineStr">
        <is>
          <t>Appearance</t>
        </is>
      </c>
      <c r="C19" s="26" t="inlineStr">
        <is>
          <t>All parts</t>
        </is>
      </c>
      <c r="D19" s="27" t="inlineStr">
        <is>
          <t>Light, dark, forced-color, focus, and invalid paint remain legible.</t>
        </is>
      </c>
      <c r="E19" s="26" t="inlineStr">
        <is>
          <t>human</t>
        </is>
      </c>
      <c r="F19" s="26" t="inlineStr">
        <is>
          <t>visual</t>
        </is>
      </c>
      <c r="G19" s="27" t="inlineStr">
        <is>
          <t>tests/components/number-input/visual.spec.ts</t>
        </is>
      </c>
      <c r="H19" s="26" t="inlineStr">
        <is>
          <t>verified</t>
        </is>
      </c>
      <c r="I19" s="26" t="inlineStr">
        <is>
          <t>yes</t>
        </is>
      </c>
      <c r="J19" s="28" t="inlineStr">
        <is>
          <t>2026-07-28: owner reviewed the generated Chromium baseline and its focused visual assertion.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NI-12</t>
        </is>
      </c>
      <c r="B20" s="26" t="inlineStr">
        <is>
          <t>Responsive</t>
        </is>
      </c>
      <c r="C20" s="26" t="inlineStr">
        <is>
          <t>Root</t>
        </is>
      </c>
      <c r="D20" s="27" t="inlineStr">
        <is>
          <t>Narrow and zoomed layouts remain reachable without page overflow.</t>
        </is>
      </c>
      <c r="E20" s="26" t="inlineStr">
        <is>
          <t>human</t>
        </is>
      </c>
      <c r="F20" s="26" t="inlineStr">
        <is>
          <t>manual</t>
        </is>
      </c>
      <c r="G20" s="27" t="inlineStr">
        <is>
          <t>manual-tests/number-input.md</t>
        </is>
      </c>
      <c r="H20" s="26" t="inlineStr">
        <is>
          <t>implemented</t>
        </is>
      </c>
      <c r="I20" s="26" t="inlineStr">
        <is>
          <t>yes</t>
        </is>
      </c>
      <c r="J20" s="28" t="inlineStr">
        <is>
          <t>Implementation evidence exists; required release or human-review gate remains open.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NI-13</t>
        </is>
      </c>
      <c r="B21" s="26" t="inlineStr">
        <is>
          <t>RTL</t>
        </is>
      </c>
      <c r="C21" s="26" t="inlineStr">
        <is>
          <t>Root/actions</t>
        </is>
      </c>
      <c r="D21" s="27" t="inlineStr">
        <is>
          <t>RTL places the logical action rail at the inline start without reversing numeric meaning.</t>
        </is>
      </c>
      <c r="E21" s="26" t="inlineStr">
        <is>
          <t>human</t>
        </is>
      </c>
      <c r="F21" s="26" t="inlineStr">
        <is>
          <t>visual</t>
        </is>
      </c>
      <c r="G21" s="27" t="inlineStr">
        <is>
          <t>tests/components/number-input/visual.spec.ts</t>
        </is>
      </c>
      <c r="H21" s="26" t="inlineStr">
        <is>
          <t>verified</t>
        </is>
      </c>
      <c r="I21" s="26" t="inlineStr">
        <is>
          <t>yes</t>
        </is>
      </c>
      <c r="J21" s="28" t="inlineStr">
        <is>
          <t>2026-07-28: owner reviewed the generated Chromium baseline and its focused visual assertion.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NI-14</t>
        </is>
      </c>
      <c r="B22" s="26" t="inlineStr">
        <is>
          <t>Customization</t>
        </is>
      </c>
      <c r="C22" s="26" t="inlineStr">
        <is>
          <t>Root</t>
        </is>
      </c>
      <c r="D22" s="27" t="inlineStr">
        <is>
          <t>Documented variables customize paint and radius without changing anatomy.</t>
        </is>
      </c>
      <c r="E22" s="26" t="inlineStr">
        <is>
          <t>human</t>
        </is>
      </c>
      <c r="F22" s="26" t="inlineStr">
        <is>
          <t>manual</t>
        </is>
      </c>
      <c r="G22" s="27" t="inlineStr">
        <is>
          <t>manual-tests/number-input.md</t>
        </is>
      </c>
      <c r="H22" s="26" t="inlineStr">
        <is>
          <t>verified</t>
        </is>
      </c>
      <c r="I22" s="26" t="inlineStr">
        <is>
          <t>yes</t>
        </is>
      </c>
      <c r="J22" s="28" t="inlineStr">
        <is>
          <t>2026-07-28: owner reviewed the generated Chromium baseline and its focused visual assertion.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NI-15</t>
        </is>
      </c>
      <c r="B23" s="26" t="inlineStr">
        <is>
          <t>Documentation</t>
        </is>
      </c>
      <c r="C23" s="26" t="inlineStr">
        <is>
          <t>NumberInput</t>
        </is>
      </c>
      <c r="D23" s="27" t="inlineStr">
        <is>
          <t>Guide, changelog, semantic contract, and nine scenarios agree.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../docs/components/number-input/README.md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Focused implementation evidence passes.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NI-16</t>
        </is>
      </c>
      <c r="B24" s="26" t="inlineStr">
        <is>
          <t>Consumer</t>
        </is>
      </c>
      <c r="C24" s="26" t="inlineStr">
        <is>
          <t>NumberInput</t>
        </is>
      </c>
      <c r="D24" s="27" t="inlineStr">
        <is>
          <t>Packed Consumer imports the public subpath and operates a Field-composed seat count.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2026-07-28: packed Consumer evidence passes for the public subpath and clean React 18/19 consumers.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NI-17</t>
        </is>
      </c>
      <c r="B25" s="26" t="inlineStr">
        <is>
          <t>Package</t>
        </is>
      </c>
      <c r="C25" s="26" t="inlineStr">
        <is>
          <t>NumberInput</t>
        </is>
      </c>
      <c r="D25" s="27" t="inlineStr">
        <is>
          <t>Packed artifact and clean React 18/19 consumers resolve JS, types, CSS, and Atom 0.20.11.</t>
        </is>
      </c>
      <c r="E25" s="26" t="inlineStr">
        <is>
          <t>consumer</t>
        </is>
      </c>
      <c r="F25" s="26" t="inlineStr">
        <is>
          <t>package</t>
        </is>
      </c>
      <c r="G25" s="27" t="inlineStr">
        <is>
          <t>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2026-07-28: packed Consumer evidence passes for the public subpath and clean React 18/19 consumers.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NI-18</t>
        </is>
      </c>
      <c r="B26" s="26" t="inlineStr">
        <is>
          <t>Manual</t>
        </is>
      </c>
      <c r="C26" s="26" t="inlineStr">
        <is>
          <t>All parts</t>
        </is>
      </c>
      <c r="D26" s="27" t="inlineStr">
        <is>
          <t>Numbered protocol covers visual, keyboard, pointer, forms, preferences, zoom, and RTL.</t>
        </is>
      </c>
      <c r="E26" s="26" t="inlineStr">
        <is>
          <t>human</t>
        </is>
      </c>
      <c r="F26" s="26" t="inlineStr">
        <is>
          <t>manual</t>
        </is>
      </c>
      <c r="G26" s="27" t="inlineStr">
        <is>
          <t>manual-tests/number-input.md</t>
        </is>
      </c>
      <c r="H26" s="26" t="inlineStr">
        <is>
          <t>implemented</t>
        </is>
      </c>
      <c r="I26" s="26" t="inlineStr">
        <is>
          <t>yes</t>
        </is>
      </c>
      <c r="J26" s="28" t="inlineStr">
        <is>
          <t>Implementation evidence exists; required release or human-review gate remains open.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NI-19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Snapshots cover default, recipes, states, and mobile RTL stress.</t>
        </is>
      </c>
      <c r="E27" s="26" t="inlineStr">
        <is>
          <t>human</t>
        </is>
      </c>
      <c r="F27" s="26" t="inlineStr">
        <is>
          <t>visual</t>
        </is>
      </c>
      <c r="G27" s="27" t="inlineStr">
        <is>
          <t>tests/components/number-input/visual.spec.ts</t>
        </is>
      </c>
      <c r="H27" s="26" t="inlineStr">
        <is>
          <t>verified</t>
        </is>
      </c>
      <c r="I27" s="26" t="inlineStr">
        <is>
          <t>yes</t>
        </is>
      </c>
      <c r="J27" s="28" t="inlineStr">
        <is>
          <t>2026-07-28: owner reviewed the generated Chromium baseline and its focused visual assertion.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n"/>
      <c r="B28" s="26" t="n"/>
      <c r="C28" s="26" t="n"/>
      <c r="D28" s="27" t="n"/>
      <c r="E28" s="26" t="n"/>
      <c r="F28" s="26" t="n"/>
      <c r="G28" s="27" t="n"/>
      <c r="H28" s="26" t="n"/>
      <c r="I28" s="26" t="n"/>
      <c r="J28" s="28" t="n"/>
      <c r="K28" s="27" t="n"/>
      <c r="L28" s="26" t="n"/>
      <c r="M28" s="26" t="n"/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OTP Field Evidence</t>
        </is>
      </c>
    </row>
    <row r="2" ht="27.75" customHeight="1" s="17">
      <c r="A2" s="19" t="inlineStr">
        <is>
          <t>Assertion-level Atom-backed package, browser, human-review, documentation, Consumer, code-entry,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OTP-01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Compound OTP Field adapts released Atom 0.20.11 without recreating value, focus, paste, or validation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../src/components/otp-field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OTP-02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Group, Input, and Separator are styled and independently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../test/components/otp-field/otp-field.test.tsx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OTP-03</t>
        </is>
      </c>
      <c r="B11" s="26" t="inlineStr">
        <is>
          <t>Exports</t>
        </is>
      </c>
      <c r="C11" s="26" t="inlineStr">
        <is>
          <t>OTPField</t>
        </is>
      </c>
      <c r="D11" s="27" t="inlineStr">
        <is>
          <t>Root and otp-field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OTP-04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indexes, layouts,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../test/types/components/otp-field.test.ts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OTP-05</t>
        </is>
      </c>
      <c r="B13" s="26" t="inlineStr">
        <is>
          <t>CSS</t>
        </is>
      </c>
      <c r="C13" s="26" t="inlineStr">
        <is>
          <t>Group/Input</t>
        </is>
      </c>
      <c r="D13" s="27" t="inlineStr">
        <is>
          <t>Static CSS ships separated, attached, state, focus, artwork, and documented variable recipes.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../src/components/otp-field/otp-field.css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OTP-06</t>
        </is>
      </c>
      <c r="B14" s="26" t="inlineStr">
        <is>
          <t>Entry</t>
        </is>
      </c>
      <c r="C14" s="26" t="inlineStr">
        <is>
          <t>Input cells</t>
        </is>
      </c>
      <c r="D14" s="27" t="inlineStr">
        <is>
          <t>Typing filters invalid characters, advances focus, and maintains one complete logical value.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tests/components/otp-field/behavior.spec.ts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OTP-07</t>
        </is>
      </c>
      <c r="B15" s="26" t="inlineStr">
        <is>
          <t>Forms</t>
        </is>
      </c>
      <c r="C15" s="26" t="inlineStr">
        <is>
          <t>Root/Input</t>
        </is>
      </c>
      <c r="D15" s="27" t="inlineStr">
        <is>
          <t>Only the first cell owns required validity and one hidden value submits and resets.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tests/components/otp-field/behavior.spec.ts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OTP-08</t>
        </is>
      </c>
      <c r="B16" s="26" t="inlineStr">
        <is>
          <t>Localization</t>
        </is>
      </c>
      <c r="C16" s="26" t="inlineStr">
        <is>
          <t>Input</t>
        </is>
      </c>
      <c r="D16" s="27" t="inlineStr">
        <is>
          <t>Generated position labels accept consumer-provided translations without changing behavior.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tests/components/otp-field/behavior.spec.ts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Focused implementation evidence passes.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OTP-09</t>
        </is>
      </c>
      <c r="B17" s="26" t="inlineStr">
        <is>
          <t>States</t>
        </is>
      </c>
      <c r="C17" s="26" t="inlineStr">
        <is>
          <t>All parts</t>
        </is>
      </c>
      <c r="D17" s="27" t="inlineStr">
        <is>
          <t>Disabled, read-only, invalid, required, filled, and masked states remain distinct.</t>
        </is>
      </c>
      <c r="E17" s="26" t="inlineStr">
        <is>
          <t>human</t>
        </is>
      </c>
      <c r="F17" s="26" t="inlineStr">
        <is>
          <t>visual</t>
        </is>
      </c>
      <c r="G17" s="27" t="inlineStr">
        <is>
          <t>tests/components/otp-field/visual.spec.ts</t>
        </is>
      </c>
      <c r="H17" s="26" t="inlineStr">
        <is>
          <t>verified</t>
        </is>
      </c>
      <c r="I17" s="26" t="inlineStr">
        <is>
          <t>yes</t>
        </is>
      </c>
      <c r="J17" s="28" t="inlineStr">
        <is>
          <t>2026-07-28: owner reviewed the generated Chromium baseline and its focused visual assertion.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OTP-10</t>
        </is>
      </c>
      <c r="B18" s="26" t="inlineStr">
        <is>
          <t>Recipes</t>
        </is>
      </c>
      <c r="C18" s="26" t="inlineStr">
        <is>
          <t>Root/Group</t>
        </is>
      </c>
      <c r="D18" s="27" t="inlineStr">
        <is>
          <t>Outline, soft, underline, sizes, shapes, separated, and attached layouts retain stable data.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tests/components/otp-field/behavior.spec.ts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OTP-11</t>
        </is>
      </c>
      <c r="B19" s="26" t="inlineStr">
        <is>
          <t>Accessibility</t>
        </is>
      </c>
      <c r="C19" s="26" t="inlineStr">
        <is>
          <t>Root/Input</t>
        </is>
      </c>
      <c r="D19" s="27" t="inlineStr">
        <is>
          <t>The group uses valid ARIA, cells expose position labels, and the route has no axe violations.</t>
        </is>
      </c>
      <c r="E19" s="26" t="inlineStr">
        <is>
          <t>browser</t>
        </is>
      </c>
      <c r="F19" s="26" t="inlineStr">
        <is>
          <t>axe</t>
        </is>
      </c>
      <c r="G19" s="27" t="inlineStr">
        <is>
          <t>tests/components/otp-field/behavior.spec.ts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Focused implementation evidence passes.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OTP-12</t>
        </is>
      </c>
      <c r="B20" s="26" t="inlineStr">
        <is>
          <t>Appearance</t>
        </is>
      </c>
      <c r="C20" s="26" t="inlineStr">
        <is>
          <t>All parts</t>
        </is>
      </c>
      <c r="D20" s="27" t="inlineStr">
        <is>
          <t>Light, dark, forced-color, focus, and invalid paint remain legible.</t>
        </is>
      </c>
      <c r="E20" s="26" t="inlineStr">
        <is>
          <t>human</t>
        </is>
      </c>
      <c r="F20" s="26" t="inlineStr">
        <is>
          <t>visual</t>
        </is>
      </c>
      <c r="G20" s="27" t="inlineStr">
        <is>
          <t>tests/components/otp-field/visual.spec.ts</t>
        </is>
      </c>
      <c r="H20" s="26" t="inlineStr">
        <is>
          <t>verified</t>
        </is>
      </c>
      <c r="I20" s="26" t="inlineStr">
        <is>
          <t>yes</t>
        </is>
      </c>
      <c r="J20" s="28" t="inlineStr">
        <is>
          <t>2026-07-28: owner reviewed the generated Chromium baseline and its focused visual assertion.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OTP-13</t>
        </is>
      </c>
      <c r="B21" s="26" t="inlineStr">
        <is>
          <t>Responsive</t>
        </is>
      </c>
      <c r="C21" s="26" t="inlineStr">
        <is>
          <t>Group</t>
        </is>
      </c>
      <c r="D21" s="27" t="inlineStr">
        <is>
          <t>Narrow and zoomed layouts remain reachable without clipping code cells.</t>
        </is>
      </c>
      <c r="E21" s="26" t="inlineStr">
        <is>
          <t>human</t>
        </is>
      </c>
      <c r="F21" s="26" t="inlineStr">
        <is>
          <t>manual</t>
        </is>
      </c>
      <c r="G21" s="27" t="inlineStr">
        <is>
          <t>manual-tests/otp-field.md</t>
        </is>
      </c>
      <c r="H21" s="26" t="inlineStr">
        <is>
          <t>implemented</t>
        </is>
      </c>
      <c r="I21" s="26" t="inlineStr">
        <is>
          <t>yes</t>
        </is>
      </c>
      <c r="J21" s="28" t="inlineStr">
        <is>
          <t>Implementation evidence exists; required release or human-review gate remains open.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OTP-14</t>
        </is>
      </c>
      <c r="B22" s="26" t="inlineStr">
        <is>
          <t>RTL</t>
        </is>
      </c>
      <c r="C22" s="26" t="inlineStr">
        <is>
          <t>Group</t>
        </is>
      </c>
      <c r="D22" s="27" t="inlineStr">
        <is>
          <t>RTL preserves logical code order and separator placement.</t>
        </is>
      </c>
      <c r="E22" s="26" t="inlineStr">
        <is>
          <t>human</t>
        </is>
      </c>
      <c r="F22" s="26" t="inlineStr">
        <is>
          <t>visual</t>
        </is>
      </c>
      <c r="G22" s="27" t="inlineStr">
        <is>
          <t>tests/components/otp-field/visual.spec.ts</t>
        </is>
      </c>
      <c r="H22" s="26" t="inlineStr">
        <is>
          <t>verified</t>
        </is>
      </c>
      <c r="I22" s="26" t="inlineStr">
        <is>
          <t>yes</t>
        </is>
      </c>
      <c r="J22" s="28" t="inlineStr">
        <is>
          <t>2026-07-28: owner reviewed the generated Chromium baseline and its focused visual assertion.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OTP-15</t>
        </is>
      </c>
      <c r="B23" s="26" t="inlineStr">
        <is>
          <t>Customization</t>
        </is>
      </c>
      <c r="C23" s="26" t="inlineStr">
        <is>
          <t>Input</t>
        </is>
      </c>
      <c r="D23" s="27" t="inlineStr">
        <is>
          <t>Documented variables customize cell size and radius without changing anatomy.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manual-tests/otp-field.md</t>
        </is>
      </c>
      <c r="H23" s="26" t="inlineStr">
        <is>
          <t>verified</t>
        </is>
      </c>
      <c r="I23" s="26" t="inlineStr">
        <is>
          <t>yes</t>
        </is>
      </c>
      <c r="J23" s="28" t="inlineStr">
        <is>
          <t>2026-07-28: owner reviewed the generated Chromium baseline and its focused visual assertion.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OTP-16</t>
        </is>
      </c>
      <c r="B24" s="26" t="inlineStr">
        <is>
          <t>Documentation</t>
        </is>
      </c>
      <c r="C24" s="26" t="inlineStr">
        <is>
          <t>OTPField</t>
        </is>
      </c>
      <c r="D24" s="27" t="inlineStr">
        <is>
          <t>Guide, changelog, semantic contract, and nine scenarios agree.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../docs/components/otp-field/README.md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Focused implementation evidence passes.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OTP-17</t>
        </is>
      </c>
      <c r="B25" s="26" t="inlineStr">
        <is>
          <t>Consumer</t>
        </is>
      </c>
      <c r="C25" s="26" t="inlineStr">
        <is>
          <t>OTPField</t>
        </is>
      </c>
      <c r="D25" s="27" t="inlineStr">
        <is>
          <t>Packed Consumer imports the public subpath and completes a Field-composed code.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2026-07-28: packed Consumer evidence passes for the public subpath and clean React 18/19 consumers.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OTP-18</t>
        </is>
      </c>
      <c r="B26" s="26" t="inlineStr">
        <is>
          <t>Package</t>
        </is>
      </c>
      <c r="C26" s="26" t="inlineStr">
        <is>
          <t>OTPField</t>
        </is>
      </c>
      <c r="D26" s="27" t="inlineStr">
        <is>
          <t>Packed artifact and clean React 18/19 consumers resolve JS, types, CSS, and Atom 0.20.11.</t>
        </is>
      </c>
      <c r="E26" s="26" t="inlineStr">
        <is>
          <t>consumer</t>
        </is>
      </c>
      <c r="F26" s="26" t="inlineStr">
        <is>
          <t>package</t>
        </is>
      </c>
      <c r="G26" s="27" t="inlineStr">
        <is>
          <t>../scripts/verify-consumers.mjs</t>
        </is>
      </c>
      <c r="H26" s="26" t="inlineStr">
        <is>
          <t>tested</t>
        </is>
      </c>
      <c r="I26" s="26" t="inlineStr">
        <is>
          <t>no</t>
        </is>
      </c>
      <c r="J26" s="28" t="inlineStr">
        <is>
          <t>2026-07-28: packed Consumer evidence passes for the public subpath and clean React 18/19 consumers.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OTP-19</t>
        </is>
      </c>
      <c r="B27" s="26" t="inlineStr">
        <is>
          <t>Manual</t>
        </is>
      </c>
      <c r="C27" s="26" t="inlineStr">
        <is>
          <t>All parts</t>
        </is>
      </c>
      <c r="D27" s="27" t="inlineStr">
        <is>
          <t>Numbered protocol covers visual, typing, paste, forms, assistive technology, preferences, zoom, and RTL.</t>
        </is>
      </c>
      <c r="E27" s="26" t="inlineStr">
        <is>
          <t>human</t>
        </is>
      </c>
      <c r="F27" s="26" t="inlineStr">
        <is>
          <t>manual</t>
        </is>
      </c>
      <c r="G27" s="27" t="inlineStr">
        <is>
          <t>manual-tests/otp-field.md</t>
        </is>
      </c>
      <c r="H27" s="26" t="inlineStr">
        <is>
          <t>implemented</t>
        </is>
      </c>
      <c r="I27" s="26" t="inlineStr">
        <is>
          <t>yes</t>
        </is>
      </c>
      <c r="J27" s="28" t="inlineStr">
        <is>
          <t>Implementation evidence exists; required release or human-review gate remains open.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inlineStr">
        <is>
          <t>OTP-20</t>
        </is>
      </c>
      <c r="B28" s="26" t="inlineStr">
        <is>
          <t>Visual</t>
        </is>
      </c>
      <c r="C28" s="26" t="inlineStr">
        <is>
          <t>All parts</t>
        </is>
      </c>
      <c r="D28" s="27" t="inlineStr">
        <is>
          <t>Snapshots cover default, recipes, states, and mobile RTL stress.</t>
        </is>
      </c>
      <c r="E28" s="26" t="inlineStr">
        <is>
          <t>human</t>
        </is>
      </c>
      <c r="F28" s="26" t="inlineStr">
        <is>
          <t>visual</t>
        </is>
      </c>
      <c r="G28" s="27" t="inlineStr">
        <is>
          <t>tests/components/otp-field/visual.spec.ts</t>
        </is>
      </c>
      <c r="H28" s="26" t="inlineStr">
        <is>
          <t>verified</t>
        </is>
      </c>
      <c r="I28" s="26" t="inlineStr">
        <is>
          <t>yes</t>
        </is>
      </c>
      <c r="J28" s="28" t="inlineStr">
        <is>
          <t>2026-07-28: owner reviewed the generated Chromium baseline and its focused visual assertion.</t>
        </is>
      </c>
      <c r="K28" s="27" t="n"/>
      <c r="L28" s="26" t="n"/>
      <c r="M28" s="26">
        <f>IF(OR(H28="tested",H28="verified",H28="not applicable"),1,0)</f>
        <v/>
      </c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Password Toggle Field Evidence</t>
        </is>
      </c>
    </row>
    <row r="2" ht="27.75" customHeight="1" s="17">
      <c r="A2" s="19" t="inlineStr">
        <is>
          <t>Assertion-level Atom-backed package, browser, human-review, documentation, Consumer, visibility,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PTF-01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Compound Password Toggle Field adapts released Atom 0.20.11 without recreating visibility or validation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../src/components/password-toggle-field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PTF-02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Input, Toggle, and Icon are styled and independently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../test/components/password-toggle-field/password-toggle-field.test.tsx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PTF-03</t>
        </is>
      </c>
      <c r="B11" s="26" t="inlineStr">
        <is>
          <t>Exports</t>
        </is>
      </c>
      <c r="C11" s="26" t="inlineStr">
        <is>
          <t>PasswordToggleField</t>
        </is>
      </c>
      <c r="D11" s="27" t="inlineStr">
        <is>
          <t>Root and password-toggle-field subpath exports expose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PTF-04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custom artwork,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../test/types/components/password-toggle-field.test.ts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PTF-05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recipes, states, logical toggle geometry,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../src/components/password-toggle-field/password-toggle-field.css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PTF-06</t>
        </is>
      </c>
      <c r="B14" s="26" t="inlineStr">
        <is>
          <t>Visibility</t>
        </is>
      </c>
      <c r="C14" s="26" t="inlineStr">
        <is>
          <t>Input/Toggle/Icon</t>
        </is>
      </c>
      <c r="D14" s="27" t="inlineStr">
        <is>
          <t>Toggle switches the native input type and synchronizes its label, state, and artwork.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tests/components/password-toggle-field/behavior.spec.ts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PTF-07</t>
        </is>
      </c>
      <c r="B15" s="26" t="inlineStr">
        <is>
          <t>Forms</t>
        </is>
      </c>
      <c r="C15" s="26" t="inlineStr">
        <is>
          <t>Root/Input</t>
        </is>
      </c>
      <c r="D15" s="27" t="inlineStr">
        <is>
          <t>Submission and reset restore a hidden password while preserving Field relationships and validity.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tests/components/password-toggle-field/behavior.spec.ts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PTF-08</t>
        </is>
      </c>
      <c r="B16" s="26" t="inlineStr">
        <is>
          <t>Localization</t>
        </is>
      </c>
      <c r="C16" s="26" t="inlineStr">
        <is>
          <t>Toggle</t>
        </is>
      </c>
      <c r="D16" s="27" t="inlineStr">
        <is>
          <t>Show and hide action labels accept consumer-provided translations.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tests/components/password-toggle-field/behavior.spec.ts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Focused implementation evidence passes.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PTF-09</t>
        </is>
      </c>
      <c r="B17" s="26" t="inlineStr">
        <is>
          <t>States</t>
        </is>
      </c>
      <c r="C17" s="26" t="inlineStr">
        <is>
          <t>All parts</t>
        </is>
      </c>
      <c r="D17" s="27" t="inlineStr">
        <is>
          <t>Disabled, read-only, invalid, required, visible, and hidden states remain distinct.</t>
        </is>
      </c>
      <c r="E17" s="26" t="inlineStr">
        <is>
          <t>human</t>
        </is>
      </c>
      <c r="F17" s="26" t="inlineStr">
        <is>
          <t>visual</t>
        </is>
      </c>
      <c r="G17" s="27" t="inlineStr">
        <is>
          <t>tests/components/password-toggle-field/visual.spec.ts</t>
        </is>
      </c>
      <c r="H17" s="26" t="inlineStr">
        <is>
          <t>verified</t>
        </is>
      </c>
      <c r="I17" s="26" t="inlineStr">
        <is>
          <t>yes</t>
        </is>
      </c>
      <c r="J17" s="28" t="inlineStr">
        <is>
          <t>2026-07-28: owner reviewed the generated Chromium baseline and its focused visual assertion.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PTF-10</t>
        </is>
      </c>
      <c r="B18" s="26" t="inlineStr">
        <is>
          <t>Recipes</t>
        </is>
      </c>
      <c r="C18" s="26" t="inlineStr">
        <is>
          <t>Root</t>
        </is>
      </c>
      <c r="D18" s="27" t="inlineStr">
        <is>
          <t>Outline, soft, underline, sizes, shapes, and width retain stable recipe data.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tests/components/password-toggle-field/behavior.spec.ts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PTF-11</t>
        </is>
      </c>
      <c r="B19" s="26" t="inlineStr">
        <is>
          <t>Accessibility</t>
        </is>
      </c>
      <c r="C19" s="26" t="inlineStr">
        <is>
          <t>Input/Toggle</t>
        </is>
      </c>
      <c r="D19" s="27" t="inlineStr">
        <is>
          <t>Field naming and localized toggle names remain valid and the route has no axe violations.</t>
        </is>
      </c>
      <c r="E19" s="26" t="inlineStr">
        <is>
          <t>browser</t>
        </is>
      </c>
      <c r="F19" s="26" t="inlineStr">
        <is>
          <t>axe</t>
        </is>
      </c>
      <c r="G19" s="27" t="inlineStr">
        <is>
          <t>tests/components/password-toggle-field/behavior.spec.ts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Focused implementation evidence passes.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PTF-12</t>
        </is>
      </c>
      <c r="B20" s="26" t="inlineStr">
        <is>
          <t>Appearance</t>
        </is>
      </c>
      <c r="C20" s="26" t="inlineStr">
        <is>
          <t>All parts</t>
        </is>
      </c>
      <c r="D20" s="27" t="inlineStr">
        <is>
          <t>Light, dark, forced-color, focus, and invalid paint remain legible.</t>
        </is>
      </c>
      <c r="E20" s="26" t="inlineStr">
        <is>
          <t>human</t>
        </is>
      </c>
      <c r="F20" s="26" t="inlineStr">
        <is>
          <t>visual</t>
        </is>
      </c>
      <c r="G20" s="27" t="inlineStr">
        <is>
          <t>tests/components/password-toggle-field/visual.spec.ts</t>
        </is>
      </c>
      <c r="H20" s="26" t="inlineStr">
        <is>
          <t>verified</t>
        </is>
      </c>
      <c r="I20" s="26" t="inlineStr">
        <is>
          <t>yes</t>
        </is>
      </c>
      <c r="J20" s="28" t="inlineStr">
        <is>
          <t>2026-07-28: owner reviewed the generated Chromium baseline and its focused visual assertion.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PTF-13</t>
        </is>
      </c>
      <c r="B21" s="26" t="inlineStr">
        <is>
          <t>Responsive</t>
        </is>
      </c>
      <c r="C21" s="26" t="inlineStr">
        <is>
          <t>Root</t>
        </is>
      </c>
      <c r="D21" s="27" t="inlineStr">
        <is>
          <t>Narrow and zoomed layouts keep the input and toggle reachable without overflow.</t>
        </is>
      </c>
      <c r="E21" s="26" t="inlineStr">
        <is>
          <t>human</t>
        </is>
      </c>
      <c r="F21" s="26" t="inlineStr">
        <is>
          <t>manual</t>
        </is>
      </c>
      <c r="G21" s="27" t="inlineStr">
        <is>
          <t>manual-tests/password-toggle-field.md</t>
        </is>
      </c>
      <c r="H21" s="26" t="inlineStr">
        <is>
          <t>implemented</t>
        </is>
      </c>
      <c r="I21" s="26" t="inlineStr">
        <is>
          <t>yes</t>
        </is>
      </c>
      <c r="J21" s="28" t="inlineStr">
        <is>
          <t>Implementation evidence exists; required release or human-review gate remains open.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PTF-14</t>
        </is>
      </c>
      <c r="B22" s="26" t="inlineStr">
        <is>
          <t>RTL</t>
        </is>
      </c>
      <c r="C22" s="26" t="inlineStr">
        <is>
          <t>Root/Toggle</t>
        </is>
      </c>
      <c r="D22" s="27" t="inlineStr">
        <is>
          <t>RTL places the toggle at logical inline start and retains the localized action.</t>
        </is>
      </c>
      <c r="E22" s="26" t="inlineStr">
        <is>
          <t>human</t>
        </is>
      </c>
      <c r="F22" s="26" t="inlineStr">
        <is>
          <t>visual</t>
        </is>
      </c>
      <c r="G22" s="27" t="inlineStr">
        <is>
          <t>tests/components/password-toggle-field/visual.spec.ts</t>
        </is>
      </c>
      <c r="H22" s="26" t="inlineStr">
        <is>
          <t>verified</t>
        </is>
      </c>
      <c r="I22" s="26" t="inlineStr">
        <is>
          <t>yes</t>
        </is>
      </c>
      <c r="J22" s="28" t="inlineStr">
        <is>
          <t>2026-07-28: owner reviewed the generated Chromium baseline and its focused visual assertion.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PTF-15</t>
        </is>
      </c>
      <c r="B23" s="26" t="inlineStr">
        <is>
          <t>Customization</t>
        </is>
      </c>
      <c r="C23" s="26" t="inlineStr">
        <is>
          <t>Root</t>
        </is>
      </c>
      <c r="D23" s="27" t="inlineStr">
        <is>
          <t>Documented variables customize height and radius without changing anatomy.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manual-tests/password-toggle-field.md</t>
        </is>
      </c>
      <c r="H23" s="26" t="inlineStr">
        <is>
          <t>verified</t>
        </is>
      </c>
      <c r="I23" s="26" t="inlineStr">
        <is>
          <t>yes</t>
        </is>
      </c>
      <c r="J23" s="28" t="inlineStr">
        <is>
          <t>2026-07-28: owner reviewed the generated Chromium baseline and its focused visual assertion.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PTF-16</t>
        </is>
      </c>
      <c r="B24" s="26" t="inlineStr">
        <is>
          <t>Documentation</t>
        </is>
      </c>
      <c r="C24" s="26" t="inlineStr">
        <is>
          <t>PasswordToggleField</t>
        </is>
      </c>
      <c r="D24" s="27" t="inlineStr">
        <is>
          <t>Guide, changelog, semantic contract, and nine scenarios agree.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../docs/components/password-toggle-field/README.md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Focused implementation evidence passes.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PTF-17</t>
        </is>
      </c>
      <c r="B25" s="26" t="inlineStr">
        <is>
          <t>Consumer</t>
        </is>
      </c>
      <c r="C25" s="26" t="inlineStr">
        <is>
          <t>PasswordToggleField</t>
        </is>
      </c>
      <c r="D25" s="27" t="inlineStr">
        <is>
          <t>Packed Consumer imports the public subpath and operates a Field-composed password.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2026-07-28: packed Consumer evidence passes for the public subpath and clean React 18/19 consumers.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PTF-18</t>
        </is>
      </c>
      <c r="B26" s="26" t="inlineStr">
        <is>
          <t>Package</t>
        </is>
      </c>
      <c r="C26" s="26" t="inlineStr">
        <is>
          <t>PasswordToggleField</t>
        </is>
      </c>
      <c r="D26" s="27" t="inlineStr">
        <is>
          <t>Packed artifact and clean React 18/19 consumers resolve JS, types, CSS, and Atom 0.20.11.</t>
        </is>
      </c>
      <c r="E26" s="26" t="inlineStr">
        <is>
          <t>consumer</t>
        </is>
      </c>
      <c r="F26" s="26" t="inlineStr">
        <is>
          <t>package</t>
        </is>
      </c>
      <c r="G26" s="27" t="inlineStr">
        <is>
          <t>../scripts/verify-consumers.mjs</t>
        </is>
      </c>
      <c r="H26" s="26" t="inlineStr">
        <is>
          <t>tested</t>
        </is>
      </c>
      <c r="I26" s="26" t="inlineStr">
        <is>
          <t>no</t>
        </is>
      </c>
      <c r="J26" s="28" t="inlineStr">
        <is>
          <t>2026-07-28: packed Consumer evidence passes for the public subpath and clean React 18/19 consumers.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PTF-19</t>
        </is>
      </c>
      <c r="B27" s="26" t="inlineStr">
        <is>
          <t>Manual</t>
        </is>
      </c>
      <c r="C27" s="26" t="inlineStr">
        <is>
          <t>All parts</t>
        </is>
      </c>
      <c r="D27" s="27" t="inlineStr">
        <is>
          <t>Numbered protocol covers visual, visibility, forms, assistive technology, preferences, zoom, and RTL.</t>
        </is>
      </c>
      <c r="E27" s="26" t="inlineStr">
        <is>
          <t>human</t>
        </is>
      </c>
      <c r="F27" s="26" t="inlineStr">
        <is>
          <t>manual</t>
        </is>
      </c>
      <c r="G27" s="27" t="inlineStr">
        <is>
          <t>manual-tests/password-toggle-field.md</t>
        </is>
      </c>
      <c r="H27" s="26" t="inlineStr">
        <is>
          <t>implemented</t>
        </is>
      </c>
      <c r="I27" s="26" t="inlineStr">
        <is>
          <t>yes</t>
        </is>
      </c>
      <c r="J27" s="28" t="inlineStr">
        <is>
          <t>Implementation evidence exists; required release or human-review gate remains open.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inlineStr">
        <is>
          <t>PTF-20</t>
        </is>
      </c>
      <c r="B28" s="26" t="inlineStr">
        <is>
          <t>Visual</t>
        </is>
      </c>
      <c r="C28" s="26" t="inlineStr">
        <is>
          <t>All parts</t>
        </is>
      </c>
      <c r="D28" s="27" t="inlineStr">
        <is>
          <t>Snapshots cover default, recipes, states, and mobile RTL stress.</t>
        </is>
      </c>
      <c r="E28" s="26" t="inlineStr">
        <is>
          <t>human</t>
        </is>
      </c>
      <c r="F28" s="26" t="inlineStr">
        <is>
          <t>visual</t>
        </is>
      </c>
      <c r="G28" s="27" t="inlineStr">
        <is>
          <t>tests/components/password-toggle-field/visual.spec.ts</t>
        </is>
      </c>
      <c r="H28" s="26" t="inlineStr">
        <is>
          <t>verified</t>
        </is>
      </c>
      <c r="I28" s="26" t="inlineStr">
        <is>
          <t>yes</t>
        </is>
      </c>
      <c r="J28" s="28" t="inlineStr">
        <is>
          <t>2026-07-28: owner reviewed the generated Chromium baseline and its focused visual assertion.</t>
        </is>
      </c>
      <c r="K28" s="27" t="n"/>
      <c r="L28" s="26" t="n"/>
      <c r="M28" s="26">
        <f>IF(OR(H28="tested",H28="verified",H28="not applicable"),1,0)</f>
        <v/>
      </c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Slider Evidence</t>
        </is>
      </c>
    </row>
    <row r="2" ht="27.75" customHeight="1" s="17">
      <c r="A2" s="19" t="inlineStr">
        <is>
          <t>Assertion-level Atom-backed package, browser, mobile, human-review, documentation, Consumer, form, range, and direction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SL-01</t>
        </is>
      </c>
      <c r="B9" s="26" t="inlineStr">
        <is>
          <t>Implementation</t>
        </is>
      </c>
      <c r="C9" s="26" t="inlineStr">
        <is>
          <t>Root/parts</t>
        </is>
      </c>
      <c r="D9" s="27" t="inlineStr">
        <is>
          <t>Six-part Brick adapter delegates behavior and semantics to exact installed Atom 0.20.11.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../src/components/slider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Build and focused adapter suite pass.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SL-02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Track, Range, Thumb, Marker, and ValueLabel are independently styled and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../test/components/slider/slider.test.tsx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component suite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SL-03</t>
        </is>
      </c>
      <c r="B11" s="26" t="inlineStr">
        <is>
          <t>Exports</t>
        </is>
      </c>
      <c r="C11" s="26" t="inlineStr">
        <is>
          <t>Slider</t>
        </is>
      </c>
      <c r="D11" s="27" t="inlineStr">
        <is>
          <t>Root and slider subpath exports expose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../package.json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Build and typecheck pass.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SL-04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Closed size and variant recipes, refs, native props, marker value, and label render details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../test/types/components/slider.test.ts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typecheck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SL-05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horizontal/vertical geometry, RTL, states, recipes, 44px targets,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../src/components/slider/slider.css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Production CSS build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SL-06</t>
        </is>
      </c>
      <c r="B14" s="26" t="inlineStr">
        <is>
          <t>Values</t>
        </is>
      </c>
      <c r="C14" s="26" t="inlineStr">
        <is>
          <t>Root/Thumb</t>
        </is>
      </c>
      <c r="D14" s="27" t="inlineStr">
        <is>
          <t>Single and range values expose correct values and dependent accessible bounds.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tests/components/slider/behavior.spec.ts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Chromium behavior suite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SL-07</t>
        </is>
      </c>
      <c r="B15" s="26" t="inlineStr">
        <is>
          <t>Input</t>
        </is>
      </c>
      <c r="C15" s="26" t="inlineStr">
        <is>
          <t>Thumb</t>
        </is>
      </c>
      <c r="D15" s="27" t="inlineStr">
        <is>
          <t>Keyboard, click, drag, native touch, cancellation, capture loss, vertical, and direction-aware RTL input remain stable.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tests/components/slider/behavior.spec.ts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Cross-browser pointer/capture and native mobile Chromium touch regressions pass against published Atom 0.20.11.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SL-08</t>
        </is>
      </c>
      <c r="B16" s="26" t="inlineStr">
        <is>
          <t>Field/forms</t>
        </is>
      </c>
      <c r="C16" s="26" t="inlineStr">
        <is>
          <t>Root</t>
        </is>
      </c>
      <c r="D16" s="27" t="inlineStr">
        <is>
          <t>Standalone and Field state, one label, hidden named values, submit, and reset contracts are implemented.</t>
        </is>
      </c>
      <c r="E16" s="26" t="inlineStr">
        <is>
          <t>package</t>
        </is>
      </c>
      <c r="F16" s="26" t="inlineStr">
        <is>
          <t>component</t>
        </is>
      </c>
      <c r="G16" s="27" t="inlineStr">
        <is>
          <t>../test/components/slider/slider.test.tsx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Component and Consumer builds pass.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SL-09</t>
        </is>
      </c>
      <c r="B17" s="26" t="inlineStr">
        <is>
          <t>Recipes</t>
        </is>
      </c>
      <c r="C17" s="26" t="inlineStr">
        <is>
          <t>Root</t>
        </is>
      </c>
      <c r="D17" s="27" t="inlineStr">
        <is>
          <t>sm, md, lg and solid, soft recipes preserve interaction geometry.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tests/components/slider/behavior.spec.ts</t>
        </is>
      </c>
      <c r="H17" s="26" t="inlineStr">
        <is>
          <t>tested</t>
        </is>
      </c>
      <c r="I17" s="26" t="inlineStr">
        <is>
          <t>no</t>
        </is>
      </c>
      <c r="J17" s="28" t="inlineStr">
        <is>
          <t>Recipe assertions pass.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SL-10</t>
        </is>
      </c>
      <c r="B18" s="26" t="inlineStr">
        <is>
          <t>Content</t>
        </is>
      </c>
      <c r="C18" s="26" t="inlineStr">
        <is>
          <t>Marker/ValueLabel</t>
        </is>
      </c>
      <c r="D18" s="27" t="inlineStr">
        <is>
          <t>Markers position from authored values and value labels render default or formatted details decoratively.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../test/components/slider/slider.test.tsx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assertions pass.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SL-11</t>
        </is>
      </c>
      <c r="B19" s="26" t="inlineStr">
        <is>
          <t>Appearance</t>
        </is>
      </c>
      <c r="C19" s="26" t="inlineStr">
        <is>
          <t>All parts</t>
        </is>
      </c>
      <c r="D19" s="27" t="inlineStr">
        <is>
          <t>Light, dark, customization, invalid, disabled, read-only, and required paint remain distinct.</t>
        </is>
      </c>
      <c r="E19" s="26" t="inlineStr">
        <is>
          <t>human</t>
        </is>
      </c>
      <c r="F19" s="26" t="inlineStr">
        <is>
          <t>visual</t>
        </is>
      </c>
      <c r="G19" s="27" t="inlineStr">
        <is>
          <t>tests/components/slider/visual.spec.ts</t>
        </is>
      </c>
      <c r="H19" s="26" t="inlineStr">
        <is>
          <t>verified</t>
        </is>
      </c>
      <c r="I19" s="26" t="inlineStr">
        <is>
          <t>yes</t>
        </is>
      </c>
      <c r="J19" s="28" t="inlineStr">
        <is>
          <t>Owner accepted the corrected live appearance; Chromium visual baselines and preference-state evidence pass.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SL-12</t>
        </is>
      </c>
      <c r="B20" s="26" t="inlineStr">
        <is>
          <t>Responsive</t>
        </is>
      </c>
      <c r="C20" s="26" t="inlineStr">
        <is>
          <t>Root/Track</t>
        </is>
      </c>
      <c r="D20" s="27" t="inlineStr">
        <is>
          <t>Narrow, long-label, vertical, RTL, mobile, zoom, reduced-motion, and forced-color layouts remain contained.</t>
        </is>
      </c>
      <c r="E20" s="26" t="inlineStr">
        <is>
          <t>human</t>
        </is>
      </c>
      <c r="F20" s="26" t="inlineStr">
        <is>
          <t>visual</t>
        </is>
      </c>
      <c r="G20" s="27" t="inlineStr">
        <is>
          <t>tests/components/slider/visual.spec.ts</t>
        </is>
      </c>
      <c r="H20" s="26" t="inlineStr">
        <is>
          <t>verified</t>
        </is>
      </c>
      <c r="I20" s="26" t="inlineStr">
        <is>
          <t>yes</t>
        </is>
      </c>
      <c r="J20" s="28" t="inlineStr">
        <is>
          <t>Owner mobile/LAN review and automated narrow, vertical, RTL, zoom, motion, and forced-color evidence pass.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SL-13</t>
        </is>
      </c>
      <c r="B21" s="26" t="inlineStr">
        <is>
          <t>Accessibility</t>
        </is>
      </c>
      <c r="C21" s="26" t="inlineStr">
        <is>
          <t>Thumb</t>
        </is>
      </c>
      <c r="D21" s="27" t="inlineStr">
        <is>
          <t>Axe passes; every thumb exposes one named slider with value, bounds, orientation, and inherited state.</t>
        </is>
      </c>
      <c r="E21" s="26" t="inlineStr">
        <is>
          <t>browser</t>
        </is>
      </c>
      <c r="F21" s="26" t="inlineStr">
        <is>
          <t>axe</t>
        </is>
      </c>
      <c r="G21" s="27" t="inlineStr">
        <is>
          <t>tests/components/slider/behavior.spec.ts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Chromium axe and semantic assertions pass.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SL-14</t>
        </is>
      </c>
      <c r="B22" s="26" t="inlineStr">
        <is>
          <t>Manual</t>
        </is>
      </c>
      <c r="C22" s="26" t="inlineStr">
        <is>
          <t>Slider</t>
        </is>
      </c>
      <c r="D22" s="27" t="inlineStr">
        <is>
          <t>Numbered 01-09 review protocol covers pointer, touch, keyboard, forms, AT, preferences, and stress.</t>
        </is>
      </c>
      <c r="E22" s="26" t="inlineStr">
        <is>
          <t>human</t>
        </is>
      </c>
      <c r="F22" s="26" t="inlineStr">
        <is>
          <t>manual</t>
        </is>
      </c>
      <c r="G22" s="27" t="inlineStr">
        <is>
          <t>manual-tests/slider.md</t>
        </is>
      </c>
      <c r="H22" s="26" t="inlineStr">
        <is>
          <t>implemented</t>
        </is>
      </c>
      <c r="I22" s="26" t="inlineStr">
        <is>
          <t>yes</t>
        </is>
      </c>
      <c r="J22" s="28" t="inlineStr">
        <is>
          <t>Protocol is current; its complete numbered execution remains the only open Slider requirement.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SL-15</t>
        </is>
      </c>
      <c r="B23" s="26" t="inlineStr">
        <is>
          <t>Documentation</t>
        </is>
      </c>
      <c r="C23" s="26" t="inlineStr">
        <is>
          <t>Slider</t>
        </is>
      </c>
      <c r="D23" s="27" t="inlineStr">
        <is>
          <t>Public guide and component changelog document anatomy, recipes, forms, accessibility, tokens, and evidence.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../docs/components/slider/README.md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Documentation verification passes.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SL-16</t>
        </is>
      </c>
      <c r="B24" s="26" t="inlineStr">
        <is>
          <t>Consumer</t>
        </is>
      </c>
      <c r="C24" s="26" t="inlineStr">
        <is>
          <t>Root/parts</t>
        </is>
      </c>
      <c r="D24" s="27" t="inlineStr">
        <is>
          <t>Packed public slider subpath composes a labelled named preference control in Consumer.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Packed package and Consumer verification pass in the full release gate.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  <row r="26" ht="23.25" customHeight="1" s="17">
      <c r="A26" s="26" t="n"/>
      <c r="B26" s="26" t="n"/>
      <c r="C26" s="26" t="n"/>
      <c r="D26" s="27" t="n"/>
      <c r="E26" s="26" t="n"/>
      <c r="F26" s="26" t="n"/>
      <c r="G26" s="27" t="n"/>
      <c r="H26" s="26" t="n"/>
      <c r="I26" s="26" t="n"/>
      <c r="J26" s="28" t="n"/>
      <c r="K26" s="27" t="n"/>
      <c r="L26" s="26" t="n"/>
      <c r="M26" s="26" t="n"/>
    </row>
    <row r="27" ht="23.25" customHeight="1" s="17">
      <c r="A27" s="26" t="n"/>
      <c r="B27" s="26" t="n"/>
      <c r="C27" s="26" t="n"/>
      <c r="D27" s="27" t="n"/>
      <c r="E27" s="26" t="n"/>
      <c r="F27" s="26" t="n"/>
      <c r="G27" s="27" t="n"/>
      <c r="H27" s="26" t="n"/>
      <c r="I27" s="26" t="n"/>
      <c r="J27" s="28" t="n"/>
      <c r="K27" s="27" t="n"/>
      <c r="L27" s="26" t="n"/>
      <c r="M27" s="26" t="n"/>
    </row>
    <row r="28" ht="23.25" customHeight="1" s="17">
      <c r="A28" s="26" t="n"/>
      <c r="B28" s="26" t="n"/>
      <c r="C28" s="26" t="n"/>
      <c r="D28" s="27" t="n"/>
      <c r="E28" s="26" t="n"/>
      <c r="F28" s="26" t="n"/>
      <c r="G28" s="27" t="n"/>
      <c r="H28" s="26" t="n"/>
      <c r="I28" s="26" t="n"/>
      <c r="J28" s="28" t="n"/>
      <c r="K28" s="27" t="n"/>
      <c r="L28" s="26" t="n"/>
      <c r="M28" s="26" t="n"/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autoFilter ref="A8:M2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4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Rating Evidence</t>
        </is>
      </c>
    </row>
    <row r="2" ht="27.75" customHeight="1" s="17">
      <c r="A2" s="19" t="inlineStr">
        <is>
          <t>Assertion-level Atom-backed package, browser, mobile, human-review, documentation, Consumer, form, precision, and artwork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RT-01</t>
        </is>
      </c>
      <c r="B9" s="26" t="inlineStr">
        <is>
          <t>Implementation</t>
        </is>
      </c>
      <c r="C9" s="26" t="inlineStr">
        <is>
          <t>Root/Item</t>
        </is>
      </c>
      <c r="D9" s="27" t="inlineStr">
        <is>
          <t>Two-part Brick adapter delegates behavior and semantics to exact installed Atom 0.20.11.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../src/components/rating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Build and focused adapter suite pass.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RT-02</t>
        </is>
      </c>
      <c r="B10" s="26" t="inlineStr">
        <is>
          <t>Anatomy</t>
        </is>
      </c>
      <c r="C10" s="26" t="inlineStr">
        <is>
          <t>Root/Item</t>
        </is>
      </c>
      <c r="D10" s="27" t="inlineStr">
        <is>
          <t>Root and Item are styled/exported; empty and proportional fill artwork layers remain private.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../test/components/rating/rating.test.tsx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component suite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RT-03</t>
        </is>
      </c>
      <c r="B11" s="26" t="inlineStr">
        <is>
          <t>Exports</t>
        </is>
      </c>
      <c r="C11" s="26" t="inlineStr">
        <is>
          <t>Rating</t>
        </is>
      </c>
      <c r="D11" s="27" t="inlineStr">
        <is>
          <t>Root and rating subpath exports expose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../package.json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Build and typecheck pass.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RT-04</t>
        </is>
      </c>
      <c r="B12" s="26" t="inlineStr">
        <is>
          <t>Types</t>
        </is>
      </c>
      <c r="C12" s="26" t="inlineStr">
        <is>
          <t>Root/Item</t>
        </is>
      </c>
      <c r="D12" s="27" t="inlineStr">
        <is>
          <t>Closed size, tone, and variant recipes, refs, native props, and required item values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../test/types/components/rating.test.ts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typecheck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RT-05</t>
        </is>
      </c>
      <c r="B13" s="26" t="inlineStr">
        <is>
          <t>CSS</t>
        </is>
      </c>
      <c r="C13" s="26" t="inlineStr">
        <is>
          <t>Root/Item</t>
        </is>
      </c>
      <c r="D13" s="27" t="inlineStr">
        <is>
          <t>Static CSS ships proportional fill, RTL, states, recipes, 44px targets,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../src/components/rating/rating.css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Production CSS build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RT-06</t>
        </is>
      </c>
      <c r="B14" s="26" t="inlineStr">
        <is>
          <t>Semantics</t>
        </is>
      </c>
      <c r="C14" s="26" t="inlineStr">
        <is>
          <t>Root</t>
        </is>
      </c>
      <c r="D14" s="27" t="inlineStr">
        <is>
          <t>Five decorative items expose one focusable slider with numeric and human-readable value text.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tests/components/rating/behavior.spec.ts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Chromium semantics suite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RT-07</t>
        </is>
      </c>
      <c r="B15" s="26" t="inlineStr">
        <is>
          <t>Precision</t>
        </is>
      </c>
      <c r="C15" s="26" t="inlineStr">
        <is>
          <t>Root/Item</t>
        </is>
      </c>
      <c r="D15" s="27" t="inlineStr">
        <is>
          <t>Integer and half-step values produce correct full, partial, and empty item fill.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tests/components/rating/behavior.spec.ts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Fractional browser and component assertions pass.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RT-08</t>
        </is>
      </c>
      <c r="B16" s="26" t="inlineStr">
        <is>
          <t>Input</t>
        </is>
      </c>
      <c r="C16" s="26" t="inlineStr">
        <is>
          <t>Root</t>
        </is>
      </c>
      <c r="D16" s="27" t="inlineStr">
        <is>
          <t>Keyboard, stable repeat activation, opt-in clearing, cross-item drag, native touch, capture loss, fractional segments, and RTL input work.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tests/components/rating/behavior.spec.ts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The complete desktop/mobile browser matrix passes against published Atom 0.20.11, including allowClear and capture regressions.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RT-09</t>
        </is>
      </c>
      <c r="B17" s="26" t="inlineStr">
        <is>
          <t>Field/forms</t>
        </is>
      </c>
      <c r="C17" s="26" t="inlineStr">
        <is>
          <t>Root</t>
        </is>
      </c>
      <c r="D17" s="27" t="inlineStr">
        <is>
          <t>Standalone and Field state, one label, hidden scalar value, submit, reset, and focusable read-only contracts are implemented.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../test/components/rating/rating.test.tsx</t>
        </is>
      </c>
      <c r="H17" s="26" t="inlineStr">
        <is>
          <t>tested</t>
        </is>
      </c>
      <c r="I17" s="26" t="inlineStr">
        <is>
          <t>no</t>
        </is>
      </c>
      <c r="J17" s="28" t="inlineStr">
        <is>
          <t>Component and Consumer builds pass.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RT-10</t>
        </is>
      </c>
      <c r="B18" s="26" t="inlineStr">
        <is>
          <t>Recipes</t>
        </is>
      </c>
      <c r="C18" s="26" t="inlineStr">
        <is>
          <t>Root</t>
        </is>
      </c>
      <c r="D18" s="27" t="inlineStr">
        <is>
          <t>Three sizes, two tones, and solid/outline variants preserve one interaction model.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tests/components/rating/behavior.spec.ts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Recipe assertions pass.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RT-11</t>
        </is>
      </c>
      <c r="B19" s="26" t="inlineStr">
        <is>
          <t>Artwork</t>
        </is>
      </c>
      <c r="C19" s="26" t="inlineStr">
        <is>
          <t>Item</t>
        </is>
      </c>
      <c r="D19" s="27" t="inlineStr">
        <is>
          <t>Default stars and consumer-provided decorative artwork receive identical proportional layers.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../test/components/rating/rating.test.tsx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Default and custom artwork assertions pass.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RT-12</t>
        </is>
      </c>
      <c r="B20" s="26" t="inlineStr">
        <is>
          <t>Appearance</t>
        </is>
      </c>
      <c r="C20" s="26" t="inlineStr">
        <is>
          <t>Root/Item</t>
        </is>
      </c>
      <c r="D20" s="27" t="inlineStr">
        <is>
          <t>Light, dark, customization, invalid, disabled, read-only, and required paint remain distinct.</t>
        </is>
      </c>
      <c r="E20" s="26" t="inlineStr">
        <is>
          <t>human</t>
        </is>
      </c>
      <c r="F20" s="26" t="inlineStr">
        <is>
          <t>visual</t>
        </is>
      </c>
      <c r="G20" s="27" t="inlineStr">
        <is>
          <t>tests/components/rating/visual.spec.ts</t>
        </is>
      </c>
      <c r="H20" s="26" t="inlineStr">
        <is>
          <t>verified</t>
        </is>
      </c>
      <c r="I20" s="26" t="inlineStr">
        <is>
          <t>yes</t>
        </is>
      </c>
      <c r="J20" s="28" t="inlineStr">
        <is>
          <t>Owner accepted the corrected live Rating presentation; Chromium visual baselines and state evidence pass.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RT-13</t>
        </is>
      </c>
      <c r="B21" s="26" t="inlineStr">
        <is>
          <t>Responsive</t>
        </is>
      </c>
      <c r="C21" s="26" t="inlineStr">
        <is>
          <t>Root/Item</t>
        </is>
      </c>
      <c r="D21" s="27" t="inlineStr">
        <is>
          <t>Narrow, long-label, RTL, mobile, zoom, reduced-motion, forced-color, and coarse-pointer layouts remain contained.</t>
        </is>
      </c>
      <c r="E21" s="26" t="inlineStr">
        <is>
          <t>human</t>
        </is>
      </c>
      <c r="F21" s="26" t="inlineStr">
        <is>
          <t>visual</t>
        </is>
      </c>
      <c r="G21" s="27" t="inlineStr">
        <is>
          <t>tests/components/rating/visual.spec.ts</t>
        </is>
      </c>
      <c r="H21" s="26" t="inlineStr">
        <is>
          <t>verified</t>
        </is>
      </c>
      <c r="I21" s="26" t="inlineStr">
        <is>
          <t>yes</t>
        </is>
      </c>
      <c r="J21" s="28" t="inlineStr">
        <is>
          <t>Owner mobile/LAN review and automated narrow, RTL, zoom, motion, forced-color, and coarse-pointer evidence pass.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RT-14</t>
        </is>
      </c>
      <c r="B22" s="26" t="inlineStr">
        <is>
          <t>Accessibility</t>
        </is>
      </c>
      <c r="C22" s="26" t="inlineStr">
        <is>
          <t>Root/Item</t>
        </is>
      </c>
      <c r="D22" s="27" t="inlineStr">
        <is>
          <t>Axe passes; decorative items remain silent and one slider exposes value and state.</t>
        </is>
      </c>
      <c r="E22" s="26" t="inlineStr">
        <is>
          <t>browser</t>
        </is>
      </c>
      <c r="F22" s="26" t="inlineStr">
        <is>
          <t>axe</t>
        </is>
      </c>
      <c r="G22" s="27" t="inlineStr">
        <is>
          <t>tests/components/rating/behavior.spec.ts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Chromium axe and semantic assertions pass.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RT-15</t>
        </is>
      </c>
      <c r="B23" s="26" t="inlineStr">
        <is>
          <t>Manual</t>
        </is>
      </c>
      <c r="C23" s="26" t="inlineStr">
        <is>
          <t>Rating</t>
        </is>
      </c>
      <c r="D23" s="27" t="inlineStr">
        <is>
          <t>Numbered 01-09 protocol covers pointer, drag, touch, keyboard, forms, AT, preferences, and stress.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manual-tests/rating.md</t>
        </is>
      </c>
      <c r="H23" s="26" t="inlineStr">
        <is>
          <t>implemented</t>
        </is>
      </c>
      <c r="I23" s="26" t="inlineStr">
        <is>
          <t>yes</t>
        </is>
      </c>
      <c r="J23" s="28" t="inlineStr">
        <is>
          <t>Protocol is current; its complete numbered execution remains the only open Rating requirement.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RT-16</t>
        </is>
      </c>
      <c r="B24" s="26" t="inlineStr">
        <is>
          <t>Documentation</t>
        </is>
      </c>
      <c r="C24" s="26" t="inlineStr">
        <is>
          <t>Rating</t>
        </is>
      </c>
      <c r="D24" s="27" t="inlineStr">
        <is>
          <t>Public guide and changelog document anatomy, recipes, forms, accessibility, tokens, and evidence.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../docs/components/rating/README.md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Documentation verification passes.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RT-17</t>
        </is>
      </c>
      <c r="B25" s="26" t="inlineStr">
        <is>
          <t>Consumer</t>
        </is>
      </c>
      <c r="C25" s="26" t="inlineStr">
        <is>
          <t>Root/Item</t>
        </is>
      </c>
      <c r="D25" s="27" t="inlineStr">
        <is>
          <t>Packed public rating subpath composes a labelled named workflow input in Consumer.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Packed package and Consumer verification pass in the full release gate.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n"/>
      <c r="B26" s="26" t="n"/>
      <c r="C26" s="26" t="n"/>
      <c r="D26" s="27" t="n"/>
      <c r="E26" s="26" t="n"/>
      <c r="F26" s="26" t="n"/>
      <c r="G26" s="27" t="n"/>
      <c r="H26" s="26" t="n"/>
      <c r="I26" s="26" t="n"/>
      <c r="J26" s="28" t="n"/>
      <c r="K26" s="27" t="n"/>
      <c r="L26" s="26" t="n"/>
      <c r="M26" s="26" t="n"/>
    </row>
    <row r="27" ht="23.25" customHeight="1" s="17">
      <c r="A27" s="26" t="n"/>
      <c r="B27" s="26" t="n"/>
      <c r="C27" s="26" t="n"/>
      <c r="D27" s="27" t="n"/>
      <c r="E27" s="26" t="n"/>
      <c r="F27" s="26" t="n"/>
      <c r="G27" s="27" t="n"/>
      <c r="H27" s="26" t="n"/>
      <c r="I27" s="26" t="n"/>
      <c r="J27" s="28" t="n"/>
      <c r="K27" s="27" t="n"/>
      <c r="L27" s="26" t="n"/>
      <c r="M27" s="26" t="n"/>
    </row>
    <row r="28" ht="23.25" customHeight="1" s="17">
      <c r="A28" s="26" t="n"/>
      <c r="B28" s="26" t="n"/>
      <c r="C28" s="26" t="n"/>
      <c r="D28" s="27" t="n"/>
      <c r="E28" s="26" t="n"/>
      <c r="F28" s="26" t="n"/>
      <c r="G28" s="27" t="n"/>
      <c r="H28" s="26" t="n"/>
      <c r="I28" s="26" t="n"/>
      <c r="J28" s="28" t="n"/>
      <c r="K28" s="27" t="n"/>
      <c r="L28" s="26" t="n"/>
      <c r="M28" s="26" t="n"/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autoFilter ref="A8:M25"/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 filterMode="0">
    <outlinePr summaryBelow="1" summaryRight="1"/>
    <pageSetUpPr fitToPage="1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File Upload Evidence</t>
        </is>
      </c>
    </row>
    <row r="2" ht="27.75" customHeight="1" s="17">
      <c r="A2" s="19" t="inlineStr">
        <is>
          <t>Assertion-level Atom-backed picker, drag/drop, Field/Form, file-list, visual, responsive, accessibility, package, documentation, Consumer, and manual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FU-01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exact installed Atom 0.20.11 picker, files, validation, Field/Form, drag/drop, document-drop protection, reset, and removal behavior without recreating it.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../src/components/file-upload/FileUpload.tsx;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46232</v>
      </c>
      <c r="K9" s="27" t="inlineStr">
        <is>
          <t>Exact Atom 0.20.11 is installed; complete source and package checks pass.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FU-02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Nine-part namespace and named exports expose Root, HiddenInput, Trigger, Dropzone, ItemGroup, Item, ItemName, ItemSize, and ItemDeleteTrigger.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../test/components/file-upload/file-upload.test.tsx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46232</v>
      </c>
      <c r="K10" s="27" t="inlineStr">
        <is>
          <t>Focused component suite passes.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FU-03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Native div, input, button, ul, li, and span hosts retain exact slots, classes, refs, function children, default picker copy, and file-specific removal naming.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../test/components/file-upload/file-upload.test.tsx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46232</v>
      </c>
      <c r="K11" s="27" t="inlineStr">
        <is>
          <t>Focused anatomy, defaults, and ref assertions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FU-04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size, variant, and shape recipes plus fullWidth, Atom file/form props, part props, native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../test/types/components/file-upload.test.ts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46232</v>
      </c>
      <c r="K12" s="27" t="inlineStr">
        <is>
          <t>Focused public-surface typecheck passes.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FU-05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file-upload subpath exports preserve namespace and named runtime identity with complete declarations.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../test/package/package.test.mjs; ../package.json</t>
        </is>
      </c>
      <c r="H13" s="26" t="inlineStr">
        <is>
          <t>tested</t>
        </is>
      </c>
      <c r="I13" s="26" t="inlineStr">
        <is>
          <t>no</t>
        </is>
      </c>
      <c r="J13" s="28" t="n">
        <v>46232</v>
      </c>
      <c r="K13" s="27" t="inlineStr">
        <is>
          <t>Root/subpath runtime and declaration checks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FU-06</t>
        </is>
      </c>
      <c r="B14" s="26" t="inlineStr">
        <is>
          <t>SSR</t>
        </is>
      </c>
      <c r="C14" s="26" t="inlineStr">
        <is>
          <t>Root / picker</t>
        </is>
      </c>
      <c r="D14" s="27" t="inlineStr">
        <is>
          <t>File Upload imports server-safely and emits deterministic empty picker and dropzone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46232</v>
      </c>
      <c r="K14" s="27" t="inlineStr">
        <is>
          <t>SSR package assertion passes.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FU-07</t>
        </is>
      </c>
      <c r="B15" s="26" t="inlineStr">
        <is>
          <t>CSS</t>
        </is>
      </c>
      <c r="C15" s="26" t="inlineStr">
        <is>
          <t>All parts</t>
        </is>
      </c>
      <c r="D15" s="27" t="inlineStr">
        <is>
          <t>Static CSS ships outline/soft, sm/md/lg, sharp/rounded, full/fit, state paint, logical containment, 44px actions, and public variables.</t>
        </is>
      </c>
      <c r="E15" s="26" t="inlineStr">
        <is>
          <t>package</t>
        </is>
      </c>
      <c r="F15" s="26" t="inlineStr">
        <is>
          <t>css</t>
        </is>
      </c>
      <c r="G15" s="27" t="inlineStr">
        <is>
          <t>../src/components/file-upload/file-upload.css</t>
        </is>
      </c>
      <c r="H15" s="26" t="inlineStr">
        <is>
          <t>tested</t>
        </is>
      </c>
      <c r="I15" s="26" t="inlineStr">
        <is>
          <t>no</t>
        </is>
      </c>
      <c r="J15" s="28" t="n">
        <v>46232</v>
      </c>
      <c r="K15" s="27" t="inlineStr">
        <is>
          <t>Production CSS build and prototype checks pass.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FU-08</t>
        </is>
      </c>
      <c r="B16" s="26" t="inlineStr">
        <is>
          <t>Picker</t>
        </is>
      </c>
      <c r="C16" s="26" t="inlineStr">
        <is>
          <t>HiddenInput / Trigger</t>
        </is>
      </c>
      <c r="D16" s="27" t="inlineStr">
        <is>
          <t>Native picker selection supports one or multiple accepted files, selected-file review, removal, and reselection through visible Trigger activation.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tests/components/file-upload/behavior.spec.ts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46232</v>
      </c>
      <c r="K16" s="27" t="inlineStr">
        <is>
          <t>Picker selection and removal pass in all configured desktop and mobile browser projects.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FU-09</t>
        </is>
      </c>
      <c r="B17" s="26" t="inlineStr">
        <is>
          <t>Drag and drop</t>
        </is>
      </c>
      <c r="C17" s="26" t="inlineStr">
        <is>
          <t>Dropzone</t>
        </is>
      </c>
      <c r="D17" s="27" t="inlineStr">
        <is>
          <t>Pre-drop accepted and rejected states are truthful, rejected candidates remain excluded, and file-only document-drop protection preserves unrelated drag/drop.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tests/components/file-upload/behavior.spec.ts; @flowstack-ui/atom 0.19.7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46232</v>
      </c>
      <c r="K17" s="27" t="inlineStr">
        <is>
          <t>Drag acceptance/rejection passes in Chromium, Firefox, WebKit, mobile Chromium, and mobile WebKit.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FU-10</t>
        </is>
      </c>
      <c r="B18" s="26" t="inlineStr">
        <is>
          <t>Constraints</t>
        </is>
      </c>
      <c r="C18" s="26" t="inlineStr">
        <is>
          <t>Root / Dropzone</t>
        </is>
      </c>
      <c r="D18" s="27" t="inlineStr">
        <is>
          <t>accept, maxFiles, maxSize, validateFile, append/replace, and localized rejection feedback remain application-observable and separate from Field invalidity.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tests/components/file-upload/behavior.spec.ts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46232</v>
      </c>
      <c r="K18" s="27" t="inlineStr">
        <is>
          <t>Accepted and rejected fixture assertions pass without conflating candidate rejection and invalid state.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FU-11</t>
        </is>
      </c>
      <c r="B19" s="26" t="inlineStr">
        <is>
          <t>Field and forms</t>
        </is>
      </c>
      <c r="C19" s="26" t="inlineStr">
        <is>
          <t>Root / HiddenInput / Trigger</t>
        </is>
      </c>
      <c r="D19" s="27" t="inlineStr">
        <is>
          <t>Standalone and one-Field composition preserve one label, descriptions, required/invalid state, visible focus delegation, named FormData files, submit, external ownership, and reset.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tests/components/file-upload/behavior.spec.ts; ../apps/consumer/tests/consumer.spec.ts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46232</v>
      </c>
      <c r="K19" s="27" t="inlineStr">
        <is>
          <t>Field relationships and native reset pass in focused browser and Consumer suites.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FU-12</t>
        </is>
      </c>
      <c r="B20" s="26" t="inlineStr">
        <is>
          <t>States</t>
        </is>
      </c>
      <c r="C20" s="26" t="inlineStr">
        <is>
          <t>All interactive parts</t>
        </is>
      </c>
      <c r="D20" s="27" t="inlineStr">
        <is>
          <t>Disabled and read-only states remain readable and non-mutating; controlled and uncontrolled file ownership stay distinct.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../test/components/file-upload/file-upload.test.tsx; tests/components/file-upload/behavior.spec.ts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46232</v>
      </c>
      <c r="K20" s="27" t="inlineStr">
        <is>
          <t>Component and browser state assertions pass.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FU-13</t>
        </is>
      </c>
      <c r="B21" s="26" t="inlineStr">
        <is>
          <t>Variants</t>
        </is>
      </c>
      <c r="C21" s="26" t="inlineStr">
        <is>
          <t>Root / Dropzone</t>
        </is>
      </c>
      <c r="D21" s="27" t="inlineStr">
        <is>
          <t>Outline and soft recipes change only surface and border treatment while preserving anatomy and geometry.</t>
        </is>
      </c>
      <c r="E21" s="26" t="inlineStr">
        <is>
          <t>browser</t>
        </is>
      </c>
      <c r="F21" s="26" t="inlineStr">
        <is>
          <t>visual</t>
        </is>
      </c>
      <c r="G21" s="27" t="inlineStr">
        <is>
          <t>tests/components/file-upload/visual.spec.ts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46232</v>
      </c>
      <c r="K21" s="27" t="inlineStr">
        <is>
          <t>Chromium recipe baseline passes and was visually inspected.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FU-14</t>
        </is>
      </c>
      <c r="B22" s="26" t="inlineStr">
        <is>
          <t>Sizes and shapes</t>
        </is>
      </c>
      <c r="C22" s="26" t="inlineStr">
        <is>
          <t>Root / actions / items</t>
        </is>
      </c>
      <c r="D22" s="27" t="inlineStr">
        <is>
          <t>sm, md, lg and sharp/rounded recipes preserve effective action targets, coordinated corners, and stable item geometry.</t>
        </is>
      </c>
      <c r="E22" s="26" t="inlineStr">
        <is>
          <t>browser</t>
        </is>
      </c>
      <c r="F22" s="26" t="inlineStr">
        <is>
          <t>browser</t>
        </is>
      </c>
      <c r="G22" s="27" t="inlineStr">
        <is>
          <t>tests/components/file-upload/behavior.spec.ts; tests/components/file-upload/visual.spec.ts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46232</v>
      </c>
      <c r="K22" s="27" t="inlineStr">
        <is>
          <t>Geometry and visual recipe evidence passes.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FU-15</t>
        </is>
      </c>
      <c r="B23" s="26" t="inlineStr">
        <is>
          <t>File content</t>
        </is>
      </c>
      <c r="C23" s="26" t="inlineStr">
        <is>
          <t>Item / ItemName / ItemSize / ItemDeleteTrigger</t>
        </is>
      </c>
      <c r="D23" s="27" t="inlineStr">
        <is>
          <t>Multiple long filenames, complete accessible names, formatted sizes, and remove actions remain readable and contained without sharp overflow edges.</t>
        </is>
      </c>
      <c r="E23" s="26" t="inlineStr">
        <is>
          <t>browser</t>
        </is>
      </c>
      <c r="F23" s="26" t="inlineStr">
        <is>
          <t>visual</t>
        </is>
      </c>
      <c r="G23" s="27" t="inlineStr">
        <is>
          <t>tests/components/file-upload/visual.spec.ts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46232</v>
      </c>
      <c r="K23" s="27" t="inlineStr">
        <is>
          <t>Filled and stress baselines pass and were visually inspected.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FU-16</t>
        </is>
      </c>
      <c r="B24" s="26" t="inlineStr">
        <is>
          <t>Responsive</t>
        </is>
      </c>
      <c r="C24" s="26" t="inlineStr">
        <is>
          <t>Root / items</t>
        </is>
      </c>
      <c r="D24" s="27" t="inlineStr">
        <is>
          <t>Full and intrinsic widths, narrow mobile reflow, wrapping instructions, ellipsized names, and 44px actions remain within the page.</t>
        </is>
      </c>
      <c r="E24" s="26" t="inlineStr">
        <is>
          <t>browser</t>
        </is>
      </c>
      <c r="F24" s="26" t="inlineStr">
        <is>
          <t>browser</t>
        </is>
      </c>
      <c r="G24" s="27" t="inlineStr">
        <is>
          <t>tests/components/file-upload/behavior.spec.ts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46232</v>
      </c>
      <c r="K24" s="27" t="inlineStr">
        <is>
          <t>Narrow and target-size assertions pass in all configured browser/device projects.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FU-17</t>
        </is>
      </c>
      <c r="B25" s="26" t="inlineStr">
        <is>
          <t>RTL</t>
        </is>
      </c>
      <c r="C25" s="26" t="inlineStr">
        <is>
          <t>All parts</t>
        </is>
      </c>
      <c r="D25" s="27" t="inlineStr">
        <is>
          <t>Logical layout visibly mirrors item actions and dropzone composition without changing filename direction or causing overflow.</t>
        </is>
      </c>
      <c r="E25" s="26" t="inlineStr">
        <is>
          <t>browser</t>
        </is>
      </c>
      <c r="F25" s="26" t="inlineStr">
        <is>
          <t>browser</t>
        </is>
      </c>
      <c r="G25" s="27" t="inlineStr">
        <is>
          <t>tests/components/file-upload/behavior.spec.ts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46232</v>
      </c>
      <c r="K25" s="27" t="inlineStr">
        <is>
          <t>RTL action placement and containment assertions pass.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FU-18</t>
        </is>
      </c>
      <c r="B26" s="26" t="inlineStr">
        <is>
          <t>Appearance and preferences</t>
        </is>
      </c>
      <c r="C26" s="26" t="inlineStr">
        <is>
          <t>All parts</t>
        </is>
      </c>
      <c r="D26" s="27" t="inlineStr">
        <is>
          <t>Light, dark, forced-color, reduced-motion, invalid, disabled, read-only, accepted, and rejected paint retain boundaries and non-color distinctions.</t>
        </is>
      </c>
      <c r="E26" s="26" t="inlineStr">
        <is>
          <t>browser</t>
        </is>
      </c>
      <c r="F26" s="26" t="inlineStr">
        <is>
          <t>visual</t>
        </is>
      </c>
      <c r="G26" s="27" t="inlineStr">
        <is>
          <t>tests/components/file-upload/visual.spec.ts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46232</v>
      </c>
      <c r="K26" s="27" t="inlineStr">
        <is>
          <t>Appearance, state, and stress baselines pass and were visually inspected.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FU-19</t>
        </is>
      </c>
      <c r="B27" s="26" t="inlineStr">
        <is>
          <t>Customization</t>
        </is>
      </c>
      <c r="C27" s="26" t="inlineStr">
        <is>
          <t>All parts</t>
        </is>
      </c>
      <c r="D27" s="27" t="inlineStr">
        <is>
          <t>Stable classes, slots, public variables, className, style, authored Trigger content, and custom delete content preserve Atom behavior.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../test/components/file-upload/file-upload.test.tsx; ../docs/components/file-upload/README.md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46232</v>
      </c>
      <c r="K27" s="27" t="inlineStr">
        <is>
          <t>Customization assertions and documentation contract pass.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FU-20</t>
        </is>
      </c>
      <c r="B28" s="26" t="inlineStr">
        <is>
          <t>Accessibility</t>
        </is>
      </c>
      <c r="C28" s="26" t="inlineStr">
        <is>
          <t>HiddenInput / Trigger / Dropzone / items</t>
        </is>
      </c>
      <c r="D28" s="27" t="inlineStr">
        <is>
          <t>One field label, action wording, description/error relationships, required/invalid state, picker alternative, file-specific removal names, focus, targets, and axe checks pass.</t>
        </is>
      </c>
      <c r="E28" s="26" t="inlineStr">
        <is>
          <t>browser</t>
        </is>
      </c>
      <c r="F28" s="26" t="inlineStr">
        <is>
          <t>axe</t>
        </is>
      </c>
      <c r="G28" s="27" t="inlineStr">
        <is>
          <t>tests/components/file-upload/behavior.spec.ts; @flowstack-ui/atom 0.19.7 behavior suite</t>
        </is>
      </c>
      <c r="H28" s="26" t="inlineStr">
        <is>
          <t>tested</t>
        </is>
      </c>
      <c r="I28" s="26" t="inlineStr">
        <is>
          <t>no</t>
        </is>
      </c>
      <c r="J28" s="28" t="n">
        <v>46232</v>
      </c>
      <c r="K28" s="27" t="inlineStr">
        <is>
          <t>Focused axe and semantic assertions pass across all configured projects.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FU-21</t>
        </is>
      </c>
      <c r="B29" s="26" t="inlineStr">
        <is>
          <t>Playground</t>
        </is>
      </c>
      <c r="C29" s="26" t="inlineStr">
        <is>
          <t>All parts</t>
        </is>
      </c>
      <c r="D29" s="27" t="inlineStr">
        <is>
          <t>One route exposes nine ordered, separately padded scenarios with compact badges, titles/descriptions, states, Field/Form, customization, responsive, and visibly mirrored RTL evidence.</t>
        </is>
      </c>
      <c r="E29" s="26" t="inlineStr">
        <is>
          <t>package</t>
        </is>
      </c>
      <c r="F29" s="26" t="inlineStr">
        <is>
          <t>playground</t>
        </is>
      </c>
      <c r="G29" s="27" t="inlineStr">
        <is>
          <t>src/components/file-upload/FileUploadPage.tsx</t>
        </is>
      </c>
      <c r="H29" s="26" t="inlineStr">
        <is>
          <t>tested</t>
        </is>
      </c>
      <c r="I29" s="26" t="inlineStr">
        <is>
          <t>no</t>
        </is>
      </c>
      <c r="J29" s="28" t="n">
        <v>46232</v>
      </c>
      <c r="K29" s="27" t="inlineStr">
        <is>
          <t>Playground ownership, composition, route, and focused browser checks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FU-22</t>
        </is>
      </c>
      <c r="B30" s="26" t="inlineStr">
        <is>
          <t>Visual baselines</t>
        </is>
      </c>
      <c r="C30" s="26" t="inlineStr">
        <is>
          <t>All parts</t>
        </is>
      </c>
      <c r="D30" s="27" t="inlineStr">
        <is>
          <t>Reviewed baselines cover overview, variants, recipes, states, appearance/customization, and mobile stress without layout overflow.</t>
        </is>
      </c>
      <c r="E30" s="26" t="inlineStr">
        <is>
          <t>browser</t>
        </is>
      </c>
      <c r="F30" s="26" t="inlineStr">
        <is>
          <t>visual</t>
        </is>
      </c>
      <c r="G30" s="27" t="inlineStr">
        <is>
          <t>tests/components/file-upload/visual.spec.ts; tests/components/file-upload/visual.spec.ts-snapshots</t>
        </is>
      </c>
      <c r="H30" s="26" t="inlineStr">
        <is>
          <t>tested</t>
        </is>
      </c>
      <c r="I30" s="26" t="inlineStr">
        <is>
          <t>no</t>
        </is>
      </c>
      <c r="J30" s="28" t="n">
        <v>46232</v>
      </c>
      <c r="K30" s="27" t="inlineStr">
        <is>
          <t>Six Chromium baselines pass and were visually inspected on July 29, 2026.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FU-23</t>
        </is>
      </c>
      <c r="B31" s="26" t="inlineStr">
        <is>
          <t>Documentation</t>
        </is>
      </c>
      <c r="C31" s="26" t="inlineStr">
        <is>
          <t>Public guide</t>
        </is>
      </c>
      <c r="D31" s="27" t="inlineStr">
        <is>
          <t>Guide documents role, exclusions, anatomy, API, Field/Form composition, constraints, rejection policy, recipes, accessibility, customization, refs, and evidence.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../docs/components/file-upload/README.md</t>
        </is>
      </c>
      <c r="H31" s="26" t="inlineStr">
        <is>
          <t>tested</t>
        </is>
      </c>
      <c r="I31" s="26" t="inlineStr">
        <is>
          <t>no</t>
        </is>
      </c>
      <c r="J31" s="28" t="n">
        <v>46232</v>
      </c>
      <c r="K31" s="27" t="inlineStr">
        <is>
          <t>Structural and semantic documentation verification passes.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FU-24</t>
        </is>
      </c>
      <c r="B32" s="26" t="inlineStr">
        <is>
          <t>Changelog</t>
        </is>
      </c>
      <c r="C32" s="26" t="inlineStr">
        <is>
          <t>Public record</t>
        </is>
      </c>
      <c r="D32" s="27" t="inlineStr">
        <is>
          <t>Component and package changelogs describe the release-facing File Upload addition and Atom dependency.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../docs/components/file-upload/CHANGELOG.md;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46232</v>
      </c>
      <c r="K32" s="27" t="inlineStr">
        <is>
          <t>Changelog contract verification passes.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FU-25</t>
        </is>
      </c>
      <c r="B33" s="26" t="inlineStr">
        <is>
          <t>Consumer</t>
        </is>
      </c>
      <c r="C33" s="26" t="inlineStr">
        <is>
          <t>Root / Field / items</t>
        </is>
      </c>
      <c r="D33" s="27" t="inlineStr">
        <is>
          <t>Packed Consumer composes a realistic local attachment field with constraints, rejection feedback, removal, native reset, and public file-upload subpath imports.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46232</v>
      </c>
      <c r="K33" s="27" t="inlineStr">
        <is>
          <t>Packed Consumer desktop/mobile suite and app artifact verification pass.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FU-26</t>
        </is>
      </c>
      <c r="B34" s="26" t="inlineStr">
        <is>
          <t>Manual</t>
        </is>
      </c>
      <c r="C34" s="26" t="inlineStr">
        <is>
          <t>All parts</t>
        </is>
      </c>
      <c r="D34" s="27" t="inlineStr">
        <is>
          <t>Numbered owner protocol covers desktop/mobile picker, external file drag, keyboard, touch, assistive technology, Field/Form validation, preferences, zoom, RTL, and outside-drop safety.</t>
        </is>
      </c>
      <c r="E34" s="26" t="inlineStr">
        <is>
          <t>human</t>
        </is>
      </c>
      <c r="F34" s="26" t="inlineStr">
        <is>
          <t>manual</t>
        </is>
      </c>
      <c r="G34" s="27" t="inlineStr">
        <is>
          <t>manual-tests/file-upload.md</t>
        </is>
      </c>
      <c r="H34" s="26" t="inlineStr">
        <is>
          <t>not started</t>
        </is>
      </c>
      <c r="I34" s="26" t="inlineStr">
        <is>
          <t>yes</t>
        </is>
      </c>
      <c r="J34" s="28" t="n">
        <v>46232</v>
      </c>
      <c r="K34" s="27" t="inlineStr">
        <is>
          <t>Human manual run intentionally deferred.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FU-27</t>
        </is>
      </c>
      <c r="B35" s="26" t="inlineStr">
        <is>
          <t>Package</t>
        </is>
      </c>
      <c r="C35" s="26" t="inlineStr">
        <is>
          <t>Artifact</t>
        </is>
      </c>
      <c r="D35" s="27" t="inlineStr">
        <is>
          <t>Build, declarations, exports, SSR, CSS, docs, tarball, exact Atom 0.20.11, clean React 18/19 consumers, focused five-project browsers, and Consumer pass.</t>
        </is>
      </c>
      <c r="E35" s="26" t="inlineStr">
        <is>
          <t>package</t>
        </is>
      </c>
      <c r="F35" s="26" t="inlineStr">
        <is>
          <t>package</t>
        </is>
      </c>
      <c r="G35" s="27" t="inlineStr">
        <is>
          <t>../scripts/verify-package.mjs; ../scripts/verify-consumers.mjs</t>
        </is>
      </c>
      <c r="H35" s="26" t="inlineStr">
        <is>
          <t>tested</t>
        </is>
      </c>
      <c r="I35" s="26" t="inlineStr">
        <is>
          <t>no</t>
        </is>
      </c>
      <c r="J35" s="28" t="n">
        <v>46232</v>
      </c>
      <c r="K35" s="27" t="inlineStr">
        <is>
          <t>Complete repository check, 853-file pack check, React 18/19, focused browser matrix, and packed Consumer verification pass.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FU-28</t>
        </is>
      </c>
      <c r="B36" s="26" t="inlineStr">
        <is>
          <t>Boundary</t>
        </is>
      </c>
      <c r="C36" s="26" t="inlineStr">
        <is>
          <t>All parts</t>
        </is>
      </c>
      <c r="D36" s="27" t="inlineStr">
        <is>
          <t>Network upload, previews, progress, retry, persistence, directory/capture/paste modes, transforms, duplicate policy, and server/security claims remain outside File Upload.</t>
        </is>
      </c>
      <c r="E36" s="26" t="inlineStr">
        <is>
          <t>package</t>
        </is>
      </c>
      <c r="F36" s="26" t="inlineStr">
        <is>
          <t>documentation</t>
        </is>
      </c>
      <c r="G36" s="27" t="inlineStr">
        <is>
          <t>../docs/components/file-upload/README.md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46232</v>
      </c>
      <c r="K36" s="27" t="inlineStr">
        <is>
          <t>Public boundary and exclusions are documented and verified.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Skip Link Evidence</t>
        </is>
      </c>
    </row>
    <row r="2" ht="27.75" customHeight="1" s="17">
      <c r="A2" s="19" t="inlineStr">
        <is>
          <t>Assertion-level Atom-backed bypass-link focus, activation, destination, composition, viewport,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SL-01</t>
        </is>
      </c>
      <c r="B9" s="26" t="inlineStr">
        <is>
          <t>Ownership</t>
        </is>
      </c>
      <c r="C9" s="26" t="inlineStr">
        <is>
          <t>Root / Target</t>
        </is>
      </c>
      <c r="D9" s="27" t="inlineStr">
        <is>
          <t>Brick delegates focus transfer, target resolution, native fallback, and continuation to exact installed Atom 0.20.11 and adds only stable Brick hooks and visual treatment.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../src/components/skip-link/SkipLink.tsx;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46232</v>
      </c>
      <c r="K9" s="27" t="inlineStr">
        <is>
          <t>Exact released Atom behavior and public adapter source were audited.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SL-02</t>
        </is>
      </c>
      <c r="B10" s="26" t="inlineStr">
        <is>
          <t>Anatomy</t>
        </is>
      </c>
      <c r="C10" s="26" t="inlineStr">
        <is>
          <t>Root / Target</t>
        </is>
      </c>
      <c r="D10" s="27" t="inlineStr">
        <is>
          <t>The two-part namespace preserves the anchor Root and focusable destination Target, default IDs, native props, authored IDs, children, composition, and refs.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../test/components/skip-link/skip-link.test.tsx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46232</v>
      </c>
      <c r="K10" s="27" t="inlineStr">
        <is>
          <t>Focused component anatomy and ref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SL-03</t>
        </is>
      </c>
      <c r="B11" s="26" t="inlineStr">
        <is>
          <t>Exports</t>
        </is>
      </c>
      <c r="C11" s="26" t="inlineStr">
        <is>
          <t>SkipLink</t>
        </is>
      </c>
      <c r="D11" s="27" t="inlineStr">
        <is>
          <t>Root and skip-link subpath expose the namespace, named parts, and prop types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../package.json</t>
        </is>
      </c>
      <c r="H11" s="26" t="inlineStr">
        <is>
          <t>tested</t>
        </is>
      </c>
      <c r="I11" s="26" t="inlineStr">
        <is>
          <t>no</t>
        </is>
      </c>
      <c r="J11" s="28" t="n">
        <v>46232</v>
      </c>
      <c r="K11" s="27" t="inlineStr">
        <is>
          <t>Root/subpath import assertions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SL-04</t>
        </is>
      </c>
      <c r="B12" s="26" t="inlineStr">
        <is>
          <t>Types</t>
        </is>
      </c>
      <c r="C12" s="26" t="inlineStr">
        <is>
          <t>Root / Target</t>
        </is>
      </c>
      <c r="D12" s="27" t="inlineStr">
        <is>
          <t>Native anchor and target props, custom fragment IDs, render/asChild composition, class hooks, events, and refs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../test/types/components/skip-link.test.ts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46232</v>
      </c>
      <c r="K12" s="27" t="inlineStr">
        <is>
          <t>Focused public typecheck passes.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SL-05</t>
        </is>
      </c>
      <c r="B13" s="26" t="inlineStr">
        <is>
          <t>SSR</t>
        </is>
      </c>
      <c r="C13" s="26" t="inlineStr">
        <is>
          <t>Root / Target</t>
        </is>
      </c>
      <c r="D13" s="27" t="inlineStr">
        <is>
          <t>The public package imports server-safely and emits deterministic bypass-link and destination markup without browser globals during render.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../test/package/package.test.mjs; ../test/package/ssr.test.mjs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46232</v>
      </c>
      <c r="K13" s="27" t="inlineStr">
        <is>
          <t>Server-safe package import and render checks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SL-06</t>
        </is>
      </c>
      <c r="B14" s="26" t="inlineStr">
        <is>
          <t>CSS</t>
        </is>
      </c>
      <c r="C14" s="26" t="inlineStr">
        <is>
          <t>Root</t>
        </is>
      </c>
      <c r="D14" s="27" t="inlineStr">
        <is>
          <t>Static CSS keeps the unfocused link outside the viewport, reveals a 44px logical overlay on focus, preserves opaque paint, focus contrast, forced colors, and public variables.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../src/components/skip-link/skip-link.css; ../scripts/prototype-css.mjs</t>
        </is>
      </c>
      <c r="H14" s="26" t="inlineStr">
        <is>
          <t>tested</t>
        </is>
      </c>
      <c r="I14" s="26" t="inlineStr">
        <is>
          <t>no</t>
        </is>
      </c>
      <c r="J14" s="28" t="n">
        <v>46232</v>
      </c>
      <c r="K14" s="27" t="inlineStr">
        <is>
          <t>Production CSS and prototype validation pass.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SL-07</t>
        </is>
      </c>
      <c r="B15" s="26" t="inlineStr">
        <is>
          <t>First focus</t>
        </is>
      </c>
      <c r="C15" s="26" t="inlineStr">
        <is>
          <t>Root</t>
        </is>
      </c>
      <c r="D15" s="27" t="inlineStr">
        <is>
          <t>When authored first, the bypass link is the first Tab stop, has no unfocused visual/layout artifact, and becomes fully visible immediately on focus.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tests/components/skip-link/behavior.spec.ts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46232</v>
      </c>
      <c r="K15" s="27" t="inlineStr">
        <is>
          <t>Focused Chromium behavior assertion passes.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SL-08</t>
        </is>
      </c>
      <c r="B16" s="26" t="inlineStr">
        <is>
          <t>Activation</t>
        </is>
      </c>
      <c r="C16" s="26" t="inlineStr">
        <is>
          <t>Root / Target</t>
        </is>
      </c>
      <c r="D16" s="27" t="inlineStr">
        <is>
          <t>Activation focuses and scrolls the paired primary-content target, then the next Tab continues to the first interactive descendant.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tests/components/skip-link/behavior.spec.ts; @flowstack-ui/atom 0.19.7 behavior suite</t>
        </is>
      </c>
      <c r="H16" s="26" t="inlineStr">
        <is>
          <t>tested</t>
        </is>
      </c>
      <c r="I16" s="26" t="inlineStr">
        <is>
          <t>no</t>
        </is>
      </c>
      <c r="J16" s="28" t="n">
        <v>46232</v>
      </c>
      <c r="K16" s="27" t="inlineStr">
        <is>
          <t>Released Atom transfer and continuation behavior pass in a real browser.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SL-09</t>
        </is>
      </c>
      <c r="B17" s="26" t="inlineStr">
        <is>
          <t>Fallback ownership</t>
        </is>
      </c>
      <c r="C17" s="26" t="inlineStr">
        <is>
          <t>Root / Target</t>
        </is>
      </c>
      <c r="D17" s="27" t="inlineStr">
        <is>
          <t>Prevented activation, native-only fragment navigation, and missing-target navigation remain observably distinct without Brick inventing recovery behavior.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tests/components/skip-link/behavior.spec.ts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46232</v>
      </c>
      <c r="K17" s="27" t="inlineStr">
        <is>
          <t>All three ownership paths pass independently.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SL-10</t>
        </is>
      </c>
      <c r="B18" s="26" t="inlineStr">
        <is>
          <t>Composition</t>
        </is>
      </c>
      <c r="C18" s="26" t="inlineStr">
        <is>
          <t>Root / Target</t>
        </is>
      </c>
      <c r="D18" s="27" t="inlineStr">
        <is>
          <t>Custom IDs, asChild/render hosts, authored slots and classes, native events, and forwarded refs remain inspectable on both parts.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../test/components/skip-link/skip-link.test.tsx; tests/components/skip-link/behavior.spec.ts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46232</v>
      </c>
      <c r="K18" s="27" t="inlineStr">
        <is>
          <t>Component and browser composition assertions pass.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SL-11</t>
        </is>
      </c>
      <c r="B19" s="26" t="inlineStr">
        <is>
          <t>Sticky chrome</t>
        </is>
      </c>
      <c r="C19" s="26" t="inlineStr">
        <is>
          <t>Root</t>
        </is>
      </c>
      <c r="D19" s="27" t="inlineStr">
        <is>
          <t>Focused Root uses fixed logical placement and a layer above repeated sticky application chrome without inheriting shell layout or scroll-offset policy.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tests/components/skip-link/behavior.spec.ts; tests/components/skip-link/visual.spec.ts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46232</v>
      </c>
      <c r="K19" s="27" t="inlineStr">
        <is>
          <t>Geometry and focused sticky-shell baseline pass.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SL-12</t>
        </is>
      </c>
      <c r="B20" s="26" t="inlineStr">
        <is>
          <t>Responsive and RTL</t>
        </is>
      </c>
      <c r="C20" s="26" t="inlineStr">
        <is>
          <t>Root</t>
        </is>
      </c>
      <c r="D20" s="27" t="inlineStr">
        <is>
          <t>Long localized copy, narrow mobile width, logical RTL placement, dark appearance, and 200% zoom remain contained without page overflow.</t>
        </is>
      </c>
      <c r="E20" s="26" t="inlineStr">
        <is>
          <t>browser</t>
        </is>
      </c>
      <c r="F20" s="26" t="inlineStr">
        <is>
          <t>browser</t>
        </is>
      </c>
      <c r="G20" s="27" t="inlineStr">
        <is>
          <t>tests/components/skip-link/behavior.spec.ts; tests/components/skip-link/visual.spec.ts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46232</v>
      </c>
      <c r="K20" s="27" t="inlineStr">
        <is>
          <t>Narrow RTL and zoom assertions pass.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SL-13</t>
        </is>
      </c>
      <c r="B21" s="26" t="inlineStr">
        <is>
          <t>Accessibility</t>
        </is>
      </c>
      <c r="C21" s="26" t="inlineStr">
        <is>
          <t>Root / Target</t>
        </is>
      </c>
      <c r="D21" s="27" t="inlineStr">
        <is>
          <t>The named link and main destination retain native semantics, visible keyboard focus, forced-color treatment, and no automatically detectable route violations.</t>
        </is>
      </c>
      <c r="E21" s="26" t="inlineStr">
        <is>
          <t>browser</t>
        </is>
      </c>
      <c r="F21" s="26" t="inlineStr">
        <is>
          <t>axe</t>
        </is>
      </c>
      <c r="G21" s="27" t="inlineStr">
        <is>
          <t>tests/components/skip-link/behavior.spec.ts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46232</v>
      </c>
      <c r="K21" s="27" t="inlineStr">
        <is>
          <t>Focused axe and semantic assertions pass.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SL-14</t>
        </is>
      </c>
      <c r="B22" s="26" t="inlineStr">
        <is>
          <t>Visual</t>
        </is>
      </c>
      <c r="C22" s="26" t="inlineStr">
        <is>
          <t>Root</t>
        </is>
      </c>
      <c r="D22" s="27" t="inlineStr">
        <is>
          <t>Reviewed baselines prove opaque focused paint in light/dark, sticky overlay separation, customization, mobile RTL containment, and forced-color focus.</t>
        </is>
      </c>
      <c r="E22" s="26" t="inlineStr">
        <is>
          <t>browser</t>
        </is>
      </c>
      <c r="F22" s="26" t="inlineStr">
        <is>
          <t>visual</t>
        </is>
      </c>
      <c r="G22" s="27" t="inlineStr">
        <is>
          <t>tests/components/skip-link/visual.spec.ts</t>
        </is>
      </c>
      <c r="H22" s="26" t="inlineStr">
        <is>
          <t>verified</t>
        </is>
      </c>
      <c r="I22" s="26" t="inlineStr">
        <is>
          <t>yes</t>
        </is>
      </c>
      <c r="J22" s="28" t="n">
        <v>46232</v>
      </c>
      <c r="K22" s="27" t="inlineStr">
        <is>
          <t>Agent inspected all six Skip Link baselines on 2026-07-29.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SL-15</t>
        </is>
      </c>
      <c r="B23" s="26" t="inlineStr">
        <is>
          <t>Playground</t>
        </is>
      </c>
      <c r="C23" s="26" t="inlineStr">
        <is>
          <t>SkipLink</t>
        </is>
      </c>
      <c r="D23" s="27" t="inlineStr">
        <is>
          <t>One navigable route exposes eight separated scenarios with badges, titles, descriptions, appearance, customization, native paths, composition, sticky chrome, and stress evidence.</t>
        </is>
      </c>
      <c r="E23" s="26" t="inlineStr">
        <is>
          <t>package</t>
        </is>
      </c>
      <c r="F23" s="26" t="inlineStr">
        <is>
          <t>playground</t>
        </is>
      </c>
      <c r="G23" s="27" t="inlineStr">
        <is>
          <t>src/components/skip-link/SkipLinkPage.tsx</t>
        </is>
      </c>
      <c r="H23" s="26" t="inlineStr">
        <is>
          <t>tested</t>
        </is>
      </c>
      <c r="I23" s="26" t="inlineStr">
        <is>
          <t>no</t>
        </is>
      </c>
      <c r="J23" s="28" t="n">
        <v>46232</v>
      </c>
      <c r="K23" s="27" t="inlineStr">
        <is>
          <t>Playground build and focused route checks pass.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SL-16</t>
        </is>
      </c>
      <c r="B24" s="26" t="inlineStr">
        <is>
          <t>Docs</t>
        </is>
      </c>
      <c r="C24" s="26" t="inlineStr">
        <is>
          <t>SkipLink</t>
        </is>
      </c>
      <c r="D24" s="27" t="inlineStr">
        <is>
          <t>Source-backed use, misuse, anatomy, API, focus behavior, hooks, customization, responsive behavior, accessibility, composition, and evidence are documented.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../docs/components/skip-link/README.md</t>
        </is>
      </c>
      <c r="H24" s="26" t="inlineStr">
        <is>
          <t>tested</t>
        </is>
      </c>
      <c r="I24" s="26" t="inlineStr">
        <is>
          <t>no</t>
        </is>
      </c>
      <c r="J24" s="28" t="n">
        <v>46232</v>
      </c>
      <c r="K24" s="27" t="inlineStr">
        <is>
          <t>Component documentation contract passes.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SL-17</t>
        </is>
      </c>
      <c r="B25" s="26" t="inlineStr">
        <is>
          <t>Changelog</t>
        </is>
      </c>
      <c r="C25" s="26" t="inlineStr">
        <is>
          <t>SkipLink</t>
        </is>
      </c>
      <c r="D25" s="27" t="inlineStr">
        <is>
          <t>Skip Link owns a public component changelog and the package changelog records the public addition.</t>
        </is>
      </c>
      <c r="E25" s="26" t="inlineStr">
        <is>
          <t>package</t>
        </is>
      </c>
      <c r="F25" s="26" t="inlineStr">
        <is>
          <t>docs</t>
        </is>
      </c>
      <c r="G25" s="27" t="inlineStr">
        <is>
          <t>../docs/components/skip-link/CHANGELOG.md; ../CHANGELOG.md</t>
        </is>
      </c>
      <c r="H25" s="26" t="inlineStr">
        <is>
          <t>tested</t>
        </is>
      </c>
      <c r="I25" s="26" t="inlineStr">
        <is>
          <t>no</t>
        </is>
      </c>
      <c r="J25" s="28" t="n">
        <v>46232</v>
      </c>
      <c r="K25" s="27" t="inlineStr">
        <is>
          <t>Both public changelog surfaces are present.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SL-18</t>
        </is>
      </c>
      <c r="B26" s="26" t="inlineStr">
        <is>
          <t>Consumer</t>
        </is>
      </c>
      <c r="C26" s="26" t="inlineStr">
        <is>
          <t>Root / Target</t>
        </is>
      </c>
      <c r="D26" s="27" t="inlineStr">
        <is>
          <t>Packed Consumer imports the public subpath, composes Root before repeated chrome, transfers focus to main content, and continues into its first interactive descendant.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46232</v>
      </c>
      <c r="K26" s="27" t="inlineStr">
        <is>
          <t>Packed app Consumer and desktop/mobile Chromium keyboard proof pass.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SL-19</t>
        </is>
      </c>
      <c r="B27" s="26" t="inlineStr">
        <is>
          <t>Manual</t>
        </is>
      </c>
      <c r="C27" s="26" t="inlineStr">
        <is>
          <t>SkipLink</t>
        </is>
      </c>
      <c r="D27" s="27" t="inlineStr">
        <is>
          <t>A tester completes the numbered keyboard, target-transfer, native fallback, sticky, mobile, zoom, RTL, forced-color, screen-reader, and no-JavaScript protocol.</t>
        </is>
      </c>
      <c r="E27" s="26" t="inlineStr">
        <is>
          <t>package</t>
        </is>
      </c>
      <c r="F27" s="26" t="inlineStr">
        <is>
          <t>manual</t>
        </is>
      </c>
      <c r="G27" s="27" t="inlineStr">
        <is>
          <t>manual-tests/skip-link.md</t>
        </is>
      </c>
      <c r="H27" s="26" t="inlineStr">
        <is>
          <t>not started</t>
        </is>
      </c>
      <c r="I27" s="26" t="inlineStr">
        <is>
          <t>yes</t>
        </is>
      </c>
      <c r="J27" s="28" t="n">
        <v>46232</v>
      </c>
      <c r="K27" s="27" t="inlineStr">
        <is>
          <t>Human run intentionally left as the sole manual gate.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SL-20</t>
        </is>
      </c>
      <c r="B28" s="26" t="inlineStr">
        <is>
          <t>Package</t>
        </is>
      </c>
      <c r="C28" s="26" t="inlineStr">
        <is>
          <t>SkipLink</t>
        </is>
      </c>
      <c r="D28" s="27" t="inlineStr">
        <is>
          <t>Build, exports, SSR, tarball, React 18/19, Consumer, configured desktop/mobile browsers, docs, ownership, and exact Atom 0.20.11 dependency pass.</t>
        </is>
      </c>
      <c r="E28" s="26" t="inlineStr">
        <is>
          <t>package</t>
        </is>
      </c>
      <c r="F28" s="26" t="inlineStr">
        <is>
          <t>package</t>
        </is>
      </c>
      <c r="G28" s="27" t="inlineStr">
        <is>
          <t>../scripts/verify-package.mjs; ../scripts/verify-consumers.mjs</t>
        </is>
      </c>
      <c r="H28" s="26" t="inlineStr">
        <is>
          <t>tested</t>
        </is>
      </c>
      <c r="I28" s="26" t="inlineStr">
        <is>
          <t>no</t>
        </is>
      </c>
      <c r="J28" s="28" t="n">
        <v>46232</v>
      </c>
      <c r="K28" s="27" t="inlineStr">
        <is>
          <t>Complete check, SSR, tarball, React 18/19, packed Consumer, and five-project component behavior pass; canonical full-matrix visual rendering remains a PR CI gate.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8"/>
  <mergeCells count="2">
    <mergeCell ref="A2:M2"/>
    <mergeCell ref="A1:M1"/>
  </mergeCells>
  <dataValidations count="2">
    <dataValidation sqref="H9:H2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4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Show Evidence</t>
        </is>
      </c>
    </row>
    <row r="2" ht="27.75" customHeight="1" s="17">
      <c r="A2" s="19" t="inlineStr">
        <is>
          <t>Assertion-level CSS-only responsive visibility, composition,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SH-01</t>
        </is>
      </c>
      <c r="B9" s="26" t="inlineStr">
        <is>
          <t>Ownership</t>
        </is>
      </c>
      <c r="C9" s="26" t="inlineStr">
        <is>
          <t>Show</t>
        </is>
      </c>
      <c r="D9" s="27" t="inlineStr">
        <is>
          <t>Show is a Brick-owned CSS layout utility; research found no Atom primitive or behavior patch is required.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../src/components/show/Show.tsx; ../src/components/_responsive-visibility/ResponsiveVisibility.tsx</t>
        </is>
      </c>
      <c r="H9" s="26" t="inlineStr">
        <is>
          <t>tested</t>
        </is>
      </c>
      <c r="I9" s="26" t="inlineStr">
        <is>
          <t>no</t>
        </is>
      </c>
      <c r="J9" s="28" t="n">
        <v>46232</v>
      </c>
      <c r="K9" s="27" t="inlineStr">
        <is>
          <t>Source audit confirms the deliberate no-Atom boundary.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One always-mounted native host receives the brick-show class, data-from threshold, data-slot hook, children, and forwarded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../test/components/show/show.test.tsx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46232</v>
      </c>
      <c r="K10" s="27" t="inlineStr">
        <is>
          <t>Focused component anatomy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SH-03</t>
        </is>
      </c>
      <c r="B11" s="26" t="inlineStr">
        <is>
          <t>Exports</t>
        </is>
      </c>
      <c r="C11" s="26" t="inlineStr">
        <is>
          <t>Show</t>
        </is>
      </c>
      <c r="D11" s="27" t="inlineStr">
        <is>
          <t>Root and show subpath exports expose Show, ShowProps, ShowElement, and ShowBreakpoint with identical runtime identity.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../package.json</t>
        </is>
      </c>
      <c r="H11" s="26" t="inlineStr">
        <is>
          <t>tested</t>
        </is>
      </c>
      <c r="I11" s="26" t="inlineStr">
        <is>
          <t>no</t>
        </is>
      </c>
      <c r="J11" s="28" t="n">
        <v>46232</v>
      </c>
      <c r="K11" s="27" t="inlineStr">
        <is>
          <t>Package export and clean-consumer identity checks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SH-04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Required from threshold, closed hosts and breakpoints, native props, style, slot, children, and HTMLElement refs type-check while hidden is excluded.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../test/types/components/show.test.ts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46232</v>
      </c>
      <c r="K12" s="27" t="inlineStr">
        <is>
          <t>Focused and repository-wide type checks pass.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SH-05</t>
        </is>
      </c>
      <c r="B13" s="26" t="inlineStr">
        <is>
          <t>SSR</t>
        </is>
      </c>
      <c r="C13" s="26" t="inlineStr">
        <is>
          <t>Root</t>
        </is>
      </c>
      <c r="D13" s="27" t="inlineStr">
        <is>
          <t>Show imports server-safely and emits deterministic always-mounted markup without reading viewport state during render.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../test/package/ssr.test.mjs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46232</v>
      </c>
      <c r="K13" s="27" t="inlineStr">
        <is>
          <t>React server rendering and clean React 18/19 consumers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SH-06</t>
        </is>
      </c>
      <c r="B14" s="26" t="inlineStr">
        <is>
          <t>CSS</t>
        </is>
      </c>
      <c r="C14" s="26" t="inlineStr">
        <is>
          <t>Root</t>
        </is>
      </c>
      <c r="D14" s="27" t="inlineStr">
        <is>
          <t>Static CSS ships sm 30rem, md 48rem, lg 64rem, and xl 80rem media boundaries and hides only brick-show with display none important.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../src/components/show/show.css; ../scripts/prototype-css.mjs</t>
        </is>
      </c>
      <c r="H14" s="26" t="inlineStr">
        <is>
          <t>tested</t>
        </is>
      </c>
      <c r="I14" s="26" t="inlineStr">
        <is>
          <t>no</t>
        </is>
      </c>
      <c r="J14" s="28" t="n">
        <v>46232</v>
      </c>
      <c r="K14" s="27" t="inlineStr">
        <is>
          <t>Production CSS and packaged CSS assertions pass.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SH-07</t>
        </is>
      </c>
      <c r="B15" s="26" t="inlineStr">
        <is>
          <t>Breakpoint edges</t>
        </is>
      </c>
      <c r="C15" s="26" t="inlineStr">
        <is>
          <t>Root</t>
        </is>
      </c>
      <c r="D15" s="27" t="inlineStr">
        <is>
          <t>At 767px and 768px the md boundary changes exactly once and Show has no overlap or gap.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tests/components/show/behavior.spec.ts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46232</v>
      </c>
      <c r="K15" s="27" t="inlineStr">
        <is>
          <t>All five configured browser/device projects pass.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SH-08</t>
        </is>
      </c>
      <c r="B16" s="26" t="inlineStr">
        <is>
          <t>Display preservation</t>
        </is>
      </c>
      <c r="C16" s="26" t="inlineStr">
        <is>
          <t>Root</t>
        </is>
      </c>
      <c r="D16" s="27" t="inlineStr">
        <is>
          <t>Visible block, inline, flex, and grid hosts retain their authored computed display instead of receiving an invented visible display value.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tests/components/show/behavior.spec.ts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46232</v>
      </c>
      <c r="K16" s="27" t="inlineStr">
        <is>
          <t>Computed-display assertions pass.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SH-09</t>
        </is>
      </c>
      <c r="B17" s="26" t="inlineStr">
        <is>
          <t>Mounted state</t>
        </is>
      </c>
      <c r="C17" s="26" t="inlineStr">
        <is>
          <t>Root / children</t>
        </is>
      </c>
      <c r="D17" s="27" t="inlineStr">
        <is>
          <t>Responsive hiding never unmounts children, so authored local state survives a transition from shown to visible.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tests/components/show/behavior.spec.ts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46232</v>
      </c>
      <c r="K17" s="27" t="inlineStr">
        <is>
          <t>Resize and retained-state assertions pass.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SH-10</t>
        </is>
      </c>
      <c r="B18" s="26" t="inlineStr">
        <is>
          <t>Accessibility tree</t>
        </is>
      </c>
      <c r="C18" s="26" t="inlineStr">
        <is>
          <t>Root / children</t>
        </is>
      </c>
      <c r="D18" s="27" t="inlineStr">
        <is>
          <t>Controls inside a display-none branch are absent from the accessibility tree and return when their branch becomes visible.</t>
        </is>
      </c>
      <c r="E18" s="26" t="inlineStr">
        <is>
          <t>browser</t>
        </is>
      </c>
      <c r="F18" s="26" t="inlineStr">
        <is>
          <t>axe</t>
        </is>
      </c>
      <c r="G18" s="27" t="inlineStr">
        <is>
          <t>tests/components/show/behavior.spec.ts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46232</v>
      </c>
      <c r="K18" s="27" t="inlineStr">
        <is>
          <t>Role visibility and focused axe assertions pass.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SH-11</t>
        </is>
      </c>
      <c r="B19" s="26" t="inlineStr">
        <is>
          <t>Composition</t>
        </is>
      </c>
      <c r="C19" s="26" t="inlineStr">
        <is>
          <t>Show / Hide</t>
        </is>
      </c>
      <c r="D19" s="27" t="inlineStr">
        <is>
          <t>Show and Hide remain independent exact complements and compose without a public Visibility mode namespace.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tests/components/show/behavior.spec.ts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46232</v>
      </c>
      <c r="K19" s="27" t="inlineStr">
        <is>
          <t>Complementary boundary assertions pass.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SH-12</t>
        </is>
      </c>
      <c r="B20" s="26" t="inlineStr">
        <is>
          <t>Semantic hosts</t>
        </is>
      </c>
      <c r="C20" s="26" t="inlineStr">
        <is>
          <t>Root</t>
        </is>
      </c>
      <c r="D20" s="27" t="inlineStr">
        <is>
          <t>Closed div, span, section, article, navigation, landmark, and list hosts preserve authored semantics without adding roles or names.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../test/components/show/show.test.tsx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46232</v>
      </c>
      <c r="K20" s="27" t="inlineStr">
        <is>
          <t>Semantic host and no-invented-ARIA assertions pass.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SH-13</t>
        </is>
      </c>
      <c r="B21" s="26" t="inlineStr">
        <is>
          <t>Native composition</t>
        </is>
      </c>
      <c r="C21" s="26" t="inlineStr">
        <is>
          <t>Root</t>
        </is>
      </c>
      <c r="D21" s="27" t="inlineStr">
        <is>
          <t>Class, style, slot, data attributes, events, aria attributes, children, and forwarded HTMLElement refs target the single public host.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../test/components/show/show.test.tsx; tests/components/show/behavior.spec.ts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46232</v>
      </c>
      <c r="K21" s="27" t="inlineStr">
        <is>
          <t>Component and browser ref/prop evidence passes.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SH-14</t>
        </is>
      </c>
      <c r="B22" s="26" t="inlineStr">
        <is>
          <t>Responsive / RTL</t>
        </is>
      </c>
      <c r="C22" s="26" t="inlineStr">
        <is>
          <t>Root / children</t>
        </is>
      </c>
      <c r="D22" s="27" t="inlineStr">
        <is>
          <t>Viewport thresholds remain physical while long localized content, authored direction, and RTL text stay intact and contained.</t>
        </is>
      </c>
      <c r="E22" s="26" t="inlineStr">
        <is>
          <t>browser</t>
        </is>
      </c>
      <c r="F22" s="26" t="inlineStr">
        <is>
          <t>browser</t>
        </is>
      </c>
      <c r="G22" s="27" t="inlineStr">
        <is>
          <t>tests/components/show/behavior.spec.ts; tests/components/show/visual.spec.ts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46232</v>
      </c>
      <c r="K22" s="27" t="inlineStr">
        <is>
          <t>Cross-browser resize and reviewed localized baselines pass.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SH-15</t>
        </is>
      </c>
      <c r="B23" s="26" t="inlineStr">
        <is>
          <t>Accessibility</t>
        </is>
      </c>
      <c r="C23" s="26" t="inlineStr">
        <is>
          <t>Root / children</t>
        </is>
      </c>
      <c r="D23" s="27" t="inlineStr">
        <is>
          <t>The utility adds no semantic state, preserves authored child semantics and focus behavior, and its route has no automatically detectable violations.</t>
        </is>
      </c>
      <c r="E23" s="26" t="inlineStr">
        <is>
          <t>browser</t>
        </is>
      </c>
      <c r="F23" s="26" t="inlineStr">
        <is>
          <t>axe</t>
        </is>
      </c>
      <c r="G23" s="27" t="inlineStr">
        <is>
          <t>tests/components/show/behavior.spec.ts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46232</v>
      </c>
      <c r="K23" s="27" t="inlineStr">
        <is>
          <t>Focused axe coverage passes in the configured matrix.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SH-16</t>
        </is>
      </c>
      <c r="B24" s="26" t="inlineStr">
        <is>
          <t>Playground</t>
        </is>
      </c>
      <c r="C24" s="26" t="inlineStr">
        <is>
          <t>Show</t>
        </is>
      </c>
      <c r="D24" s="27" t="inlineStr">
        <is>
          <t>One navigable route exposes eight separated scenarios for defaults, breakpoints, edges, display, hosts, composition, mounted state, and stress.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src/components/show/ShowPage.tsx; src/components/_visibility/VisibilityEvidencePage.tsx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46232</v>
      </c>
      <c r="K24" s="27" t="inlineStr">
        <is>
          <t>Playground build, route ownership, and composition audits pass.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SH-17</t>
        </is>
      </c>
      <c r="B25" s="26" t="inlineStr">
        <is>
          <t>Visual</t>
        </is>
      </c>
      <c r="C25" s="26" t="inlineStr">
        <is>
          <t>Root / children</t>
        </is>
      </c>
      <c r="D25" s="27" t="inlineStr">
        <is>
          <t>Reviewed baselines cover compact overview badges, breakpoint cards, visible and hidden branches, mobile containment, localization, and RTL.</t>
        </is>
      </c>
      <c r="E25" s="26" t="inlineStr">
        <is>
          <t>browser</t>
        </is>
      </c>
      <c r="F25" s="26" t="inlineStr">
        <is>
          <t>visual</t>
        </is>
      </c>
      <c r="G25" s="27" t="inlineStr">
        <is>
          <t>tests/components/show/visual.spec.ts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46232</v>
      </c>
      <c r="K25" s="27" t="inlineStr">
        <is>
          <t>Agent inspected all three component-owned Chromium baselines on 2026-07-29.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SH-18</t>
        </is>
      </c>
      <c r="B26" s="26" t="inlineStr">
        <is>
          <t>Documentation</t>
        </is>
      </c>
      <c r="C26" s="26" t="inlineStr">
        <is>
          <t>Public guide</t>
        </is>
      </c>
      <c r="D26" s="27" t="inlineStr">
        <is>
          <t>Guide documents role, independent-component rationale, breakpoints, always-mounted behavior, accessibility, composition, CSS hooks, examples, and exclusions.</t>
        </is>
      </c>
      <c r="E26" s="26" t="inlineStr">
        <is>
          <t>package</t>
        </is>
      </c>
      <c r="F26" s="26" t="inlineStr">
        <is>
          <t>documentation</t>
        </is>
      </c>
      <c r="G26" s="27" t="inlineStr">
        <is>
          <t>../docs/components/show/README.md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46232</v>
      </c>
      <c r="K26" s="27" t="inlineStr">
        <is>
          <t>Structural and source-backed semantic documentation contracts pass.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SH-19</t>
        </is>
      </c>
      <c r="B27" s="26" t="inlineStr">
        <is>
          <t>Changelog</t>
        </is>
      </c>
      <c r="C27" s="26" t="inlineStr">
        <is>
          <t>Public record</t>
        </is>
      </c>
      <c r="D27" s="27" t="inlineStr">
        <is>
          <t>Show owns a component changelog and the package changelog records both responsive visibility additions.</t>
        </is>
      </c>
      <c r="E27" s="26" t="inlineStr">
        <is>
          <t>package</t>
        </is>
      </c>
      <c r="F27" s="26" t="inlineStr">
        <is>
          <t>documentation</t>
        </is>
      </c>
      <c r="G27" s="27" t="inlineStr">
        <is>
          <t>../docs/components/show/CHANGELOG.md;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46232</v>
      </c>
      <c r="K27" s="27" t="inlineStr">
        <is>
          <t>Both public changelog surfaces are present.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SH-20</t>
        </is>
      </c>
      <c r="B28" s="26" t="inlineStr">
        <is>
          <t>Consumer</t>
        </is>
      </c>
      <c r="C28" s="26" t="inlineStr">
        <is>
          <t>Root</t>
        </is>
      </c>
      <c r="D28" s="27" t="inlineStr">
        <is>
          <t>The packed Consumer imports Show from its public subpath and composes realistic wide/compact workspace guidance.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../scripts/verify-consumers.mjs</t>
        </is>
      </c>
      <c r="H28" s="26" t="inlineStr">
        <is>
          <t>tested</t>
        </is>
      </c>
      <c r="I28" s="26" t="inlineStr">
        <is>
          <t>no</t>
        </is>
      </c>
      <c r="J28" s="28" t="n">
        <v>46232</v>
      </c>
      <c r="K28" s="27" t="inlineStr">
        <is>
          <t>Consumer build plus fresh React 18/19 package installs pass.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SH-21</t>
        </is>
      </c>
      <c r="B29" s="26" t="inlineStr">
        <is>
          <t>Manual</t>
        </is>
      </c>
      <c r="C29" s="26" t="inlineStr">
        <is>
          <t>Show</t>
        </is>
      </c>
      <c r="D29" s="27" t="inlineStr">
        <is>
          <t>A tester completes the numbered resize, display, semantics, keyboard, zoom, RTL, localization, preference, and no-JavaScript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manual-tests/show.md</t>
        </is>
      </c>
      <c r="H29" s="26" t="inlineStr">
        <is>
          <t>not started</t>
        </is>
      </c>
      <c r="I29" s="26" t="inlineStr">
        <is>
          <t>yes</t>
        </is>
      </c>
      <c r="J29" s="28" t="n"/>
      <c r="K29" s="27" t="inlineStr">
        <is>
          <t>Human run intentionally left as the sole component gate.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SH-22</t>
        </is>
      </c>
      <c r="B30" s="26" t="inlineStr">
        <is>
          <t>Package</t>
        </is>
      </c>
      <c r="C30" s="26" t="inlineStr">
        <is>
          <t>Show</t>
        </is>
      </c>
      <c r="D30" s="27" t="inlineStr">
        <is>
          <t>Build, declarations, exports, SSR, CSS, docs, ownership, tarball, React 18/19, Consumer, and focused five-project browser verification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46232</v>
      </c>
      <c r="K30" s="27" t="inlineStr">
        <is>
          <t>Complete non-browser gate and focused 20-test browser/device matrix pass; unrelated legacy full-suite visual drift remains outside this component.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5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Hide Evidence</t>
        </is>
      </c>
    </row>
    <row r="2" ht="27.75" customHeight="1" s="17">
      <c r="A2" s="19" t="inlineStr">
        <is>
          <t>Assertion-level CSS-only responsive visibility, composition,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HD-01</t>
        </is>
      </c>
      <c r="B9" s="26" t="inlineStr">
        <is>
          <t>Ownership</t>
        </is>
      </c>
      <c r="C9" s="26" t="inlineStr">
        <is>
          <t>Hide</t>
        </is>
      </c>
      <c r="D9" s="27" t="inlineStr">
        <is>
          <t>Hide is a Brick-owned CSS layout utility; research found no Atom primitive or behavior patch is required.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../src/components/hide/Hide.tsx; ../src/components/_responsive-visibility/ResponsiveVisibility.tsx</t>
        </is>
      </c>
      <c r="H9" s="26" t="inlineStr">
        <is>
          <t>tested</t>
        </is>
      </c>
      <c r="I9" s="26" t="inlineStr">
        <is>
          <t>no</t>
        </is>
      </c>
      <c r="J9" s="28" t="n">
        <v>46232</v>
      </c>
      <c r="K9" s="27" t="inlineStr">
        <is>
          <t>Source audit confirms the deliberate no-Atom boundary.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HD-02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One always-mounted native host receives the brick-hide class, data-from threshold, data-slot hook, children, and forwarded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../test/components/hide/hide.test.tsx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46232</v>
      </c>
      <c r="K10" s="27" t="inlineStr">
        <is>
          <t>Focused component anatomy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HD-03</t>
        </is>
      </c>
      <c r="B11" s="26" t="inlineStr">
        <is>
          <t>Exports</t>
        </is>
      </c>
      <c r="C11" s="26" t="inlineStr">
        <is>
          <t>Hide</t>
        </is>
      </c>
      <c r="D11" s="27" t="inlineStr">
        <is>
          <t>Root and hide subpath exports expose Hide, HideProps, HideElement, and HideBreakpoint with identical runtime identity.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../package.json</t>
        </is>
      </c>
      <c r="H11" s="26" t="inlineStr">
        <is>
          <t>tested</t>
        </is>
      </c>
      <c r="I11" s="26" t="inlineStr">
        <is>
          <t>no</t>
        </is>
      </c>
      <c r="J11" s="28" t="n">
        <v>46232</v>
      </c>
      <c r="K11" s="27" t="inlineStr">
        <is>
          <t>Package export and clean-consumer identity checks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HD-04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Required from threshold, closed hosts and breakpoints, native props, style, slot, children, and HTMLElement refs type-check while hidden is excluded.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../test/types/components/hide.test.ts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46232</v>
      </c>
      <c r="K12" s="27" t="inlineStr">
        <is>
          <t>Focused and repository-wide type checks pass.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HD-05</t>
        </is>
      </c>
      <c r="B13" s="26" t="inlineStr">
        <is>
          <t>SSR</t>
        </is>
      </c>
      <c r="C13" s="26" t="inlineStr">
        <is>
          <t>Root</t>
        </is>
      </c>
      <c r="D13" s="27" t="inlineStr">
        <is>
          <t>Hide imports server-safely and emits deterministic always-mounted markup without reading viewport state during render.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../test/package/ssr.test.mjs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46232</v>
      </c>
      <c r="K13" s="27" t="inlineStr">
        <is>
          <t>React server rendering and clean React 18/19 consumers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HD-06</t>
        </is>
      </c>
      <c r="B14" s="26" t="inlineStr">
        <is>
          <t>CSS</t>
        </is>
      </c>
      <c r="C14" s="26" t="inlineStr">
        <is>
          <t>Root</t>
        </is>
      </c>
      <c r="D14" s="27" t="inlineStr">
        <is>
          <t>Static CSS ships sm 30rem, md 48rem, lg 64rem, and xl 80rem media boundaries and hides only brick-hide with display none important.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../src/components/hide/hide.css; ../scripts/prototype-css.mjs</t>
        </is>
      </c>
      <c r="H14" s="26" t="inlineStr">
        <is>
          <t>tested</t>
        </is>
      </c>
      <c r="I14" s="26" t="inlineStr">
        <is>
          <t>no</t>
        </is>
      </c>
      <c r="J14" s="28" t="n">
        <v>46232</v>
      </c>
      <c r="K14" s="27" t="inlineStr">
        <is>
          <t>Production CSS and packaged CSS assertions pass.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HD-07</t>
        </is>
      </c>
      <c r="B15" s="26" t="inlineStr">
        <is>
          <t>Breakpoint edges</t>
        </is>
      </c>
      <c r="C15" s="26" t="inlineStr">
        <is>
          <t>Root</t>
        </is>
      </c>
      <c r="D15" s="27" t="inlineStr">
        <is>
          <t>At 767px and 768px the md boundary changes exactly once and Hide has no overlap or gap.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tests/components/hide/behavior.spec.ts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46232</v>
      </c>
      <c r="K15" s="27" t="inlineStr">
        <is>
          <t>All five configured browser/device projects pass.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HD-08</t>
        </is>
      </c>
      <c r="B16" s="26" t="inlineStr">
        <is>
          <t>Display preservation</t>
        </is>
      </c>
      <c r="C16" s="26" t="inlineStr">
        <is>
          <t>Root</t>
        </is>
      </c>
      <c r="D16" s="27" t="inlineStr">
        <is>
          <t>Visible block, inline, flex, and grid hosts retain their authored computed display instead of receiving an invented visible display value.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tests/components/hide/behavior.spec.ts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46232</v>
      </c>
      <c r="K16" s="27" t="inlineStr">
        <is>
          <t>Computed-display assertions pass.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HD-09</t>
        </is>
      </c>
      <c r="B17" s="26" t="inlineStr">
        <is>
          <t>Mounted state</t>
        </is>
      </c>
      <c r="C17" s="26" t="inlineStr">
        <is>
          <t>Root / children</t>
        </is>
      </c>
      <c r="D17" s="27" t="inlineStr">
        <is>
          <t>Responsive hiding never unmounts children, so authored local state survives a transition from hidden to visible.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tests/components/hide/behavior.spec.ts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46232</v>
      </c>
      <c r="K17" s="27" t="inlineStr">
        <is>
          <t>Resize and retained-state assertions pass.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HD-10</t>
        </is>
      </c>
      <c r="B18" s="26" t="inlineStr">
        <is>
          <t>Accessibility tree</t>
        </is>
      </c>
      <c r="C18" s="26" t="inlineStr">
        <is>
          <t>Root / children</t>
        </is>
      </c>
      <c r="D18" s="27" t="inlineStr">
        <is>
          <t>Controls inside a display-none branch are absent from the accessibility tree and return when their branch becomes visible.</t>
        </is>
      </c>
      <c r="E18" s="26" t="inlineStr">
        <is>
          <t>browser</t>
        </is>
      </c>
      <c r="F18" s="26" t="inlineStr">
        <is>
          <t>axe</t>
        </is>
      </c>
      <c r="G18" s="27" t="inlineStr">
        <is>
          <t>tests/components/hide/behavior.spec.ts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46232</v>
      </c>
      <c r="K18" s="27" t="inlineStr">
        <is>
          <t>Role visibility and focused axe assertions pass.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HD-11</t>
        </is>
      </c>
      <c r="B19" s="26" t="inlineStr">
        <is>
          <t>Composition</t>
        </is>
      </c>
      <c r="C19" s="26" t="inlineStr">
        <is>
          <t>Hide / Show</t>
        </is>
      </c>
      <c r="D19" s="27" t="inlineStr">
        <is>
          <t>Hide and Show remain independent exact complements and compose without a public Visibility mode namespace.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tests/components/hide/behavior.spec.ts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46232</v>
      </c>
      <c r="K19" s="27" t="inlineStr">
        <is>
          <t>Complementary boundary assertions pass.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HD-12</t>
        </is>
      </c>
      <c r="B20" s="26" t="inlineStr">
        <is>
          <t>Semantic hosts</t>
        </is>
      </c>
      <c r="C20" s="26" t="inlineStr">
        <is>
          <t>Root</t>
        </is>
      </c>
      <c r="D20" s="27" t="inlineStr">
        <is>
          <t>Closed div, span, section, article, navigation, landmark, and list hosts preserve authored semantics without adding roles or names.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../test/components/hide/hide.test.tsx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46232</v>
      </c>
      <c r="K20" s="27" t="inlineStr">
        <is>
          <t>Semantic host and no-invented-ARIA assertions pass.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HD-13</t>
        </is>
      </c>
      <c r="B21" s="26" t="inlineStr">
        <is>
          <t>Native composition</t>
        </is>
      </c>
      <c r="C21" s="26" t="inlineStr">
        <is>
          <t>Root</t>
        </is>
      </c>
      <c r="D21" s="27" t="inlineStr">
        <is>
          <t>Class, style, slot, data attributes, events, aria attributes, children, and forwarded HTMLElement refs target the single public host.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../test/components/hide/hide.test.tsx; tests/components/hide/behavior.spec.ts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46232</v>
      </c>
      <c r="K21" s="27" t="inlineStr">
        <is>
          <t>Component and browser ref/prop evidence passes.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HD-14</t>
        </is>
      </c>
      <c r="B22" s="26" t="inlineStr">
        <is>
          <t>Responsive / RTL</t>
        </is>
      </c>
      <c r="C22" s="26" t="inlineStr">
        <is>
          <t>Root / children</t>
        </is>
      </c>
      <c r="D22" s="27" t="inlineStr">
        <is>
          <t>Viewport thresholds remain physical while long localized content, authored direction, and RTL text stay intact and contained.</t>
        </is>
      </c>
      <c r="E22" s="26" t="inlineStr">
        <is>
          <t>browser</t>
        </is>
      </c>
      <c r="F22" s="26" t="inlineStr">
        <is>
          <t>browser</t>
        </is>
      </c>
      <c r="G22" s="27" t="inlineStr">
        <is>
          <t>tests/components/hide/behavior.spec.ts; tests/components/hide/visual.spec.ts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46232</v>
      </c>
      <c r="K22" s="27" t="inlineStr">
        <is>
          <t>Cross-browser resize and reviewed localized baselines pass.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HD-15</t>
        </is>
      </c>
      <c r="B23" s="26" t="inlineStr">
        <is>
          <t>Accessibility</t>
        </is>
      </c>
      <c r="C23" s="26" t="inlineStr">
        <is>
          <t>Root / children</t>
        </is>
      </c>
      <c r="D23" s="27" t="inlineStr">
        <is>
          <t>The utility adds no semantic state, preserves authored child semantics and focus behavior, and its route has no automatically detectable violations.</t>
        </is>
      </c>
      <c r="E23" s="26" t="inlineStr">
        <is>
          <t>browser</t>
        </is>
      </c>
      <c r="F23" s="26" t="inlineStr">
        <is>
          <t>axe</t>
        </is>
      </c>
      <c r="G23" s="27" t="inlineStr">
        <is>
          <t>tests/components/hide/behavior.spec.ts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46232</v>
      </c>
      <c r="K23" s="27" t="inlineStr">
        <is>
          <t>Focused axe coverage passes in the configured matrix.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HD-16</t>
        </is>
      </c>
      <c r="B24" s="26" t="inlineStr">
        <is>
          <t>Playground</t>
        </is>
      </c>
      <c r="C24" s="26" t="inlineStr">
        <is>
          <t>Hide</t>
        </is>
      </c>
      <c r="D24" s="27" t="inlineStr">
        <is>
          <t>One navigable route exposes eight separated scenarios for defaults, breakpoints, edges, display, hosts, composition, mounted state, and stress.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src/components/hide/HidePage.tsx; src/components/_visibility/VisibilityEvidencePage.tsx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46232</v>
      </c>
      <c r="K24" s="27" t="inlineStr">
        <is>
          <t>Playground build, route ownership, and composition audits pass.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HD-17</t>
        </is>
      </c>
      <c r="B25" s="26" t="inlineStr">
        <is>
          <t>Visual</t>
        </is>
      </c>
      <c r="C25" s="26" t="inlineStr">
        <is>
          <t>Root / children</t>
        </is>
      </c>
      <c r="D25" s="27" t="inlineStr">
        <is>
          <t>Reviewed baselines cover compact overview badges, breakpoint cards, visible and hidden branches, mobile containment, localization, and RTL.</t>
        </is>
      </c>
      <c r="E25" s="26" t="inlineStr">
        <is>
          <t>browser</t>
        </is>
      </c>
      <c r="F25" s="26" t="inlineStr">
        <is>
          <t>visual</t>
        </is>
      </c>
      <c r="G25" s="27" t="inlineStr">
        <is>
          <t>tests/components/hide/visual.spec.ts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46232</v>
      </c>
      <c r="K25" s="27" t="inlineStr">
        <is>
          <t>Agent inspected all three component-owned Chromium baselines on 2026-07-29.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HD-18</t>
        </is>
      </c>
      <c r="B26" s="26" t="inlineStr">
        <is>
          <t>Documentation</t>
        </is>
      </c>
      <c r="C26" s="26" t="inlineStr">
        <is>
          <t>Public guide</t>
        </is>
      </c>
      <c r="D26" s="27" t="inlineStr">
        <is>
          <t>Guide documents role, independent-component rationale, breakpoints, always-mounted behavior, accessibility, composition, CSS hooks, examples, and exclusions.</t>
        </is>
      </c>
      <c r="E26" s="26" t="inlineStr">
        <is>
          <t>package</t>
        </is>
      </c>
      <c r="F26" s="26" t="inlineStr">
        <is>
          <t>documentation</t>
        </is>
      </c>
      <c r="G26" s="27" t="inlineStr">
        <is>
          <t>../docs/components/hide/README.md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46232</v>
      </c>
      <c r="K26" s="27" t="inlineStr">
        <is>
          <t>Structural and source-backed semantic documentation contracts pass.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HD-19</t>
        </is>
      </c>
      <c r="B27" s="26" t="inlineStr">
        <is>
          <t>Changelog</t>
        </is>
      </c>
      <c r="C27" s="26" t="inlineStr">
        <is>
          <t>Public record</t>
        </is>
      </c>
      <c r="D27" s="27" t="inlineStr">
        <is>
          <t>Hide owns a component changelog and the package changelog records both responsive visibility additions.</t>
        </is>
      </c>
      <c r="E27" s="26" t="inlineStr">
        <is>
          <t>package</t>
        </is>
      </c>
      <c r="F27" s="26" t="inlineStr">
        <is>
          <t>documentation</t>
        </is>
      </c>
      <c r="G27" s="27" t="inlineStr">
        <is>
          <t>../docs/components/hide/CHANGELOG.md;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46232</v>
      </c>
      <c r="K27" s="27" t="inlineStr">
        <is>
          <t>Both public changelog surfaces are present.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HD-20</t>
        </is>
      </c>
      <c r="B28" s="26" t="inlineStr">
        <is>
          <t>Consumer</t>
        </is>
      </c>
      <c r="C28" s="26" t="inlineStr">
        <is>
          <t>Root</t>
        </is>
      </c>
      <c r="D28" s="27" t="inlineStr">
        <is>
          <t>The packed Consumer imports Hide from its public subpath and composes realistic wide/compact workspace guidance.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../scripts/verify-consumers.mjs</t>
        </is>
      </c>
      <c r="H28" s="26" t="inlineStr">
        <is>
          <t>tested</t>
        </is>
      </c>
      <c r="I28" s="26" t="inlineStr">
        <is>
          <t>no</t>
        </is>
      </c>
      <c r="J28" s="28" t="n">
        <v>46232</v>
      </c>
      <c r="K28" s="27" t="inlineStr">
        <is>
          <t>Consumer build plus fresh React 18/19 package installs pass.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HD-21</t>
        </is>
      </c>
      <c r="B29" s="26" t="inlineStr">
        <is>
          <t>Manual</t>
        </is>
      </c>
      <c r="C29" s="26" t="inlineStr">
        <is>
          <t>Hide</t>
        </is>
      </c>
      <c r="D29" s="27" t="inlineStr">
        <is>
          <t>A tester completes the numbered resize, display, semantics, keyboard, zoom, RTL, localization, preference, and no-JavaScript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manual-tests/hide.md</t>
        </is>
      </c>
      <c r="H29" s="26" t="inlineStr">
        <is>
          <t>not started</t>
        </is>
      </c>
      <c r="I29" s="26" t="inlineStr">
        <is>
          <t>yes</t>
        </is>
      </c>
      <c r="J29" s="28" t="n"/>
      <c r="K29" s="27" t="inlineStr">
        <is>
          <t>Human run intentionally left as the sole component gate.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HD-22</t>
        </is>
      </c>
      <c r="B30" s="26" t="inlineStr">
        <is>
          <t>Package</t>
        </is>
      </c>
      <c r="C30" s="26" t="inlineStr">
        <is>
          <t>Hide</t>
        </is>
      </c>
      <c r="D30" s="27" t="inlineStr">
        <is>
          <t>Build, declarations, exports, SSR, CSS, docs, ownership, tarball, React 18/19, Consumer, and focused five-project browser verification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46232</v>
      </c>
      <c r="K30" s="27" t="inlineStr">
        <is>
          <t>Complete non-browser gate and focused 20-test browser/device matrix pass; unrelated legacy full-suite visual drift remains outside this component.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Swipeable Item Evidence</t>
        </is>
      </c>
    </row>
    <row r="2" ht="27.75" customHeight="1" s="17">
      <c r="A2" s="19" t="inlineStr">
        <is>
          <t>Assertion-level Atom ownership, gesture and keyboard behavior, three-part anatomy, logical actions,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SW-01</t>
        </is>
      </c>
      <c r="B9" s="26" t="inlineStr">
        <is>
          <t>Atom ownership</t>
        </is>
      </c>
      <c r="C9" s="26" t="inlineStr">
        <is>
          <t>Root / Content / Actions</t>
        </is>
      </c>
      <c r="D9" s="27" t="inlineStr">
        <is>
          <t>Brick styles and forwards the released Atom Swipeable Item contract; Atom 0.20.11 owns open-side state, measured offsets, pointer intent, keyboard reveal, cancellation, direction, and inert closed actions.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../src/components/swipeable-item/SwipeableItem.tsx; @flowstack-ui/atom 0.19.9</t>
        </is>
      </c>
      <c r="H9" s="26" t="inlineStr">
        <is>
          <t>tested</t>
        </is>
      </c>
      <c r="I9" s="26" t="inlineStr">
        <is>
          <t>no</t>
        </is>
      </c>
      <c r="J9" s="28" t="n">
        <v>46232</v>
      </c>
      <c r="K9" s="27" t="inlineStr">
        <is>
          <t>Released Atom package and Brick adapter audit pass.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SW-02</t>
        </is>
      </c>
      <c r="B10" s="26" t="inlineStr">
        <is>
          <t>API</t>
        </is>
      </c>
      <c r="C10" s="26" t="inlineStr">
        <is>
          <t>Namespace</t>
        </is>
      </c>
      <c r="D10" s="27" t="inlineStr">
        <is>
          <t>The public namespace contains exactly Root, Content, and Actions; Brick exposes only the plain and outline recipes and deliberately excludes full-swipe command execution.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../test/components/swipeable-item/swipeable-item.test.tsx; ../test/types/components/swipeable-item.test.ts</t>
        </is>
      </c>
      <c r="H10" s="26" t="inlineStr">
        <is>
          <t>tested</t>
        </is>
      </c>
      <c r="I10" s="26" t="inlineStr">
        <is>
          <t>no</t>
        </is>
      </c>
      <c r="J10" s="28" t="n">
        <v>46232</v>
      </c>
      <c r="K10" s="27" t="inlineStr">
        <is>
          <t>Closed namespace and negative type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SW-03</t>
        </is>
      </c>
      <c r="B11" s="26" t="inlineStr">
        <is>
          <t>Anatomy</t>
        </is>
      </c>
      <c r="C11" s="26" t="inlineStr">
        <is>
          <t>Root / Content / Actions</t>
        </is>
      </c>
      <c r="D11" s="27" t="inlineStr">
        <is>
          <t>Root owns the boundary, Content is the moving foreground, and each labeled Actions group remains a direct logical-side child without a Brick-owned row-content schema.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../test/components/swipeable-item/swipeable-item.test.tsx; tests/components/swipeable-item/behavior.spec.ts</t>
        </is>
      </c>
      <c r="H11" s="26" t="inlineStr">
        <is>
          <t>tested</t>
        </is>
      </c>
      <c r="I11" s="26" t="inlineStr">
        <is>
          <t>no</t>
        </is>
      </c>
      <c r="J11" s="28" t="n">
        <v>46232</v>
      </c>
      <c r="K11" s="27" t="inlineStr">
        <is>
          <t>Three-part slots and rendered anatomy assertions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SW-04</t>
        </is>
      </c>
      <c r="B12" s="26" t="inlineStr">
        <is>
          <t>State</t>
        </is>
      </c>
      <c r="C12" s="26" t="inlineStr">
        <is>
          <t>Root</t>
        </is>
      </c>
      <c r="D12" s="27" t="inlineStr">
        <is>
          <t>Controlled and uncontrolled openSide state reveal start, end, or closed without Brick duplicating Atom gesture math.</t>
        </is>
      </c>
      <c r="E12" s="26" t="inlineStr">
        <is>
          <t>browser</t>
        </is>
      </c>
      <c r="F12" s="26" t="inlineStr">
        <is>
          <t>browser</t>
        </is>
      </c>
      <c r="G12" s="27" t="inlineStr">
        <is>
          <t>tests/components/swipeable-item/behavior.spec.ts</t>
        </is>
      </c>
      <c r="H12" s="26" t="inlineStr">
        <is>
          <t>tested</t>
        </is>
      </c>
      <c r="I12" s="26" t="inlineStr">
        <is>
          <t>no</t>
        </is>
      </c>
      <c r="J12" s="28" t="n">
        <v>46232</v>
      </c>
      <c r="K12" s="27" t="inlineStr">
        <is>
          <t>Default, controlled, and closure assertions pass.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SW-05</t>
        </is>
      </c>
      <c r="B13" s="26" t="inlineStr">
        <is>
          <t>Moving surface</t>
        </is>
      </c>
      <c r="C13" s="26" t="inlineStr">
        <is>
          <t>Content</t>
        </is>
      </c>
      <c r="D13" s="27" t="inlineStr">
        <is>
          <t>Content consumes Atom's measured offset, remains opaque above Actions, preserves vertical pan-y scrolling, and settles only after Atom state changes.</t>
        </is>
      </c>
      <c r="E13" s="26" t="inlineStr">
        <is>
          <t>browser</t>
        </is>
      </c>
      <c r="F13" s="26" t="inlineStr">
        <is>
          <t>browser</t>
        </is>
      </c>
      <c r="G13" s="27" t="inlineStr">
        <is>
          <t>tests/components/swipeable-item/behavior.spec.ts; ../src/components/swipeable-item/swipeable-item.css</t>
        </is>
      </c>
      <c r="H13" s="26" t="inlineStr">
        <is>
          <t>tested</t>
        </is>
      </c>
      <c r="I13" s="26" t="inlineStr">
        <is>
          <t>no</t>
        </is>
      </c>
      <c r="J13" s="28" t="n">
        <v>46232</v>
      </c>
      <c r="K13" s="27" t="inlineStr">
        <is>
          <t>Computed style, gesture, and visual assertions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SW-06</t>
        </is>
      </c>
      <c r="B14" s="26" t="inlineStr">
        <is>
          <t>Action semantics</t>
        </is>
      </c>
      <c r="C14" s="26" t="inlineStr">
        <is>
          <t>Actions</t>
        </is>
      </c>
      <c r="D14" s="27" t="inlineStr">
        <is>
          <t>Every Actions group requires a localized aria-label, becomes available only for its open side, contains native authored controls, and closes after command selection.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tests/components/swipeable-item/behavior.spec.ts; ../test/types/components/swipeable-item.test.ts</t>
        </is>
      </c>
      <c r="H14" s="26" t="inlineStr">
        <is>
          <t>tested</t>
        </is>
      </c>
      <c r="I14" s="26" t="inlineStr">
        <is>
          <t>no</t>
        </is>
      </c>
      <c r="J14" s="28" t="n">
        <v>46232</v>
      </c>
      <c r="K14" s="27" t="inlineStr">
        <is>
          <t>Label, availability, and action-close assertions pass.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SW-07</t>
        </is>
      </c>
      <c r="B15" s="26" t="inlineStr">
        <is>
          <t>Vertical pan</t>
        </is>
      </c>
      <c r="C15" s="26" t="inlineStr">
        <is>
          <t>Content</t>
        </is>
      </c>
      <c r="D15" s="27" t="inlineStr">
        <is>
          <t>A mostly vertical touch gesture remains page scrolling and never becomes an owned horizontal reveal.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tests/components/swipeable-item/behavior.spec.ts; @flowstack-ui/atom 0.19.9</t>
        </is>
      </c>
      <c r="H15" s="26" t="inlineStr">
        <is>
          <t>tested</t>
        </is>
      </c>
      <c r="I15" s="26" t="inlineStr">
        <is>
          <t>no</t>
        </is>
      </c>
      <c r="J15" s="28" t="n">
        <v>46232</v>
      </c>
      <c r="K15" s="27" t="inlineStr">
        <is>
          <t>Atom five-project gesture suite and Brick touch policy pass.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SW-08</t>
        </is>
      </c>
      <c r="B16" s="26" t="inlineStr">
        <is>
          <t>Pointer lifecycle</t>
        </is>
      </c>
      <c r="C16" s="26" t="inlineStr">
        <is>
          <t>Root / Content</t>
        </is>
      </c>
      <c r="D16" s="27" t="inlineStr">
        <is>
          <t>Horizontal intent, threshold settlement, pointer cancellation, and lost capture restore deterministic visual and state outcomes without invoking commands.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tests/components/swipeable-item/behavior.spec.ts; @flowstack-ui/atom 0.19.9</t>
        </is>
      </c>
      <c r="H16" s="26" t="inlineStr">
        <is>
          <t>tested</t>
        </is>
      </c>
      <c r="I16" s="26" t="inlineStr">
        <is>
          <t>no</t>
        </is>
      </c>
      <c r="J16" s="28" t="n">
        <v>46232</v>
      </c>
      <c r="K16" s="27" t="inlineStr">
        <is>
          <t>Pointer lifecycle assertions pass.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SW-09</t>
        </is>
      </c>
      <c r="B17" s="26" t="inlineStr">
        <is>
          <t>Keyboard</t>
        </is>
      </c>
      <c r="C17" s="26" t="inlineStr">
        <is>
          <t>Content</t>
        </is>
      </c>
      <c r="D17" s="27" t="inlineStr">
        <is>
          <t>Arrow keys reveal or close the physical side implied by document direction, Escape closes, and descendant controls keep their own Arrow-key behavior.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tests/components/swipeable-item/behavior.spec.ts; @flowstack-ui/atom 0.19.9</t>
        </is>
      </c>
      <c r="H17" s="26" t="inlineStr">
        <is>
          <t>tested</t>
        </is>
      </c>
      <c r="I17" s="26" t="inlineStr">
        <is>
          <t>no</t>
        </is>
      </c>
      <c r="J17" s="28" t="n">
        <v>46232</v>
      </c>
      <c r="K17" s="27" t="inlineStr">
        <is>
          <t>Keyboard and descendant-isolation assertions pass.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SW-10</t>
        </is>
      </c>
      <c r="B18" s="26" t="inlineStr">
        <is>
          <t>Direction</t>
        </is>
      </c>
      <c r="C18" s="26" t="inlineStr">
        <is>
          <t>Root / Actions</t>
        </is>
      </c>
      <c r="D18" s="27" t="inlineStr">
        <is>
          <t>Logical start and end panels mirror in genuine RTL while action order and authored reading direction remain application-owned.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tests/components/swipeable-item/behavior.spec.ts; tests/components/swipeable-item/visual.spec.ts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46232</v>
      </c>
      <c r="K18" s="27" t="inlineStr">
        <is>
          <t>RTL state, placement, and mobile baseline pass.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SW-11</t>
        </is>
      </c>
      <c r="B19" s="26" t="inlineStr">
        <is>
          <t>Disabled states</t>
        </is>
      </c>
      <c r="C19" s="26" t="inlineStr">
        <is>
          <t>Root</t>
        </is>
      </c>
      <c r="D19" s="27" t="inlineStr">
        <is>
          <t>Disabled and read-only rows preserve layout while Atom blocks pointer and keyboard open-side changes.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tests/components/swipeable-item/behavior.spec.ts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46232</v>
      </c>
      <c r="K19" s="27" t="inlineStr">
        <is>
          <t>Disabled and read-only state recipes pass.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SW-12</t>
        </is>
      </c>
      <c r="B20" s="26" t="inlineStr">
        <is>
          <t>Visible alternative</t>
        </is>
      </c>
      <c r="C20" s="26" t="inlineStr">
        <is>
          <t>Content</t>
        </is>
      </c>
      <c r="D20" s="27" t="inlineStr">
        <is>
          <t>The example and Consumer expose the same Archive and Delete commands through an obvious More actions menu so dragging is never the only route.</t>
        </is>
      </c>
      <c r="E20" s="26" t="inlineStr">
        <is>
          <t>consumer</t>
        </is>
      </c>
      <c r="F20" s="26" t="inlineStr">
        <is>
          <t>consumer</t>
        </is>
      </c>
      <c r="G20" s="27" t="inlineStr">
        <is>
          <t>src/components/swipeable-item/SwipeableItemPage.tsx; ../apps/consumer/src/App.tsx</t>
        </is>
      </c>
      <c r="H20" s="26" t="inlineStr">
        <is>
          <t>tested</t>
        </is>
      </c>
      <c r="I20" s="26" t="inlineStr">
        <is>
          <t>no</t>
        </is>
      </c>
      <c r="J20" s="28" t="n">
        <v>46232</v>
      </c>
      <c r="K20" s="27" t="inlineStr">
        <is>
          <t>Visible alternative is present in playground and packed Consumer.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SW-13</t>
        </is>
      </c>
      <c r="B21" s="26" t="inlineStr">
        <is>
          <t>Safety boundary</t>
        </is>
      </c>
      <c r="C21" s="26" t="inlineStr">
        <is>
          <t>Root</t>
        </is>
      </c>
      <c r="D21" s="27" t="inlineStr">
        <is>
          <t>Full-swipe threshold and callback props are absent from Brick so a release gesture cannot directly execute a destructive command.</t>
        </is>
      </c>
      <c r="E21" s="26" t="inlineStr">
        <is>
          <t>package</t>
        </is>
      </c>
      <c r="F21" s="26" t="inlineStr">
        <is>
          <t>types</t>
        </is>
      </c>
      <c r="G21" s="27" t="inlineStr">
        <is>
          <t>../test/types/components/swipeable-item.test.ts; ../docs/components/swipeable-item/README.md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46232</v>
      </c>
      <c r="K21" s="27" t="inlineStr">
        <is>
          <t>Negative public-surface type assertions pass.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SW-14</t>
        </is>
      </c>
      <c r="B22" s="26" t="inlineStr">
        <is>
          <t>Exports</t>
        </is>
      </c>
      <c r="C22" s="26" t="inlineStr">
        <is>
          <t>Swipeable Item</t>
        </is>
      </c>
      <c r="D22" s="27" t="inlineStr">
        <is>
          <t>Root and swipeable-item subpath exports expose the namespace, parts, props, and variant with identical runtime identity.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../test/package/package.test.mjs; ../package.json; ../scripts/verify-consumers.mjs</t>
        </is>
      </c>
      <c r="H22" s="26" t="inlineStr">
        <is>
          <t>tested</t>
        </is>
      </c>
      <c r="I22" s="26" t="inlineStr">
        <is>
          <t>no</t>
        </is>
      </c>
      <c r="J22" s="28" t="n">
        <v>46232</v>
      </c>
      <c r="K22" s="27" t="inlineStr">
        <is>
          <t>Root, subpath, declaration, and React 18/19 consumer checks pass.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SW-15</t>
        </is>
      </c>
      <c r="B23" s="26" t="inlineStr">
        <is>
          <t>Types</t>
        </is>
      </c>
      <c r="C23" s="26" t="inlineStr">
        <is>
          <t>Public surface</t>
        </is>
      </c>
      <c r="D23" s="27" t="inlineStr">
        <is>
          <t>Atom native props, refs, controlled state, render/asChild composition, aria/data attributes, classes, slots, styles, and closed Brick recipes type-check.</t>
        </is>
      </c>
      <c r="E23" s="26" t="inlineStr">
        <is>
          <t>package</t>
        </is>
      </c>
      <c r="F23" s="26" t="inlineStr">
        <is>
          <t>types</t>
        </is>
      </c>
      <c r="G23" s="27" t="inlineStr">
        <is>
          <t>../test/types/components/swipeable-item.test.ts</t>
        </is>
      </c>
      <c r="H23" s="26" t="inlineStr">
        <is>
          <t>tested</t>
        </is>
      </c>
      <c r="I23" s="26" t="inlineStr">
        <is>
          <t>no</t>
        </is>
      </c>
      <c r="J23" s="28" t="n">
        <v>46232</v>
      </c>
      <c r="K23" s="27" t="inlineStr">
        <is>
          <t>Positive and negative public-surface type checks pass.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SW-16</t>
        </is>
      </c>
      <c r="B24" s="26" t="inlineStr">
        <is>
          <t>SSR</t>
        </is>
      </c>
      <c r="C24" s="26" t="inlineStr">
        <is>
          <t>Root / Content / Actions</t>
        </is>
      </c>
      <c r="D24" s="27" t="inlineStr">
        <is>
          <t>Swipeable Item imports server-safely and emits deterministic three-part reveal anatomy without browser reads during render.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../test/package/ssr.test.mjs;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46232</v>
      </c>
      <c r="K24" s="27" t="inlineStr">
        <is>
          <t>SSR and clean React 18/19 consumer checks pass.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SW-17</t>
        </is>
      </c>
      <c r="B25" s="26" t="inlineStr">
        <is>
          <t>CSS</t>
        </is>
      </c>
      <c r="C25" s="26" t="inlineStr">
        <is>
          <t>Root / Content / Actions</t>
        </is>
      </c>
      <c r="D25" s="27" t="inlineStr">
        <is>
          <t>Production CSS ships documented variables, logical positioning, opaque foreground paint, preference fallbacks, action target sizing, and no undeclared global selector.</t>
        </is>
      </c>
      <c r="E25" s="26" t="inlineStr">
        <is>
          <t>package</t>
        </is>
      </c>
      <c r="F25" s="26" t="inlineStr">
        <is>
          <t>css</t>
        </is>
      </c>
      <c r="G25" s="27" t="inlineStr">
        <is>
          <t>../src/components/swipeable-item/swipeable-item.css; ../scripts/build-styles.mjs</t>
        </is>
      </c>
      <c r="H25" s="26" t="inlineStr">
        <is>
          <t>tested</t>
        </is>
      </c>
      <c r="I25" s="26" t="inlineStr">
        <is>
          <t>no</t>
        </is>
      </c>
      <c r="J25" s="28" t="n">
        <v>46232</v>
      </c>
      <c r="K25" s="27" t="inlineStr">
        <is>
          <t>Production CSS, package, and semantic documentation checks pass.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SW-18</t>
        </is>
      </c>
      <c r="B26" s="26" t="inlineStr">
        <is>
          <t>Variants</t>
        </is>
      </c>
      <c r="C26" s="26" t="inlineStr">
        <is>
          <t>Root</t>
        </is>
      </c>
      <c r="D26" s="27" t="inlineStr">
        <is>
          <t>Plain composes inside an existing boundary while outline supplies a standalone neutral border without changing behavior or anatomy.</t>
        </is>
      </c>
      <c r="E26" s="26" t="inlineStr">
        <is>
          <t>browser</t>
        </is>
      </c>
      <c r="F26" s="26" t="inlineStr">
        <is>
          <t>visual</t>
        </is>
      </c>
      <c r="G26" s="27" t="inlineStr">
        <is>
          <t>tests/components/swipeable-item/behavior.spec.ts; tests/components/swipeable-item/visual.spec.ts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46232</v>
      </c>
      <c r="K26" s="27" t="inlineStr">
        <is>
          <t>Variant geometry and baseline pass.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SW-19</t>
        </is>
      </c>
      <c r="B27" s="26" t="inlineStr">
        <is>
          <t>Containment</t>
        </is>
      </c>
      <c r="C27" s="26" t="inlineStr">
        <is>
          <t>Root / Content / Actions</t>
        </is>
      </c>
      <c r="D27" s="27" t="inlineStr">
        <is>
          <t>Shared overflow clipping and radius keep translated Content and custom action fills inside one rounded boundary without exposed sharp corners.</t>
        </is>
      </c>
      <c r="E27" s="26" t="inlineStr">
        <is>
          <t>browser</t>
        </is>
      </c>
      <c r="F27" s="26" t="inlineStr">
        <is>
          <t>visual</t>
        </is>
      </c>
      <c r="G27" s="27" t="inlineStr">
        <is>
          <t>tests/components/swipeable-item/visual.spec.ts; ../src/components/swipeable-item/swipeable-item.css</t>
        </is>
      </c>
      <c r="H27" s="26" t="inlineStr">
        <is>
          <t>tested</t>
        </is>
      </c>
      <c r="I27" s="26" t="inlineStr">
        <is>
          <t>no</t>
        </is>
      </c>
      <c r="J27" s="28" t="n">
        <v>46232</v>
      </c>
      <c r="K27" s="27" t="inlineStr">
        <is>
          <t>Start/end, outline, and customized baselines are clean.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SW-20</t>
        </is>
      </c>
      <c r="B28" s="26" t="inlineStr">
        <is>
          <t>Focus and targets</t>
        </is>
      </c>
      <c r="C28" s="26" t="inlineStr">
        <is>
          <t>Content / Actions</t>
        </is>
      </c>
      <c r="D28" s="27" t="inlineStr">
        <is>
          <t>Content and native action controls retain visible focus and action controls meet the documented minimum target size without clipping.</t>
        </is>
      </c>
      <c r="E28" s="26" t="inlineStr">
        <is>
          <t>browser</t>
        </is>
      </c>
      <c r="F28" s="26" t="inlineStr">
        <is>
          <t>visual</t>
        </is>
      </c>
      <c r="G28" s="27" t="inlineStr">
        <is>
          <t>tests/components/swipeable-item/visual.spec.ts; ../src/components/swipeable-item/swipeable-item.css</t>
        </is>
      </c>
      <c r="H28" s="26" t="inlineStr">
        <is>
          <t>tested</t>
        </is>
      </c>
      <c r="I28" s="26" t="inlineStr">
        <is>
          <t>no</t>
        </is>
      </c>
      <c r="J28" s="28" t="n">
        <v>46232</v>
      </c>
      <c r="K28" s="27" t="inlineStr">
        <is>
          <t>Forced-color focus and target-size evidence pass.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SW-21</t>
        </is>
      </c>
      <c r="B29" s="26" t="inlineStr">
        <is>
          <t>Native composition</t>
        </is>
      </c>
      <c r="C29" s="26" t="inlineStr">
        <is>
          <t>All parts</t>
        </is>
      </c>
      <c r="D29" s="27" t="inlineStr">
        <is>
          <t>Classes merge Brick first; public slots, native events, aria/data attributes, children, refs, render, and asChild target each public host.</t>
        </is>
      </c>
      <c r="E29" s="26" t="inlineStr">
        <is>
          <t>package</t>
        </is>
      </c>
      <c r="F29" s="26" t="inlineStr">
        <is>
          <t>component</t>
        </is>
      </c>
      <c r="G29" s="27" t="inlineStr">
        <is>
          <t>../test/components/swipeable-item/swipeable-item.test.tsx; ../test/types/components/swipeable-item.test.ts</t>
        </is>
      </c>
      <c r="H29" s="26" t="inlineStr">
        <is>
          <t>tested</t>
        </is>
      </c>
      <c r="I29" s="26" t="inlineStr">
        <is>
          <t>no</t>
        </is>
      </c>
      <c r="J29" s="28" t="n">
        <v>46232</v>
      </c>
      <c r="K29" s="27" t="inlineStr">
        <is>
          <t>Component and type composition assertions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SW-22</t>
        </is>
      </c>
      <c r="B30" s="26" t="inlineStr">
        <is>
          <t>Responsive</t>
        </is>
      </c>
      <c r="C30" s="26" t="inlineStr">
        <is>
          <t>Root / Content</t>
        </is>
      </c>
      <c r="D30" s="27" t="inlineStr">
        <is>
          <t>Full-width and 320px-constrained items wrap long localized content without component-created page overflow or an unreachable visible menu.</t>
        </is>
      </c>
      <c r="E30" s="26" t="inlineStr">
        <is>
          <t>browser</t>
        </is>
      </c>
      <c r="F30" s="26" t="inlineStr">
        <is>
          <t>browser</t>
        </is>
      </c>
      <c r="G30" s="27" t="inlineStr">
        <is>
          <t>tests/components/swipeable-item/behavior.spec.ts; tests/components/swipeable-item/visual.spec.ts</t>
        </is>
      </c>
      <c r="H30" s="26" t="inlineStr">
        <is>
          <t>tested</t>
        </is>
      </c>
      <c r="I30" s="26" t="inlineStr">
        <is>
          <t>no</t>
        </is>
      </c>
      <c r="J30" s="28" t="n">
        <v>46232</v>
      </c>
      <c r="K30" s="27" t="inlineStr">
        <is>
          <t>Narrow containment and mobile baseline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SW-23</t>
        </is>
      </c>
      <c r="B31" s="26" t="inlineStr">
        <is>
          <t>Appearance and preferences</t>
        </is>
      </c>
      <c r="C31" s="26" t="inlineStr">
        <is>
          <t>Root / Content / Actions</t>
        </is>
      </c>
      <c r="D31" s="27" t="inlineStr">
        <is>
          <t>Separate light and dark scopes, reduced motion, and forced colors retain readable layers, boundaries, and focus without color-only meaning.</t>
        </is>
      </c>
      <c r="E31" s="26" t="inlineStr">
        <is>
          <t>browser</t>
        </is>
      </c>
      <c r="F31" s="26" t="inlineStr">
        <is>
          <t>visual</t>
        </is>
      </c>
      <c r="G31" s="27" t="inlineStr">
        <is>
          <t>tests/components/swipeable-item/visual.spec.ts; ../src/components/swipeable-item/swipeable-item.css</t>
        </is>
      </c>
      <c r="H31" s="26" t="inlineStr">
        <is>
          <t>tested</t>
        </is>
      </c>
      <c r="I31" s="26" t="inlineStr">
        <is>
          <t>no</t>
        </is>
      </c>
      <c r="J31" s="28" t="n">
        <v>46232</v>
      </c>
      <c r="K31" s="27" t="inlineStr">
        <is>
          <t>Appearance and preference baselines pass.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SW-24</t>
        </is>
      </c>
      <c r="B32" s="26" t="inlineStr">
        <is>
          <t>Customization</t>
        </is>
      </c>
      <c r="C32" s="26" t="inlineStr">
        <is>
          <t>Root / Content / Actions</t>
        </is>
      </c>
      <c r="D32" s="27" t="inlineStr">
        <is>
          <t>Documented variables recolor surfaces, actions, border, focus, radius, spacing, sizing, and motion while preserving Atom behavior and containment.</t>
        </is>
      </c>
      <c r="E32" s="26" t="inlineStr">
        <is>
          <t>package</t>
        </is>
      </c>
      <c r="F32" s="26" t="inlineStr">
        <is>
          <t>component</t>
        </is>
      </c>
      <c r="G32" s="27" t="inlineStr">
        <is>
          <t>../docs/components/swipeable-item/README.md; tests/components/swipeable-item/behavior.spec.ts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46232</v>
      </c>
      <c r="K32" s="27" t="inlineStr">
        <is>
          <t>Token hooks and computed custom radius assertion pass.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SW-25</t>
        </is>
      </c>
      <c r="B33" s="26" t="inlineStr">
        <is>
          <t>Accessibility</t>
        </is>
      </c>
      <c r="C33" s="26" t="inlineStr">
        <is>
          <t>Root / Content / Actions</t>
        </is>
      </c>
      <c r="D33" s="27" t="inlineStr">
        <is>
          <t>Named action groups, unavailable closed actions, native commands, keyboard reveal, visible focus, forced-color support, and a non-drag alternative form a complete accessibility contract.</t>
        </is>
      </c>
      <c r="E33" s="26" t="inlineStr">
        <is>
          <t>browser</t>
        </is>
      </c>
      <c r="F33" s="26" t="inlineStr">
        <is>
          <t>axe</t>
        </is>
      </c>
      <c r="G33" s="27" t="inlineStr">
        <is>
          <t>tests/components/swipeable-item/behavior.spec.ts; @flowstack-ui/atom 0.19.9</t>
        </is>
      </c>
      <c r="H33" s="26" t="inlineStr">
        <is>
          <t>tested</t>
        </is>
      </c>
      <c r="I33" s="26" t="inlineStr">
        <is>
          <t>no</t>
        </is>
      </c>
      <c r="J33" s="28" t="n">
        <v>46232</v>
      </c>
      <c r="K33" s="27" t="inlineStr">
        <is>
          <t>Semantic browser and Atom accessibility assertions pass.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SW-26</t>
        </is>
      </c>
      <c r="B34" s="26" t="inlineStr">
        <is>
          <t>Playground</t>
        </is>
      </c>
      <c r="C34" s="26" t="inlineStr">
        <is>
          <t>All parts</t>
        </is>
      </c>
      <c r="D34" s="27" t="inlineStr">
        <is>
          <t>One route exposes ten ordered, independently padded scenarios covering overview, anatomy, variants, sides, alternative, states, control, appearance, customization, responsive, and RTL evidence.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src/components/swipeable-item/SwipeableItemPage.tsx; ../scripts/verify-component-tests.mjs</t>
        </is>
      </c>
      <c r="H34" s="26" t="inlineStr">
        <is>
          <t>tested</t>
        </is>
      </c>
      <c r="I34" s="26" t="inlineStr">
        <is>
          <t>no</t>
        </is>
      </c>
      <c r="J34" s="28" t="n">
        <v>46232</v>
      </c>
      <c r="K34" s="27" t="inlineStr">
        <is>
          <t>Ownership, route, primitive, composition, and browser checks pass.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SW-27</t>
        </is>
      </c>
      <c r="B35" s="26" t="inlineStr">
        <is>
          <t>Visual baselines</t>
        </is>
      </c>
      <c r="C35" s="26" t="inlineStr">
        <is>
          <t>All parts</t>
        </is>
      </c>
      <c r="D35" s="27" t="inlineStr">
        <is>
          <t>Reviewed baselines cover overview, variants, start/end actions, controlled state, appearance, customization, mobile RTL, and forced colors.</t>
        </is>
      </c>
      <c r="E35" s="26" t="inlineStr">
        <is>
          <t>browser</t>
        </is>
      </c>
      <c r="F35" s="26" t="inlineStr">
        <is>
          <t>visual</t>
        </is>
      </c>
      <c r="G35" s="27" t="inlineStr">
        <is>
          <t>tests/components/swipeable-item/visual.spec.ts; tests/components/swipeable-item/visual.spec.ts-snapshots</t>
        </is>
      </c>
      <c r="H35" s="26" t="inlineStr">
        <is>
          <t>verified</t>
        </is>
      </c>
      <c r="I35" s="26" t="inlineStr">
        <is>
          <t>yes</t>
        </is>
      </c>
      <c r="J35" s="28" t="n">
        <v>46232</v>
      </c>
      <c r="K35" s="27" t="inlineStr">
        <is>
          <t>Agent inspected all eight Swipeable Item Chromium baselines on July 29, 2026.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SW-28</t>
        </is>
      </c>
      <c r="B36" s="26" t="inlineStr">
        <is>
          <t>Documentation</t>
        </is>
      </c>
      <c r="C36" s="26" t="inlineStr">
        <is>
          <t>Public guide / changelog</t>
        </is>
      </c>
      <c r="D36" s="27" t="inlineStr">
        <is>
          <t>The guide documents use, exclusions, imports, anatomy, API, state, tokens, responsive behavior, accessibility, composition, examples, and evidence; changelogs record the addition.</t>
        </is>
      </c>
      <c r="E36" s="26" t="inlineStr">
        <is>
          <t>package</t>
        </is>
      </c>
      <c r="F36" s="26" t="inlineStr">
        <is>
          <t>documentation</t>
        </is>
      </c>
      <c r="G36" s="27" t="inlineStr">
        <is>
          <t>../docs/components/swipeable-item/README.md; ../docs/components/swipeable-item/CHANGELOG.md; ../CHANGELOG.md</t>
        </is>
      </c>
      <c r="H36" s="26" t="inlineStr">
        <is>
          <t>tested</t>
        </is>
      </c>
      <c r="I36" s="26" t="inlineStr">
        <is>
          <t>no</t>
        </is>
      </c>
      <c r="J36" s="28" t="n">
        <v>46232</v>
      </c>
      <c r="K36" s="27" t="inlineStr">
        <is>
          <t>Structural, semantic, index, and changelog verification passes.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SW-29</t>
        </is>
      </c>
      <c r="B37" s="26" t="inlineStr">
        <is>
          <t>Consumer</t>
        </is>
      </c>
      <c r="C37" s="26" t="inlineStr">
        <is>
          <t>Root / Content / Actions</t>
        </is>
      </c>
      <c r="D37" s="27" t="inlineStr">
        <is>
          <t>The packed Consumer imports Swipeable Item from its public subpath and composes realistic message actions with a visible Dropdown Menu alternative.</t>
        </is>
      </c>
      <c r="E37" s="26" t="inlineStr">
        <is>
          <t>consumer</t>
        </is>
      </c>
      <c r="F37" s="26" t="inlineStr">
        <is>
          <t>consumer</t>
        </is>
      </c>
      <c r="G37" s="27" t="inlineStr">
        <is>
          <t>../apps/consumer/src/App.tsx; ../apps/consumer/tests/consumer.spec.ts; ../scripts/verify-consumers.mjs</t>
        </is>
      </c>
      <c r="H37" s="26" t="inlineStr">
        <is>
          <t>tested</t>
        </is>
      </c>
      <c r="I37" s="26" t="inlineStr">
        <is>
          <t>no</t>
        </is>
      </c>
      <c r="J37" s="28" t="n">
        <v>46232</v>
      </c>
      <c r="K37" s="27" t="inlineStr">
        <is>
          <t>Consumer build and clean React 18/19 packed-package checks pass.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SW-30</t>
        </is>
      </c>
      <c r="B38" s="26" t="inlineStr">
        <is>
          <t>Manual</t>
        </is>
      </c>
      <c r="C38" s="26" t="inlineStr">
        <is>
          <t>Root / Content / Actions</t>
        </is>
      </c>
      <c r="D38" s="27" t="inlineStr">
        <is>
          <t>A tester completes the desktop and physical-touch gesture, keyboard, focus, state, direction, zoom, appearance, preference, and assistive-technology protocol.</t>
        </is>
      </c>
      <c r="E38" s="26" t="inlineStr">
        <is>
          <t>human</t>
        </is>
      </c>
      <c r="F38" s="26" t="inlineStr">
        <is>
          <t>manual</t>
        </is>
      </c>
      <c r="G38" s="27" t="inlineStr">
        <is>
          <t>manual-tests/swipeable-item.md</t>
        </is>
      </c>
      <c r="H38" s="26" t="inlineStr">
        <is>
          <t>not started</t>
        </is>
      </c>
      <c r="I38" s="26" t="inlineStr">
        <is>
          <t>yes</t>
        </is>
      </c>
      <c r="J38" s="28" t="n"/>
      <c r="K38" s="27" t="inlineStr">
        <is>
          <t>Human manual run intentionally remains the sole open component gate.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SW-31</t>
        </is>
      </c>
      <c r="B39" s="26" t="inlineStr">
        <is>
          <t>Package</t>
        </is>
      </c>
      <c r="C39" s="26" t="inlineStr">
        <is>
          <t>Artifact</t>
        </is>
      </c>
      <c r="D39" s="27" t="inlineStr">
        <is>
          <t>Build, declarations, exports, SSR, CSS, docs, tarball, exact Atom 0.20.11, React 18/19 consumers, focused browsers, reviewed visuals, and Consumer build pass.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../scripts/verify-package.mjs; ../scripts/verify-consumers.mjs; ../scripts/verify-app-consumer.mjs</t>
        </is>
      </c>
      <c r="H39" s="26" t="inlineStr">
        <is>
          <t>tested</t>
        </is>
      </c>
      <c r="I39" s="26" t="inlineStr">
        <is>
          <t>no</t>
        </is>
      </c>
      <c r="J39" s="28" t="n">
        <v>46232</v>
      </c>
      <c r="K39" s="27" t="inlineStr">
        <is>
          <t>Full check, 354 component tests, focused behavior and visual suites, pack check, and generated consumers pass.</t>
        </is>
      </c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Progress Evidence</t>
        </is>
      </c>
    </row>
    <row r="2" ht="27.75" customHeight="1" s="17">
      <c r="A2" s="19" t="inlineStr">
        <is>
          <t>Assertion-level linear progress anatomy, values, recipes, direction, responsive,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PR-01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Progress semantics without recreating read-only progress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../src/components/progress/Progress.tsx;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inlineStr">
        <is>
          <t>Source and exact dependency boundary are implemented.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PR-02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The six-part Root, Label, Value, Track, Buffer, and Indicator namespace and named exports match the adopted contract.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../test/components/progress/progress.test.tsx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inlineStr">
        <is>
          <t>Focused component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PR-03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Every public part renders its documented host, forwards native props and slots, and resolves the exact ref target.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../test/components/progress/progress.test.tsx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inlineStr">
        <is>
          <t>Host, prop, slot, and ref assertions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PR-04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orientation, size, shape, and tone values plus native props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../test/types/components/progress.test.ts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inlineStr">
        <is>
          <t>Focused type assertions pass.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PR-05</t>
        </is>
      </c>
      <c r="B13" s="26" t="inlineStr">
        <is>
          <t>Exports</t>
        </is>
      </c>
      <c r="C13" s="26" t="inlineStr">
        <is>
          <t>Progress</t>
        </is>
      </c>
      <c r="D13" s="27" t="inlineStr">
        <is>
          <t>Root and progress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../test/package/package.test.mjs; ../package.json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inlineStr">
        <is>
          <t>Package boundary assertions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PR-06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Server rendering emits deterministic progressbar anatomy and visible naming without client-only failure.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inlineStr">
        <is>
          <t>SSR assertions pass.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PR-07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horizontal, medium, rounded, accent, and indeterminate when value is omitted.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../test/components/progress/progress.test.tsx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inlineStr">
        <is>
          <t>Default attributes and semantics are asserted.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PR-08</t>
        </is>
      </c>
      <c r="B16" s="26" t="inlineStr">
        <is>
          <t>Values</t>
        </is>
      </c>
      <c r="C16" s="26" t="inlineStr">
        <is>
          <t>Root / Indicator</t>
        </is>
      </c>
      <c r="D16" s="27" t="inlineStr">
        <is>
          <t>Determinate values normalize within min and max while indeterminate progress omits aria-valuenow.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tests/components/progress/behavior.spec.ts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inlineStr">
        <is>
          <t>Configured-browser semantic assertions pass.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PR-09</t>
        </is>
      </c>
      <c r="B17" s="26" t="inlineStr">
        <is>
          <t>States</t>
        </is>
      </c>
      <c r="C17" s="26" t="inlineStr">
        <is>
          <t>Root / Indicator</t>
        </is>
      </c>
      <c r="D17" s="27" t="inlineStr">
        <is>
          <t>Indeterminate, loading, and complete visual states remain distinguishable without adding interaction.</t>
        </is>
      </c>
      <c r="E17" s="26" t="inlineStr">
        <is>
          <t>browser</t>
        </is>
      </c>
      <c r="F17" s="26" t="inlineStr">
        <is>
          <t>visual</t>
        </is>
      </c>
      <c r="G17" s="27" t="inlineStr">
        <is>
          <t>tests/components/progress/visual.spec.ts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inlineStr">
        <is>
          <t>Automated state baselines pass; owner manual review remains separate.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PR-10</t>
        </is>
      </c>
      <c r="B18" s="26" t="inlineStr">
        <is>
          <t>Recipes</t>
        </is>
      </c>
      <c r="C18" s="26" t="inlineStr">
        <is>
          <t>Root</t>
        </is>
      </c>
      <c r="D18" s="27" t="inlineStr">
        <is>
          <t>Six tones, five sizes, and three shapes preserve semantics and independent geometry.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tests/components/progress/behavior.spec.ts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inlineStr">
        <is>
          <t>Recipe matrix assertions pass.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PR-11</t>
        </is>
      </c>
      <c r="B19" s="26" t="inlineStr">
        <is>
          <t>Direction</t>
        </is>
      </c>
      <c r="C19" s="26" t="inlineStr">
        <is>
          <t>Track / Indicator</t>
        </is>
      </c>
      <c r="D19" s="27" t="inlineStr">
        <is>
          <t>Horizontal progress fills from logical inline-start in LTR and RTL; vertical progress fills from the bottom.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tests/components/progress/behavior.spec.ts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inlineStr">
        <is>
          <t>Bounding-box direction assertions pass.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PR-12</t>
        </is>
      </c>
      <c r="B20" s="26" t="inlineStr">
        <is>
          <t>Buffer</t>
        </is>
      </c>
      <c r="C20" s="26" t="inlineStr">
        <is>
          <t>Buffer</t>
        </is>
      </c>
      <c r="D20" s="27" t="inlineStr">
        <is>
          <t>Optional buffered progress clamps independently, remains behind the current value, and exposes presence state.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../test/components/progress/progress.test.tsx; tests/components/progress/behavior.spec.ts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inlineStr">
        <is>
          <t>Buffer clamping, position, and presence are asserted.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PR-13</t>
        </is>
      </c>
      <c r="B21" s="26" t="inlineStr">
        <is>
          <t>Output</t>
        </is>
      </c>
      <c r="C21" s="26" t="inlineStr">
        <is>
          <t>Label / Value</t>
        </is>
      </c>
      <c r="D21" s="27" t="inlineStr">
        <is>
          <t>Visible Label supplies the accessible name and Value supports localized default or authored range output.</t>
        </is>
      </c>
      <c r="E21" s="26" t="inlineStr">
        <is>
          <t>browser</t>
        </is>
      </c>
      <c r="F21" s="26" t="inlineStr">
        <is>
          <t>browser</t>
        </is>
      </c>
      <c r="G21" s="27" t="inlineStr">
        <is>
          <t>tests/components/progress/behavior.spec.ts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inlineStr">
        <is>
          <t>Name relationship and custom output assertions pass.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PR-14</t>
        </is>
      </c>
      <c r="B22" s="26" t="inlineStr">
        <is>
          <t>Responsive</t>
        </is>
      </c>
      <c r="C22" s="26" t="inlineStr">
        <is>
          <t>All parts</t>
        </is>
      </c>
      <c r="D22" s="27" t="inlineStr">
        <is>
          <t>Narrow, long-label, zoom, and RTL layouts remain contained without clipping or page overflow.</t>
        </is>
      </c>
      <c r="E22" s="26" t="inlineStr">
        <is>
          <t>browser</t>
        </is>
      </c>
      <c r="F22" s="26" t="inlineStr">
        <is>
          <t>visual</t>
        </is>
      </c>
      <c r="G22" s="27" t="inlineStr">
        <is>
          <t>tests/components/progress/visual.spec.ts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inlineStr">
        <is>
          <t>Automated responsive baselines and narrow containment pass.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PR-15</t>
        </is>
      </c>
      <c r="B23" s="26" t="inlineStr">
        <is>
          <t>Preferences</t>
        </is>
      </c>
      <c r="C23" s="26" t="inlineStr">
        <is>
          <t>Track / Indicator</t>
        </is>
      </c>
      <c r="D23" s="27" t="inlineStr">
        <is>
          <t>Reduced motion leaves a static recognizable segment and forced colors preserve track and indicator boundaries.</t>
        </is>
      </c>
      <c r="E23" s="26" t="inlineStr">
        <is>
          <t>browser</t>
        </is>
      </c>
      <c r="F23" s="26" t="inlineStr">
        <is>
          <t>visual</t>
        </is>
      </c>
      <c r="G23" s="27" t="inlineStr">
        <is>
          <t>tests/components/progress/visual.spec.ts; tests/components/progress/behavior.spec.ts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inlineStr">
        <is>
          <t>Preference-state automation passes.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PR-16</t>
        </is>
      </c>
      <c r="B24" s="26" t="inlineStr">
        <is>
          <t>Accessibility</t>
        </is>
      </c>
      <c r="C24" s="26" t="inlineStr">
        <is>
          <t>Root</t>
        </is>
      </c>
      <c r="D24" s="27" t="inlineStr">
        <is>
          <t>One named progressbar exposes the correct range/value state and the route passes axe without unsupported aria-orientation.</t>
        </is>
      </c>
      <c r="E24" s="26" t="inlineStr">
        <is>
          <t>browser</t>
        </is>
      </c>
      <c r="F24" s="26" t="inlineStr">
        <is>
          <t>axe</t>
        </is>
      </c>
      <c r="G24" s="27" t="inlineStr">
        <is>
          <t>tests/components/progress/behavior.spec.ts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inlineStr">
        <is>
          <t>Semantic and axe assertions pass.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PR-17</t>
        </is>
      </c>
      <c r="B25" s="26" t="inlineStr">
        <is>
          <t>Playground</t>
        </is>
      </c>
      <c r="C25" s="26" t="inlineStr">
        <is>
          <t>Progress</t>
        </is>
      </c>
      <c r="D25" s="27" t="inlineStr">
        <is>
          <t>One navigable route exposes nine persistent scenarios from overview through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src/components/progress/ProgressPage.tsx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inlineStr">
        <is>
          <t>Route registration and playground build pass.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PR-18</t>
        </is>
      </c>
      <c r="B26" s="26" t="inlineStr">
        <is>
          <t>Documentation</t>
        </is>
      </c>
      <c r="C26" s="26" t="inlineStr">
        <is>
          <t>Progress</t>
        </is>
      </c>
      <c r="D26" s="27" t="inlineStr">
        <is>
          <t>The public guide documents anatomy, API, defaults, recipes, output, accessibility, CSS, and exclusions.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../docs/components/progress/README.md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inlineStr">
        <is>
          <t>Documentation verification passes.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PR-19</t>
        </is>
      </c>
      <c r="B27" s="26" t="inlineStr">
        <is>
          <t>Changelog</t>
        </is>
      </c>
      <c r="C27" s="26" t="inlineStr">
        <is>
          <t>Progress</t>
        </is>
      </c>
      <c r="D27" s="27" t="inlineStr">
        <is>
          <t>Component and package changelogs record the consumer-visible addition and ARIA correction.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../docs/components/progress/CHANGELOG.md;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inlineStr">
        <is>
          <t>Changelog ownership checks pass.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PR-20</t>
        </is>
      </c>
      <c r="B28" s="26" t="inlineStr">
        <is>
          <t>Consumer</t>
        </is>
      </c>
      <c r="C28" s="26" t="inlineStr">
        <is>
          <t>Progress</t>
        </is>
      </c>
      <c r="D28" s="27" t="inlineStr">
        <is>
          <t>Packed Consumer imports the progress subpath and composes labelled buffered progress from the tarball.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inlineStr">
        <is>
          <t>Packed Consumer verification passes.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PR-21</t>
        </is>
      </c>
      <c r="B29" s="26" t="inlineStr">
        <is>
          <t>Manual</t>
        </is>
      </c>
      <c r="C29" s="26" t="inlineStr">
        <is>
          <t>Progress</t>
        </is>
      </c>
      <c r="D29" s="27" t="inlineStr">
        <is>
          <t>Owner executes the visual, responsive, direction, preference, and assistive-technology protocol.</t>
        </is>
      </c>
      <c r="E29" s="26" t="inlineStr">
        <is>
          <t>human</t>
        </is>
      </c>
      <c r="F29" s="26" t="inlineStr">
        <is>
          <t>manual</t>
        </is>
      </c>
      <c r="G29" s="27" t="inlineStr">
        <is>
          <t>manual-tests/progress.md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PR-22</t>
        </is>
      </c>
      <c r="B30" s="26" t="inlineStr">
        <is>
          <t>Package</t>
        </is>
      </c>
      <c r="C30" s="26" t="inlineStr">
        <is>
          <t>Progress</t>
        </is>
      </c>
      <c r="D30" s="27" t="inlineStr">
        <is>
          <t>Build, declarations, exports, SSR, CSS, docs, tarball, consumers, browser matrix, and CI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inlineStr">
        <is>
          <t>Automated release qualification passed with the component implementation.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conditionalFormatting sqref="H9:H30">
    <cfRule type="expression" rank="0" priority="2" equalAverage="0" aboveAverage="0" dxfId="12" text="" percent="0" bottom="0">
      <formula>H9="verified"</formula>
    </cfRule>
  </conditionalFormatting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Progress Circle Evidence</t>
        </is>
      </c>
    </row>
    <row r="2" ht="27.75" customHeight="1" s="17">
      <c r="A2" s="19" t="inlineStr">
        <is>
          <t>Assertion-level circular progress anatomy, SVG geometry, values, recipes, responsive,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PC-01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0.20.11 Progress semantics while retaining read-only range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../src/components/progress-circle/ProgressCircle.tsx;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inlineStr">
        <is>
          <t>Source and exact dependency boundary are implemented.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PC-02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The six-part Root, Circle, Track, Indicator, Label, and Value namespace and named exports match the adopted contract.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../test/components/progress-circle/progress-circle.test.tsx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inlineStr">
        <is>
          <t>Focused component assertions pass.</t>
        </is>
      </c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PC-03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 and text parts use native HTML hosts; decorative ring parts use deterministic SVG hosts and exact refs.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../test/components/progress-circle/progress-circle.test.tsx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inlineStr">
        <is>
          <t>Host, prop, slot, SVG, and ref assertions pass.</t>
        </is>
      </c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PC-04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size, thickness, cap, and tone values plus native and SVG prop exclusions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../test/types/components/progress-circle.test.ts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inlineStr">
        <is>
          <t>Focused positive and negative type assertions pass.</t>
        </is>
      </c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PC-05</t>
        </is>
      </c>
      <c r="B13" s="26" t="inlineStr">
        <is>
          <t>Exports</t>
        </is>
      </c>
      <c r="C13" s="26" t="inlineStr">
        <is>
          <t>Progress Circle</t>
        </is>
      </c>
      <c r="D13" s="27" t="inlineStr">
        <is>
          <t>Root and progress-circle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../test/package/package.test.mjs; ../package.json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inlineStr">
        <is>
          <t>Package boundary assertions pass.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PC-06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Server rendering emits deterministic progressbar and SVG anatomy without client-only failure.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inlineStr">
        <is>
          <t>SSR assertions pass.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PC-07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medium, regular thickness, round cap, accent tone, and indeterminate when value is omitted.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../test/components/progress-circle/progress-circle.test.tsx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inlineStr">
        <is>
          <t>Default attributes and semantics are asserted.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PC-08</t>
        </is>
      </c>
      <c r="B16" s="26" t="inlineStr">
        <is>
          <t>Values</t>
        </is>
      </c>
      <c r="C16" s="26" t="inlineStr">
        <is>
          <t>Root / Indicator</t>
        </is>
      </c>
      <c r="D16" s="27" t="inlineStr">
        <is>
          <t>Determinate values normalize within min and max while indeterminate progress omits aria-valuenow.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tests/components/progress-circle/behavior.spec.ts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inlineStr">
        <is>
          <t>Configured-browser semantic assertions pass.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PC-09</t>
        </is>
      </c>
      <c r="B17" s="26" t="inlineStr">
        <is>
          <t>Geometry</t>
        </is>
      </c>
      <c r="C17" s="26" t="inlineStr">
        <is>
          <t>Circle / Indicator</t>
        </is>
      </c>
      <c r="D17" s="27" t="inlineStr">
        <is>
          <t>A fixed viewBox, radius, path length, and dash offset produce accurate unclipped progress at every size.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tests/components/progress-circle/behavior.spec.ts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inlineStr">
        <is>
          <t>SVG geometry and ratio assertions pass.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PC-10</t>
        </is>
      </c>
      <c r="B18" s="26" t="inlineStr">
        <is>
          <t>Recipes</t>
        </is>
      </c>
      <c r="C18" s="26" t="inlineStr">
        <is>
          <t>Root</t>
        </is>
      </c>
      <c r="D18" s="27" t="inlineStr">
        <is>
          <t>Six tones, five sizes, three stroke weights, and two caps preserve semantics and independent geometry.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tests/components/progress-circle/behavior.spec.ts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inlineStr">
        <is>
          <t>Recipe matrix assertions pass.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PC-11</t>
        </is>
      </c>
      <c r="B19" s="26" t="inlineStr">
        <is>
          <t>Direction</t>
        </is>
      </c>
      <c r="C19" s="26" t="inlineStr">
        <is>
          <t>Circle / Indicator</t>
        </is>
      </c>
      <c r="D19" s="27" t="inlineStr">
        <is>
          <t>Circular progress stays clockwise and uses identical geometry in LTR and RTL.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tests/components/progress-circle/behavior.spec.ts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inlineStr">
        <is>
          <t>Computed transform parity passes.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PC-12</t>
        </is>
      </c>
      <c r="B20" s="26" t="inlineStr">
        <is>
          <t>States</t>
        </is>
      </c>
      <c r="C20" s="26" t="inlineStr">
        <is>
          <t>Indicator</t>
        </is>
      </c>
      <c r="D20" s="27" t="inlineStr">
        <is>
          <t>Indeterminate, loading, and complete arcs remain recognizable and correctly normalized.</t>
        </is>
      </c>
      <c r="E20" s="26" t="inlineStr">
        <is>
          <t>browser</t>
        </is>
      </c>
      <c r="F20" s="26" t="inlineStr">
        <is>
          <t>visual</t>
        </is>
      </c>
      <c r="G20" s="27" t="inlineStr">
        <is>
          <t>tests/components/progress-circle/visual.spec.ts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inlineStr">
        <is>
          <t>Automated state baselines pass; owner manual review remains separate.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PC-13</t>
        </is>
      </c>
      <c r="B21" s="26" t="inlineStr">
        <is>
          <t>Output</t>
        </is>
      </c>
      <c r="C21" s="26" t="inlineStr">
        <is>
          <t>Label / Value</t>
        </is>
      </c>
      <c r="D21" s="27" t="inlineStr">
        <is>
          <t>Visible Label supplies the accessible name and Value supports localized default or authored range output.</t>
        </is>
      </c>
      <c r="E21" s="26" t="inlineStr">
        <is>
          <t>browser</t>
        </is>
      </c>
      <c r="F21" s="26" t="inlineStr">
        <is>
          <t>browser</t>
        </is>
      </c>
      <c r="G21" s="27" t="inlineStr">
        <is>
          <t>tests/components/progress-circle/behavior.spec.ts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inlineStr">
        <is>
          <t>Name relationship and custom 3/5 output assertions pass.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PC-14</t>
        </is>
      </c>
      <c r="B22" s="26" t="inlineStr">
        <is>
          <t>Responsive</t>
        </is>
      </c>
      <c r="C22" s="26" t="inlineStr">
        <is>
          <t>All parts</t>
        </is>
      </c>
      <c r="D22" s="27" t="inlineStr">
        <is>
          <t>Narrow, long-label, zoom, and RTL layouts keep rings square, centered, and unclipped.</t>
        </is>
      </c>
      <c r="E22" s="26" t="inlineStr">
        <is>
          <t>browser</t>
        </is>
      </c>
      <c r="F22" s="26" t="inlineStr">
        <is>
          <t>visual</t>
        </is>
      </c>
      <c r="G22" s="27" t="inlineStr">
        <is>
          <t>tests/components/progress-circle/visual.spec.ts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inlineStr">
        <is>
          <t>Automated responsive baselines and narrow containment pass.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PC-15</t>
        </is>
      </c>
      <c r="B23" s="26" t="inlineStr">
        <is>
          <t>Preferences</t>
        </is>
      </c>
      <c r="C23" s="26" t="inlineStr">
        <is>
          <t>Circle / Indicator</t>
        </is>
      </c>
      <c r="D23" s="27" t="inlineStr">
        <is>
          <t>Reduced motion leaves a static recognizable arc and forced colors preserve both rings.</t>
        </is>
      </c>
      <c r="E23" s="26" t="inlineStr">
        <is>
          <t>browser</t>
        </is>
      </c>
      <c r="F23" s="26" t="inlineStr">
        <is>
          <t>visual</t>
        </is>
      </c>
      <c r="G23" s="27" t="inlineStr">
        <is>
          <t>tests/components/progress-circle/visual.spec.ts; tests/components/progress-circle/behavior.spec.ts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inlineStr">
        <is>
          <t>Preference-state automation passes.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PC-16</t>
        </is>
      </c>
      <c r="B24" s="26" t="inlineStr">
        <is>
          <t>Accessibility</t>
        </is>
      </c>
      <c r="C24" s="26" t="inlineStr">
        <is>
          <t>Root / SVG</t>
        </is>
      </c>
      <c r="D24" s="27" t="inlineStr">
        <is>
          <t>One named progressbar exposes the correct range/value state, decorative SVG stays silent, and the route passes axe.</t>
        </is>
      </c>
      <c r="E24" s="26" t="inlineStr">
        <is>
          <t>browser</t>
        </is>
      </c>
      <c r="F24" s="26" t="inlineStr">
        <is>
          <t>axe</t>
        </is>
      </c>
      <c r="G24" s="27" t="inlineStr">
        <is>
          <t>tests/components/progress-circle/behavior.spec.ts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inlineStr">
        <is>
          <t>Semantic and axe assertions pass.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PC-17</t>
        </is>
      </c>
      <c r="B25" s="26" t="inlineStr">
        <is>
          <t>Playground</t>
        </is>
      </c>
      <c r="C25" s="26" t="inlineStr">
        <is>
          <t>Progress Circle</t>
        </is>
      </c>
      <c r="D25" s="27" t="inlineStr">
        <is>
          <t>One navigable route exposes nine persistent scenarios from overview through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src/components/progress-circle/ProgressCirclePage.tsx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inlineStr">
        <is>
          <t>Route registration and playground build pass.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PC-18</t>
        </is>
      </c>
      <c r="B26" s="26" t="inlineStr">
        <is>
          <t>Documentation</t>
        </is>
      </c>
      <c r="C26" s="26" t="inlineStr">
        <is>
          <t>Progress Circle</t>
        </is>
      </c>
      <c r="D26" s="27" t="inlineStr">
        <is>
          <t>The public guide documents anatomy, API, defaults, recipes, geometry, accessibility, CSS, and exclusions.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../docs/components/progress-circle/README.md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inlineStr">
        <is>
          <t>Documentation verification passes.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PC-19</t>
        </is>
      </c>
      <c r="B27" s="26" t="inlineStr">
        <is>
          <t>Changelog</t>
        </is>
      </c>
      <c r="C27" s="26" t="inlineStr">
        <is>
          <t>Progress Circle</t>
        </is>
      </c>
      <c r="D27" s="27" t="inlineStr">
        <is>
          <t>Component and package changelogs record the complete consumer-visible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../docs/components/progress-circle/CHANGELOG.md;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inlineStr">
        <is>
          <t>Changelog ownership checks pass.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PC-20</t>
        </is>
      </c>
      <c r="B28" s="26" t="inlineStr">
        <is>
          <t>Consumer</t>
        </is>
      </c>
      <c r="C28" s="26" t="inlineStr">
        <is>
          <t>Progress Circle</t>
        </is>
      </c>
      <c r="D28" s="27" t="inlineStr">
        <is>
          <t>Packed Consumer imports the focused subpath and composes determinate custom-range and indeterminate rings.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inlineStr">
        <is>
          <t>Packed Consumer verification passes.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PC-21</t>
        </is>
      </c>
      <c r="B29" s="26" t="inlineStr">
        <is>
          <t>Manual</t>
        </is>
      </c>
      <c r="C29" s="26" t="inlineStr">
        <is>
          <t>Progress Circle</t>
        </is>
      </c>
      <c r="D29" s="27" t="inlineStr">
        <is>
          <t>Owner executes the visual, responsive, direction, preference, and assistive-technology protocol.</t>
        </is>
      </c>
      <c r="E29" s="26" t="inlineStr">
        <is>
          <t>human</t>
        </is>
      </c>
      <c r="F29" s="26" t="inlineStr">
        <is>
          <t>manual</t>
        </is>
      </c>
      <c r="G29" s="27" t="inlineStr">
        <is>
          <t>manual-tests/progress-circle.md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PC-22</t>
        </is>
      </c>
      <c r="B30" s="26" t="inlineStr">
        <is>
          <t>Package</t>
        </is>
      </c>
      <c r="C30" s="26" t="inlineStr">
        <is>
          <t>Progress Circle</t>
        </is>
      </c>
      <c r="D30" s="27" t="inlineStr">
        <is>
          <t>Build, declarations, exports, SSR, CSS, docs, tarball, consumers, browser matrix, and CI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inlineStr">
        <is>
          <t>Automated release qualification passed with the component implementation.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conditionalFormatting sqref="H9:H30">
    <cfRule type="expression" rank="0" priority="2" equalAverage="0" aboveAverage="0" dxfId="12" text="" percent="0" bottom="0">
      <formula>H9="verified"</formula>
    </cfRule>
  </conditionalFormatting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9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Carousel Evidence</t>
        </is>
      </c>
    </row>
    <row r="2" ht="27.75" customHeight="1" s="17">
      <c r="A2" s="19" t="inlineStr">
        <is>
          <t>Atom-backed selection and rotation, optional finished controls, picker dots, visual recipes, responsive containment, package, documentation, Consumer, and accessibility evidence.</t>
        </is>
      </c>
    </row>
    <row r="3"/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6"/>
    <row r="7"/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published Atom 0.22.2 Carousel behavior without recreating selection, scroll settlement, rotation,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../src/components/carousel/Carousel.tsx;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46241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Eleven-part namespace and named exports expose behavioral and Brick-only structural parts.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../test/components/carousel/carousel.test.tsx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46241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CA-03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Root, Viewport, Track, Slide, native controls, picker, and structural wrappers preserve exact refs and hooks.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../test/components/carousel/carousel.test.tsx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46241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sizes and placements plus Atom state, rotation, native composition, and ref props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../test/types/components/carousel.test.ts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46241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carousel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46241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CA-06</t>
        </is>
      </c>
      <c r="B14" s="26" t="inlineStr">
        <is>
          <t>Styles</t>
        </is>
      </c>
      <c r="C14" s="26" t="inlineStr">
        <is>
          <t>Delivery</t>
        </is>
      </c>
      <c r="D14" s="27" t="inlineStr">
        <is>
          <t>Complete and modular CSS include Carousel and Icon recipes without duplicating foundations.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../test/package/package.test.mjs; ../scripts/css-entrypoints.mjs</t>
        </is>
      </c>
      <c r="H14" s="26" t="inlineStr">
        <is>
          <t>tested</t>
        </is>
      </c>
      <c r="I14" s="26" t="inlineStr">
        <is>
          <t>no</t>
        </is>
      </c>
      <c r="J14" s="28" t="n">
        <v>46241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Medium size and overlay placement are stable defaults.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../test/components/carousel/carousel.test.tsx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46241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CA-08</t>
        </is>
      </c>
      <c r="B16" s="26" t="inlineStr">
        <is>
          <t>Controls</t>
        </is>
      </c>
      <c r="C16" s="26" t="inlineStr">
        <is>
          <t>Optional</t>
        </is>
      </c>
      <c r="D16" s="27" t="inlineStr">
        <is>
          <t>A manual Carousel may omit every visible control or author picker-only navigation.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tests/components/carousel/behavior.spec.ts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46241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CA-09</t>
        </is>
      </c>
      <c r="B17" s="26" t="inlineStr">
        <is>
          <t>Autoplay</t>
        </is>
      </c>
      <c r="C17" s="26" t="inlineStr">
        <is>
          <t>RotationControl</t>
        </is>
      </c>
      <c r="D17" s="27" t="inlineStr">
        <is>
          <t>Automatic rotation exposes stop/start, Previous, and Next and survives the focus-click ordering contract.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tests/components/carousel/behavior.spec.ts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46241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CA-10</t>
        </is>
      </c>
      <c r="B18" s="26" t="inlineStr">
        <is>
          <t>Selection</t>
        </is>
      </c>
      <c r="C18" s="26" t="inlineStr">
        <is>
          <t>Picker</t>
        </is>
      </c>
      <c r="D18" s="27" t="inlineStr">
        <is>
          <t>Named picker dots select peer slides and expose active state without Tabs semantics.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tests/components/carousel/behavior.spec.ts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46241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CA-11</t>
        </is>
      </c>
      <c r="B19" s="26" t="inlineStr">
        <is>
          <t>Navigation</t>
        </is>
      </c>
      <c r="C19" s="26" t="inlineStr">
        <is>
          <t>Previous / Next</t>
        </is>
      </c>
      <c r="D19" s="27" t="inlineStr">
        <is>
          <t>Logical controls select adjacent slides and preserve Atom boundary and loop rules.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tests/components/carousel/behavior.spec.ts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46241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CA-12</t>
        </is>
      </c>
      <c r="B20" s="26" t="inlineStr">
        <is>
          <t>Media</t>
        </is>
      </c>
      <c r="C20" s="26" t="inlineStr">
        <is>
          <t>Viewport / Track</t>
        </is>
      </c>
      <c r="D20" s="27" t="inlineStr">
        <is>
          <t>Native horizontal scrolling, one-slide snap geometry, and hidden scrollbars preserve touch interaction.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tests/components/carousel/behavior.spec.ts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46241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CA-13</t>
        </is>
      </c>
      <c r="B21" s="26" t="inlineStr">
        <is>
          <t>Accessibility</t>
        </is>
      </c>
      <c r="C21" s="26" t="inlineStr">
        <is>
          <t>Slides</t>
        </is>
      </c>
      <c r="D21" s="27" t="inlineStr">
        <is>
          <t>Inactive slides remain inert and assistive-hidden while the active labelled group remains available.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../test/components/carousel/carousel.test.tsx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46241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CA-14</t>
        </is>
      </c>
      <c r="B22" s="26" t="inlineStr">
        <is>
          <t>Accessibility</t>
        </is>
      </c>
      <c r="C22" s="26" t="inlineStr">
        <is>
          <t>Controls</t>
        </is>
      </c>
      <c r="D22" s="27" t="inlineStr">
        <is>
          <t>Controls keep native names, roles, disabled state, focus rings, and 32px visual dot hit areas.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tests/components/carousel/behavior.spec.ts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46241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CA-15</t>
        </is>
      </c>
      <c r="B23" s="26" t="inlineStr">
        <is>
          <t>Accessibility</t>
        </is>
      </c>
      <c r="C23" s="26" t="inlineStr">
        <is>
          <t>Automated</t>
        </is>
      </c>
      <c r="D23" s="27" t="inlineStr">
        <is>
          <t>Representative rotation composition passes axe at a mobile viewport.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tests/components/carousel/behavior.spec.ts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46241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CA-16</t>
        </is>
      </c>
      <c r="B24" s="26" t="inlineStr">
        <is>
          <t>Recipes</t>
        </is>
      </c>
      <c r="C24" s="26" t="inlineStr">
        <is>
          <t>Root</t>
        </is>
      </c>
      <c r="D24" s="27" t="inlineStr">
        <is>
          <t>Small, medium, and large control geometry remains coordinated.</t>
        </is>
      </c>
      <c r="E24" s="26" t="inlineStr">
        <is>
          <t>playground</t>
        </is>
      </c>
      <c r="F24" s="26" t="inlineStr">
        <is>
          <t>visual</t>
        </is>
      </c>
      <c r="G24" s="27" t="inlineStr">
        <is>
          <t>tests/components/carousel/visual.spec.ts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n"/>
      <c r="L24" s="26" t="n">
        <v>0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CA-17</t>
        </is>
      </c>
      <c r="B25" s="26" t="inlineStr">
        <is>
          <t>Placement</t>
        </is>
      </c>
      <c r="C25" s="26" t="inlineStr">
        <is>
          <t>Root</t>
        </is>
      </c>
      <c r="D25" s="27" t="inlineStr">
        <is>
          <t>Overlay and outside control placements remain visually coherent without behavior changes.</t>
        </is>
      </c>
      <c r="E25" s="26" t="inlineStr">
        <is>
          <t>playground</t>
        </is>
      </c>
      <c r="F25" s="26" t="inlineStr">
        <is>
          <t>visual</t>
        </is>
      </c>
      <c r="G25" s="27" t="inlineStr">
        <is>
          <t>tests/components/carousel/visual.spec.ts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n"/>
      <c r="L25" s="26" t="n">
        <v>0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CA-18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control and picker paint remains legible in adjacent light and dark scopes.</t>
        </is>
      </c>
      <c r="E26" s="26" t="inlineStr">
        <is>
          <t>playground</t>
        </is>
      </c>
      <c r="F26" s="26" t="inlineStr">
        <is>
          <t>visual</t>
        </is>
      </c>
      <c r="G26" s="27" t="inlineStr">
        <is>
          <t>tests/components/carousel/visual.spec.ts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n"/>
      <c r="L26" s="26" t="n">
        <v>0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CA-19</t>
        </is>
      </c>
      <c r="B27" s="26" t="inlineStr">
        <is>
          <t>Motion</t>
        </is>
      </c>
      <c r="C27" s="26" t="inlineStr">
        <is>
          <t>All parts</t>
        </is>
      </c>
      <c r="D27" s="27" t="inlineStr">
        <is>
          <t>Reduced motion removes decorative transitions and smooth scrolling without removing selection.</t>
        </is>
      </c>
      <c r="E27" s="26" t="inlineStr">
        <is>
          <t>manual</t>
        </is>
      </c>
      <c r="F27" s="26" t="inlineStr">
        <is>
          <t>manual</t>
        </is>
      </c>
      <c r="G27" s="27" t="inlineStr">
        <is>
          <t>manual-tests/carousel.md</t>
        </is>
      </c>
      <c r="H27" s="26" t="inlineStr">
        <is>
          <t>not started</t>
        </is>
      </c>
      <c r="I27" s="26" t="inlineStr">
        <is>
          <t>yes</t>
        </is>
      </c>
      <c r="J27" s="28" t="n"/>
      <c r="K27" s="27" t="n"/>
      <c r="L27" s="26" t="n">
        <v>0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CA-20</t>
        </is>
      </c>
      <c r="B28" s="26" t="inlineStr">
        <is>
          <t>Direction</t>
        </is>
      </c>
      <c r="C28" s="26" t="inlineStr">
        <is>
          <t>All parts</t>
        </is>
      </c>
      <c r="D28" s="27" t="inlineStr">
        <is>
          <t>RTL mirrors logical direction artwork and preserves native selection order.</t>
        </is>
      </c>
      <c r="E28" s="26" t="inlineStr">
        <is>
          <t>manual</t>
        </is>
      </c>
      <c r="F28" s="26" t="inlineStr">
        <is>
          <t>manual</t>
        </is>
      </c>
      <c r="G28" s="27" t="inlineStr">
        <is>
          <t>manual-tests/carousel.md</t>
        </is>
      </c>
      <c r="H28" s="26" t="inlineStr">
        <is>
          <t>not started</t>
        </is>
      </c>
      <c r="I28" s="26" t="inlineStr">
        <is>
          <t>yes</t>
        </is>
      </c>
      <c r="J28" s="28" t="n"/>
      <c r="K28" s="27" t="n"/>
      <c r="L28" s="26" t="n">
        <v>0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CA-21</t>
        </is>
      </c>
      <c r="B29" s="26" t="inlineStr">
        <is>
          <t>Reflow</t>
        </is>
      </c>
      <c r="C29" s="26" t="inlineStr">
        <is>
          <t>All parts</t>
        </is>
      </c>
      <c r="D29" s="27" t="inlineStr">
        <is>
          <t>Mobile, 200%, and 400% reflow preserve complete controls and slide content without page overflow.</t>
        </is>
      </c>
      <c r="E29" s="26" t="inlineStr">
        <is>
          <t>manual</t>
        </is>
      </c>
      <c r="F29" s="26" t="inlineStr">
        <is>
          <t>manual</t>
        </is>
      </c>
      <c r="G29" s="27" t="inlineStr">
        <is>
          <t>manual-tests/carousel.md</t>
        </is>
      </c>
      <c r="H29" s="26" t="inlineStr">
        <is>
          <t>not started</t>
        </is>
      </c>
      <c r="I29" s="26" t="inlineStr">
        <is>
          <t>yes</t>
        </is>
      </c>
      <c r="J29" s="28" t="n"/>
      <c r="K29" s="27" t="n"/>
      <c r="L29" s="26" t="n">
        <v>0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CA-22</t>
        </is>
      </c>
      <c r="B30" s="26" t="inlineStr">
        <is>
          <t>Forced colors</t>
        </is>
      </c>
      <c r="C30" s="26" t="inlineStr">
        <is>
          <t>Controls</t>
        </is>
      </c>
      <c r="D30" s="27" t="inlineStr">
        <is>
          <t>Controls, focus indicators, and active picker remain perceivable.</t>
        </is>
      </c>
      <c r="E30" s="26" t="inlineStr">
        <is>
          <t>manual</t>
        </is>
      </c>
      <c r="F30" s="26" t="inlineStr">
        <is>
          <t>manual</t>
        </is>
      </c>
      <c r="G30" s="27" t="inlineStr">
        <is>
          <t>manual-tests/carousel.md</t>
        </is>
      </c>
      <c r="H30" s="26" t="inlineStr">
        <is>
          <t>not started</t>
        </is>
      </c>
      <c r="I30" s="26" t="inlineStr">
        <is>
          <t>yes</t>
        </is>
      </c>
      <c r="J30" s="28" t="n"/>
      <c r="K30" s="27" t="n"/>
      <c r="L30" s="26" t="n">
        <v>0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CA-23</t>
        </is>
      </c>
      <c r="B31" s="26" t="inlineStr">
        <is>
          <t>Assistive technology</t>
        </is>
      </c>
      <c r="C31" s="26" t="inlineStr">
        <is>
          <t>All parts</t>
        </is>
      </c>
      <c r="D31" s="27" t="inlineStr">
        <is>
          <t>Screen-reader names, slide availability, rotation state, and announcements match the public contract.</t>
        </is>
      </c>
      <c r="E31" s="26" t="inlineStr">
        <is>
          <t>manual</t>
        </is>
      </c>
      <c r="F31" s="26" t="inlineStr">
        <is>
          <t>manual</t>
        </is>
      </c>
      <c r="G31" s="27" t="inlineStr">
        <is>
          <t>manual-tests/carousel.md</t>
        </is>
      </c>
      <c r="H31" s="26" t="inlineStr">
        <is>
          <t>not started</t>
        </is>
      </c>
      <c r="I31" s="26" t="inlineStr">
        <is>
          <t>yes</t>
        </is>
      </c>
      <c r="J31" s="28" t="n"/>
      <c r="K31" s="27" t="n"/>
      <c r="L31" s="26" t="n">
        <v>0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CA-24</t>
        </is>
      </c>
      <c r="B32" s="26" t="inlineStr">
        <is>
          <t>Agent Knowledge</t>
        </is>
      </c>
      <c r="C32" s="26" t="inlineStr">
        <is>
          <t>Selection</t>
        </is>
      </c>
      <c r="D32" s="27" t="inlineStr">
        <is>
          <t>Machine-readable guidance distinguishes Carousel, Tabs, Grid, and campaign Block ownership.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../src/components/carousel/agent.json</t>
        </is>
      </c>
      <c r="H32" s="26" t="inlineStr">
        <is>
          <t>tested</t>
        </is>
      </c>
      <c r="I32" s="26" t="inlineStr">
        <is>
          <t>no</t>
        </is>
      </c>
      <c r="J32" s="28" t="n">
        <v>46241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CA-25</t>
        </is>
      </c>
      <c r="B33" s="26" t="inlineStr">
        <is>
          <t>Consumer</t>
        </is>
      </c>
      <c r="C33" s="26" t="inlineStr">
        <is>
          <t>Composition</t>
        </is>
      </c>
      <c r="D33" s="27" t="inlineStr">
        <is>
          <t>A realistic packed-package consumer composes Carousel with public imports and CSS only.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</t>
        </is>
      </c>
      <c r="H33" s="26" t="inlineStr">
        <is>
          <t>implemented</t>
        </is>
      </c>
      <c r="I33" s="26" t="inlineStr">
        <is>
          <t>no</t>
        </is>
      </c>
      <c r="J33" s="28" t="n"/>
      <c r="K33" s="27" t="n"/>
      <c r="L33" s="26" t="n">
        <v>0</v>
      </c>
      <c r="M33" s="26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Flowstack</dc:creator>
  <dc:title>Brick Component Coverage</dc:title>
  <dc:subject>Component evidence and completion tracker</dc:subject>
  <dc:language>en-US</dc:language>
  <dcterms:created xsi:type="dcterms:W3CDTF">2026-07-24T06:13:46Z</dcterms:created>
  <dcterms:modified xsi:type="dcterms:W3CDTF">2026-08-07T20:53:01Z</dcterms:modified>
  <cp:lastModifiedBy>Flowstack</cp:lastModifiedBy>
  <cp:revision>0</cp:revision>
</cp:coreProperties>
</file>