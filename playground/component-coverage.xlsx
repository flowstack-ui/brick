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Button" sheetId="3" state="visible" r:id="rId3"/>
    <sheet xmlns:r="http://schemas.openxmlformats.org/officeDocument/2006/relationships" name="Card" sheetId="4" state="visible" r:id="rId4"/>
    <sheet xmlns:r="http://schemas.openxmlformats.org/officeDocument/2006/relationships" name="Dialog" sheetId="5" state="visible" r:id="rId5"/>
    <sheet xmlns:r="http://schemas.openxmlformats.org/officeDocument/2006/relationships" name="_Lists" sheetId="6" state="hidden" r:id="rId6"/>
    <sheet xmlns:r="http://schemas.openxmlformats.org/officeDocument/2006/relationships" name="AlertDialog" sheetId="7" state="visible" r:id="rId7"/>
    <sheet xmlns:r="http://schemas.openxmlformats.org/officeDocument/2006/relationships" name="Drawer" sheetId="8" state="visible" r:id="rId8"/>
    <sheet xmlns:r="http://schemas.openxmlformats.org/officeDocument/2006/relationships" name="Badge" sheetId="9" state="visible" r:id="rId9"/>
    <sheet xmlns:r="http://schemas.openxmlformats.org/officeDocument/2006/relationships" name="Avatar" sheetId="10" state="visible" r:id="rId10"/>
    <sheet xmlns:r="http://schemas.openxmlformats.org/officeDocument/2006/relationships" name="Toggle" sheetId="11" state="visible" r:id="rId11"/>
  </sheets>
  <definedNames>
    <definedName name="_xlnm._FilterDatabase" localSheetId="0" hidden="1">'Index'!$A$7:$N$14</definedName>
    <definedName name="_xlnm.Print_Area" localSheetId="0">'Index'!$A$1:$N$15</definedName>
    <definedName name="_xlnm._FilterDatabase" localSheetId="1" hidden="1">'Instructions'!$A$4:$B$18</definedName>
    <definedName name="_xlnm.Print_Area" localSheetId="1">'Instructions'!$A$1:$B$18</definedName>
    <definedName name="_xlnm._FilterDatabase" localSheetId="2" hidden="1">'Button'!$A$8:$M$34</definedName>
    <definedName name="_xlnm.Print_Titles" localSheetId="2">'Button'!$1:$8</definedName>
    <definedName name="_xlnm.Print_Area" localSheetId="2">'Button'!$A$1:$M$34</definedName>
    <definedName name="_xlnm._FilterDatabase" localSheetId="3" hidden="1">'Card'!$A$8:$M$34</definedName>
    <definedName name="_xlnm.Print_Titles" localSheetId="3">'Card'!$1:$8</definedName>
    <definedName name="_xlnm.Print_Area" localSheetId="3">'Card'!$A$1:$M$41</definedName>
    <definedName name="_xlnm._FilterDatabase" localSheetId="4" hidden="1">'Dialog'!$A$8:$M$45</definedName>
    <definedName name="_xlnm.Print_Titles" localSheetId="4">'Dialog'!$1:$8</definedName>
    <definedName name="_xlnm.Print_Area" localSheetId="4">'Dialog'!$A$1:$M$45</definedName>
    <definedName name="_xlnm._FilterDatabase" localSheetId="6" hidden="1">'AlertDialog'!$A$8:$M$47</definedName>
    <definedName name="_xlnm.Print_Area" localSheetId="6">'AlertDialog'!$A$1:$M$47</definedName>
    <definedName name="_xlnm._FilterDatabase" localSheetId="7" hidden="1">'Drawer'!$A$8:$M$47</definedName>
    <definedName name="_xlnm.Print_Area" localSheetId="7">'Drawer'!$A$1:$M$47</definedName>
    <definedName name="_xlnm._FilterDatabase" localSheetId="8" hidden="1">'Badge'!$A$8:$M$47</definedName>
    <definedName name="_xlnm.Print_Area" localSheetId="8">'Badge'!$A$1:$M$47</definedName>
    <definedName name="_xlnm._FilterDatabase" localSheetId="9" hidden="1">'Avatar'!$A$8:$M$47</definedName>
    <definedName name="_xlnm.Print_Area" localSheetId="9">'Avatar'!$A$1:$M$47</definedName>
    <definedName name="_xlnm.Print_Area" localSheetId="10">'Toggle'!$A$1:$M$47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0"/>
      <b val="1"/>
      <color rgb="FFFFFFFF"/>
      <sz val="20"/>
    </font>
    <font>
      <name val="Aptos"/>
      <charset val="1"/>
      <family val="0"/>
      <color rgb="FF526072"/>
      <sz val="10"/>
    </font>
    <font>
      <name val="Aptos"/>
      <charset val="1"/>
      <family val="0"/>
      <b val="1"/>
      <color rgb="FF526072"/>
      <sz val="9"/>
    </font>
    <font>
      <name val="Aptos Display"/>
      <charset val="1"/>
      <family val="0"/>
      <b val="1"/>
      <color rgb="FF172033"/>
      <sz val="12"/>
    </font>
    <font>
      <name val="Aptos"/>
      <charset val="1"/>
      <family val="0"/>
      <b val="1"/>
      <color rgb="FFFFFFFF"/>
      <sz val="10"/>
    </font>
    <font>
      <name val="Aptos"/>
      <charset val="1"/>
      <family val="0"/>
      <color rgb="FF172033"/>
      <sz val="9"/>
    </font>
    <font>
      <name val="Aptos"/>
      <charset val="1"/>
      <family val="0"/>
      <b val="1"/>
      <color rgb="FF172033"/>
      <sz val="10"/>
    </font>
    <font>
      <name val="Aptos"/>
      <charset val="1"/>
      <family val="0"/>
      <color rgb="FF172033"/>
      <sz val="10"/>
    </font>
    <font>
      <name val="Aptos"/>
      <charset val="1"/>
      <family val="0"/>
      <i val="1"/>
      <color rgb="FF526072"/>
      <sz val="9"/>
    </font>
    <font>
      <name val="Calibri"/>
      <charset val="1"/>
      <family val="2"/>
      <color theme="10"/>
      <sz val="12"/>
    </font>
  </fonts>
  <fills count="5">
    <fill>
      <patternFill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BD5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9" fontId="9" fillId="0" borderId="1" applyAlignment="1" pivotButton="0" quotePrefix="0" xfId="0">
      <alignment horizontal="general" vertical="center" wrapText="1"/>
    </xf>
    <xf numFmtId="0" fontId="10" fillId="4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 wrapText="1"/>
    </xf>
    <xf numFmtId="0" fontId="9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9" fontId="9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9" fontId="9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 wrapText="1"/>
    </xf>
    <xf numFmtId="0" fontId="9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CoverageIndex" displayName="CoverageIndex" ref="A7:N15" headerRowCount="1" totalsRowCount="0" totalsRowShown="0">
  <autoFilter ref="A7:N14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5.xml><?xml version="1.0" encoding="utf-8"?>
<table xmlns="http://schemas.openxmlformats.org/spreadsheetml/2006/main" id="5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src/components/button/Button.tsx" TargetMode="External" Id="rId1"/><Relationship Type="http://schemas.openxmlformats.org/officeDocument/2006/relationships/hyperlink" Target="../../../Users/willdonin/Developer/Flowstack/templateflow/packages/brick-ui/docs/button-component-brief.md" TargetMode="External" Id="rId2"/><Relationship Type="http://schemas.openxmlformats.org/officeDocument/2006/relationships/hyperlink" Target="../../../Users/willdonin/Developer/Flowstack/templateflow/packages/brick-ui/package/src/button.ts" TargetMode="External" Id="rId3"/><Relationship Type="http://schemas.openxmlformats.org/officeDocument/2006/relationships/hyperlink" Target="../../../Users/willdonin/Developer/Flowstack/templateflow/packages/brick-ui/package/test/components/button.test.tsx" TargetMode="External" Id="rId4"/><Relationship Type="http://schemas.openxmlformats.org/officeDocument/2006/relationships/hyperlink" Target="../../../Users/willdonin/Developer/Flowstack/templateflow/packages/brick-ui/package/src/components/button/button.css" TargetMode="External" Id="rId5"/><Relationship Type="http://schemas.openxmlformats.org/officeDocument/2006/relationships/hyperlink" Target="../../../Users/willdonin/Developer/Flowstack/templateflow/packages/brick-ui/package/playground/manual-tests/button.md" TargetMode="External" Id="rId6"/><Relationship Type="http://schemas.openxmlformats.org/officeDocument/2006/relationships/hyperlink" Target="../../../Users/willdonin/Developer/Flowstack/templateflow/packages/brick-ui/package/playground/manual-tests/button.md" TargetMode="External" Id="rId7"/><Relationship Type="http://schemas.openxmlformats.org/officeDocument/2006/relationships/hyperlink" Target="../../../Users/willdonin/Developer/Flowstack/templateflow/packages/brick-ui/package/playground/manual-tests/button.md" TargetMode="External" Id="rId8"/><Relationship Type="http://schemas.openxmlformats.org/officeDocument/2006/relationships/hyperlink" Target="../../../Users/willdonin/Developer/Flowstack/templateflow/packages/brick-ui/package/playground/manual-tests/button.md" TargetMode="External" Id="rId9"/><Relationship Type="http://schemas.openxmlformats.org/officeDocument/2006/relationships/hyperlink" Target="../../../Users/willdonin/Developer/Flowstack/templateflow/packages/brick-ui/package/playground/tests/preferences.spec.ts" TargetMode="External" Id="rId10"/><Relationship Type="http://schemas.openxmlformats.org/officeDocument/2006/relationships/hyperlink" Target="../../../Users/willdonin/Developer/Flowstack/templateflow/packages/brick-ui/package/playground/manual-tests/button.md" TargetMode="External" Id="rId11"/><Relationship Type="http://schemas.openxmlformats.org/officeDocument/2006/relationships/hyperlink" Target="../../../Users/willdonin/Developer/Flowstack/templateflow/packages/brick-ui/package/playground/manual-tests/button.md" TargetMode="External" Id="rId12"/><Relationship Type="http://schemas.openxmlformats.org/officeDocument/2006/relationships/hyperlink" Target="../../../Users/willdonin/Developer/Flowstack/templateflow/packages/brick-ui/package/playground/tests/button.spec.ts" TargetMode="External" Id="rId13"/><Relationship Type="http://schemas.openxmlformats.org/officeDocument/2006/relationships/hyperlink" Target="../../../Users/willdonin/Developer/Flowstack/templateflow/packages/brick-ui/package/test/components/button.test.tsx" TargetMode="External" Id="rId14"/><Relationship Type="http://schemas.openxmlformats.org/officeDocument/2006/relationships/hyperlink" Target="../../../Users/willdonin/Developer/Flowstack/templateflow/packages/brick-ui/package/test/types/public-api.test.ts" TargetMode="External" Id="rId15"/><Relationship Type="http://schemas.openxmlformats.org/officeDocument/2006/relationships/hyperlink" Target="../../../Users/willdonin/Developer/Flowstack/templateflow/packages/brick-ui/package/playground/tests/button.spec.ts" TargetMode="External" Id="rId16"/><Relationship Type="http://schemas.openxmlformats.org/officeDocument/2006/relationships/hyperlink" Target="../../../Users/willdonin/Developer/Flowstack/templateflow/packages/brick-ui/package/playground/tests/foundation.spec.ts" TargetMode="External" Id="rId17"/><Relationship Type="http://schemas.openxmlformats.org/officeDocument/2006/relationships/hyperlink" Target="../../../Users/willdonin/Developer/Flowstack/templateflow/packages/brick-ui/package/playground/tests/visual.spec.ts" TargetMode="External" Id="rId18"/><Relationship Type="http://schemas.openxmlformats.org/officeDocument/2006/relationships/hyperlink" Target="../../../Users/willdonin/Developer/Flowstack/templateflow/packages/brick-ui/playwright.config.ts" TargetMode="External" Id="rId19"/><Relationship Type="http://schemas.openxmlformats.org/officeDocument/2006/relationships/hyperlink" Target="../../../Users/willdonin/Developer/Flowstack/templateflow/packages/brick-ui/package/scripts/verify-consumers.mjs" TargetMode="External" Id="rId20"/><Relationship Type="http://schemas.openxmlformats.org/officeDocument/2006/relationships/hyperlink" Target="../../../Users/willdonin/Developer/Flowstack/templateflow/packages/brick-ui/package/playground/manual-tests/button.md" TargetMode="External" Id="rId21"/><Relationship Type="http://schemas.openxmlformats.org/officeDocument/2006/relationships/hyperlink" Target="../../../Users/willdonin/Developer/Flowstack/templateflow/packages/brick-ui/package/playground/manual-tests/button.md" TargetMode="External" Id="rId22"/><Relationship Type="http://schemas.openxmlformats.org/officeDocument/2006/relationships/hyperlink" Target="../../../Users/willdonin/Developer/Flowstack/templateflow/packages/brick-ui/package/docs/components/button/README.md" TargetMode="External" Id="rId23"/><Relationship Type="http://schemas.openxmlformats.org/officeDocument/2006/relationships/hyperlink" Target="../../../Users/willdonin/Developer/Flowstack/templateflow/packages/brick-ui/package/docs/components/button/CHANGELOG.md" TargetMode="External" Id="rId24"/><Relationship Type="http://schemas.openxmlformats.org/officeDocument/2006/relationships/hyperlink" Target="../../../Users/willdonin/Developer/Flowstack/templateflow/apps/brick-consumer/tests/consumer.spec.ts" TargetMode="External" Id="rId25"/><Relationship Type="http://schemas.openxmlformats.org/officeDocument/2006/relationships/table" Target="/xl/tables/table3.xml" Id="rId26"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src/components/card/Card.tsx" TargetMode="External" Id="rId1"/><Relationship Type="http://schemas.openxmlformats.org/officeDocument/2006/relationships/hyperlink" Target="../../../Users/willdonin/Developer/Flowstack/templateflow/packages/brick-ui/docs/card-component-brief.md" TargetMode="External" Id="rId2"/><Relationship Type="http://schemas.openxmlformats.org/officeDocument/2006/relationships/hyperlink" Target="../../../Users/willdonin/Developer/Flowstack/templateflow/packages/brick-ui/package/src/card.ts" TargetMode="External" Id="rId3"/><Relationship Type="http://schemas.openxmlformats.org/officeDocument/2006/relationships/hyperlink" Target="../../../Users/willdonin/Developer/Flowstack/templateflow/packages/brick-ui/package/test/components/card.test.tsx" TargetMode="External" Id="rId4"/><Relationship Type="http://schemas.openxmlformats.org/officeDocument/2006/relationships/hyperlink" Target="../../../Users/willdonin/Developer/Flowstack/templateflow/packages/brick-ui/package/test/components/card.test.tsx" TargetMode="External" Id="rId5"/><Relationship Type="http://schemas.openxmlformats.org/officeDocument/2006/relationships/hyperlink" Target="../../../Users/willdonin/Developer/Flowstack/templateflow/packages/brick-ui/package/playground/manual-tests/card.md" TargetMode="External" Id="rId6"/><Relationship Type="http://schemas.openxmlformats.org/officeDocument/2006/relationships/hyperlink" Target="../../../Users/willdonin/Developer/Flowstack/templateflow/packages/brick-ui/package/test/components/card.test.tsx" TargetMode="External" Id="rId7"/><Relationship Type="http://schemas.openxmlformats.org/officeDocument/2006/relationships/hyperlink" Target="../../../Users/willdonin/Developer/Flowstack/templateflow/packages/brick-ui/package/test/components/card.test.tsx" TargetMode="External" Id="rId8"/><Relationship Type="http://schemas.openxmlformats.org/officeDocument/2006/relationships/hyperlink" Target="../../../Users/willdonin/Developer/Flowstack/templateflow/packages/brick-ui/package/playground/tests/card.spec.ts" TargetMode="External" Id="rId9"/><Relationship Type="http://schemas.openxmlformats.org/officeDocument/2006/relationships/hyperlink" Target="../../../Users/willdonin/Developer/Flowstack/templateflow/packages/brick-ui/package/test/components/card.test.tsx" TargetMode="External" Id="rId10"/><Relationship Type="http://schemas.openxmlformats.org/officeDocument/2006/relationships/hyperlink" Target="../../../Users/willdonin/Developer/Flowstack/templateflow/packages/brick-ui/package/playground/manual-tests/card.md" TargetMode="External" Id="rId11"/><Relationship Type="http://schemas.openxmlformats.org/officeDocument/2006/relationships/hyperlink" Target="../../../Users/willdonin/Developer/Flowstack/templateflow/packages/brick-ui/package/src/components/card/card.css" TargetMode="External" Id="rId12"/><Relationship Type="http://schemas.openxmlformats.org/officeDocument/2006/relationships/hyperlink" Target="../../../Users/willdonin/Developer/Flowstack/templateflow/packages/brick-ui/package/playground/manual-tests/card.md" TargetMode="External" Id="rId13"/><Relationship Type="http://schemas.openxmlformats.org/officeDocument/2006/relationships/hyperlink" Target="../../../Users/willdonin/Developer/Flowstack/templateflow/packages/brick-ui/package/playground/manual-tests/card.md" TargetMode="External" Id="rId14"/><Relationship Type="http://schemas.openxmlformats.org/officeDocument/2006/relationships/hyperlink" Target="../../../Users/willdonin/Developer/Flowstack/templateflow/packages/brick-ui/package/playground/tests/card.spec.ts" TargetMode="External" Id="rId15"/><Relationship Type="http://schemas.openxmlformats.org/officeDocument/2006/relationships/hyperlink" Target="../../../Users/willdonin/Developer/Flowstack/templateflow/packages/brick-ui/package/playground/manual-tests/card.md" TargetMode="External" Id="rId16"/><Relationship Type="http://schemas.openxmlformats.org/officeDocument/2006/relationships/hyperlink" Target="../../../Users/willdonin/Developer/Flowstack/templateflow/packages/brick-ui/package/playground/tests/preferences.spec.ts" TargetMode="External" Id="rId17"/><Relationship Type="http://schemas.openxmlformats.org/officeDocument/2006/relationships/hyperlink" Target="../../../Users/willdonin/Developer/Flowstack/templateflow/packages/brick-ui/package/playground/manual-tests/card.md" TargetMode="External" Id="rId18"/><Relationship Type="http://schemas.openxmlformats.org/officeDocument/2006/relationships/hyperlink" Target="../../../Users/willdonin/Developer/Flowstack/templateflow/packages/brick-ui/package/playground/manual-tests/card.md" TargetMode="External" Id="rId19"/><Relationship Type="http://schemas.openxmlformats.org/officeDocument/2006/relationships/hyperlink" Target="../../../Users/willdonin/Developer/Flowstack/templateflow/packages/brick-ui/package/playground/tests/card.spec.ts" TargetMode="External" Id="rId20"/><Relationship Type="http://schemas.openxmlformats.org/officeDocument/2006/relationships/hyperlink" Target="../../../Users/willdonin/Developer/Flowstack/templateflow/packages/brick-ui/package/test/components/card.test.tsx" TargetMode="External" Id="rId21"/><Relationship Type="http://schemas.openxmlformats.org/officeDocument/2006/relationships/hyperlink" Target="../../../Users/willdonin/Developer/Flowstack/templateflow/packages/brick-ui/package/test/types/public-api.test.ts" TargetMode="External" Id="rId22"/><Relationship Type="http://schemas.openxmlformats.org/officeDocument/2006/relationships/hyperlink" Target="../../../Users/willdonin/Developer/Flowstack/templateflow/packages/brick-ui/package/playground/tests/card.spec.ts" TargetMode="External" Id="rId23"/><Relationship Type="http://schemas.openxmlformats.org/officeDocument/2006/relationships/hyperlink" Target="../../../Users/willdonin/Developer/Flowstack/templateflow/packages/brick-ui/package/playground/tests/foundation.spec.ts" TargetMode="External" Id="rId24"/><Relationship Type="http://schemas.openxmlformats.org/officeDocument/2006/relationships/hyperlink" Target="../../../Users/willdonin/Developer/Flowstack/templateflow/packages/brick-ui/package/playground/tests/visual.spec.ts" TargetMode="External" Id="rId25"/><Relationship Type="http://schemas.openxmlformats.org/officeDocument/2006/relationships/hyperlink" Target="../../../Users/willdonin/Developer/Flowstack/templateflow/packages/brick-ui/package/playwright.config.ts" TargetMode="External" Id="rId26"/><Relationship Type="http://schemas.openxmlformats.org/officeDocument/2006/relationships/hyperlink" Target="../../../Users/willdonin/Developer/Flowstack/templateflow/packages/brick-ui/package/test/package/ssr.test.mjs" TargetMode="External" Id="rId27"/><Relationship Type="http://schemas.openxmlformats.org/officeDocument/2006/relationships/hyperlink" Target="../../../Users/willdonin/Developer/Flowstack/templateflow/packages/brick-ui/package/playground/manual-tests/card.md" TargetMode="External" Id="rId28"/><Relationship Type="http://schemas.openxmlformats.org/officeDocument/2006/relationships/hyperlink" Target="../../../Users/willdonin/Developer/Flowstack/templateflow/packages/brick-ui/package/playground/manual-tests/card.md" TargetMode="External" Id="rId29"/><Relationship Type="http://schemas.openxmlformats.org/officeDocument/2006/relationships/hyperlink" Target="../../../Users/willdonin/Developer/Flowstack/templateflow/packages/brick-ui/package/docs/components/card/README.md" TargetMode="External" Id="rId30"/><Relationship Type="http://schemas.openxmlformats.org/officeDocument/2006/relationships/hyperlink" Target="../../../Users/willdonin/Developer/Flowstack/templateflow/packages/brick-ui/package/docs/components/card/CHANGELOG.md" TargetMode="External" Id="rId31"/><Relationship Type="http://schemas.openxmlformats.org/officeDocument/2006/relationships/hyperlink" Target="../../../Users/willdonin/Developer/Flowstack/templateflow/apps/brick-consumer/tests/consumer.spec.ts" TargetMode="External" Id="rId32"/><Relationship Type="http://schemas.openxmlformats.org/officeDocument/2006/relationships/hyperlink" Target="../../../Users/willdonin/Developer/Flowstack/templateflow/packages/brick-ui/docs/core-dependency-ledger.md" TargetMode="External" Id="rId33"/><Relationship Type="http://schemas.openxmlformats.org/officeDocument/2006/relationships/table" Target="/xl/tables/table4.xml" Id="rId34"/></Relationships>
</file>

<file path=xl/worksheets/_rels/sheet5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src/components/dialog/Dialog.tsx" TargetMode="External" Id="rId1"/><Relationship Type="http://schemas.openxmlformats.org/officeDocument/2006/relationships/hyperlink" Target="../../../Users/willdonin/Developer/Flowstack/templateflow/packages/brick-ui/docs/dialog-component-brief.md" TargetMode="External" Id="rId2"/><Relationship Type="http://schemas.openxmlformats.org/officeDocument/2006/relationships/hyperlink" Target="../../../Users/willdonin/Developer/Flowstack/templateflow/packages/brick-ui/package/test/types/public-api.test.ts" TargetMode="External" Id="rId3"/><Relationship Type="http://schemas.openxmlformats.org/officeDocument/2006/relationships/hyperlink" Target="../../../Users/willdonin/Developer/Flowstack/templateflow/packages/brick-ui/package/test/components/dialog.test.tsx" TargetMode="External" Id="rId4"/><Relationship Type="http://schemas.openxmlformats.org/officeDocument/2006/relationships/hyperlink" Target="../../../Users/willdonin/Developer/Flowstack/templateflow/packages/brick-ui/package/test/components/dialog.test.tsx" TargetMode="External" Id="rId5"/><Relationship Type="http://schemas.openxmlformats.org/officeDocument/2006/relationships/hyperlink" Target="../../../Users/willdonin/Developer/Flowstack/templateflow/packages/brick-ui/package/test/components/dialog.test.tsx%20+%20tests/dialog.spec.ts" TargetMode="External" Id="rId6"/><Relationship Type="http://schemas.openxmlformats.org/officeDocument/2006/relationships/hyperlink" Target="../../../Users/willdonin/Developer/Flowstack/templateflow/packages/brick-ui/package/playground/tests/dialog.spec.ts" TargetMode="External" Id="rId7"/><Relationship Type="http://schemas.openxmlformats.org/officeDocument/2006/relationships/hyperlink" Target="../../../Users/willdonin/Developer/Flowstack/templateflow/packages/brick-ui/package/test/components/dialog.test.tsx" TargetMode="External" Id="rId8"/><Relationship Type="http://schemas.openxmlformats.org/officeDocument/2006/relationships/hyperlink" Target="../../../Users/willdonin/Developer/Flowstack/templateflow/packages/brick-ui/package/test/components/dialog.test.tsx" TargetMode="External" Id="rId9"/><Relationship Type="http://schemas.openxmlformats.org/officeDocument/2006/relationships/hyperlink" Target="../../../Users/willdonin/Developer/Flowstack/templateflow/packages/brick-ui/package/test/components/dialog.test.tsx" TargetMode="External" Id="rId10"/><Relationship Type="http://schemas.openxmlformats.org/officeDocument/2006/relationships/hyperlink" Target="../../../Users/willdonin/Developer/Flowstack/templateflow/packages/brick-ui/package/test/components/dialog.test.tsx" TargetMode="External" Id="rId11"/><Relationship Type="http://schemas.openxmlformats.org/officeDocument/2006/relationships/hyperlink" Target="../../../Users/willdonin/Developer/Flowstack/templateflow/packages/brick-ui/package/playground/manual-tests/dialog.md" TargetMode="External" Id="rId12"/><Relationship Type="http://schemas.openxmlformats.org/officeDocument/2006/relationships/hyperlink" Target="../../../Users/willdonin/Developer/Flowstack/templateflow/packages/brick-ui/package/playground/manual-tests/dialog.md" TargetMode="External" Id="rId13"/><Relationship Type="http://schemas.openxmlformats.org/officeDocument/2006/relationships/hyperlink" Target="../../../Users/willdonin/Developer/Flowstack/templateflow/packages/brick-ui/package/test/components/dialog.test.tsx" TargetMode="External" Id="rId14"/><Relationship Type="http://schemas.openxmlformats.org/officeDocument/2006/relationships/hyperlink" Target="../../../Users/willdonin/Developer/Flowstack/templateflow/packages/brick-ui/package/test/components/dialog.test.tsx" TargetMode="External" Id="rId15"/><Relationship Type="http://schemas.openxmlformats.org/officeDocument/2006/relationships/hyperlink" Target="../../../Users/willdonin/Developer/Flowstack/templateflow/packages/brick-ui/package/src/components/dialog/dialog.css" TargetMode="External" Id="rId16"/><Relationship Type="http://schemas.openxmlformats.org/officeDocument/2006/relationships/hyperlink" Target="../../../Users/willdonin/Developer/Flowstack/templateflow/packages/brick-ui/package/playground/manual-tests/dialog.md" TargetMode="External" Id="rId17"/><Relationship Type="http://schemas.openxmlformats.org/officeDocument/2006/relationships/hyperlink" Target="../../../Users/willdonin/Developer/Flowstack/templateflow/packages/brick-ui/package/playground/manual-tests/dialog.md" TargetMode="External" Id="rId18"/><Relationship Type="http://schemas.openxmlformats.org/officeDocument/2006/relationships/hyperlink" Target="../../../Users/willdonin/Developer/Flowstack/templateflow/packages/brick-ui/package/playground/tests/dialog.spec.ts" TargetMode="External" Id="rId19"/><Relationship Type="http://schemas.openxmlformats.org/officeDocument/2006/relationships/hyperlink" Target="../../../Users/willdonin/Developer/Flowstack/templateflow/packages/brick-ui/package/playground/manual-tests/dialog.md" TargetMode="External" Id="rId20"/><Relationship Type="http://schemas.openxmlformats.org/officeDocument/2006/relationships/hyperlink" Target="../../../Users/willdonin/Developer/Flowstack/templateflow/packages/brick-ui/package/playground/tests/visual.spec.ts" TargetMode="External" Id="rId21"/><Relationship Type="http://schemas.openxmlformats.org/officeDocument/2006/relationships/hyperlink" Target="../../../Users/willdonin/Developer/Flowstack/templateflow/packages/brick-ui/package/playground/manual-tests/dialog.md" TargetMode="External" Id="rId22"/><Relationship Type="http://schemas.openxmlformats.org/officeDocument/2006/relationships/hyperlink" Target="../../../Users/willdonin/Developer/Flowstack/templateflow/packages/brick-ui/package/playground/manual-tests/dialog.md" TargetMode="External" Id="rId23"/><Relationship Type="http://schemas.openxmlformats.org/officeDocument/2006/relationships/hyperlink" Target="../../../Users/willdonin/Developer/Flowstack/templateflow/packages/brick-ui/package/playground/tests/dialog.spec.ts" TargetMode="External" Id="rId24"/><Relationship Type="http://schemas.openxmlformats.org/officeDocument/2006/relationships/hyperlink" Target="../../../Users/willdonin/Developer/Flowstack/templateflow/packages/brick-ui/package/test/components/dialog.test.tsx" TargetMode="External" Id="rId25"/><Relationship Type="http://schemas.openxmlformats.org/officeDocument/2006/relationships/hyperlink" Target="../../../Users/willdonin/Developer/Flowstack/templateflow/packages/brick-ui/package/test/types/public-api.test.ts" TargetMode="External" Id="rId26"/><Relationship Type="http://schemas.openxmlformats.org/officeDocument/2006/relationships/hyperlink" Target="../../../Users/willdonin/Developer/Flowstack/templateflow/packages/brick-ui/package/playground/tests/dialog.spec.ts" TargetMode="External" Id="rId27"/><Relationship Type="http://schemas.openxmlformats.org/officeDocument/2006/relationships/hyperlink" Target="../../../Users/willdonin/Developer/Flowstack/templateflow/packages/brick-ui/package/playground/tests/dialog.spec.ts" TargetMode="External" Id="rId28"/><Relationship Type="http://schemas.openxmlformats.org/officeDocument/2006/relationships/hyperlink" Target="../../../Users/willdonin/Developer/Flowstack/templateflow/packages/brick-ui/package/playground/tests/visual.spec.ts" TargetMode="External" Id="rId29"/><Relationship Type="http://schemas.openxmlformats.org/officeDocument/2006/relationships/hyperlink" Target="../../../Users/willdonin/Developer/Flowstack/templateflow/packages/brick-ui/package/playwright.config.ts" TargetMode="External" Id="rId30"/><Relationship Type="http://schemas.openxmlformats.org/officeDocument/2006/relationships/hyperlink" Target="../../../Users/willdonin/Developer/Flowstack/templateflow/packages/brick-ui/package/scripts/verify-consumers.mjs" TargetMode="External" Id="rId31"/><Relationship Type="http://schemas.openxmlformats.org/officeDocument/2006/relationships/hyperlink" Target="../../../Users/willdonin/Developer/Flowstack/templateflow/packages/brick-ui/package/playground/manual-tests/dialog.md" TargetMode="External" Id="rId32"/><Relationship Type="http://schemas.openxmlformats.org/officeDocument/2006/relationships/hyperlink" Target="../../../Users/willdonin/Developer/Flowstack/templateflow/packages/brick-ui/package/playground/manual-tests/dialog.md" TargetMode="External" Id="rId33"/><Relationship Type="http://schemas.openxmlformats.org/officeDocument/2006/relationships/hyperlink" Target="../../../Users/willdonin/Developer/Flowstack/templateflow/packages/brick-ui/package/docs/components/dialog/README.md" TargetMode="External" Id="rId34"/><Relationship Type="http://schemas.openxmlformats.org/officeDocument/2006/relationships/hyperlink" Target="../../../Users/willdonin/Developer/Flowstack/templateflow/packages/brick-ui/package/docs/components/dialog/CHANGELOG.md" TargetMode="External" Id="rId35"/><Relationship Type="http://schemas.openxmlformats.org/officeDocument/2006/relationships/hyperlink" Target="../../../Users/willdonin/Developer/Flowstack/templateflow/apps/brick-consumer/tests/consumer.spec.ts" TargetMode="External" Id="rId36"/><Relationship Type="http://schemas.openxmlformats.org/officeDocument/2006/relationships/hyperlink" Target="../../../Users/willdonin/Developer/Flowstack/templateflow/packages/brick-ui/docs/core-dependency-ledger.md" TargetMode="External" Id="rId37"/><Relationship Type="http://schemas.openxmlformats.org/officeDocument/2006/relationships/table" Target="/xl/tables/table5.xml" Id="rId38"/></Relationships>
</file>

<file path=xl/worksheets/_rels/sheet7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src/components/alert-dialog/AlertDialog.tsx" TargetMode="External" Id="rId1"/><Relationship Type="http://schemas.openxmlformats.org/officeDocument/2006/relationships/hyperlink" Target="../../../Users/willdonin/Developer/Flowstack/templateflow/packages/brick-ui/docs/alert-dialog-component-brief.md" TargetMode="External" Id="rId2"/><Relationship Type="http://schemas.openxmlformats.org/officeDocument/2006/relationships/hyperlink" Target="../../../Users/willdonin/Developer/Flowstack/templateflow/packages/brick-ui/package/test/types/public-api.test.ts" TargetMode="External" Id="rId3"/><Relationship Type="http://schemas.openxmlformats.org/officeDocument/2006/relationships/hyperlink" Target="../../../Users/willdonin/Developer/Flowstack/templateflow/packages/brick-ui/package/test/components/alert-dialog.test.tsx" TargetMode="External" Id="rId4"/><Relationship Type="http://schemas.openxmlformats.org/officeDocument/2006/relationships/hyperlink" Target="../../../Users/willdonin/Developer/Flowstack/templateflow/packages/brick-ui/package/test/components/alert-dialog.test.tsx" TargetMode="External" Id="rId5"/><Relationship Type="http://schemas.openxmlformats.org/officeDocument/2006/relationships/hyperlink" Target="../../../Users/willdonin/Developer/Flowstack/templateflow/packages/brick-ui/package/test/components/alert-dialog.test.tsx" TargetMode="External" Id="rId6"/><Relationship Type="http://schemas.openxmlformats.org/officeDocument/2006/relationships/hyperlink" Target="../../../Users/willdonin/Developer/Flowstack/templateflow/packages/brick-ui/package/playground/tests/alert-dialog.spec.ts" TargetMode="External" Id="rId7"/><Relationship Type="http://schemas.openxmlformats.org/officeDocument/2006/relationships/hyperlink" Target="../../../Users/willdonin/Developer/Flowstack/templateflow/packages/brick-ui/package/test/components/alert-dialog.test.tsx" TargetMode="External" Id="rId8"/><Relationship Type="http://schemas.openxmlformats.org/officeDocument/2006/relationships/hyperlink" Target="../../../Users/willdonin/Developer/Flowstack/templateflow/packages/brick-ui/package/test/components/alert-dialog.test.tsx" TargetMode="External" Id="rId9"/><Relationship Type="http://schemas.openxmlformats.org/officeDocument/2006/relationships/hyperlink" Target="../../../Users/willdonin/Developer/Flowstack/templateflow/packages/brick-ui/package/test/components/alert-dialog.test.tsx" TargetMode="External" Id="rId10"/><Relationship Type="http://schemas.openxmlformats.org/officeDocument/2006/relationships/hyperlink" Target="../../../Users/willdonin/Developer/Flowstack/templateflow/packages/brick-ui/package/test/components/alert-dialog.test.tsx" TargetMode="External" Id="rId11"/><Relationship Type="http://schemas.openxmlformats.org/officeDocument/2006/relationships/hyperlink" Target="../../../Users/willdonin/Developer/Flowstack/templateflow/packages/brick-ui/package/playground/manual-tests/alert-dialog.md" TargetMode="External" Id="rId12"/><Relationship Type="http://schemas.openxmlformats.org/officeDocument/2006/relationships/hyperlink" Target="../../../Users/willdonin/Developer/Flowstack/templateflow/packages/brick-ui/package/playground/manual-tests/alert-dialog.md" TargetMode="External" Id="rId13"/><Relationship Type="http://schemas.openxmlformats.org/officeDocument/2006/relationships/hyperlink" Target="../../../Users/willdonin/Developer/Flowstack/templateflow/packages/brick-ui/package/test/components/alert-dialog.test.tsx%20+%20tests/alert-dialog.spec.ts" TargetMode="External" Id="rId14"/><Relationship Type="http://schemas.openxmlformats.org/officeDocument/2006/relationships/hyperlink" Target="../../../Users/willdonin/Developer/Flowstack/templateflow/packages/brick-ui/package/test/components/alert-dialog.test.tsx%20+%20tests/alert-dialog.spec.ts" TargetMode="External" Id="rId15"/><Relationship Type="http://schemas.openxmlformats.org/officeDocument/2006/relationships/hyperlink" Target="../../../Users/willdonin/Developer/Flowstack/templateflow/packages/brick-ui/package/src/components/alert-dialog/alert-dialog.css" TargetMode="External" Id="rId16"/><Relationship Type="http://schemas.openxmlformats.org/officeDocument/2006/relationships/hyperlink" Target="../../../Users/willdonin/Developer/Flowstack/templateflow/packages/brick-ui/package/playground/manual-tests/alert-dialog.md" TargetMode="External" Id="rId17"/><Relationship Type="http://schemas.openxmlformats.org/officeDocument/2006/relationships/hyperlink" Target="../../../Users/willdonin/Developer/Flowstack/templateflow/packages/brick-ui/package/playground/src/main.tsx" TargetMode="External" Id="rId18"/><Relationship Type="http://schemas.openxmlformats.org/officeDocument/2006/relationships/hyperlink" Target="../../../Users/willdonin/Developer/Flowstack/templateflow/packages/brick-ui/package/playground/tests/alert-dialog.spec.ts" TargetMode="External" Id="rId19"/><Relationship Type="http://schemas.openxmlformats.org/officeDocument/2006/relationships/hyperlink" Target="../../../Users/willdonin/Developer/Flowstack/templateflow/packages/brick-ui/package/playground/tests/alert-dialog.spec.ts" TargetMode="External" Id="rId20"/><Relationship Type="http://schemas.openxmlformats.org/officeDocument/2006/relationships/hyperlink" Target="../../../Users/willdonin/Developer/Flowstack/templateflow/packages/brick-ui/package/playground/manual-tests/alert-dialog.md" TargetMode="External" Id="rId21"/><Relationship Type="http://schemas.openxmlformats.org/officeDocument/2006/relationships/hyperlink" Target="../../../Users/willdonin/Developer/Flowstack/templateflow/packages/brick-ui/package/playground/manual-tests/alert-dialog.md" TargetMode="External" Id="rId22"/><Relationship Type="http://schemas.openxmlformats.org/officeDocument/2006/relationships/hyperlink" Target="../../../Users/willdonin/Developer/Flowstack/templateflow/packages/brick-ui/package/playground/manual-tests/alert-dialog.md" TargetMode="External" Id="rId23"/><Relationship Type="http://schemas.openxmlformats.org/officeDocument/2006/relationships/hyperlink" Target="../../../Users/willdonin/Developer/Flowstack/templateflow/packages/brick-ui/package/playground/tests/alert-dialog.spec.ts" TargetMode="External" Id="rId24"/><Relationship Type="http://schemas.openxmlformats.org/officeDocument/2006/relationships/hyperlink" Target="../../../Users/willdonin/Developer/Flowstack/templateflow/packages/brick-ui/package/test/components/alert-dialog.test.tsx" TargetMode="External" Id="rId25"/><Relationship Type="http://schemas.openxmlformats.org/officeDocument/2006/relationships/hyperlink" Target="../../../Users/willdonin/Developer/Flowstack/templateflow/packages/brick-ui/package/test/types/public-api.test.ts" TargetMode="External" Id="rId26"/><Relationship Type="http://schemas.openxmlformats.org/officeDocument/2006/relationships/hyperlink" Target="../../../Users/willdonin/Developer/Flowstack/templateflow/packages/brick-ui/package/playground/tests/alert-dialog.spec.ts" TargetMode="External" Id="rId27"/><Relationship Type="http://schemas.openxmlformats.org/officeDocument/2006/relationships/hyperlink" Target="../../../Users/willdonin/Developer/Flowstack/templateflow/packages/brick-ui/package/playground/tests/alert-dialog.spec.ts" TargetMode="External" Id="rId28"/><Relationship Type="http://schemas.openxmlformats.org/officeDocument/2006/relationships/hyperlink" Target="../../../Users/willdonin/Developer/Flowstack/templateflow/packages/brick-ui/package/playground/tests/alert-dialog.spec.ts" TargetMode="External" Id="rId29"/><Relationship Type="http://schemas.openxmlformats.org/officeDocument/2006/relationships/hyperlink" Target="../../../Users/willdonin/Developer/Flowstack/templateflow/packages/brick-ui/package/playground/tests/alert-dialog.spec.ts" TargetMode="External" Id="rId30"/><Relationship Type="http://schemas.openxmlformats.org/officeDocument/2006/relationships/hyperlink" Target="../../../Users/willdonin/Developer/Flowstack/templateflow/packages/brick-ui/package/playground/tests/visual.spec.ts" TargetMode="External" Id="rId31"/><Relationship Type="http://schemas.openxmlformats.org/officeDocument/2006/relationships/hyperlink" Target="../../../Users/willdonin/Developer/Flowstack/templateflow/packages/brick-ui/package/playwright.config.ts" TargetMode="External" Id="rId32"/><Relationship Type="http://schemas.openxmlformats.org/officeDocument/2006/relationships/hyperlink" Target="../../../Users/willdonin/Developer/Flowstack/templateflow/packages/brick-ui/package/scripts/verify-consumers.mjs" TargetMode="External" Id="rId33"/><Relationship Type="http://schemas.openxmlformats.org/officeDocument/2006/relationships/hyperlink" Target="../../../Users/willdonin/Developer/Flowstack/templateflow/packages/brick-ui/package/playground/manual-tests/alert-dialog.md" TargetMode="External" Id="rId34"/><Relationship Type="http://schemas.openxmlformats.org/officeDocument/2006/relationships/hyperlink" Target="../../../Users/willdonin/Developer/Flowstack/templateflow/packages/brick-ui/package/playground/manual-tests/alert-dialog.md" TargetMode="External" Id="rId35"/><Relationship Type="http://schemas.openxmlformats.org/officeDocument/2006/relationships/hyperlink" Target="../../../Users/willdonin/Developer/Flowstack/templateflow/packages/brick-ui/package/docs/components/alert-dialog/README.md" TargetMode="External" Id="rId36"/><Relationship Type="http://schemas.openxmlformats.org/officeDocument/2006/relationships/hyperlink" Target="../../../Users/willdonin/Developer/Flowstack/templateflow/packages/brick-ui/package/docs/components/alert-dialog/CHANGELOG.md" TargetMode="External" Id="rId37"/><Relationship Type="http://schemas.openxmlformats.org/officeDocument/2006/relationships/hyperlink" Target="../../../Users/willdonin/Developer/Flowstack/templateflow/apps/brick-consumer/tests/consumer.spec.ts" TargetMode="External" Id="rId38"/><Relationship Type="http://schemas.openxmlformats.org/officeDocument/2006/relationships/hyperlink" Target="../../../Users/willdonin/Developer/Flowstack/templateflow/packages/brick-ui/docs/core-dependency-ledger.md" TargetMode="External" Id="rId39"/></Relationships>
</file>

<file path=xl/worksheets/_rels/sheet8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src/components/drawer/Drawer.tsx" TargetMode="External" Id="rId1"/><Relationship Type="http://schemas.openxmlformats.org/officeDocument/2006/relationships/hyperlink" Target="../../../Users/willdonin/Developer/Flowstack/templateflow/packages/brick-ui/docs/drawer-component-brief.md" TargetMode="External" Id="rId2"/><Relationship Type="http://schemas.openxmlformats.org/officeDocument/2006/relationships/hyperlink" Target="../../../Users/willdonin/Developer/Flowstack/templateflow/packages/brick-ui/TODO.md" TargetMode="External" Id="rId3"/><Relationship Type="http://schemas.openxmlformats.org/officeDocument/2006/relationships/hyperlink" Target="../../../Users/willdonin/Developer/Flowstack/templateflow/packages/brick-ui/package/test/types/public-api.test.ts" TargetMode="External" Id="rId4"/><Relationship Type="http://schemas.openxmlformats.org/officeDocument/2006/relationships/hyperlink" Target="../../../Users/willdonin/Developer/Flowstack/templateflow/packages/brick-ui/package/test/components/drawer.test.tsx" TargetMode="External" Id="rId5"/><Relationship Type="http://schemas.openxmlformats.org/officeDocument/2006/relationships/hyperlink" Target="../../../Users/willdonin/Developer/Flowstack/templateflow/packages/brick-ui/package/test/components/drawer.test.tsx" TargetMode="External" Id="rId6"/><Relationship Type="http://schemas.openxmlformats.org/officeDocument/2006/relationships/hyperlink" Target="../../../Users/willdonin/Developer/Flowstack/templateflow/packages/brick-ui/package/test/components/drawer.test.tsx" TargetMode="External" Id="rId7"/><Relationship Type="http://schemas.openxmlformats.org/officeDocument/2006/relationships/hyperlink" Target="../../../Users/willdonin/Developer/Flowstack/templateflow/packages/brick-ui/package/playground/tests/drawer.spec.ts" TargetMode="External" Id="rId8"/><Relationship Type="http://schemas.openxmlformats.org/officeDocument/2006/relationships/hyperlink" Target="../../../Users/willdonin/Developer/Flowstack/templateflow/packages/brick-ui/package/test/components/drawer.test.tsx" TargetMode="External" Id="rId9"/><Relationship Type="http://schemas.openxmlformats.org/officeDocument/2006/relationships/hyperlink" Target="../../../Users/willdonin/Developer/Flowstack/templateflow/packages/brick-ui/package/test/components/drawer.test.tsx" TargetMode="External" Id="rId10"/><Relationship Type="http://schemas.openxmlformats.org/officeDocument/2006/relationships/hyperlink" Target="../../../Users/willdonin/Developer/Flowstack/templateflow/packages/brick-ui/package/test/components/drawer.test.tsx" TargetMode="External" Id="rId11"/><Relationship Type="http://schemas.openxmlformats.org/officeDocument/2006/relationships/hyperlink" Target="../../../Users/willdonin/Developer/Flowstack/templateflow/packages/brick-ui/package/test/components/drawer.test.tsx" TargetMode="External" Id="rId12"/><Relationship Type="http://schemas.openxmlformats.org/officeDocument/2006/relationships/hyperlink" Target="../../../Users/willdonin/Developer/Flowstack/templateflow/packages/brick-ui/package/playground/tests/drawer.spec.ts" TargetMode="External" Id="rId13"/><Relationship Type="http://schemas.openxmlformats.org/officeDocument/2006/relationships/hyperlink" Target="../../../Users/willdonin/Developer/Flowstack/templateflow/packages/brick-ui/package/playground/tests/drawer.spec.ts" TargetMode="External" Id="rId14"/><Relationship Type="http://schemas.openxmlformats.org/officeDocument/2006/relationships/hyperlink" Target="../../../Users/willdonin/Developer/Flowstack/templateflow/packages/brick-ui/package/test/components/drawer.test.tsx" TargetMode="External" Id="rId15"/><Relationship Type="http://schemas.openxmlformats.org/officeDocument/2006/relationships/hyperlink" Target="../../../Users/willdonin/Developer/Flowstack/templateflow/packages/brick-ui/package/playground/tests/drawer.spec.ts" TargetMode="External" Id="rId16"/><Relationship Type="http://schemas.openxmlformats.org/officeDocument/2006/relationships/hyperlink" Target="../../../Users/willdonin/Developer/Flowstack/templateflow/packages/brick-ui/package/playground/tests/drawer.spec.ts" TargetMode="External" Id="rId17"/><Relationship Type="http://schemas.openxmlformats.org/officeDocument/2006/relationships/hyperlink" Target="../../../Users/willdonin/Developer/Flowstack/templateflow/packages/brick-ui/package/test/components/drawer.test.tsx" TargetMode="External" Id="rId18"/><Relationship Type="http://schemas.openxmlformats.org/officeDocument/2006/relationships/hyperlink" Target="../../../Users/willdonin/Developer/Flowstack/templateflow/packages/brick-ui/package/playground/tests/drawer.spec.ts" TargetMode="External" Id="rId19"/><Relationship Type="http://schemas.openxmlformats.org/officeDocument/2006/relationships/hyperlink" Target="../../../Users/willdonin/Developer/Flowstack/templateflow/packages/brick-ui/package/playground/tests/visual.spec.ts" TargetMode="External" Id="rId20"/><Relationship Type="http://schemas.openxmlformats.org/officeDocument/2006/relationships/hyperlink" Target="../../../Users/willdonin/Developer/Flowstack/templateflow/packages/brick-ui/package/playground/tests/visual.spec.ts" TargetMode="External" Id="rId21"/><Relationship Type="http://schemas.openxmlformats.org/officeDocument/2006/relationships/hyperlink" Target="../../../Users/willdonin/Developer/Flowstack/templateflow/packages/brick-ui/package/playground/tests/drawer.spec.ts" TargetMode="External" Id="rId22"/><Relationship Type="http://schemas.openxmlformats.org/officeDocument/2006/relationships/hyperlink" Target="../../../Users/willdonin/Developer/Flowstack/templateflow/packages/brick-ui/package/playground/tests/visual.spec.ts" TargetMode="External" Id="rId23"/><Relationship Type="http://schemas.openxmlformats.org/officeDocument/2006/relationships/hyperlink" Target="../../../Users/willdonin/Developer/Flowstack/templateflow/packages/brick-ui/package/playground/src/main.tsx" TargetMode="External" Id="rId24"/><Relationship Type="http://schemas.openxmlformats.org/officeDocument/2006/relationships/hyperlink" Target="../../../Users/willdonin/Developer/Flowstack/templateflow/packages/brick-ui/package/playground/src/main.tsx" TargetMode="External" Id="rId25"/><Relationship Type="http://schemas.openxmlformats.org/officeDocument/2006/relationships/hyperlink" Target="../../../Users/willdonin/Developer/Flowstack/templateflow/packages/brick-ui/package/playground/src/main.tsx" TargetMode="External" Id="rId26"/><Relationship Type="http://schemas.openxmlformats.org/officeDocument/2006/relationships/hyperlink" Target="../../../Users/willdonin/Developer/Flowstack/templateflow/packages/brick-ui/package/test/components/drawer.test.tsx" TargetMode="External" Id="rId27"/><Relationship Type="http://schemas.openxmlformats.org/officeDocument/2006/relationships/hyperlink" Target="../../../Users/willdonin/Developer/Flowstack/templateflow/packages/brick-ui/package/test/types/public-api.test.ts" TargetMode="External" Id="rId28"/><Relationship Type="http://schemas.openxmlformats.org/officeDocument/2006/relationships/hyperlink" Target="../../../Users/willdonin/Developer/Flowstack/templateflow/packages/brick-ui/package/test/package/package.test.mjs" TargetMode="External" Id="rId29"/><Relationship Type="http://schemas.openxmlformats.org/officeDocument/2006/relationships/hyperlink" Target="../../../Users/willdonin/Developer/Flowstack/templateflow/packages/brick-ui/package/playground/tests/drawer.spec.ts" TargetMode="External" Id="rId30"/><Relationship Type="http://schemas.openxmlformats.org/officeDocument/2006/relationships/hyperlink" Target="../../../Users/willdonin/Developer/Flowstack/templateflow/packages/brick-ui/package/playground/tests/drawer.spec.ts" TargetMode="External" Id="rId31"/><Relationship Type="http://schemas.openxmlformats.org/officeDocument/2006/relationships/hyperlink" Target="../../../Users/willdonin/Developer/Flowstack/templateflow/packages/brick-ui/package/playground/tests/visual.spec.ts" TargetMode="External" Id="rId32"/><Relationship Type="http://schemas.openxmlformats.org/officeDocument/2006/relationships/hyperlink" Target="../../../Users/willdonin/Developer/Flowstack/templateflow/packages/brick-ui/package/scripts/verify-consumers.mjs" TargetMode="External" Id="rId33"/><Relationship Type="http://schemas.openxmlformats.org/officeDocument/2006/relationships/hyperlink" Target="../../../Users/willdonin/Developer/Flowstack/templateflow/packages/brick-ui/package/playground/manual-tests/drawer.md" TargetMode="External" Id="rId34"/><Relationship Type="http://schemas.openxmlformats.org/officeDocument/2006/relationships/hyperlink" Target="../../../Users/willdonin/Developer/Flowstack/templateflow/packages/brick-ui/package/playground/manual-tests/drawer.md" TargetMode="External" Id="rId35"/><Relationship Type="http://schemas.openxmlformats.org/officeDocument/2006/relationships/hyperlink" Target="../../../Users/willdonin/Developer/Flowstack/templateflow/packages/brick-ui/package/docs/components/drawer/README.md" TargetMode="External" Id="rId36"/><Relationship Type="http://schemas.openxmlformats.org/officeDocument/2006/relationships/hyperlink" Target="../../../Users/willdonin/Developer/Flowstack/templateflow/packages/brick-ui/package/docs/components/drawer/CHANGELOG.md" TargetMode="External" Id="rId37"/><Relationship Type="http://schemas.openxmlformats.org/officeDocument/2006/relationships/hyperlink" Target="../../../Users/willdonin/Developer/Flowstack/templateflow/apps/brick-consumer/tests/consumer.spec.ts" TargetMode="External" Id="rId38"/><Relationship Type="http://schemas.openxmlformats.org/officeDocument/2006/relationships/hyperlink" Target="../../../Users/willdonin/Developer/Flowstack/templateflow/packages/brick-ui/docs/core-dependency-ledger.md" TargetMode="External" Id="rId39"/></Relationships>
</file>

<file path=xl/worksheets/_rels/sheet9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src/components/badge/Badge.tsx" TargetMode="External" Id="rId1"/><Relationship Type="http://schemas.openxmlformats.org/officeDocument/2006/relationships/hyperlink" Target="../../../Users/willdonin/Developer/Flowstack/templateflow/packages/brick-ui/docs/badge-component-brief.md" TargetMode="External" Id="rId2"/><Relationship Type="http://schemas.openxmlformats.org/officeDocument/2006/relationships/hyperlink" Target="../../../Users/willdonin/Developer/Flowstack/templateflow/packages/brick-ui/package/test/types/public-api.test.ts" TargetMode="External" Id="rId3"/><Relationship Type="http://schemas.openxmlformats.org/officeDocument/2006/relationships/hyperlink" Target="../../../Users/willdonin/Developer/Flowstack/templateflow/packages/brick-ui/package/test/components/badge.test.tsx" TargetMode="External" Id="rId4"/><Relationship Type="http://schemas.openxmlformats.org/officeDocument/2006/relationships/hyperlink" Target="../../../Users/willdonin/Developer/Flowstack/templateflow/packages/brick-ui/package/test/components/badge.test.tsx" TargetMode="External" Id="rId5"/><Relationship Type="http://schemas.openxmlformats.org/officeDocument/2006/relationships/hyperlink" Target="../../../Users/willdonin/Developer/Flowstack/templateflow/packages/brick-ui/package/test/components/badge.test.tsx" TargetMode="External" Id="rId6"/><Relationship Type="http://schemas.openxmlformats.org/officeDocument/2006/relationships/hyperlink" Target="../../../Users/willdonin/Developer/Flowstack/templateflow/packages/brick-ui/package/test/components/badge.test.tsx" TargetMode="External" Id="rId7"/><Relationship Type="http://schemas.openxmlformats.org/officeDocument/2006/relationships/hyperlink" Target="../../../Users/willdonin/Developer/Flowstack/templateflow/packages/brick-ui/package/test/types/public-api.test.ts" TargetMode="External" Id="rId8"/><Relationship Type="http://schemas.openxmlformats.org/officeDocument/2006/relationships/hyperlink" Target="../../../Users/willdonin/Developer/Flowstack/templateflow/packages/brick-ui/package/test/components/badge.test.tsx" TargetMode="External" Id="rId9"/><Relationship Type="http://schemas.openxmlformats.org/officeDocument/2006/relationships/hyperlink" Target="../../../Users/willdonin/Developer/Flowstack/templateflow/packages/brick-ui/package/test/components/badge.test.tsx" TargetMode="External" Id="rId10"/><Relationship Type="http://schemas.openxmlformats.org/officeDocument/2006/relationships/hyperlink" Target="../../../Users/willdonin/Developer/Flowstack/templateflow/packages/brick-ui/package/test/components/badge.test.tsx" TargetMode="External" Id="rId11"/><Relationship Type="http://schemas.openxmlformats.org/officeDocument/2006/relationships/hyperlink" Target="../../../Users/willdonin/Developer/Flowstack/templateflow/packages/brick-ui/package/playground/tests/badge.spec.ts" TargetMode="External" Id="rId12"/><Relationship Type="http://schemas.openxmlformats.org/officeDocument/2006/relationships/hyperlink" Target="../../../Users/willdonin/Developer/Flowstack/templateflow/packages/brick-ui/package/src/components/badge/badge.css" TargetMode="External" Id="rId13"/><Relationship Type="http://schemas.openxmlformats.org/officeDocument/2006/relationships/hyperlink" Target="../../../Users/willdonin/Developer/Flowstack/templateflow/packages/brick-ui/package/playground/tests/visual.spec.ts" TargetMode="External" Id="rId14"/><Relationship Type="http://schemas.openxmlformats.org/officeDocument/2006/relationships/hyperlink" Target="../../../Users/willdonin/Developer/Flowstack/templateflow/packages/brick-ui/package/playground/tests/badge.spec.ts" TargetMode="External" Id="rId15"/><Relationship Type="http://schemas.openxmlformats.org/officeDocument/2006/relationships/hyperlink" Target="../../../Users/willdonin/Developer/Flowstack/templateflow/packages/brick-ui/package/playground/tests/badge.spec.ts" TargetMode="External" Id="rId16"/><Relationship Type="http://schemas.openxmlformats.org/officeDocument/2006/relationships/hyperlink" Target="../../../Users/willdonin/Developer/Flowstack/templateflow/packages/brick-ui/package/playground/tests/badge.spec.ts" TargetMode="External" Id="rId17"/><Relationship Type="http://schemas.openxmlformats.org/officeDocument/2006/relationships/hyperlink" Target="../../../Users/willdonin/Developer/Flowstack/templateflow/packages/brick-ui/package/playground/tests/badge.spec.ts" TargetMode="External" Id="rId18"/><Relationship Type="http://schemas.openxmlformats.org/officeDocument/2006/relationships/hyperlink" Target="../../../Users/willdonin/Developer/Flowstack/templateflow/packages/brick-ui/package/playground/src/main.tsx" TargetMode="External" Id="rId19"/><Relationship Type="http://schemas.openxmlformats.org/officeDocument/2006/relationships/hyperlink" Target="../../../Users/willdonin/Developer/Flowstack/templateflow/packages/brick-ui/package/playground/src/main.tsx" TargetMode="External" Id="rId20"/><Relationship Type="http://schemas.openxmlformats.org/officeDocument/2006/relationships/hyperlink" Target="../../../Users/willdonin/Developer/Flowstack/templateflow/packages/brick-ui/package/playground/src/main.tsx" TargetMode="External" Id="rId21"/><Relationship Type="http://schemas.openxmlformats.org/officeDocument/2006/relationships/hyperlink" Target="../../../Users/willdonin/Developer/Flowstack/templateflow/packages/brick-ui/package/playground/src/main.tsx" TargetMode="External" Id="rId22"/><Relationship Type="http://schemas.openxmlformats.org/officeDocument/2006/relationships/hyperlink" Target="../../../Users/willdonin/Developer/Flowstack/templateflow/packages/brick-ui/package/test/components/badge.test.tsx" TargetMode="External" Id="rId23"/><Relationship Type="http://schemas.openxmlformats.org/officeDocument/2006/relationships/hyperlink" Target="../../../Users/willdonin/Developer/Flowstack/templateflow/packages/brick-ui/package/test/components/badge.test.tsx" TargetMode="External" Id="rId24"/><Relationship Type="http://schemas.openxmlformats.org/officeDocument/2006/relationships/hyperlink" Target="../../../Users/willdonin/Developer/Flowstack/templateflow/packages/brick-ui/package/test/types/public-api.test.ts" TargetMode="External" Id="rId25"/><Relationship Type="http://schemas.openxmlformats.org/officeDocument/2006/relationships/hyperlink" Target="../../../Users/willdonin/Developer/Flowstack/templateflow/packages/brick-ui/package/test/package/package.test.mjs" TargetMode="External" Id="rId26"/><Relationship Type="http://schemas.openxmlformats.org/officeDocument/2006/relationships/hyperlink" Target="../../../Users/willdonin/Developer/Flowstack/templateflow/packages/brick-ui/package/scripts/verify-consumers.mjs" TargetMode="External" Id="rId27"/><Relationship Type="http://schemas.openxmlformats.org/officeDocument/2006/relationships/hyperlink" Target="../../../Users/willdonin/Developer/Flowstack/templateflow/packages/brick-ui/package/test/components/badge.test.tsx" TargetMode="External" Id="rId28"/><Relationship Type="http://schemas.openxmlformats.org/officeDocument/2006/relationships/hyperlink" Target="../../../Users/willdonin/Developer/Flowstack/templateflow/packages/brick-ui/package/playground/tests/badge.spec.ts" TargetMode="External" Id="rId29"/><Relationship Type="http://schemas.openxmlformats.org/officeDocument/2006/relationships/hyperlink" Target="../../../Users/willdonin/Developer/Flowstack/templateflow/packages/brick-ui/package/playground/tests/badge.spec.ts" TargetMode="External" Id="rId30"/><Relationship Type="http://schemas.openxmlformats.org/officeDocument/2006/relationships/hyperlink" Target="../../../Users/willdonin/Developer/Flowstack/templateflow/packages/brick-ui/package/playground/tests/visual.spec.ts" TargetMode="External" Id="rId31"/><Relationship Type="http://schemas.openxmlformats.org/officeDocument/2006/relationships/hyperlink" Target="../../../Users/willdonin/Developer/Flowstack/templateflow/packages/brick-ui/package/playwright.config.ts" TargetMode="External" Id="rId32"/><Relationship Type="http://schemas.openxmlformats.org/officeDocument/2006/relationships/hyperlink" Target="../../../Users/willdonin/Developer/Flowstack/templateflow/packages/brick-ui/package/playground/manual-tests/badge.md" TargetMode="External" Id="rId33"/><Relationship Type="http://schemas.openxmlformats.org/officeDocument/2006/relationships/hyperlink" Target="../../../Users/willdonin/Developer/Flowstack/templateflow/packages/brick-ui/package/playground/manual-tests/badge.md" TargetMode="External" Id="rId34"/><Relationship Type="http://schemas.openxmlformats.org/officeDocument/2006/relationships/hyperlink" Target="../../../Users/willdonin/Developer/Flowstack/templateflow/packages/brick-ui/package/docs/components/badge/README.md" TargetMode="External" Id="rId35"/><Relationship Type="http://schemas.openxmlformats.org/officeDocument/2006/relationships/hyperlink" Target="../../../Users/willdonin/Developer/Flowstack/templateflow/packages/brick-ui/package/docs/components/badge/CHANGELOG.md" TargetMode="External" Id="rId36"/><Relationship Type="http://schemas.openxmlformats.org/officeDocument/2006/relationships/hyperlink" Target="../../../Users/willdonin/Developer/Flowstack/templateflow/apps/brick-consumer/tests/consumer.spec.ts" TargetMode="External" Id="rId37"/><Relationship Type="http://schemas.openxmlformats.org/officeDocument/2006/relationships/hyperlink" Target="../../../Users/willdonin/Developer/Flowstack/templateflow/packages/brick-ui/docs/core-dependency-ledger.md" TargetMode="External" Id="rId38"/><Relationship Type="http://schemas.openxmlformats.org/officeDocument/2006/relationships/hyperlink" Target="../../../Users/willdonin/Developer/Flowstack/templateflow/packages/brick-ui/docs/badge-component-brief.md" TargetMode="External" Id="rId39"/></Relationships>
</file>

<file path=xl/worksheets/_rels/sheet10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src/components/avatar/Avatar.tsx" TargetMode="External" Id="rId1"/><Relationship Type="http://schemas.openxmlformats.org/officeDocument/2006/relationships/hyperlink" Target="../../../Users/willdonin/Developer/Flowstack/templateflow/packages/brick-ui/docs/avatar-component-brief.md" TargetMode="External" Id="rId2"/><Relationship Type="http://schemas.openxmlformats.org/officeDocument/2006/relationships/hyperlink" Target="../../../Users/willdonin/Developer/Flowstack/templateflow/packages/brick-ui/package/test/types/public-api.test.ts" TargetMode="External" Id="rId3"/><Relationship Type="http://schemas.openxmlformats.org/officeDocument/2006/relationships/hyperlink" Target="../../../Users/willdonin/Developer/Flowstack/templateflow/packages/brick-ui/package/test/components/avatar.test.tsx" TargetMode="External" Id="rId4"/><Relationship Type="http://schemas.openxmlformats.org/officeDocument/2006/relationships/hyperlink" Target="../../../Users/willdonin/Developer/Flowstack/templateflow/packages/brick-ui/package/test/components/avatar.test.tsx" TargetMode="External" Id="rId5"/><Relationship Type="http://schemas.openxmlformats.org/officeDocument/2006/relationships/hyperlink" Target="../../../Users/willdonin/Developer/Flowstack/templateflow/packages/brick-ui/package/test/components/avatar.test.tsx" TargetMode="External" Id="rId6"/><Relationship Type="http://schemas.openxmlformats.org/officeDocument/2006/relationships/hyperlink" Target="../../../Users/willdonin/Developer/Flowstack/templateflow/packages/brick-ui/package/test/components/avatar.test.tsx" TargetMode="External" Id="rId7"/><Relationship Type="http://schemas.openxmlformats.org/officeDocument/2006/relationships/hyperlink" Target="../../../Users/willdonin/Developer/Flowstack/templateflow/packages/brick-ui/package/test/components/avatar.test.tsx" TargetMode="External" Id="rId8"/><Relationship Type="http://schemas.openxmlformats.org/officeDocument/2006/relationships/hyperlink" Target="../../../Users/willdonin/Developer/Flowstack/templateflow/packages/brick-ui/package/test/components/avatar.test.tsx" TargetMode="External" Id="rId9"/><Relationship Type="http://schemas.openxmlformats.org/officeDocument/2006/relationships/hyperlink" Target="../../../Users/willdonin/Developer/Flowstack/templateflow/packages/brick-ui/package/playground/tests/avatar.spec.ts" TargetMode="External" Id="rId10"/><Relationship Type="http://schemas.openxmlformats.org/officeDocument/2006/relationships/hyperlink" Target="../../../Users/willdonin/Developer/Flowstack/templateflow/packages/brick-ui/package/playground/tests/avatar.spec.ts" TargetMode="External" Id="rId11"/><Relationship Type="http://schemas.openxmlformats.org/officeDocument/2006/relationships/hyperlink" Target="../../../Users/willdonin/Developer/Flowstack/templateflow/packages/brick-ui/package/playground/tests/avatar.spec.ts" TargetMode="External" Id="rId12"/><Relationship Type="http://schemas.openxmlformats.org/officeDocument/2006/relationships/hyperlink" Target="../../../Users/willdonin/Developer/Flowstack/templateflow/packages/brick-ui/package/playground/tests/avatar.spec.ts" TargetMode="External" Id="rId13"/><Relationship Type="http://schemas.openxmlformats.org/officeDocument/2006/relationships/hyperlink" Target="../../../Users/willdonin/Developer/Flowstack/templateflow/packages/brick-ui/package/playground/tests/avatar.spec.ts" TargetMode="External" Id="rId14"/><Relationship Type="http://schemas.openxmlformats.org/officeDocument/2006/relationships/hyperlink" Target="../../../Users/willdonin/Developer/Flowstack/templateflow/packages/brick-ui/package/playground/src/main.tsx" TargetMode="External" Id="rId15"/><Relationship Type="http://schemas.openxmlformats.org/officeDocument/2006/relationships/hyperlink" Target="../../../Users/willdonin/Developer/Flowstack/templateflow/packages/brick-ui/package/playground/tests/avatar.spec.ts" TargetMode="External" Id="rId16"/><Relationship Type="http://schemas.openxmlformats.org/officeDocument/2006/relationships/hyperlink" Target="../../../Users/willdonin/Developer/Flowstack/templateflow/packages/brick-ui/package/src/components/avatar/avatar.css" TargetMode="External" Id="rId17"/><Relationship Type="http://schemas.openxmlformats.org/officeDocument/2006/relationships/hyperlink" Target="../../../Users/willdonin/Developer/Flowstack/templateflow/packages/brick-ui/package/playground/tests/visual.spec.ts" TargetMode="External" Id="rId18"/><Relationship Type="http://schemas.openxmlformats.org/officeDocument/2006/relationships/hyperlink" Target="../../../Users/willdonin/Developer/Flowstack/templateflow/packages/brick-ui/package/playground/tests/avatar.spec.ts" TargetMode="External" Id="rId19"/><Relationship Type="http://schemas.openxmlformats.org/officeDocument/2006/relationships/hyperlink" Target="../../../Users/willdonin/Developer/Flowstack/templateflow/packages/brick-ui/package/playground/tests/avatar.spec.ts" TargetMode="External" Id="rId20"/><Relationship Type="http://schemas.openxmlformats.org/officeDocument/2006/relationships/hyperlink" Target="../../../Users/willdonin/Developer/Flowstack/templateflow/packages/brick-ui/package/playground/src/main.tsx" TargetMode="External" Id="rId21"/><Relationship Type="http://schemas.openxmlformats.org/officeDocument/2006/relationships/hyperlink" Target="../../../Users/willdonin/Developer/Flowstack/templateflow/packages/brick-ui/package/playground/src/main.tsx" TargetMode="External" Id="rId22"/><Relationship Type="http://schemas.openxmlformats.org/officeDocument/2006/relationships/hyperlink" Target="../../../Users/willdonin/Developer/Flowstack/templateflow/packages/brick-ui/package/playground/src/main.tsx" TargetMode="External" Id="rId23"/><Relationship Type="http://schemas.openxmlformats.org/officeDocument/2006/relationships/hyperlink" Target="../../../Users/willdonin/Developer/Flowstack/templateflow/packages/brick-ui/package/test/components/avatar.test.tsx" TargetMode="External" Id="rId24"/><Relationship Type="http://schemas.openxmlformats.org/officeDocument/2006/relationships/hyperlink" Target="../../../Users/willdonin/Developer/Flowstack/templateflow/packages/brick-ui/package/test/types/public-api.test.ts" TargetMode="External" Id="rId25"/><Relationship Type="http://schemas.openxmlformats.org/officeDocument/2006/relationships/hyperlink" Target="../../../Users/willdonin/Developer/Flowstack/templateflow/packages/brick-ui/package/test/package/package.test.mjs" TargetMode="External" Id="rId26"/><Relationship Type="http://schemas.openxmlformats.org/officeDocument/2006/relationships/hyperlink" Target="../../../Users/willdonin/Developer/Flowstack/templateflow/packages/brick-ui/package/scripts/verify-consumers.mjs" TargetMode="External" Id="rId27"/><Relationship Type="http://schemas.openxmlformats.org/officeDocument/2006/relationships/hyperlink" Target="../../../Users/willdonin/Developer/Flowstack/templateflow/packages/brick-ui/package/test/components/avatar.test.tsx" TargetMode="External" Id="rId28"/><Relationship Type="http://schemas.openxmlformats.org/officeDocument/2006/relationships/hyperlink" Target="../../../Users/willdonin/Developer/Flowstack/templateflow/packages/brick-ui/package/playground/tests/avatar.spec.ts" TargetMode="External" Id="rId29"/><Relationship Type="http://schemas.openxmlformats.org/officeDocument/2006/relationships/hyperlink" Target="../../../Users/willdonin/Developer/Flowstack/templateflow/packages/brick-ui/package/playground/tests/avatar.spec.ts" TargetMode="External" Id="rId30"/><Relationship Type="http://schemas.openxmlformats.org/officeDocument/2006/relationships/hyperlink" Target="../../../Users/willdonin/Developer/Flowstack/templateflow/packages/brick-ui/package/playground/tests/visual.spec.ts" TargetMode="External" Id="rId31"/><Relationship Type="http://schemas.openxmlformats.org/officeDocument/2006/relationships/hyperlink" Target="../../../Users/willdonin/Developer/Flowstack/templateflow/packages/brick-ui/package/playwright.config.ts" TargetMode="External" Id="rId32"/><Relationship Type="http://schemas.openxmlformats.org/officeDocument/2006/relationships/hyperlink" Target="../../../Users/willdonin/Developer/Flowstack/templateflow/packages/brick-ui/package/playground/manual-tests/avatar.md" TargetMode="External" Id="rId33"/><Relationship Type="http://schemas.openxmlformats.org/officeDocument/2006/relationships/hyperlink" Target="../../../Users/willdonin/Developer/Flowstack/templateflow/packages/brick-ui/package/playground/manual-tests/avatar.md" TargetMode="External" Id="rId34"/><Relationship Type="http://schemas.openxmlformats.org/officeDocument/2006/relationships/hyperlink" Target="../../../Users/willdonin/Developer/Flowstack/templateflow/packages/brick-ui/package/docs/components/avatar/README.md" TargetMode="External" Id="rId35"/><Relationship Type="http://schemas.openxmlformats.org/officeDocument/2006/relationships/hyperlink" Target="../../../Users/willdonin/Developer/Flowstack/templateflow/packages/brick-ui/package/docs/components/avatar/CHANGELOG.md" TargetMode="External" Id="rId36"/><Relationship Type="http://schemas.openxmlformats.org/officeDocument/2006/relationships/hyperlink" Target="../../../Users/willdonin/Developer/Flowstack/templateflow/apps/brick-consumer/tests/consumer.spec.ts" TargetMode="External" Id="rId37"/><Relationship Type="http://schemas.openxmlformats.org/officeDocument/2006/relationships/hyperlink" Target="../../../Users/willdonin/Developer/Flowstack/templateflow/packages/brick-ui/docs/core-dependency-ledger.md" TargetMode="External" Id="rId38"/><Relationship Type="http://schemas.openxmlformats.org/officeDocument/2006/relationships/hyperlink" Target="../../../Users/willdonin/Developer/Flowstack/templateflow/packages/brick-ui/docs/avatar-component-brief.md" TargetMode="External" Id="rId39"/></Relationships>
</file>

<file path=xl/worksheets/_rels/sheet11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src/components/avatar/Avatar.tsx" TargetMode="External" Id="rId1"/><Relationship Type="http://schemas.openxmlformats.org/officeDocument/2006/relationships/hyperlink" Target="../../../Users/willdonin/Developer/Flowstack/templateflow/packages/brick-ui/docs/avatar-component-brief.md" TargetMode="External" Id="rId2"/><Relationship Type="http://schemas.openxmlformats.org/officeDocument/2006/relationships/hyperlink" Target="../../../Users/willdonin/Developer/Flowstack/templateflow/packages/brick-ui/package/test/types/public-api.test.ts" TargetMode="External" Id="rId3"/><Relationship Type="http://schemas.openxmlformats.org/officeDocument/2006/relationships/hyperlink" Target="../../../Users/willdonin/Developer/Flowstack/templateflow/packages/brick-ui/package/test/components/avatar.test.tsx" TargetMode="External" Id="rId4"/><Relationship Type="http://schemas.openxmlformats.org/officeDocument/2006/relationships/hyperlink" Target="../../../Users/willdonin/Developer/Flowstack/templateflow/packages/brick-ui/package/test/components/avatar.test.tsx" TargetMode="External" Id="rId5"/><Relationship Type="http://schemas.openxmlformats.org/officeDocument/2006/relationships/hyperlink" Target="../../../Users/willdonin/Developer/Flowstack/templateflow/packages/brick-ui/package/test/components/avatar.test.tsx" TargetMode="External" Id="rId6"/><Relationship Type="http://schemas.openxmlformats.org/officeDocument/2006/relationships/hyperlink" Target="../../../Users/willdonin/Developer/Flowstack/templateflow/packages/brick-ui/package/test/components/avatar.test.tsx" TargetMode="External" Id="rId7"/><Relationship Type="http://schemas.openxmlformats.org/officeDocument/2006/relationships/hyperlink" Target="../../../Users/willdonin/Developer/Flowstack/templateflow/packages/brick-ui/package/test/components/avatar.test.tsx" TargetMode="External" Id="rId8"/><Relationship Type="http://schemas.openxmlformats.org/officeDocument/2006/relationships/hyperlink" Target="../../../Users/willdonin/Developer/Flowstack/templateflow/packages/brick-ui/package/test/components/avatar.test.tsx" TargetMode="External" Id="rId9"/><Relationship Type="http://schemas.openxmlformats.org/officeDocument/2006/relationships/hyperlink" Target="../../../Users/willdonin/Developer/Flowstack/templateflow/packages/brick-ui/package/playground/tests/avatar.spec.ts" TargetMode="External" Id="rId10"/><Relationship Type="http://schemas.openxmlformats.org/officeDocument/2006/relationships/hyperlink" Target="../../../Users/willdonin/Developer/Flowstack/templateflow/packages/brick-ui/package/playground/tests/avatar.spec.ts" TargetMode="External" Id="rId11"/><Relationship Type="http://schemas.openxmlformats.org/officeDocument/2006/relationships/hyperlink" Target="../../../Users/willdonin/Developer/Flowstack/templateflow/packages/brick-ui/package/playground/tests/avatar.spec.ts" TargetMode="External" Id="rId12"/><Relationship Type="http://schemas.openxmlformats.org/officeDocument/2006/relationships/hyperlink" Target="../../../Users/willdonin/Developer/Flowstack/templateflow/packages/brick-ui/package/playground/tests/avatar.spec.ts" TargetMode="External" Id="rId13"/><Relationship Type="http://schemas.openxmlformats.org/officeDocument/2006/relationships/hyperlink" Target="../../../Users/willdonin/Developer/Flowstack/templateflow/packages/brick-ui/package/playground/tests/avatar.spec.ts" TargetMode="External" Id="rId14"/><Relationship Type="http://schemas.openxmlformats.org/officeDocument/2006/relationships/hyperlink" Target="../../../Users/willdonin/Developer/Flowstack/templateflow/packages/brick-ui/package/playground/src/main.tsx" TargetMode="External" Id="rId15"/><Relationship Type="http://schemas.openxmlformats.org/officeDocument/2006/relationships/hyperlink" Target="../../../Users/willdonin/Developer/Flowstack/templateflow/packages/brick-ui/package/playground/tests/avatar.spec.ts" TargetMode="External" Id="rId16"/><Relationship Type="http://schemas.openxmlformats.org/officeDocument/2006/relationships/hyperlink" Target="../../../Users/willdonin/Developer/Flowstack/templateflow/packages/brick-ui/package/src/components/avatar/avatar.css" TargetMode="External" Id="rId17"/><Relationship Type="http://schemas.openxmlformats.org/officeDocument/2006/relationships/hyperlink" Target="../../../Users/willdonin/Developer/Flowstack/templateflow/packages/brick-ui/package/playground/tests/visual.spec.ts" TargetMode="External" Id="rId18"/><Relationship Type="http://schemas.openxmlformats.org/officeDocument/2006/relationships/hyperlink" Target="../../../Users/willdonin/Developer/Flowstack/templateflow/packages/brick-ui/package/playground/tests/avatar.spec.ts" TargetMode="External" Id="rId19"/><Relationship Type="http://schemas.openxmlformats.org/officeDocument/2006/relationships/hyperlink" Target="../../../Users/willdonin/Developer/Flowstack/templateflow/packages/brick-ui/package/playground/tests/avatar.spec.ts" TargetMode="External" Id="rId20"/><Relationship Type="http://schemas.openxmlformats.org/officeDocument/2006/relationships/hyperlink" Target="../../../Users/willdonin/Developer/Flowstack/templateflow/packages/brick-ui/package/playground/src/main.tsx" TargetMode="External" Id="rId21"/><Relationship Type="http://schemas.openxmlformats.org/officeDocument/2006/relationships/hyperlink" Target="../../../Users/willdonin/Developer/Flowstack/templateflow/packages/brick-ui/package/playground/src/main.tsx" TargetMode="External" Id="rId22"/><Relationship Type="http://schemas.openxmlformats.org/officeDocument/2006/relationships/hyperlink" Target="../../../Users/willdonin/Developer/Flowstack/templateflow/packages/brick-ui/package/playground/src/main.tsx" TargetMode="External" Id="rId23"/><Relationship Type="http://schemas.openxmlformats.org/officeDocument/2006/relationships/hyperlink" Target="../../../Users/willdonin/Developer/Flowstack/templateflow/packages/brick-ui/package/test/components/avatar.test.tsx" TargetMode="External" Id="rId24"/><Relationship Type="http://schemas.openxmlformats.org/officeDocument/2006/relationships/hyperlink" Target="../../../Users/willdonin/Developer/Flowstack/templateflow/packages/brick-ui/package/test/types/public-api.test.ts" TargetMode="External" Id="rId25"/><Relationship Type="http://schemas.openxmlformats.org/officeDocument/2006/relationships/hyperlink" Target="../../../Users/willdonin/Developer/Flowstack/templateflow/packages/brick-ui/package/test/package/package.test.mjs" TargetMode="External" Id="rId26"/><Relationship Type="http://schemas.openxmlformats.org/officeDocument/2006/relationships/hyperlink" Target="../../../Users/willdonin/Developer/Flowstack/templateflow/packages/brick-ui/package/scripts/verify-consumers.mjs" TargetMode="External" Id="rId27"/><Relationship Type="http://schemas.openxmlformats.org/officeDocument/2006/relationships/hyperlink" Target="../../../Users/willdonin/Developer/Flowstack/templateflow/packages/brick-ui/package/test/components/avatar.test.tsx" TargetMode="External" Id="rId28"/><Relationship Type="http://schemas.openxmlformats.org/officeDocument/2006/relationships/hyperlink" Target="../../../Users/willdonin/Developer/Flowstack/templateflow/packages/brick-ui/package/playground/tests/avatar.spec.ts" TargetMode="External" Id="rId29"/><Relationship Type="http://schemas.openxmlformats.org/officeDocument/2006/relationships/hyperlink" Target="../../../Users/willdonin/Developer/Flowstack/templateflow/packages/brick-ui/package/playground/tests/avatar.spec.ts" TargetMode="External" Id="rId30"/><Relationship Type="http://schemas.openxmlformats.org/officeDocument/2006/relationships/hyperlink" Target="../../../Users/willdonin/Developer/Flowstack/templateflow/packages/brick-ui/package/playground/tests/visual.spec.ts" TargetMode="External" Id="rId31"/><Relationship Type="http://schemas.openxmlformats.org/officeDocument/2006/relationships/hyperlink" Target="../../../Users/willdonin/Developer/Flowstack/templateflow/packages/brick-ui/package/playwright.config.ts" TargetMode="External" Id="rId32"/><Relationship Type="http://schemas.openxmlformats.org/officeDocument/2006/relationships/hyperlink" Target="../../../Users/willdonin/Developer/Flowstack/templateflow/packages/brick-ui/package/playground/manual-tests/avatar.md" TargetMode="External" Id="rId33"/><Relationship Type="http://schemas.openxmlformats.org/officeDocument/2006/relationships/hyperlink" Target="../../../Users/willdonin/Developer/Flowstack/templateflow/packages/brick-ui/package/playground/manual-tests/avatar.md" TargetMode="External" Id="rId34"/><Relationship Type="http://schemas.openxmlformats.org/officeDocument/2006/relationships/hyperlink" Target="../../../Users/willdonin/Developer/Flowstack/templateflow/packages/brick-ui/package/docs/components/avatar/README.md" TargetMode="External" Id="rId35"/><Relationship Type="http://schemas.openxmlformats.org/officeDocument/2006/relationships/hyperlink" Target="../../../Users/willdonin/Developer/Flowstack/templateflow/packages/brick-ui/package/docs/components/avatar/CHANGELOG.md" TargetMode="External" Id="rId36"/><Relationship Type="http://schemas.openxmlformats.org/officeDocument/2006/relationships/hyperlink" Target="../../../Users/willdonin/Developer/Flowstack/templateflow/apps/brick-consumer/tests/consumer.spec.ts" TargetMode="External" Id="rId37"/><Relationship Type="http://schemas.openxmlformats.org/officeDocument/2006/relationships/hyperlink" Target="../../../Users/willdonin/Developer/Flowstack/templateflow/packages/brick-ui/docs/core-dependency-ledger.md" TargetMode="External" Id="rId38"/><Relationship Type="http://schemas.openxmlformats.org/officeDocument/2006/relationships/hyperlink" Target="../../../Users/willdonin/Developer/Flowstack/templateflow/packages/brick-ui/docs/avatar-component-brief.md" TargetMode="External" Id="rId39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N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8" customWidth="1" style="32" min="1" max="1"/>
    <col width="14" customWidth="1" style="32" min="2" max="3"/>
    <col width="10" customWidth="1" style="32" min="4" max="4"/>
    <col width="14" customWidth="1" style="32" min="5" max="5"/>
    <col width="10" customWidth="1" style="32" min="6" max="8"/>
    <col width="16" customWidth="1" style="32" min="9" max="9"/>
    <col width="13" customWidth="1" style="32" min="10" max="10"/>
    <col width="15" customWidth="1" style="32" min="11" max="12"/>
    <col width="16" customWidth="1" style="32" min="13" max="13"/>
    <col width="14" customWidth="1" style="32" min="14" max="14"/>
  </cols>
  <sheetData>
    <row r="1" ht="33.75" customHeight="1" s="21">
      <c r="A1" s="22" t="inlineStr">
        <is>
          <t>Brick Component Coverage Index</t>
        </is>
      </c>
    </row>
    <row r="2" ht="33.75" customHeight="1" s="21">
      <c r="A2" s="23" t="inlineStr">
        <is>
          <t>Formula-driven foundation tracker. Package completion, live-consumer cutover, and legacy retirement remain separate gates.</t>
        </is>
      </c>
    </row>
    <row r="4" ht="15" customHeight="1" s="21">
      <c r="A4" s="24" t="inlineStr">
        <is>
          <t>Reference components</t>
        </is>
      </c>
      <c r="B4" s="25">
        <f>COUNTA(A8:A15)</f>
        <v/>
      </c>
      <c r="C4" s="24" t="inlineStr">
        <is>
          <t>Complete</t>
        </is>
      </c>
      <c r="D4" s="25">
        <f>COUNTIF(N8:N15,"complete")</f>
        <v/>
      </c>
      <c r="E4" s="24" t="inlineStr">
        <is>
          <t>Blocked</t>
        </is>
      </c>
      <c r="F4" s="25">
        <f>SUM(H8:H15)</f>
        <v/>
      </c>
      <c r="G4" s="24" t="inlineStr">
        <is>
          <t>Overall</t>
        </is>
      </c>
      <c r="H4" s="26">
        <f>IFERROR(SUMPRODUCT(B8:B15,J8:J15)/SUM(B8:B15),0)</f>
        <v/>
      </c>
    </row>
    <row r="7" ht="33.75" customHeight="1" s="21">
      <c r="A7" s="27" t="inlineStr">
        <is>
          <t>Component</t>
        </is>
      </c>
      <c r="B7" s="27" t="inlineStr">
        <is>
          <t>Requirements</t>
        </is>
      </c>
      <c r="C7" s="27" t="inlineStr">
        <is>
          <t>Not started</t>
        </is>
      </c>
      <c r="D7" s="27" t="inlineStr">
        <is>
          <t>Partial</t>
        </is>
      </c>
      <c r="E7" s="27" t="inlineStr">
        <is>
          <t>Implemented</t>
        </is>
      </c>
      <c r="F7" s="27" t="inlineStr">
        <is>
          <t>Tested</t>
        </is>
      </c>
      <c r="G7" s="27" t="inlineStr">
        <is>
          <t>Verified</t>
        </is>
      </c>
      <c r="H7" s="27" t="inlineStr">
        <is>
          <t>Blocked</t>
        </is>
      </c>
      <c r="I7" s="27" t="inlineStr">
        <is>
          <t>Not applicable</t>
        </is>
      </c>
      <c r="J7" s="27" t="inlineStr">
        <is>
          <t>Completion</t>
        </is>
      </c>
      <c r="K7" s="27" t="inlineStr">
        <is>
          <t>Package gate</t>
        </is>
      </c>
      <c r="L7" s="27" t="inlineStr">
        <is>
          <t>Consumer gate</t>
        </is>
      </c>
      <c r="M7" s="27" t="inlineStr">
        <is>
          <t>Retirement gate</t>
        </is>
      </c>
      <c r="N7" s="27" t="inlineStr">
        <is>
          <t>Status</t>
        </is>
      </c>
    </row>
    <row r="8" ht="27.75" customHeight="1" s="21">
      <c r="A8" s="30" t="inlineStr">
        <is>
          <t>Button</t>
        </is>
      </c>
      <c r="B8" s="30">
        <f>COUNTA(Button!A9:A34)</f>
        <v/>
      </c>
      <c r="C8" s="30">
        <f>COUNTIF(Button!H9:H34,"not started")</f>
        <v/>
      </c>
      <c r="D8" s="30">
        <f>COUNTIF(Button!H9:H34,"partial")</f>
        <v/>
      </c>
      <c r="E8" s="30">
        <f>COUNTIF(Button!H9:H34,"implemented")</f>
        <v/>
      </c>
      <c r="F8" s="30">
        <f>COUNTIF(Button!H9:H34,"tested")</f>
        <v/>
      </c>
      <c r="G8" s="30">
        <f>COUNTIF(Button!H9:H34,"verified")</f>
        <v/>
      </c>
      <c r="H8" s="30">
        <f>COUNTIF(Button!H9:H34,"blocked")</f>
        <v/>
      </c>
      <c r="I8" s="30">
        <f>COUNTIF(Button!H9:H34,"not applicable")</f>
        <v/>
      </c>
      <c r="J8" s="31">
        <f>IFERROR(SUM(Button!M9:M34)/SUM(Button!L9:L34),0)</f>
        <v/>
      </c>
      <c r="K8" s="30">
        <f>IF(COUNTIFS(Button!E9:E34,"package",Button!M9:M34,"&lt;1")=0,"complete","open")</f>
        <v/>
      </c>
      <c r="L8" s="30">
        <f>IF(COUNTIFS(Button!E9:E34,"consumer",Button!M9:M34,"&lt;1")=0,"complete","open")</f>
        <v/>
      </c>
      <c r="M8" s="30">
        <f>IF(COUNTIFS(Button!E9:E34,"retirement",Button!M9:M34,"&lt;1")=0,"complete","open")</f>
        <v/>
      </c>
      <c r="N8" s="30">
        <f>IF(H8&gt;0,"blocked",IF(AND(J8=1,K8="complete",L8="complete",M8="complete"),"complete",IF(J8=0,"not started","in progress")))</f>
        <v/>
      </c>
    </row>
    <row r="9" ht="27.75" customHeight="1" s="21">
      <c r="A9" s="30" t="inlineStr">
        <is>
          <t>Card</t>
        </is>
      </c>
      <c r="B9" s="30">
        <f>COUNTA(Card!A9:A41)</f>
        <v/>
      </c>
      <c r="C9" s="30">
        <f>COUNTIF(Card!H9:H41,"not started")</f>
        <v/>
      </c>
      <c r="D9" s="30">
        <f>COUNTIF(Card!H9:H41,"partial")</f>
        <v/>
      </c>
      <c r="E9" s="30">
        <f>COUNTIF(Card!H9:H41,"implemented")</f>
        <v/>
      </c>
      <c r="F9" s="30">
        <f>COUNTIF(Card!H9:H41,"tested")</f>
        <v/>
      </c>
      <c r="G9" s="30">
        <f>COUNTIF(Card!H9:H41,"verified")</f>
        <v/>
      </c>
      <c r="H9" s="30">
        <f>COUNTIF(Card!H9:H41,"blocked")</f>
        <v/>
      </c>
      <c r="I9" s="30">
        <f>COUNTIF(Card!H9:H41,"not applicable")</f>
        <v/>
      </c>
      <c r="J9" s="31">
        <f>IFERROR(SUM(Card!M9:M41)/SUM(Card!L9:L41),0)</f>
        <v/>
      </c>
      <c r="K9" s="30">
        <f>IF(COUNTIFS(Card!E9:E41,"package",Card!M9:M41,"&lt;1")=0,"complete","open")</f>
        <v/>
      </c>
      <c r="L9" s="30">
        <f>IF(COUNTIFS(Card!E9:E41,"consumer",Card!M9:M41,"&lt;1")=0,"complete","open")</f>
        <v/>
      </c>
      <c r="M9" s="30">
        <f>IF(COUNTIFS(Card!E9:E41,"retirement",Card!M9:M41,"&lt;1")=0,"complete","open")</f>
        <v/>
      </c>
      <c r="N9" s="30">
        <f>IF(H9&gt;0,"blocked",IF(AND(J9=1,K9="complete",L9="complete",M9="complete"),"complete",IF(J9=0,"not started","in progress")))</f>
        <v/>
      </c>
    </row>
    <row r="10" ht="27.75" customHeight="1" s="21">
      <c r="A10" s="30" t="inlineStr">
        <is>
          <t>Dialog</t>
        </is>
      </c>
      <c r="B10" s="30">
        <f>COUNTA(Dialog!A9:A45)</f>
        <v/>
      </c>
      <c r="C10" s="30">
        <f>COUNTIF(Dialog!H9:H45,"not started")</f>
        <v/>
      </c>
      <c r="D10" s="30">
        <f>COUNTIF(Dialog!H9:H45,"partial")</f>
        <v/>
      </c>
      <c r="E10" s="30">
        <f>COUNTIF(Dialog!H9:H45,"implemented")</f>
        <v/>
      </c>
      <c r="F10" s="30">
        <f>COUNTIF(Dialog!H9:H45,"tested")</f>
        <v/>
      </c>
      <c r="G10" s="30">
        <f>COUNTIF(Dialog!H9:H45,"verified")</f>
        <v/>
      </c>
      <c r="H10" s="30">
        <f>COUNTIF(Dialog!H9:H45,"blocked")</f>
        <v/>
      </c>
      <c r="I10" s="30">
        <f>COUNTIF(Dialog!H9:H45,"not applicable")</f>
        <v/>
      </c>
      <c r="J10" s="31">
        <f>IFERROR(SUM(Dialog!M9:M45)/SUM(Dialog!L9:L45),0)</f>
        <v/>
      </c>
      <c r="K10" s="30">
        <f>IF(COUNTIFS(Dialog!E9:E45,"package",Dialog!M9:M45,"&lt;1")=0,"complete","open")</f>
        <v/>
      </c>
      <c r="L10" s="30">
        <f>IF(COUNTIFS(Dialog!E9:E45,"consumer",Dialog!M9:M45,"&lt;1")=0,"complete","open")</f>
        <v/>
      </c>
      <c r="M10" s="30">
        <f>IF(COUNTIFS(Dialog!E9:E45,"retirement",Dialog!M9:M45,"&lt;1")=0,"complete","open")</f>
        <v/>
      </c>
      <c r="N10" s="30">
        <f>IF(H10&gt;0,"blocked",IF(AND(J10=1,K10="complete",L10="complete",M10="complete"),"complete",IF(J10=0,"not started","in progress")))</f>
        <v/>
      </c>
    </row>
    <row r="11" ht="27.75" customHeight="1" s="21">
      <c r="A11" s="30" t="inlineStr">
        <is>
          <t>AlertDialog</t>
        </is>
      </c>
      <c r="B11" s="30">
        <f>COUNTA(AlertDialog!A9:A47)</f>
        <v/>
      </c>
      <c r="C11" s="30">
        <f>COUNTIF(AlertDialog!H9:H47,"not started")</f>
        <v/>
      </c>
      <c r="D11" s="30">
        <f>COUNTIF(AlertDialog!H9:H47,"partial")</f>
        <v/>
      </c>
      <c r="E11" s="30">
        <f>COUNTIF(AlertDialog!H9:H47,"implemented")</f>
        <v/>
      </c>
      <c r="F11" s="30">
        <f>COUNTIF(AlertDialog!H9:H47,"tested")</f>
        <v/>
      </c>
      <c r="G11" s="30">
        <f>COUNTIF(AlertDialog!H9:H47,"verified")</f>
        <v/>
      </c>
      <c r="H11" s="30">
        <f>COUNTIF(AlertDialog!H9:H47,"blocked")</f>
        <v/>
      </c>
      <c r="I11" s="30">
        <f>COUNTIF(AlertDialog!H9:H47,"not applicable")</f>
        <v/>
      </c>
      <c r="J11" s="31">
        <f>IFERROR(SUM(AlertDialog!M9:M47)/SUM(AlertDialog!L9:L47),0)</f>
        <v/>
      </c>
      <c r="K11" s="30">
        <f>IF(COUNTIFS(AlertDialog!E9:E47,"package",AlertDialog!M9:M47,"&lt;1")=0,"complete","open")</f>
        <v/>
      </c>
      <c r="L11" s="30">
        <f>IF(COUNTIFS(AlertDialog!E9:E47,"consumer",AlertDialog!M9:M47,"&lt;1")=0,"complete","open")</f>
        <v/>
      </c>
      <c r="M11" s="30">
        <f>IF(COUNTIFS(AlertDialog!E9:E47,"retirement",AlertDialog!M9:M47,"&lt;1")=0,"complete","open")</f>
        <v/>
      </c>
      <c r="N11" s="32">
        <f>IF(H11&gt;0,"blocked",IF(AND(J11=1,K11="complete",L11="complete",M11="complete"),"complete",IF(J11=0,"not started","in progress")))</f>
        <v/>
      </c>
    </row>
    <row r="12" ht="15" customHeight="1" s="21">
      <c r="A12" s="30" t="inlineStr">
        <is>
          <t>Drawer</t>
        </is>
      </c>
      <c r="B12" s="30">
        <f>COUNTA(Drawer!A9:A47)</f>
        <v/>
      </c>
      <c r="C12" s="30">
        <f>COUNTIF(Drawer!H9:H47,"not started")</f>
        <v/>
      </c>
      <c r="D12" s="30">
        <f>COUNTIF(Drawer!H9:H47,"partial")</f>
        <v/>
      </c>
      <c r="E12" s="30">
        <f>COUNTIF(Drawer!H9:H47,"implemented")</f>
        <v/>
      </c>
      <c r="F12" s="30">
        <f>COUNTIF(Drawer!H9:H47,"tested")</f>
        <v/>
      </c>
      <c r="G12" s="30">
        <f>COUNTIF(Drawer!H9:H47,"verified")</f>
        <v/>
      </c>
      <c r="H12" s="30">
        <f>COUNTIF(Drawer!H9:H47,"blocked")</f>
        <v/>
      </c>
      <c r="I12" s="30">
        <f>COUNTIF(Drawer!H9:H47,"not applicable")</f>
        <v/>
      </c>
      <c r="J12" s="31">
        <f>IFERROR(SUM(Drawer!M9:M47)/SUM(Drawer!L9:L47),0)</f>
        <v/>
      </c>
      <c r="K12" s="30">
        <f>IF(COUNTIFS(Drawer!E9:E47,"package",Drawer!M9:M47,"&lt;1")=0,"complete","open")</f>
        <v/>
      </c>
      <c r="L12" s="30">
        <f>IF(COUNTIFS(Drawer!E9:E47,"consumer",Drawer!M9:M47,"&lt;1")=0,"complete","open")</f>
        <v/>
      </c>
      <c r="M12" s="30">
        <f>IF(COUNTIFS(Drawer!E9:E47,"retirement",Drawer!M9:M47,"&lt;1")=0,"complete","open")</f>
        <v/>
      </c>
      <c r="N12" s="32">
        <f>IF(H12&gt;0,"blocked",IF(AND(J12=1,K12="complete",L12="complete",M12="complete"),"complete",IF(J12=0,"not started","in progress")))</f>
        <v/>
      </c>
    </row>
    <row r="13" ht="15" customHeight="1" s="21">
      <c r="A13" s="30" t="inlineStr">
        <is>
          <t>Badge</t>
        </is>
      </c>
      <c r="B13" s="30">
        <f>COUNTA(Badge!A9:A47)</f>
        <v/>
      </c>
      <c r="C13" s="30">
        <f>COUNTIF(Badge!H9:H47,"not started")</f>
        <v/>
      </c>
      <c r="D13" s="30">
        <f>COUNTIF(Badge!H9:H47,"partial")</f>
        <v/>
      </c>
      <c r="E13" s="30">
        <f>COUNTIF(Badge!H9:H47,"implemented")</f>
        <v/>
      </c>
      <c r="F13" s="30">
        <f>COUNTIF(Badge!H9:H47,"tested")</f>
        <v/>
      </c>
      <c r="G13" s="30">
        <f>COUNTIF(Badge!H9:H47,"verified")</f>
        <v/>
      </c>
      <c r="H13" s="30">
        <f>COUNTIF(Badge!H9:H47,"blocked")</f>
        <v/>
      </c>
      <c r="I13" s="30">
        <f>COUNTIF(Badge!H9:H47,"not applicable")</f>
        <v/>
      </c>
      <c r="J13" s="31">
        <f>IFERROR(SUM(Badge!M9:M47)/SUM(Badge!L9:L47),0)</f>
        <v/>
      </c>
      <c r="K13" s="30">
        <f>IF(COUNTIFS(Badge!E9:E47,"package",Badge!M9:M47,"&lt;1")=0,"complete","open")</f>
        <v/>
      </c>
      <c r="L13" s="30">
        <f>IF(COUNTIFS(Badge!E9:E47,"consumer",Badge!M9:M47,"&lt;1")=0,"complete","open")</f>
        <v/>
      </c>
      <c r="M13" s="30">
        <f>IF(COUNTIFS(Badge!E9:E47,"retirement",Badge!M9:M47,"&lt;1")=0,"complete","open")</f>
        <v/>
      </c>
      <c r="N13" s="32">
        <f>IF(H13&gt;0,"blocked",IF(AND(J13=1,K13="complete",L13="complete",M13="complete"),"complete",IF(J13=0,"not started","in progress")))</f>
        <v/>
      </c>
    </row>
    <row r="14" ht="15" customHeight="1" s="21">
      <c r="A14" s="30" t="inlineStr">
        <is>
          <t>Avatar</t>
        </is>
      </c>
      <c r="B14" s="30">
        <f>COUNTA(Avatar!A9:A47)</f>
        <v/>
      </c>
      <c r="C14" s="30">
        <f>COUNTIF(Avatar!H9:H47,"not started")</f>
        <v/>
      </c>
      <c r="D14" s="30">
        <f>COUNTIF(Avatar!H9:H47,"partial")</f>
        <v/>
      </c>
      <c r="E14" s="30">
        <f>COUNTIF(Avatar!H9:H47,"implemented")</f>
        <v/>
      </c>
      <c r="F14" s="30">
        <f>COUNTIF(Avatar!H9:H47,"tested")</f>
        <v/>
      </c>
      <c r="G14" s="30">
        <f>COUNTIF(Avatar!H9:H47,"verified")</f>
        <v/>
      </c>
      <c r="H14" s="30">
        <f>COUNTIF(Avatar!H9:H47,"blocked")</f>
        <v/>
      </c>
      <c r="I14" s="30">
        <f>COUNTIF(Avatar!H9:H47,"not applicable")</f>
        <v/>
      </c>
      <c r="J14" s="31">
        <f>IFERROR(SUM(Avatar!M9:M47)/SUM(Avatar!L9:L47),0)</f>
        <v/>
      </c>
      <c r="K14" s="30">
        <f>IF(COUNTIFS(Avatar!E9:E47,"package",Avatar!M9:M47,"&lt;1")=0,"complete","open")</f>
        <v/>
      </c>
      <c r="L14" s="30">
        <f>IF(COUNTIFS(Avatar!E9:E47,"consumer",Avatar!M9:M47,"&lt;1")=0,"complete","open")</f>
        <v/>
      </c>
      <c r="M14" s="30">
        <f>IF(COUNTIFS(Avatar!E9:E47,"retirement",Avatar!M9:M47,"&lt;1")=0,"complete","open")</f>
        <v/>
      </c>
      <c r="N14" s="32">
        <f>IF(H14&gt;0,"blocked",IF(AND(J14=1,K14="complete",L14="complete",M14="complete"),"complete",IF(J14=0,"not started","in progress")))</f>
        <v/>
      </c>
    </row>
    <row r="15" ht="15" customHeight="1" s="21">
      <c r="A15" s="30" t="inlineStr">
        <is>
          <t>Toggle</t>
        </is>
      </c>
      <c r="B15" s="30">
        <f>COUNTA(Toggle!A9:A47)</f>
        <v/>
      </c>
      <c r="C15" s="30">
        <f>COUNTIF(Toggle!H9:H47,"not started")</f>
        <v/>
      </c>
      <c r="D15" s="30">
        <f>COUNTIF(Toggle!H9:H47,"partial")</f>
        <v/>
      </c>
      <c r="E15" s="30">
        <f>COUNTIF(Toggle!H9:H47,"implemented")</f>
        <v/>
      </c>
      <c r="F15" s="30">
        <f>COUNTIF(Toggle!H9:H47,"tested")</f>
        <v/>
      </c>
      <c r="G15" s="30">
        <f>COUNTIF(Toggle!H9:H47,"verified")</f>
        <v/>
      </c>
      <c r="H15" s="30">
        <f>COUNTIF(Toggle!H9:H47,"blocked")</f>
        <v/>
      </c>
      <c r="I15" s="30">
        <f>COUNTIF(Toggle!H9:H47,"not applicable")</f>
        <v/>
      </c>
      <c r="J15" s="31">
        <f>IFERROR(SUM(Toggle!M9:M47)/SUM(Toggle!L9:L47),0)</f>
        <v/>
      </c>
      <c r="K15" s="30">
        <f>IF(COUNTIFS(Toggle!E9:E47,"package",Toggle!M9:M47,"&lt;1")=0,"complete","open")</f>
        <v/>
      </c>
      <c r="L15" s="30">
        <f>IF(COUNTIFS(Toggle!E9:E47,"consumer",Toggle!M9:M47,"&lt;1")=0,"complete","open")</f>
        <v/>
      </c>
      <c r="M15" s="30">
        <f>IF(COUNTIFS(Toggle!E9:E47,"retirement",Toggle!M9:M47,"&lt;1")=0,"complete","open")</f>
        <v/>
      </c>
      <c r="N15" s="32">
        <f>IF(H15&gt;0,"blocked",IF(AND(J15=1,K15="complete",L15="complete",M15="complete"),"complete",IF(J15=0,"not started","in progress")))</f>
        <v/>
      </c>
    </row>
  </sheetData>
  <autoFilter ref="A7:N14"/>
  <mergeCells count="2">
    <mergeCell ref="A2:N2"/>
    <mergeCell ref="A1:N1"/>
  </mergeCells>
  <conditionalFormatting sqref="N8:N15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046875" defaultRowHeight="15" customHeight="0" zeroHeight="0" outlineLevelRow="0"/>
  <cols>
    <col width="22" customWidth="1" style="32" min="1" max="1"/>
    <col width="95" customWidth="1" style="32" min="2" max="2"/>
  </cols>
  <sheetData>
    <row r="1" ht="33.75" customHeight="1" s="21">
      <c r="A1" s="22" t="inlineStr">
        <is>
          <t>Brick Component Coverage</t>
        </is>
      </c>
    </row>
    <row r="2" ht="33.75" customHeight="1" s="21">
      <c r="A2" s="23" t="inlineStr">
        <is>
          <t>A review index for implementation, automated evidence, human verification, consumer cutover, and Core retirement.</t>
        </is>
      </c>
    </row>
    <row r="4" ht="15" customHeight="1" s="21">
      <c r="A4" s="27" t="inlineStr">
        <is>
          <t>Topic</t>
        </is>
      </c>
      <c r="B4" s="27" t="inlineStr">
        <is>
          <t>Rule</t>
        </is>
      </c>
    </row>
    <row r="5" ht="30" customHeight="1" s="21">
      <c r="A5" s="33" t="inlineStr">
        <is>
          <t>Purpose</t>
        </is>
      </c>
      <c r="B5" s="34" t="inlineStr">
        <is>
          <t>The workbook makes missing component evidence visible. Source, tests, protocols, docs, and the Core ledger remain authoritative.</t>
        </is>
      </c>
    </row>
    <row r="6" ht="30" customHeight="1" s="21">
      <c r="A6" s="35" t="inlineStr">
        <is>
          <t>Status</t>
        </is>
      </c>
      <c r="B6" s="36" t="inlineStr">
        <is>
          <t>not started — required evidence does not exist yet</t>
        </is>
      </c>
    </row>
    <row r="7" ht="30" customHeight="1" s="21">
      <c r="A7" s="33" t="inlineStr">
        <is>
          <t>Status</t>
        </is>
      </c>
      <c r="B7" s="34" t="inlineStr">
        <is>
          <t>partial — some evidence exists but the requirement is incomplete</t>
        </is>
      </c>
    </row>
    <row r="8" ht="30" customHeight="1" s="21">
      <c r="A8" s="35" t="inlineStr">
        <is>
          <t>Status</t>
        </is>
      </c>
      <c r="B8" s="36" t="inlineStr">
        <is>
          <t>implemented — the required implementation or evidence exists</t>
        </is>
      </c>
    </row>
    <row r="9" ht="30" customHeight="1" s="21">
      <c r="A9" s="33" t="inlineStr">
        <is>
          <t>Status</t>
        </is>
      </c>
      <c r="B9" s="34" t="inlineStr">
        <is>
          <t>tested — the automated or repeatable check passes</t>
        </is>
      </c>
    </row>
    <row r="10" ht="30" customHeight="1" s="21">
      <c r="A10" s="35" t="inlineStr">
        <is>
          <t>Status</t>
        </is>
      </c>
      <c r="B10" s="36" t="inlineStr">
        <is>
          <t>verified — required human review also passed</t>
        </is>
      </c>
    </row>
    <row r="11" ht="30" customHeight="1" s="21">
      <c r="A11" s="33" t="inlineStr">
        <is>
          <t>Status</t>
        </is>
      </c>
      <c r="B11" s="34" t="inlineStr">
        <is>
          <t>blocked — progress requires a documented decision, dependency, or fix</t>
        </is>
      </c>
    </row>
    <row r="12" ht="30" customHeight="1" s="21">
      <c r="A12" s="35" t="inlineStr">
        <is>
          <t>Status</t>
        </is>
      </c>
      <c r="B12" s="36" t="inlineStr">
        <is>
          <t>not applicable — the approved brief excludes the requirement; record the reason</t>
        </is>
      </c>
    </row>
    <row r="13" ht="30" customHeight="1" s="21">
      <c r="A13" s="33" t="inlineStr">
        <is>
          <t>Completion</t>
        </is>
      </c>
      <c r="B13" s="34" t="inlineStr">
        <is>
          <t>Human-review rows resolve only at verified. Other rows resolve at tested or verified. A documented not-applicable row also resolves.</t>
        </is>
      </c>
    </row>
    <row r="14" ht="30" customHeight="1" s="21">
      <c r="A14" s="35" t="inlineStr">
        <is>
          <t>Package gate</t>
        </is>
      </c>
      <c r="B14" s="36" t="inlineStr">
        <is>
          <t>Implementation, playground, automated tests, manual evidence, and documentation are complete; every tested or verified claim has been sampled against its exact assertion.</t>
        </is>
      </c>
    </row>
    <row r="15" ht="30" customHeight="1" s="21">
      <c r="A15" s="33" t="inlineStr">
        <is>
          <t>Consumer gate</t>
        </is>
      </c>
      <c r="B15" s="34" t="inlineStr">
        <is>
          <t>A live consumer uses the finished Brick component and the cutover is verified.</t>
        </is>
      </c>
    </row>
    <row r="16" ht="30" customHeight="1" s="21">
      <c r="A16" s="35" t="inlineStr">
        <is>
          <t>Retirement gate</t>
        </is>
      </c>
      <c r="B16" s="36" t="inlineStr">
        <is>
          <t>The authorized legacy Core slice and stale evidence are removed.</t>
        </is>
      </c>
    </row>
    <row r="17" ht="30" customHeight="1" s="21">
      <c r="A17" s="33" t="inlineStr">
        <is>
          <t>Anatomy</t>
        </is>
      </c>
      <c r="B17" s="34" t="inlineStr">
        <is>
          <t>Replace generic Component parts and add part-specific rows after the component brief is adopted.</t>
        </is>
      </c>
    </row>
    <row r="18" ht="30" customHeight="1" s="21">
      <c r="A18" s="35" t="inlineStr">
        <is>
          <t>Editing</t>
        </is>
      </c>
      <c r="B18" s="36" t="inlineStr">
        <is>
          <t>Use list values; classify Atom, Brick adapter, browser, and manual ownership; keep claims assertion-specific; record blocker and not-applicable reasons; recalculate; and visually inspect every changed sheet.</t>
        </is>
      </c>
    </row>
  </sheetData>
  <autoFilter ref="A4:B18"/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32" min="1" max="1"/>
    <col width="18" customWidth="1" style="32" min="2" max="2"/>
    <col width="16" customWidth="1" style="32" min="3" max="3"/>
    <col width="54" customWidth="1" style="32" min="4" max="4"/>
    <col width="12" customWidth="1" style="32" min="5" max="5"/>
    <col width="16" customWidth="1" style="32" min="6" max="6"/>
    <col width="30" customWidth="1" style="32" min="7" max="7"/>
    <col width="18" customWidth="1" style="32" min="8" max="8"/>
    <col width="14" customWidth="1" style="32" min="9" max="9"/>
    <col width="15" customWidth="1" style="32" min="10" max="10"/>
    <col width="32" customWidth="1" style="32" min="11" max="11"/>
    <col width="9" customWidth="1" style="32" min="12" max="12"/>
    <col width="10" customWidth="1" style="32" min="13" max="13"/>
  </cols>
  <sheetData>
    <row r="1" ht="33.75" customHeight="1" s="21">
      <c r="A1" s="22" t="inlineStr">
        <is>
          <t>Button Evidence Matrix</t>
        </is>
      </c>
    </row>
    <row r="2" ht="33.75" customHeight="1" s="21">
      <c r="A2" s="23" t="inlineStr">
        <is>
          <t>Evidence gates for the adopted Button contract. Planning evidence may resolve an audit gate, but implementation, test, documentation, consumer, and retirement gates require their own completed evidence.</t>
        </is>
      </c>
    </row>
    <row r="4" ht="15" customHeight="1" s="21">
      <c r="A4" s="24" t="inlineStr">
        <is>
          <t>Requirements</t>
        </is>
      </c>
      <c r="B4" s="25">
        <f>COUNTA(A9:A34)</f>
        <v/>
      </c>
      <c r="C4" s="24" t="inlineStr">
        <is>
          <t>Resolved</t>
        </is>
      </c>
      <c r="D4" s="25">
        <f>SUM(M9:M34)</f>
        <v/>
      </c>
      <c r="E4" s="24" t="inlineStr">
        <is>
          <t>Completion</t>
        </is>
      </c>
      <c r="F4" s="26">
        <f>IFERROR(D4/SUM(L9:L34),0)</f>
        <v/>
      </c>
      <c r="G4" s="24" t="inlineStr">
        <is>
          <t>Blocked</t>
        </is>
      </c>
      <c r="H4" s="25">
        <f>COUNTIF(H9:H34,"blocked")</f>
        <v/>
      </c>
      <c r="I4" s="24" t="inlineStr">
        <is>
          <t>Package gate</t>
        </is>
      </c>
      <c r="J4" s="25">
        <f>IF(COUNTIFS(E9:E34,"package",M9:M34,"&lt;1")=0,"complete","open")</f>
        <v/>
      </c>
      <c r="K4" s="24" t="inlineStr">
        <is>
          <t>Retirement gate</t>
        </is>
      </c>
      <c r="L4" s="25">
        <f>IF(COUNTIFS(E9:E34,"retirement",M9:M34,"&lt;1")=0,"complete","open")</f>
        <v/>
      </c>
    </row>
    <row r="6" ht="15" customHeight="1" s="21">
      <c r="A6" s="37" t="inlineStr">
        <is>
          <t>Completion is formula-driven. Human-review rows require verified; other rows require tested or verified. Not applicable requires a reason.</t>
        </is>
      </c>
    </row>
    <row r="8" ht="33.75" customHeight="1" s="21">
      <c r="A8" s="27" t="inlineStr">
        <is>
          <t>ID</t>
        </is>
      </c>
      <c r="B8" s="27" t="inlineStr">
        <is>
          <t>Area</t>
        </is>
      </c>
      <c r="C8" s="27" t="inlineStr">
        <is>
          <t>Part</t>
        </is>
      </c>
      <c r="D8" s="27" t="inlineStr">
        <is>
          <t>Requirement</t>
        </is>
      </c>
      <c r="E8" s="27" t="inlineStr">
        <is>
          <t>Gate</t>
        </is>
      </c>
      <c r="F8" s="27" t="inlineStr">
        <is>
          <t>Evidence type</t>
        </is>
      </c>
      <c r="G8" s="27" t="inlineStr">
        <is>
          <t>Evidence / link</t>
        </is>
      </c>
      <c r="H8" s="27" t="inlineStr">
        <is>
          <t>Status</t>
        </is>
      </c>
      <c r="I8" s="27" t="inlineStr">
        <is>
          <t>Human review?</t>
        </is>
      </c>
      <c r="J8" s="27" t="inlineStr">
        <is>
          <t>Last verified</t>
        </is>
      </c>
      <c r="K8" s="27" t="inlineStr">
        <is>
          <t>Blocker / N/A reason</t>
        </is>
      </c>
      <c r="L8" s="27" t="inlineStr">
        <is>
          <t>Weight</t>
        </is>
      </c>
      <c r="M8" s="27" t="inlineStr">
        <is>
          <t>Resolved</t>
        </is>
      </c>
    </row>
    <row r="9" ht="42.75" customHeight="1" s="21">
      <c r="A9" s="38" t="inlineStr">
        <is>
          <t>BUT-01</t>
        </is>
      </c>
      <c r="B9" s="38" t="inlineStr">
        <is>
          <t>Public API</t>
        </is>
      </c>
      <c r="C9" s="38" t="inlineStr">
        <is>
          <t>Component</t>
        </is>
      </c>
      <c r="D9" s="38" t="inlineStr">
        <is>
          <t>Implementation uses public Atom 0.2.1 behavior without Core or local headless wrappers</t>
        </is>
      </c>
      <c r="E9" s="38" t="inlineStr">
        <is>
          <t>package</t>
        </is>
      </c>
      <c r="F9" s="38" t="inlineStr">
        <is>
          <t>source</t>
        </is>
      </c>
      <c r="G9" s="39" t="inlineStr">
        <is>
          <t>../src/components/button/Button.tsx</t>
        </is>
      </c>
      <c r="H9" s="38" t="inlineStr">
        <is>
          <t>tested</t>
        </is>
      </c>
      <c r="I9" s="38" t="inlineStr">
        <is>
          <t>no</t>
        </is>
      </c>
      <c r="J9" s="40" t="n">
        <v>46219</v>
      </c>
      <c r="K9" s="38" t="n"/>
      <c r="L9" s="41" t="n">
        <v>1</v>
      </c>
      <c r="M9" s="41">
        <f>IF(H9="not applicable",IF(K9&lt;&gt;"",1,0),IF(I9="yes",IF(H9="verified",1,0),IF(OR(H9="tested",H9="verified"),1,0)))</f>
        <v/>
      </c>
    </row>
    <row r="10" ht="42.75" customHeight="1" s="21">
      <c r="A10" s="38" t="inlineStr">
        <is>
          <t>BUT-02</t>
        </is>
      </c>
      <c r="B10" s="38" t="inlineStr">
        <is>
          <t>Boundary</t>
        </is>
      </c>
      <c r="C10" s="38" t="inlineStr">
        <is>
          <t>Component</t>
        </is>
      </c>
      <c r="D10" s="38" t="inlineStr">
        <is>
          <t>Atom 0.2.1 capability audit covers pointer, keyboard, touch, constrained layouts, native links, asChild, and render; every Atom-owned gap is resolved in the released dependency</t>
        </is>
      </c>
      <c r="E10" s="38" t="inlineStr">
        <is>
          <t>package</t>
        </is>
      </c>
      <c r="F10" s="38" t="inlineStr">
        <is>
          <t>decision</t>
        </is>
      </c>
      <c r="G10" s="39" t="inlineStr">
        <is>
          <t>../../docs/button-component-brief.md</t>
        </is>
      </c>
      <c r="H10" s="38" t="inlineStr">
        <is>
          <t>verified</t>
        </is>
      </c>
      <c r="I10" s="38" t="inlineStr">
        <is>
          <t>yes</t>
        </is>
      </c>
      <c r="J10" s="40" t="n">
        <v>46219</v>
      </c>
      <c r="K10" s="38" t="n"/>
      <c r="L10" s="41" t="n">
        <v>1</v>
      </c>
      <c r="M10" s="41">
        <f>IF(H10="not applicable",IF(K10&lt;&gt;"",1,0),IF(I10="yes",IF(H10="verified",1,0),IF(OR(H10="tested",H10="verified"),1,0)))</f>
        <v/>
      </c>
    </row>
    <row r="11" ht="42.75" customHeight="1" s="21">
      <c r="A11" s="38" t="inlineStr">
        <is>
          <t>BUT-03</t>
        </is>
      </c>
      <c r="B11" s="38" t="inlineStr">
        <is>
          <t>Public API</t>
        </is>
      </c>
      <c r="C11" s="38" t="inlineStr">
        <is>
          <t>Component</t>
        </is>
      </c>
      <c r="D11" s="38" t="inlineStr">
        <is>
          <t>Direct Button export, declarations, defaults, and closed prop unions match the approved brief</t>
        </is>
      </c>
      <c r="E11" s="38" t="inlineStr">
        <is>
          <t>package</t>
        </is>
      </c>
      <c r="F11" s="38" t="inlineStr">
        <is>
          <t>types</t>
        </is>
      </c>
      <c r="G11" s="39" t="inlineStr">
        <is>
          <t>../src/button.ts</t>
        </is>
      </c>
      <c r="H11" s="38" t="inlineStr">
        <is>
          <t>tested</t>
        </is>
      </c>
      <c r="I11" s="38" t="inlineStr">
        <is>
          <t>no</t>
        </is>
      </c>
      <c r="J11" s="40" t="n">
        <v>46219</v>
      </c>
      <c r="K11" s="38" t="n"/>
      <c r="L11" s="41" t="n">
        <v>1</v>
      </c>
      <c r="M11" s="41">
        <f>IF(H11="not applicable",IF(K11&lt;&gt;"",1,0),IF(I11="yes",IF(H11="verified",1,0),IF(OR(H11="tested",H11="verified"),1,0)))</f>
        <v/>
      </c>
    </row>
    <row r="12" ht="42.75" customHeight="1" s="21">
      <c r="A12" s="38" t="inlineStr">
        <is>
          <t>BUT-04</t>
        </is>
      </c>
      <c r="B12" s="38" t="inlineStr">
        <is>
          <t>Public API</t>
        </is>
      </c>
      <c r="C12" s="38" t="inlineStr">
        <is>
          <t>Component</t>
        </is>
      </c>
      <c r="D12" s="38" t="inlineStr">
        <is>
          <t>Native props, HTMLElement ref, Atom composition, icons, loading, and the public Button slot follow the adopted API contract</t>
        </is>
      </c>
      <c r="E12" s="38" t="inlineStr">
        <is>
          <t>package</t>
        </is>
      </c>
      <c r="F12" s="38" t="inlineStr">
        <is>
          <t>types</t>
        </is>
      </c>
      <c r="G12" s="39" t="inlineStr">
        <is>
          <t>../test/components/button.test.tsx</t>
        </is>
      </c>
      <c r="H12" s="38" t="inlineStr">
        <is>
          <t>tested</t>
        </is>
      </c>
      <c r="I12" s="38" t="inlineStr">
        <is>
          <t>no</t>
        </is>
      </c>
      <c r="J12" s="40" t="n">
        <v>46219</v>
      </c>
      <c r="K12" s="38" t="n"/>
      <c r="L12" s="41" t="n">
        <v>1</v>
      </c>
      <c r="M12" s="41">
        <f>IF(H12="not applicable",IF(K12&lt;&gt;"",1,0),IF(I12="yes",IF(H12="verified",1,0),IF(OR(H12="tested",H12="verified"),1,0)))</f>
        <v/>
      </c>
    </row>
    <row r="13" ht="42.75" customHeight="1" s="21">
      <c r="A13" s="38" t="inlineStr">
        <is>
          <t>BUT-05</t>
        </is>
      </c>
      <c r="B13" s="38" t="inlineStr">
        <is>
          <t>Visual system</t>
        </is>
      </c>
      <c r="C13" s="38" t="inlineStr">
        <is>
          <t>Component</t>
        </is>
      </c>
      <c r="D13" s="38" t="inlineStr">
        <is>
          <t>Compiled CSS uses public brick classes, variables, layers, and semantic tokens</t>
        </is>
      </c>
      <c r="E13" s="38" t="inlineStr">
        <is>
          <t>package</t>
        </is>
      </c>
      <c r="F13" s="38" t="inlineStr">
        <is>
          <t>source</t>
        </is>
      </c>
      <c r="G13" s="39" t="inlineStr">
        <is>
          <t>../src/components/button/button.css</t>
        </is>
      </c>
      <c r="H13" s="38" t="inlineStr">
        <is>
          <t>tested</t>
        </is>
      </c>
      <c r="I13" s="38" t="inlineStr">
        <is>
          <t>no</t>
        </is>
      </c>
      <c r="J13" s="40" t="n">
        <v>46219</v>
      </c>
      <c r="K13" s="38" t="n"/>
      <c r="L13" s="41" t="n">
        <v>1</v>
      </c>
      <c r="M13" s="41">
        <f>IF(H13="not applicable",IF(K13&lt;&gt;"",1,0),IF(I13="yes",IF(H13="verified",1,0),IF(OR(H13="tested",H13="verified"),1,0)))</f>
        <v/>
      </c>
    </row>
    <row r="14" ht="42.75" customHeight="1" s="21">
      <c r="A14" s="38" t="inlineStr">
        <is>
          <t>BUT-06</t>
        </is>
      </c>
      <c r="B14" s="38" t="inlineStr">
        <is>
          <t>Visual system</t>
        </is>
      </c>
      <c r="C14" s="38" t="inlineStr">
        <is>
          <t>Component</t>
        </is>
      </c>
      <c r="D14" s="38" t="inlineStr">
        <is>
          <t>Four variants, six tones, five sizes, three shapes, fullWidth, loading, and every required interaction state are implemented</t>
        </is>
      </c>
      <c r="E14" s="38" t="inlineStr">
        <is>
          <t>package</t>
        </is>
      </c>
      <c r="F14" s="38" t="inlineStr">
        <is>
          <t>source</t>
        </is>
      </c>
      <c r="G14" s="39" t="inlineStr">
        <is>
          <t>../playground/manual-tests/button.md</t>
        </is>
      </c>
      <c r="H14" s="38" t="inlineStr">
        <is>
          <t>verified</t>
        </is>
      </c>
      <c r="I14" s="38" t="inlineStr">
        <is>
          <t>yes</t>
        </is>
      </c>
      <c r="J14" s="40" t="n">
        <v>46219</v>
      </c>
      <c r="K14" s="38" t="n"/>
      <c r="L14" s="41" t="n">
        <v>1</v>
      </c>
      <c r="M14" s="41">
        <f>IF(H14="not applicable",IF(K14&lt;&gt;"",1,0),IF(I14="yes",IF(H14="verified",1,0),IF(OR(H14="tested",H14="verified"),1,0)))</f>
        <v/>
      </c>
    </row>
    <row r="15" ht="42.75" customHeight="1" s="21">
      <c r="A15" s="38" t="inlineStr">
        <is>
          <t>BUT-07</t>
        </is>
      </c>
      <c r="B15" s="38" t="inlineStr">
        <is>
          <t>Playground</t>
        </is>
      </c>
      <c r="C15" s="38" t="inlineStr">
        <is>
          <t>Component</t>
        </is>
      </c>
      <c r="D15" s="38" t="inlineStr">
        <is>
          <t>Canonical overview and shortest finished state</t>
        </is>
      </c>
      <c r="E15" s="38" t="inlineStr">
        <is>
          <t>package</t>
        </is>
      </c>
      <c r="F15" s="38" t="inlineStr">
        <is>
          <t>playground</t>
        </is>
      </c>
      <c r="G15" s="39" t="inlineStr">
        <is>
          <t>manual-tests/button.md</t>
        </is>
      </c>
      <c r="H15" s="38" t="inlineStr">
        <is>
          <t>verified</t>
        </is>
      </c>
      <c r="I15" s="38" t="inlineStr">
        <is>
          <t>yes</t>
        </is>
      </c>
      <c r="J15" s="40" t="n">
        <v>46219</v>
      </c>
      <c r="K15" s="38" t="n"/>
      <c r="L15" s="41" t="n">
        <v>1</v>
      </c>
      <c r="M15" s="41">
        <f>IF(H15="not applicable",IF(K15&lt;&gt;"",1,0),IF(I15="yes",IF(H15="verified",1,0),IF(OR(H15="tested",H15="verified"),1,0)))</f>
        <v/>
      </c>
    </row>
    <row r="16" ht="42.75" customHeight="1" s="21">
      <c r="A16" s="38" t="inlineStr">
        <is>
          <t>BUT-08</t>
        </is>
      </c>
      <c r="B16" s="38" t="inlineStr">
        <is>
          <t>Playground</t>
        </is>
      </c>
      <c r="C16" s="38" t="inlineStr">
        <is>
          <t>Component</t>
        </is>
      </c>
      <c r="D16" s="38" t="inlineStr">
        <is>
          <t>Every variant, tone, size, shape, width mode, composition path, and important state is shown</t>
        </is>
      </c>
      <c r="E16" s="38" t="inlineStr">
        <is>
          <t>package</t>
        </is>
      </c>
      <c r="F16" s="38" t="inlineStr">
        <is>
          <t>playground</t>
        </is>
      </c>
      <c r="G16" s="39" t="inlineStr">
        <is>
          <t>manual-tests/button.md</t>
        </is>
      </c>
      <c r="H16" s="38" t="inlineStr">
        <is>
          <t>verified</t>
        </is>
      </c>
      <c r="I16" s="38" t="inlineStr">
        <is>
          <t>yes</t>
        </is>
      </c>
      <c r="J16" s="40" t="n">
        <v>46219</v>
      </c>
      <c r="K16" s="38" t="n"/>
      <c r="L16" s="41" t="n">
        <v>1</v>
      </c>
      <c r="M16" s="41">
        <f>IF(H16="not applicable",IF(K16&lt;&gt;"",1,0),IF(I16="yes",IF(H16="verified",1,0),IF(OR(H16="tested",H16="verified"),1,0)))</f>
        <v/>
      </c>
    </row>
    <row r="17" ht="42.75" customHeight="1" s="21">
      <c r="A17" s="38" t="inlineStr">
        <is>
          <t>BUT-09</t>
        </is>
      </c>
      <c r="B17" s="38" t="inlineStr">
        <is>
          <t>Playground</t>
        </is>
      </c>
      <c r="C17" s="38" t="inlineStr">
        <is>
          <t>Component</t>
        </is>
      </c>
      <c r="D17" s="38" t="inlineStr">
        <is>
          <t>Mobile-first constrained viewport and intentional wide layout</t>
        </is>
      </c>
      <c r="E17" s="38" t="inlineStr">
        <is>
          <t>package</t>
        </is>
      </c>
      <c r="F17" s="38" t="inlineStr">
        <is>
          <t>playground</t>
        </is>
      </c>
      <c r="G17" s="39" t="inlineStr">
        <is>
          <t>manual-tests/button.md</t>
        </is>
      </c>
      <c r="H17" s="38" t="inlineStr">
        <is>
          <t>verified</t>
        </is>
      </c>
      <c r="I17" s="38" t="inlineStr">
        <is>
          <t>yes</t>
        </is>
      </c>
      <c r="J17" s="40" t="n">
        <v>46219</v>
      </c>
      <c r="K17" s="38" t="n"/>
      <c r="L17" s="41" t="n">
        <v>1</v>
      </c>
      <c r="M17" s="41">
        <f>IF(H17="not applicable",IF(K17&lt;&gt;"",1,0),IF(I17="yes",IF(H17="verified",1,0),IF(OR(H17="tested",H17="verified"),1,0)))</f>
        <v/>
      </c>
    </row>
    <row r="18" ht="42.75" customHeight="1" s="21">
      <c r="A18" s="38" t="inlineStr">
        <is>
          <t>BUT-10</t>
        </is>
      </c>
      <c r="B18" s="38" t="inlineStr">
        <is>
          <t>Playground</t>
        </is>
      </c>
      <c r="C18" s="38" t="inlineStr">
        <is>
          <t>Component</t>
        </is>
      </c>
      <c r="D18" s="38" t="inlineStr">
        <is>
          <t>Light, dark, forced-colors, reduced-motion, and relevant preference modes</t>
        </is>
      </c>
      <c r="E18" s="38" t="inlineStr">
        <is>
          <t>package</t>
        </is>
      </c>
      <c r="F18" s="38" t="inlineStr">
        <is>
          <t>playground</t>
        </is>
      </c>
      <c r="G18" s="39" t="inlineStr">
        <is>
          <t>tests/preferences.spec.ts</t>
        </is>
      </c>
      <c r="H18" s="38" t="inlineStr">
        <is>
          <t>verified</t>
        </is>
      </c>
      <c r="I18" s="38" t="inlineStr">
        <is>
          <t>yes</t>
        </is>
      </c>
      <c r="J18" s="40" t="n">
        <v>46219</v>
      </c>
      <c r="K18" s="38" t="n"/>
      <c r="L18" s="41" t="n">
        <v>1</v>
      </c>
      <c r="M18" s="41">
        <f>IF(H18="not applicable",IF(K18&lt;&gt;"",1,0),IF(I18="yes",IF(H18="verified",1,0),IF(OR(H18="tested",H18="verified"),1,0)))</f>
        <v/>
      </c>
    </row>
    <row r="19" ht="42.75" customHeight="1" s="21">
      <c r="A19" s="38" t="inlineStr">
        <is>
          <t>BUT-11</t>
        </is>
      </c>
      <c r="B19" s="38" t="inlineStr">
        <is>
          <t>Playground</t>
        </is>
      </c>
      <c r="C19" s="38" t="inlineStr">
        <is>
          <t>Component</t>
        </is>
      </c>
      <c r="D19" s="38" t="inlineStr">
        <is>
          <t>Long content, localization, zoom, and RTL stress</t>
        </is>
      </c>
      <c r="E19" s="38" t="inlineStr">
        <is>
          <t>package</t>
        </is>
      </c>
      <c r="F19" s="38" t="inlineStr">
        <is>
          <t>playground</t>
        </is>
      </c>
      <c r="G19" s="39" t="inlineStr">
        <is>
          <t>manual-tests/button.md</t>
        </is>
      </c>
      <c r="H19" s="38" t="inlineStr">
        <is>
          <t>verified</t>
        </is>
      </c>
      <c r="I19" s="38" t="inlineStr">
        <is>
          <t>yes</t>
        </is>
      </c>
      <c r="J19" s="40" t="n">
        <v>46219</v>
      </c>
      <c r="K19" s="38" t="n"/>
      <c r="L19" s="41" t="n">
        <v>1</v>
      </c>
      <c r="M19" s="41">
        <f>IF(H19="not applicable",IF(K19&lt;&gt;"",1,0),IF(I19="yes",IF(H19="verified",1,0),IF(OR(H19="tested",H19="verified"),1,0)))</f>
        <v/>
      </c>
    </row>
    <row r="20" ht="42.75" customHeight="1" s="21">
      <c r="A20" s="38" t="inlineStr">
        <is>
          <t>BUT-12</t>
        </is>
      </c>
      <c r="B20" s="38" t="inlineStr">
        <is>
          <t>Playground</t>
        </is>
      </c>
      <c r="C20" s="38" t="inlineStr">
        <is>
          <t>Component</t>
        </is>
      </c>
      <c r="D20" s="38" t="inlineStr">
        <is>
          <t>Semantic tokens, public Button tokens, className, style, data attributes, and the Button slot customization contract</t>
        </is>
      </c>
      <c r="E20" s="38" t="inlineStr">
        <is>
          <t>package</t>
        </is>
      </c>
      <c r="F20" s="38" t="inlineStr">
        <is>
          <t>playground</t>
        </is>
      </c>
      <c r="G20" s="39" t="inlineStr">
        <is>
          <t>manual-tests/button.md</t>
        </is>
      </c>
      <c r="H20" s="38" t="inlineStr">
        <is>
          <t>verified</t>
        </is>
      </c>
      <c r="I20" s="38" t="inlineStr">
        <is>
          <t>yes</t>
        </is>
      </c>
      <c r="J20" s="40" t="n">
        <v>46219</v>
      </c>
      <c r="K20" s="38" t="n"/>
      <c r="L20" s="41" t="n">
        <v>1</v>
      </c>
      <c r="M20" s="41">
        <f>IF(H20="not applicable",IF(K20&lt;&gt;"",1,0),IF(I20="yes",IF(H20="verified",1,0),IF(OR(H20="tested",H20="verified"),1,0)))</f>
        <v/>
      </c>
    </row>
    <row r="21" ht="42.75" customHeight="1" s="21">
      <c r="A21" s="38" t="inlineStr">
        <is>
          <t>BUT-13</t>
        </is>
      </c>
      <c r="B21" s="38" t="inlineStr">
        <is>
          <t>Playground</t>
        </is>
      </c>
      <c r="C21" s="38" t="inlineStr">
        <is>
          <t>Component</t>
        </is>
      </c>
      <c r="D21" s="38" t="inlineStr">
        <is>
          <t>Stable route and deterministic state inputs for browser tests</t>
        </is>
      </c>
      <c r="E21" s="38" t="inlineStr">
        <is>
          <t>package</t>
        </is>
      </c>
      <c r="F21" s="38" t="inlineStr">
        <is>
          <t>playground</t>
        </is>
      </c>
      <c r="G21" s="39" t="inlineStr">
        <is>
          <t>tests/button.spec.ts</t>
        </is>
      </c>
      <c r="H21" s="38" t="inlineStr">
        <is>
          <t>tested</t>
        </is>
      </c>
      <c r="I21" s="38" t="inlineStr">
        <is>
          <t>no</t>
        </is>
      </c>
      <c r="J21" s="40" t="n">
        <v>46219</v>
      </c>
      <c r="K21" s="38" t="n"/>
      <c r="L21" s="41" t="n">
        <v>1</v>
      </c>
      <c r="M21" s="41">
        <f>IF(H21="not applicable",IF(K21&lt;&gt;"",1,0),IF(I21="yes",IF(H21="verified",1,0),IF(OR(H21="tested",H21="verified"),1,0)))</f>
        <v/>
      </c>
    </row>
    <row r="22" ht="42.75" customHeight="1" s="21">
      <c r="A22" s="38" t="inlineStr">
        <is>
          <t>BUT-14</t>
        </is>
      </c>
      <c r="B22" s="38" t="inlineStr">
        <is>
          <t>Automated tests</t>
        </is>
      </c>
      <c r="C22" s="38" t="inlineStr">
        <is>
          <t>Component</t>
        </is>
      </c>
      <c r="D22" s="38" t="inlineStr">
        <is>
          <t>Vitest and Testing Library component contract tests</t>
        </is>
      </c>
      <c r="E22" s="38" t="inlineStr">
        <is>
          <t>package</t>
        </is>
      </c>
      <c r="F22" s="38" t="inlineStr">
        <is>
          <t>test</t>
        </is>
      </c>
      <c r="G22" s="39" t="inlineStr">
        <is>
          <t>../test/components/button.test.tsx</t>
        </is>
      </c>
      <c r="H22" s="38" t="inlineStr">
        <is>
          <t>tested</t>
        </is>
      </c>
      <c r="I22" s="38" t="inlineStr">
        <is>
          <t>no</t>
        </is>
      </c>
      <c r="J22" s="40" t="n">
        <v>46219</v>
      </c>
      <c r="K22" s="38" t="n"/>
      <c r="L22" s="41" t="n">
        <v>1</v>
      </c>
      <c r="M22" s="41">
        <f>IF(H22="not applicable",IF(K22&lt;&gt;"",1,0),IF(I22="yes",IF(H22="verified",1,0),IF(OR(H22="tested",H22="verified"),1,0)))</f>
        <v/>
      </c>
    </row>
    <row r="23" ht="42.75" customHeight="1" s="21">
      <c r="A23" s="38" t="inlineStr">
        <is>
          <t>BUT-15</t>
        </is>
      </c>
      <c r="B23" s="38" t="inlineStr">
        <is>
          <t>Automated tests</t>
        </is>
      </c>
      <c r="C23" s="38" t="inlineStr">
        <is>
          <t>Component</t>
        </is>
      </c>
      <c r="D23" s="38" t="inlineStr">
        <is>
          <t>Public prop unions, defaults, composition conflicts, native props, ref, and declaration fixtures</t>
        </is>
      </c>
      <c r="E23" s="38" t="inlineStr">
        <is>
          <t>package</t>
        </is>
      </c>
      <c r="F23" s="38" t="inlineStr">
        <is>
          <t>test</t>
        </is>
      </c>
      <c r="G23" s="39" t="inlineStr">
        <is>
          <t>../test/types/public-api.test.ts</t>
        </is>
      </c>
      <c r="H23" s="38" t="inlineStr">
        <is>
          <t>tested</t>
        </is>
      </c>
      <c r="I23" s="38" t="inlineStr">
        <is>
          <t>no</t>
        </is>
      </c>
      <c r="J23" s="40" t="n">
        <v>46219</v>
      </c>
      <c r="K23" s="38" t="n"/>
      <c r="L23" s="41" t="n">
        <v>1</v>
      </c>
      <c r="M23" s="41">
        <f>IF(H23="not applicable",IF(K23&lt;&gt;"",1,0),IF(I23="yes",IF(H23="verified",1,0),IF(OR(H23="tested",H23="verified"),1,0)))</f>
        <v/>
      </c>
    </row>
    <row r="24" ht="42.75" customHeight="1" s="21">
      <c r="A24" s="38" t="inlineStr">
        <is>
          <t>BUT-16</t>
        </is>
      </c>
      <c r="B24" s="38" t="inlineStr">
        <is>
          <t>Automated tests</t>
        </is>
      </c>
      <c r="C24" s="38" t="inlineStr">
        <is>
          <t>Component</t>
        </is>
      </c>
      <c r="D24" s="38" t="inlineStr">
        <is>
          <t>Playwright keyboard, pointer, focus, and state interactions</t>
        </is>
      </c>
      <c r="E24" s="38" t="inlineStr">
        <is>
          <t>package</t>
        </is>
      </c>
      <c r="F24" s="38" t="inlineStr">
        <is>
          <t>test</t>
        </is>
      </c>
      <c r="G24" s="39" t="inlineStr">
        <is>
          <t>tests/button.spec.ts</t>
        </is>
      </c>
      <c r="H24" s="38" t="inlineStr">
        <is>
          <t>tested</t>
        </is>
      </c>
      <c r="I24" s="38" t="inlineStr">
        <is>
          <t>no</t>
        </is>
      </c>
      <c r="J24" s="40" t="n">
        <v>46219</v>
      </c>
      <c r="K24" s="38" t="n"/>
      <c r="L24" s="41" t="n">
        <v>1</v>
      </c>
      <c r="M24" s="41">
        <f>IF(H24="not applicable",IF(K24&lt;&gt;"",1,0),IF(I24="yes",IF(H24="verified",1,0),IF(OR(H24="tested",H24="verified"),1,0)))</f>
        <v/>
      </c>
    </row>
    <row r="25" ht="42.75" customHeight="1" s="21">
      <c r="A25" s="38" t="inlineStr">
        <is>
          <t>BUT-17</t>
        </is>
      </c>
      <c r="B25" s="38" t="inlineStr">
        <is>
          <t>Automated tests</t>
        </is>
      </c>
      <c r="C25" s="38" t="inlineStr">
        <is>
          <t>Component</t>
        </is>
      </c>
      <c r="D25" s="38" t="inlineStr">
        <is>
          <t>Axe checks for canonical browser states</t>
        </is>
      </c>
      <c r="E25" s="38" t="inlineStr">
        <is>
          <t>package</t>
        </is>
      </c>
      <c r="F25" s="38" t="inlineStr">
        <is>
          <t>test</t>
        </is>
      </c>
      <c r="G25" s="39" t="inlineStr">
        <is>
          <t>tests/foundation.spec.ts</t>
        </is>
      </c>
      <c r="H25" s="38" t="inlineStr">
        <is>
          <t>tested</t>
        </is>
      </c>
      <c r="I25" s="38" t="inlineStr">
        <is>
          <t>no</t>
        </is>
      </c>
      <c r="J25" s="40" t="n">
        <v>46219</v>
      </c>
      <c r="K25" s="38" t="n"/>
      <c r="L25" s="41" t="n">
        <v>1</v>
      </c>
      <c r="M25" s="41">
        <f>IF(H25="not applicable",IF(K25&lt;&gt;"",1,0),IF(I25="yes",IF(H25="verified",1,0),IF(OR(H25="tested",H25="verified"),1,0)))</f>
        <v/>
      </c>
    </row>
    <row r="26" ht="42.75" customHeight="1" s="21">
      <c r="A26" s="38" t="inlineStr">
        <is>
          <t>BUT-18</t>
        </is>
      </c>
      <c r="B26" s="38" t="inlineStr">
        <is>
          <t>Automated tests</t>
        </is>
      </c>
      <c r="C26" s="38" t="inlineStr">
        <is>
          <t>Component</t>
        </is>
      </c>
      <c r="D26" s="38" t="inlineStr">
        <is>
          <t>Risk-based Chromium visual baselines reviewed</t>
        </is>
      </c>
      <c r="E26" s="38" t="inlineStr">
        <is>
          <t>package</t>
        </is>
      </c>
      <c r="F26" s="38" t="inlineStr">
        <is>
          <t>test</t>
        </is>
      </c>
      <c r="G26" s="38" t="inlineStr">
        <is>
          <t>tests/visual.spec.ts</t>
        </is>
      </c>
      <c r="H26" s="38" t="inlineStr">
        <is>
          <t>verified</t>
        </is>
      </c>
      <c r="I26" s="38" t="inlineStr">
        <is>
          <t>yes</t>
        </is>
      </c>
      <c r="J26" s="42" t="n">
        <v>46219</v>
      </c>
      <c r="K26" s="38" t="n"/>
      <c r="L26" s="41" t="n">
        <v>1</v>
      </c>
      <c r="M26" s="41">
        <f>IF(H26="not applicable",IF(K26&lt;&gt;"",1,0),IF(I26="yes",IF(H26="verified",1,0),IF(OR(H26="tested",H26="verified"),1,0)))</f>
        <v/>
      </c>
    </row>
    <row r="27" ht="42.75" customHeight="1" s="21">
      <c r="A27" s="38" t="inlineStr">
        <is>
          <t>BUT-19</t>
        </is>
      </c>
      <c r="B27" s="38" t="inlineStr">
        <is>
          <t>Automated tests</t>
        </is>
      </c>
      <c r="C27" s="38" t="inlineStr">
        <is>
          <t>Component</t>
        </is>
      </c>
      <c r="D27" s="38" t="inlineStr">
        <is>
          <t>Relevant Chromium, Firefox, WebKit, and mobile-profile checks</t>
        </is>
      </c>
      <c r="E27" s="38" t="inlineStr">
        <is>
          <t>package</t>
        </is>
      </c>
      <c r="F27" s="38" t="inlineStr">
        <is>
          <t>test</t>
        </is>
      </c>
      <c r="G27" s="39" t="inlineStr">
        <is>
          <t>../../playwright.config.ts</t>
        </is>
      </c>
      <c r="H27" s="38" t="inlineStr">
        <is>
          <t>tested</t>
        </is>
      </c>
      <c r="I27" s="38" t="inlineStr">
        <is>
          <t>no</t>
        </is>
      </c>
      <c r="J27" s="40" t="n">
        <v>46219</v>
      </c>
      <c r="K27" s="38" t="n"/>
      <c r="L27" s="41" t="n">
        <v>1</v>
      </c>
      <c r="M27" s="41">
        <f>IF(H27="not applicable",IF(K27&lt;&gt;"",1,0),IF(I27="yes",IF(H27="verified",1,0),IF(OR(H27="tested",H27="verified"),1,0)))</f>
        <v/>
      </c>
    </row>
    <row r="28" ht="42.75" customHeight="1" s="21">
      <c r="A28" s="38" t="inlineStr">
        <is>
          <t>BUT-20</t>
        </is>
      </c>
      <c r="B28" s="38" t="inlineStr">
        <is>
          <t>Automated tests</t>
        </is>
      </c>
      <c r="C28" s="38" t="inlineStr">
        <is>
          <t>Component</t>
        </is>
      </c>
      <c r="D28" s="38" t="inlineStr">
        <is>
          <t>Server-render boundary and server-safe consumer behavior are verified</t>
        </is>
      </c>
      <c r="E28" s="38" t="inlineStr">
        <is>
          <t>package</t>
        </is>
      </c>
      <c r="F28" s="38" t="inlineStr">
        <is>
          <t>test</t>
        </is>
      </c>
      <c r="G28" s="39" t="inlineStr">
        <is>
          <t>../scripts/verify-consumers.mjs</t>
        </is>
      </c>
      <c r="H28" s="38" t="inlineStr">
        <is>
          <t>tested</t>
        </is>
      </c>
      <c r="I28" s="38" t="inlineStr">
        <is>
          <t>no</t>
        </is>
      </c>
      <c r="J28" s="40" t="n">
        <v>46219</v>
      </c>
      <c r="K28" s="38" t="n"/>
      <c r="L28" s="41" t="n">
        <v>1</v>
      </c>
      <c r="M28" s="41">
        <f>IF(H28="not applicable",IF(K28&lt;&gt;"",1,0),IF(I28="yes",IF(H28="verified",1,0),IF(OR(H28="tested",H28="verified"),1,0)))</f>
        <v/>
      </c>
    </row>
    <row r="29" ht="42.75" customHeight="1" s="21">
      <c r="A29" s="38" t="inlineStr">
        <is>
          <t>BUT-21</t>
        </is>
      </c>
      <c r="B29" s="38" t="inlineStr">
        <is>
          <t>Manual evidence</t>
        </is>
      </c>
      <c r="C29" s="38" t="inlineStr">
        <is>
          <t>Component</t>
        </is>
      </c>
      <c r="D29" s="38" t="inlineStr">
        <is>
          <t>Numbered component manual-test protocol is complete</t>
        </is>
      </c>
      <c r="E29" s="38" t="inlineStr">
        <is>
          <t>package</t>
        </is>
      </c>
      <c r="F29" s="38" t="inlineStr">
        <is>
          <t>manual</t>
        </is>
      </c>
      <c r="G29" s="39" t="inlineStr">
        <is>
          <t>manual-tests/button.md</t>
        </is>
      </c>
      <c r="H29" s="38" t="inlineStr">
        <is>
          <t>tested</t>
        </is>
      </c>
      <c r="I29" s="38" t="inlineStr">
        <is>
          <t>no</t>
        </is>
      </c>
      <c r="J29" s="40" t="n">
        <v>46219</v>
      </c>
      <c r="K29" s="38" t="n"/>
      <c r="L29" s="41" t="n">
        <v>1</v>
      </c>
      <c r="M29" s="41">
        <f>IF(H29="not applicable",IF(K29&lt;&gt;"",1,0),IF(I29="yes",IF(H29="verified",1,0),IF(OR(H29="tested",H29="verified"),1,0)))</f>
        <v/>
      </c>
    </row>
    <row r="30" ht="42.75" customHeight="1" s="21">
      <c r="A30" s="38" t="inlineStr">
        <is>
          <t>BUT-22</t>
        </is>
      </c>
      <c r="B30" s="38" t="inlineStr">
        <is>
          <t>Manual evidence</t>
        </is>
      </c>
      <c r="C30" s="38" t="inlineStr">
        <is>
          <t>Component</t>
        </is>
      </c>
      <c r="D30" s="38" t="inlineStr">
        <is>
          <t>Latest required manual run is recorded and passes</t>
        </is>
      </c>
      <c r="E30" s="38" t="inlineStr">
        <is>
          <t>package</t>
        </is>
      </c>
      <c r="F30" s="38" t="inlineStr">
        <is>
          <t>manual</t>
        </is>
      </c>
      <c r="G30" s="38" t="inlineStr">
        <is>
          <t>manual-tests/button.md</t>
        </is>
      </c>
      <c r="H30" s="38" t="inlineStr">
        <is>
          <t>verified</t>
        </is>
      </c>
      <c r="I30" s="38" t="inlineStr">
        <is>
          <t>yes</t>
        </is>
      </c>
      <c r="J30" s="42" t="n">
        <v>46219</v>
      </c>
      <c r="K30" s="38" t="n"/>
      <c r="L30" s="41" t="n">
        <v>1</v>
      </c>
      <c r="M30" s="41">
        <f>IF(H30="not applicable",IF(K30&lt;&gt;"",1,0),IF(I30="yes",IF(H30="verified",1,0),IF(OR(H30="tested",H30="verified"),1,0)))</f>
        <v/>
      </c>
    </row>
    <row r="31" ht="42.75" customHeight="1" s="21">
      <c r="A31" s="38" t="inlineStr">
        <is>
          <t>BUT-23</t>
        </is>
      </c>
      <c r="B31" s="38" t="inlineStr">
        <is>
          <t>Documentation</t>
        </is>
      </c>
      <c r="C31" s="38" t="inlineStr">
        <is>
          <t>Component</t>
        </is>
      </c>
      <c r="D31" s="38" t="inlineStr">
        <is>
          <t>Public component documentation follows the standard template</t>
        </is>
      </c>
      <c r="E31" s="38" t="inlineStr">
        <is>
          <t>package</t>
        </is>
      </c>
      <c r="F31" s="38" t="inlineStr">
        <is>
          <t>docs</t>
        </is>
      </c>
      <c r="G31" s="39" t="inlineStr">
        <is>
          <t>../docs/components/button/README.md</t>
        </is>
      </c>
      <c r="H31" s="38" t="inlineStr">
        <is>
          <t>verified</t>
        </is>
      </c>
      <c r="I31" s="38" t="inlineStr">
        <is>
          <t>yes</t>
        </is>
      </c>
      <c r="J31" s="40" t="n">
        <v>46219</v>
      </c>
      <c r="K31" s="38" t="n"/>
      <c r="L31" s="41" t="n">
        <v>1</v>
      </c>
      <c r="M31" s="41">
        <f>IF(H31="not applicable",IF(K31&lt;&gt;"",1,0),IF(I31="yes",IF(H31="verified",1,0),IF(OR(H31="tested",H31="verified"),1,0)))</f>
        <v/>
      </c>
    </row>
    <row r="32" ht="42.75" customHeight="1" s="21">
      <c r="A32" s="38" t="inlineStr">
        <is>
          <t>BUT-24</t>
        </is>
      </c>
      <c r="B32" s="38" t="inlineStr">
        <is>
          <t>Documentation</t>
        </is>
      </c>
      <c r="C32" s="38" t="inlineStr">
        <is>
          <t>Component</t>
        </is>
      </c>
      <c r="D32" s="38" t="inlineStr">
        <is>
          <t>Component changelog and applicable package release notes are updated</t>
        </is>
      </c>
      <c r="E32" s="38" t="inlineStr">
        <is>
          <t>package</t>
        </is>
      </c>
      <c r="F32" s="38" t="inlineStr">
        <is>
          <t>docs</t>
        </is>
      </c>
      <c r="G32" s="39" t="inlineStr">
        <is>
          <t>../docs/components/button/CHANGELOG.md</t>
        </is>
      </c>
      <c r="H32" s="38" t="inlineStr">
        <is>
          <t>tested</t>
        </is>
      </c>
      <c r="I32" s="38" t="inlineStr">
        <is>
          <t>no</t>
        </is>
      </c>
      <c r="J32" s="40" t="n">
        <v>46219</v>
      </c>
      <c r="K32" s="38" t="n"/>
      <c r="L32" s="41" t="n">
        <v>1</v>
      </c>
      <c r="M32" s="41">
        <f>IF(H32="not applicable",IF(K32&lt;&gt;"",1,0),IF(I32="yes",IF(H32="verified",1,0),IF(OR(H32="tested",H32="verified"),1,0)))</f>
        <v/>
      </c>
    </row>
    <row r="33" ht="42.75" customHeight="1" s="21">
      <c r="A33" s="38" t="inlineStr">
        <is>
          <t>BUT-25</t>
        </is>
      </c>
      <c r="B33" s="38" t="inlineStr">
        <is>
          <t>Consumer</t>
        </is>
      </c>
      <c r="C33" s="38" t="inlineStr">
        <is>
          <t>Component</t>
        </is>
      </c>
      <c r="D33" s="38" t="inlineStr">
        <is>
          <t>Live consumer cutover is verified without adding new legacy Core coupling</t>
        </is>
      </c>
      <c r="E33" s="38" t="inlineStr">
        <is>
          <t>consumer</t>
        </is>
      </c>
      <c r="F33" s="38" t="inlineStr">
        <is>
          <t>consumer</t>
        </is>
      </c>
      <c r="G33" s="38" t="inlineStr">
        <is>
          <t>../../../../apps/brick-consumer/tests/consumer.spec.ts</t>
        </is>
      </c>
      <c r="H33" s="38" t="inlineStr">
        <is>
          <t>verified</t>
        </is>
      </c>
      <c r="I33" s="38" t="inlineStr">
        <is>
          <t>yes</t>
        </is>
      </c>
      <c r="J33" s="42" t="n">
        <v>46219</v>
      </c>
      <c r="K33" s="38" t="n"/>
      <c r="L33" s="41" t="n">
        <v>1</v>
      </c>
      <c r="M33" s="41">
        <f>IF(H33="not applicable",IF(K33&lt;&gt;"",1,0),IF(I33="yes",IF(H33="verified",1,0),IF(OR(H33="tested",H33="verified"),1,0)))</f>
        <v/>
      </c>
    </row>
    <row r="34" ht="42.75" customHeight="1" s="21">
      <c r="A34" s="38" t="inlineStr">
        <is>
          <t>BUT-26</t>
        </is>
      </c>
      <c r="B34" s="38" t="inlineStr">
        <is>
          <t>Retirement</t>
        </is>
      </c>
      <c r="C34" s="38" t="inlineStr">
        <is>
          <t>Component</t>
        </is>
      </c>
      <c r="D34" s="38" t="inlineStr">
        <is>
          <t>Legacy Core slice and authorized stale consumer evidence are removed</t>
        </is>
      </c>
      <c r="E34" s="38" t="inlineStr">
        <is>
          <t>retirement</t>
        </is>
      </c>
      <c r="F34" s="38" t="inlineStr">
        <is>
          <t>removal</t>
        </is>
      </c>
      <c r="G34" s="38" t="n"/>
      <c r="H34" s="38" t="inlineStr">
        <is>
          <t>not started</t>
        </is>
      </c>
      <c r="I34" s="38" t="inlineStr">
        <is>
          <t>yes</t>
        </is>
      </c>
      <c r="J34" s="38" t="n"/>
      <c r="K34" s="38" t="n"/>
      <c r="L34" s="41" t="n">
        <v>1</v>
      </c>
      <c r="M34" s="41">
        <f>IF(H34="not applicable",IF(K34&lt;&gt;"",1,0),IF(I34="yes",IF(H34="verified",1,0),IF(OR(H34="tested",H34="verified"),1,0)))</f>
        <v/>
      </c>
    </row>
  </sheetData>
  <autoFilter ref="A8:M34"/>
  <mergeCells count="3">
    <mergeCell ref="A2:M2"/>
    <mergeCell ref="A6:M6"/>
    <mergeCell ref="A1:M1"/>
  </mergeCells>
  <conditionalFormatting sqref="H9:H34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34" showDropDown="0" showInputMessage="0" showErrorMessage="0" allowBlank="0" type="list" errorStyle="stop" operator="between">
      <formula1>_Lists!$A$1:$A$7</formula1>
      <formula2>0</formula2>
    </dataValidation>
    <dataValidation sqref="I9:I34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button/Button.tsx" r:id="rId1"/>
    <hyperlink xmlns:r="http://schemas.openxmlformats.org/officeDocument/2006/relationships" ref="G10" display="../../docs/button-component-brief.md" r:id="rId2"/>
    <hyperlink xmlns:r="http://schemas.openxmlformats.org/officeDocument/2006/relationships" ref="G11" display="../src/button.ts" r:id="rId3"/>
    <hyperlink xmlns:r="http://schemas.openxmlformats.org/officeDocument/2006/relationships" ref="G12" display="../test/components/button.test.tsx" r:id="rId4"/>
    <hyperlink xmlns:r="http://schemas.openxmlformats.org/officeDocument/2006/relationships" ref="G13" display="../src/components/button/button.css" r:id="rId5"/>
    <hyperlink xmlns:r="http://schemas.openxmlformats.org/officeDocument/2006/relationships" ref="G14" display="../playground/manual-tests/button.md" r:id="rId6"/>
    <hyperlink xmlns:r="http://schemas.openxmlformats.org/officeDocument/2006/relationships" ref="G15" display="manual-tests/button.md" r:id="rId7"/>
    <hyperlink xmlns:r="http://schemas.openxmlformats.org/officeDocument/2006/relationships" ref="G16" display="manual-tests/button.md" r:id="rId8"/>
    <hyperlink xmlns:r="http://schemas.openxmlformats.org/officeDocument/2006/relationships" ref="G17" display="manual-tests/button.md" r:id="rId9"/>
    <hyperlink xmlns:r="http://schemas.openxmlformats.org/officeDocument/2006/relationships" ref="G18" display="tests/preferences.spec.ts" r:id="rId10"/>
    <hyperlink xmlns:r="http://schemas.openxmlformats.org/officeDocument/2006/relationships" ref="G19" display="manual-tests/button.md" r:id="rId11"/>
    <hyperlink xmlns:r="http://schemas.openxmlformats.org/officeDocument/2006/relationships" ref="G20" display="manual-tests/button.md" r:id="rId12"/>
    <hyperlink xmlns:r="http://schemas.openxmlformats.org/officeDocument/2006/relationships" ref="G21" display="tests/button.spec.ts" r:id="rId13"/>
    <hyperlink xmlns:r="http://schemas.openxmlformats.org/officeDocument/2006/relationships" ref="G22" display="../test/components/button.test.tsx" r:id="rId14"/>
    <hyperlink xmlns:r="http://schemas.openxmlformats.org/officeDocument/2006/relationships" ref="G23" display="../test/types/public-api.test.ts" r:id="rId15"/>
    <hyperlink xmlns:r="http://schemas.openxmlformats.org/officeDocument/2006/relationships" ref="G24" display="tests/button.spec.ts" r:id="rId16"/>
    <hyperlink xmlns:r="http://schemas.openxmlformats.org/officeDocument/2006/relationships" ref="G25" display="tests/foundation.spec.ts" r:id="rId17"/>
    <hyperlink xmlns:r="http://schemas.openxmlformats.org/officeDocument/2006/relationships" ref="G26" display="tests/visual.spec.ts" r:id="rId18"/>
    <hyperlink xmlns:r="http://schemas.openxmlformats.org/officeDocument/2006/relationships" ref="G27" display="../../playwright.config.ts" r:id="rId19"/>
    <hyperlink xmlns:r="http://schemas.openxmlformats.org/officeDocument/2006/relationships" ref="G28" display="../scripts/verify-consumers.mjs" r:id="rId20"/>
    <hyperlink xmlns:r="http://schemas.openxmlformats.org/officeDocument/2006/relationships" ref="G29" display="manual-tests/button.md" r:id="rId21"/>
    <hyperlink xmlns:r="http://schemas.openxmlformats.org/officeDocument/2006/relationships" ref="G30" display="manual-tests/button.md" r:id="rId22"/>
    <hyperlink xmlns:r="http://schemas.openxmlformats.org/officeDocument/2006/relationships" ref="G31" display="../docs/components/button/README.md" r:id="rId23"/>
    <hyperlink xmlns:r="http://schemas.openxmlformats.org/officeDocument/2006/relationships" ref="G32" display="../docs/components/button/CHANGELOG.md" r:id="rId24"/>
    <hyperlink xmlns:r="http://schemas.openxmlformats.org/officeDocument/2006/relationships" ref="G33" display="../../../../apps/brick-consumer/tests/consumer.spec.ts" r:id="rId25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26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M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32" min="1" max="1"/>
    <col width="18" customWidth="1" style="32" min="2" max="2"/>
    <col width="16" customWidth="1" style="32" min="3" max="3"/>
    <col width="54" customWidth="1" style="32" min="4" max="4"/>
    <col width="12" customWidth="1" style="32" min="5" max="5"/>
    <col width="16" customWidth="1" style="32" min="6" max="6"/>
    <col width="30" customWidth="1" style="32" min="7" max="7"/>
    <col width="18" customWidth="1" style="32" min="8" max="8"/>
    <col width="14" customWidth="1" style="32" min="9" max="9"/>
    <col width="15" customWidth="1" style="32" min="10" max="10"/>
    <col width="32" customWidth="1" style="32" min="11" max="11"/>
    <col width="9" customWidth="1" style="32" min="12" max="12"/>
    <col width="10" customWidth="1" style="32" min="13" max="13"/>
  </cols>
  <sheetData>
    <row r="1" ht="33.75" customHeight="1" s="21">
      <c r="A1" s="22" t="inlineStr">
        <is>
          <t>Card Evidence Matrix</t>
        </is>
      </c>
    </row>
    <row r="2" ht="33.75" customHeight="1" s="21">
      <c r="A2" s="23" t="inlineStr">
        <is>
          <t>Evidence gates for the adopted static Card compound, its seven public parts, package proof, consumer cutover, and dependency-blocked legacy retirement.</t>
        </is>
      </c>
    </row>
    <row r="4" ht="15" customHeight="1" s="21">
      <c r="A4" s="24" t="inlineStr">
        <is>
          <t>Requirements</t>
        </is>
      </c>
      <c r="B4" s="25">
        <f>COUNTA(A9:A41)</f>
        <v/>
      </c>
      <c r="C4" s="24" t="inlineStr">
        <is>
          <t>Resolved</t>
        </is>
      </c>
      <c r="D4" s="25">
        <f>SUM(M9:M41)</f>
        <v/>
      </c>
      <c r="E4" s="24" t="inlineStr">
        <is>
          <t>Completion</t>
        </is>
      </c>
      <c r="F4" s="26">
        <f>IFERROR(D4/SUM(L9:L41),0)</f>
        <v/>
      </c>
      <c r="G4" s="24" t="inlineStr">
        <is>
          <t>Blocked</t>
        </is>
      </c>
      <c r="H4" s="25">
        <f>COUNTIF(H9:H41,"blocked")</f>
        <v/>
      </c>
      <c r="I4" s="24" t="inlineStr">
        <is>
          <t>Package gate</t>
        </is>
      </c>
      <c r="J4" s="25">
        <f>IF(COUNTIFS(E9:E41,"package",M9:M41,"&lt;1")=0,"complete","open")</f>
        <v/>
      </c>
      <c r="K4" s="24" t="inlineStr">
        <is>
          <t>Retirement gate</t>
        </is>
      </c>
      <c r="L4" s="25">
        <f>IF(COUNTIFS(E9:E41,"retirement",M9:M41,"&lt;1")=0,"complete","open")</f>
        <v/>
      </c>
    </row>
    <row r="6" ht="15" customHeight="1" s="21">
      <c r="A6" s="37" t="inlineStr">
        <is>
          <t>Completion is formula-driven. Human-review rows require verified; other rows require tested or verified. Not applicable requires a reason.</t>
        </is>
      </c>
    </row>
    <row r="8" ht="33.75" customHeight="1" s="21">
      <c r="A8" s="27" t="inlineStr">
        <is>
          <t>ID</t>
        </is>
      </c>
      <c r="B8" s="27" t="inlineStr">
        <is>
          <t>Area</t>
        </is>
      </c>
      <c r="C8" s="27" t="inlineStr">
        <is>
          <t>Part</t>
        </is>
      </c>
      <c r="D8" s="27" t="inlineStr">
        <is>
          <t>Requirement</t>
        </is>
      </c>
      <c r="E8" s="27" t="inlineStr">
        <is>
          <t>Gate</t>
        </is>
      </c>
      <c r="F8" s="27" t="inlineStr">
        <is>
          <t>Evidence type</t>
        </is>
      </c>
      <c r="G8" s="27" t="inlineStr">
        <is>
          <t>Evidence / link</t>
        </is>
      </c>
      <c r="H8" s="27" t="inlineStr">
        <is>
          <t>Status</t>
        </is>
      </c>
      <c r="I8" s="27" t="inlineStr">
        <is>
          <t>Human review?</t>
        </is>
      </c>
      <c r="J8" s="27" t="inlineStr">
        <is>
          <t>Last verified</t>
        </is>
      </c>
      <c r="K8" s="27" t="inlineStr">
        <is>
          <t>Blocker / N/A reason</t>
        </is>
      </c>
      <c r="L8" s="27" t="inlineStr">
        <is>
          <t>Weight</t>
        </is>
      </c>
      <c r="M8" s="27" t="inlineStr">
        <is>
          <t>Resolved</t>
        </is>
      </c>
    </row>
    <row r="9" ht="42.75" customHeight="1" s="21">
      <c r="A9" s="38" t="inlineStr">
        <is>
          <t>CAR-01</t>
        </is>
      </c>
      <c r="B9" s="38" t="inlineStr">
        <is>
          <t>Public API</t>
        </is>
      </c>
      <c r="C9" s="38" t="inlineStr">
        <is>
          <t>Namespace</t>
        </is>
      </c>
      <c r="D9" s="38" t="inlineStr">
        <is>
          <t>Static Card namespace implementation has no Core, application, or local behavior wrapper</t>
        </is>
      </c>
      <c r="E9" s="38" t="inlineStr">
        <is>
          <t>package</t>
        </is>
      </c>
      <c r="F9" s="38" t="inlineStr">
        <is>
          <t>source</t>
        </is>
      </c>
      <c r="G9" s="38" t="inlineStr">
        <is>
          <t>../src/components/card/Card.tsx</t>
        </is>
      </c>
      <c r="H9" s="38" t="inlineStr">
        <is>
          <t>tested</t>
        </is>
      </c>
      <c r="I9" s="38" t="inlineStr">
        <is>
          <t>no</t>
        </is>
      </c>
      <c r="J9" s="40" t="n">
        <v>46220</v>
      </c>
      <c r="K9" s="38" t="n"/>
      <c r="L9" s="41" t="n">
        <v>1</v>
      </c>
      <c r="M9" s="41">
        <f>IF(H9="not applicable",IF(K9&lt;&gt;"",1,0),IF(I9="yes",IF(H9="verified",1,0),IF(OR(H9="tested",H9="verified"),1,0)))</f>
        <v/>
      </c>
    </row>
    <row r="10" ht="42.75" customHeight="1" s="21">
      <c r="A10" s="38" t="inlineStr">
        <is>
          <t>CAR-02</t>
        </is>
      </c>
      <c r="B10" s="38" t="inlineStr">
        <is>
          <t>Boundary</t>
        </is>
      </c>
      <c r="C10" s="38" t="inlineStr">
        <is>
          <t>Component</t>
        </is>
      </c>
      <c r="D10" s="38" t="inlineStr">
        <is>
          <t>Atom capability audit confirms Card owns no behavior and requires no Atom patch or local workaround</t>
        </is>
      </c>
      <c r="E10" s="38" t="inlineStr">
        <is>
          <t>package</t>
        </is>
      </c>
      <c r="F10" s="38" t="inlineStr">
        <is>
          <t>decision</t>
        </is>
      </c>
      <c r="G10" s="38" t="inlineStr">
        <is>
          <t>../../docs/card-component-brief.md</t>
        </is>
      </c>
      <c r="H10" s="38" t="inlineStr">
        <is>
          <t>verified</t>
        </is>
      </c>
      <c r="I10" s="38" t="inlineStr">
        <is>
          <t>yes</t>
        </is>
      </c>
      <c r="J10" s="40" t="n">
        <v>46220</v>
      </c>
      <c r="K10" s="38" t="n"/>
      <c r="L10" s="41" t="n">
        <v>1</v>
      </c>
      <c r="M10" s="41">
        <f>IF(H10="not applicable",IF(K10&lt;&gt;"",1,0),IF(I10="yes",IF(H10="verified",1,0),IF(OR(H10="tested",H10="verified"),1,0)))</f>
        <v/>
      </c>
    </row>
    <row r="11" ht="42.75" customHeight="1" s="21">
      <c r="A11" s="38" t="inlineStr">
        <is>
          <t>CAR-03</t>
        </is>
      </c>
      <c r="B11" s="38" t="inlineStr">
        <is>
          <t>Public API</t>
        </is>
      </c>
      <c r="C11" s="38" t="inlineStr">
        <is>
          <t>Namespace</t>
        </is>
      </c>
      <c r="D11" s="38" t="inlineStr">
        <is>
          <t>Root and card subpath exports, declarations, defaults, and closed unions match the adopted brief</t>
        </is>
      </c>
      <c r="E11" s="38" t="inlineStr">
        <is>
          <t>package</t>
        </is>
      </c>
      <c r="F11" s="38" t="inlineStr">
        <is>
          <t>types</t>
        </is>
      </c>
      <c r="G11" s="38" t="inlineStr">
        <is>
          <t>../src/card.ts</t>
        </is>
      </c>
      <c r="H11" s="38" t="inlineStr">
        <is>
          <t>tested</t>
        </is>
      </c>
      <c r="I11" s="38" t="inlineStr">
        <is>
          <t>no</t>
        </is>
      </c>
      <c r="J11" s="40" t="n">
        <v>46220</v>
      </c>
      <c r="K11" s="38" t="n"/>
      <c r="L11" s="41" t="n">
        <v>1</v>
      </c>
      <c r="M11" s="41">
        <f>IF(H11="not applicable",IF(K11&lt;&gt;"",1,0),IF(I11="yes",IF(H11="verified",1,0),IF(OR(H11="tested",H11="verified"),1,0)))</f>
        <v/>
      </c>
    </row>
    <row r="12" ht="42.75" customHeight="1" s="21">
      <c r="A12" s="38" t="inlineStr">
        <is>
          <t>CAR-04</t>
        </is>
      </c>
      <c r="B12" s="38" t="inlineStr">
        <is>
          <t>Public API</t>
        </is>
      </c>
      <c r="C12" s="38" t="inlineStr">
        <is>
          <t>All parts</t>
        </is>
      </c>
      <c r="D12" s="38" t="inlineStr">
        <is>
          <t>Native props, refs, className, style, events, children, and overridable slots forward on every public part</t>
        </is>
      </c>
      <c r="E12" s="38" t="inlineStr">
        <is>
          <t>package</t>
        </is>
      </c>
      <c r="F12" s="38" t="inlineStr">
        <is>
          <t>test</t>
        </is>
      </c>
      <c r="G12" s="38" t="inlineStr">
        <is>
          <t>../test/components/card.test.tsx</t>
        </is>
      </c>
      <c r="H12" s="38" t="inlineStr">
        <is>
          <t>tested</t>
        </is>
      </c>
      <c r="I12" s="38" t="inlineStr">
        <is>
          <t>no</t>
        </is>
      </c>
      <c r="J12" s="40" t="n">
        <v>46220</v>
      </c>
      <c r="K12" s="38" t="n"/>
      <c r="L12" s="41" t="n">
        <v>1</v>
      </c>
      <c r="M12" s="41">
        <f>IF(H12="not applicable",IF(K12&lt;&gt;"",1,0),IF(I12="yes",IF(H12="verified",1,0),IF(OR(H12="tested",H12="verified"),1,0)))</f>
        <v/>
      </c>
    </row>
    <row r="13" ht="42.75" customHeight="1" s="21">
      <c r="A13" s="38" t="inlineStr">
        <is>
          <t>CAR-05</t>
        </is>
      </c>
      <c r="B13" s="38" t="inlineStr">
        <is>
          <t>Anatomy</t>
        </is>
      </c>
      <c r="C13" s="38" t="inlineStr">
        <is>
          <t>Root</t>
        </is>
      </c>
      <c r="D13" s="38" t="inlineStr">
        <is>
          <t>Neutral div default, restricted semantic elements, variant and size defaults, and no invented role or focus state</t>
        </is>
      </c>
      <c r="E13" s="38" t="inlineStr">
        <is>
          <t>package</t>
        </is>
      </c>
      <c r="F13" s="38" t="inlineStr">
        <is>
          <t>test</t>
        </is>
      </c>
      <c r="G13" s="38" t="inlineStr">
        <is>
          <t>../test/components/card.test.tsx</t>
        </is>
      </c>
      <c r="H13" s="38" t="inlineStr">
        <is>
          <t>tested</t>
        </is>
      </c>
      <c r="I13" s="38" t="inlineStr">
        <is>
          <t>no</t>
        </is>
      </c>
      <c r="J13" s="40" t="n">
        <v>46220</v>
      </c>
      <c r="K13" s="38" t="n"/>
      <c r="L13" s="41" t="n">
        <v>1</v>
      </c>
      <c r="M13" s="41">
        <f>IF(H13="not applicable",IF(K13&lt;&gt;"",1,0),IF(I13="yes",IF(H13="verified",1,0),IF(OR(H13="tested",H13="verified"),1,0)))</f>
        <v/>
      </c>
    </row>
    <row r="14" ht="42.75" customHeight="1" s="21">
      <c r="A14" s="38" t="inlineStr">
        <is>
          <t>CAR-06</t>
        </is>
      </c>
      <c r="B14" s="38" t="inlineStr">
        <is>
          <t>Anatomy</t>
        </is>
      </c>
      <c r="C14" s="38" t="inlineStr">
        <is>
          <t>Header</t>
        </is>
      </c>
      <c r="D14" s="38" t="inlineStr">
        <is>
          <t>Title, description, and compact trailing action preserve source order and resilient narrow-screen layout</t>
        </is>
      </c>
      <c r="E14" s="38" t="inlineStr">
        <is>
          <t>package</t>
        </is>
      </c>
      <c r="F14" s="38" t="inlineStr">
        <is>
          <t>manual</t>
        </is>
      </c>
      <c r="G14" s="38" t="inlineStr">
        <is>
          <t>manual-tests/card.md</t>
        </is>
      </c>
      <c r="H14" s="38" t="inlineStr">
        <is>
          <t>verified</t>
        </is>
      </c>
      <c r="I14" s="38" t="inlineStr">
        <is>
          <t>yes</t>
        </is>
      </c>
      <c r="J14" s="40" t="n">
        <v>46220</v>
      </c>
      <c r="K14" s="38" t="n"/>
      <c r="L14" s="41" t="n">
        <v>1</v>
      </c>
      <c r="M14" s="41">
        <f>IF(H14="not applicable",IF(K14&lt;&gt;"",1,0),IF(I14="yes",IF(H14="verified",1,0),IF(OR(H14="tested",H14="verified"),1,0)))</f>
        <v/>
      </c>
    </row>
    <row r="15" ht="42.75" customHeight="1" s="21">
      <c r="A15" s="38" t="inlineStr">
        <is>
          <t>CAR-07</t>
        </is>
      </c>
      <c r="B15" s="38" t="inlineStr">
        <is>
          <t>Anatomy</t>
        </is>
      </c>
      <c r="C15" s="38" t="inlineStr">
        <is>
          <t>Title</t>
        </is>
      </c>
      <c r="D15" s="38" t="inlineStr">
        <is>
          <t>Heading defaults to h3 and supports only h1 through h6 with native heading semantics</t>
        </is>
      </c>
      <c r="E15" s="38" t="inlineStr">
        <is>
          <t>package</t>
        </is>
      </c>
      <c r="F15" s="38" t="inlineStr">
        <is>
          <t>test</t>
        </is>
      </c>
      <c r="G15" s="38" t="inlineStr">
        <is>
          <t>../test/components/card.test.tsx</t>
        </is>
      </c>
      <c r="H15" s="38" t="inlineStr">
        <is>
          <t>tested</t>
        </is>
      </c>
      <c r="I15" s="38" t="inlineStr">
        <is>
          <t>no</t>
        </is>
      </c>
      <c r="J15" s="40" t="n">
        <v>46220</v>
      </c>
      <c r="K15" s="38" t="n"/>
      <c r="L15" s="41" t="n">
        <v>1</v>
      </c>
      <c r="M15" s="41">
        <f>IF(H15="not applicable",IF(K15&lt;&gt;"",1,0),IF(I15="yes",IF(H15="verified",1,0),IF(OR(H15="tested",H15="verified"),1,0)))</f>
        <v/>
      </c>
    </row>
    <row r="16" ht="42.75" customHeight="1" s="21">
      <c r="A16" s="38" t="inlineStr">
        <is>
          <t>CAR-08</t>
        </is>
      </c>
      <c r="B16" s="38" t="inlineStr">
        <is>
          <t>Anatomy</t>
        </is>
      </c>
      <c r="C16" s="38" t="inlineStr">
        <is>
          <t>Description</t>
        </is>
      </c>
      <c r="D16" s="38" t="inlineStr">
        <is>
          <t>Supporting text renders as a native paragraph and forwards its complete public DOM contract</t>
        </is>
      </c>
      <c r="E16" s="38" t="inlineStr">
        <is>
          <t>package</t>
        </is>
      </c>
      <c r="F16" s="38" t="inlineStr">
        <is>
          <t>test</t>
        </is>
      </c>
      <c r="G16" s="38" t="inlineStr">
        <is>
          <t>../test/components/card.test.tsx</t>
        </is>
      </c>
      <c r="H16" s="38" t="inlineStr">
        <is>
          <t>tested</t>
        </is>
      </c>
      <c r="I16" s="38" t="inlineStr">
        <is>
          <t>no</t>
        </is>
      </c>
      <c r="J16" s="40" t="n">
        <v>46220</v>
      </c>
      <c r="K16" s="38" t="n"/>
      <c r="L16" s="41" t="n">
        <v>1</v>
      </c>
      <c r="M16" s="41">
        <f>IF(H16="not applicable",IF(K16&lt;&gt;"",1,0),IF(I16="yes",IF(H16="verified",1,0),IF(OR(H16="tested",H16="verified"),1,0)))</f>
        <v/>
      </c>
    </row>
    <row r="17" ht="42.75" customHeight="1" s="21">
      <c r="A17" s="38" t="inlineStr">
        <is>
          <t>CAR-09</t>
        </is>
      </c>
      <c r="B17" s="38" t="inlineStr">
        <is>
          <t>Anatomy</t>
        </is>
      </c>
      <c r="C17" s="38" t="inlineStr">
        <is>
          <t>Action</t>
        </is>
      </c>
      <c r="D17" s="38" t="inlineStr">
        <is>
          <t>Compact trailing layout creates no role, focus, click, keyboard, or generated control behavior</t>
        </is>
      </c>
      <c r="E17" s="38" t="inlineStr">
        <is>
          <t>package</t>
        </is>
      </c>
      <c r="F17" s="38" t="inlineStr">
        <is>
          <t>test</t>
        </is>
      </c>
      <c r="G17" s="38" t="inlineStr">
        <is>
          <t>tests/card.spec.ts</t>
        </is>
      </c>
      <c r="H17" s="38" t="inlineStr">
        <is>
          <t>tested</t>
        </is>
      </c>
      <c r="I17" s="38" t="inlineStr">
        <is>
          <t>no</t>
        </is>
      </c>
      <c r="J17" s="40" t="n">
        <v>46220</v>
      </c>
      <c r="K17" s="38" t="n"/>
      <c r="L17" s="41" t="n">
        <v>1</v>
      </c>
      <c r="M17" s="41">
        <f>IF(H17="not applicable",IF(K17&lt;&gt;"",1,0),IF(I17="yes",IF(H17="verified",1,0),IF(OR(H17="tested",H17="verified"),1,0)))</f>
        <v/>
      </c>
    </row>
    <row r="18" ht="42.75" customHeight="1" s="21">
      <c r="A18" s="38" t="inlineStr">
        <is>
          <t>CAR-10</t>
        </is>
      </c>
      <c r="B18" s="38" t="inlineStr">
        <is>
          <t>Anatomy</t>
        </is>
      </c>
      <c r="C18" s="38" t="inlineStr">
        <is>
          <t>Content</t>
        </is>
      </c>
      <c r="D18" s="38" t="inlineStr">
        <is>
          <t>Optional body region renders one native element and omitted anatomy creates no empty regions</t>
        </is>
      </c>
      <c r="E18" s="38" t="inlineStr">
        <is>
          <t>package</t>
        </is>
      </c>
      <c r="F18" s="38" t="inlineStr">
        <is>
          <t>test</t>
        </is>
      </c>
      <c r="G18" s="38" t="inlineStr">
        <is>
          <t>../test/components/card.test.tsx</t>
        </is>
      </c>
      <c r="H18" s="38" t="inlineStr">
        <is>
          <t>tested</t>
        </is>
      </c>
      <c r="I18" s="38" t="inlineStr">
        <is>
          <t>no</t>
        </is>
      </c>
      <c r="J18" s="40" t="n">
        <v>46220</v>
      </c>
      <c r="K18" s="38" t="n"/>
      <c r="L18" s="41" t="n">
        <v>1</v>
      </c>
      <c r="M18" s="41">
        <f>IF(H18="not applicable",IF(K18&lt;&gt;"",1,0),IF(I18="yes",IF(H18="verified",1,0),IF(OR(H18="tested",H18="verified"),1,0)))</f>
        <v/>
      </c>
    </row>
    <row r="19" ht="42.75" customHeight="1" s="21">
      <c r="A19" s="38" t="inlineStr">
        <is>
          <t>CAR-11</t>
        </is>
      </c>
      <c r="B19" s="38" t="inlineStr">
        <is>
          <t>Anatomy</t>
        </is>
      </c>
      <c r="C19" s="38" t="inlineStr">
        <is>
          <t>Footer</t>
        </is>
      </c>
      <c r="D19" s="38" t="inlineStr">
        <is>
          <t>Optional footer preserves explicit controls, logical order, wrapping, and visible focus at narrow widths</t>
        </is>
      </c>
      <c r="E19" s="38" t="inlineStr">
        <is>
          <t>package</t>
        </is>
      </c>
      <c r="F19" s="38" t="inlineStr">
        <is>
          <t>manual</t>
        </is>
      </c>
      <c r="G19" s="38" t="inlineStr">
        <is>
          <t>manual-tests/card.md</t>
        </is>
      </c>
      <c r="H19" s="38" t="inlineStr">
        <is>
          <t>verified</t>
        </is>
      </c>
      <c r="I19" s="38" t="inlineStr">
        <is>
          <t>yes</t>
        </is>
      </c>
      <c r="J19" s="40" t="n">
        <v>46220</v>
      </c>
      <c r="K19" s="38" t="n"/>
      <c r="L19" s="41" t="n">
        <v>1</v>
      </c>
      <c r="M19" s="41">
        <f>IF(H19="not applicable",IF(K19&lt;&gt;"",1,0),IF(I19="yes",IF(H19="verified",1,0),IF(OR(H19="tested",H19="verified"),1,0)))</f>
        <v/>
      </c>
    </row>
    <row r="20" ht="42.75" customHeight="1" s="21">
      <c r="A20" s="38" t="inlineStr">
        <is>
          <t>CAR-12</t>
        </is>
      </c>
      <c r="B20" s="38" t="inlineStr">
        <is>
          <t>Visual system</t>
        </is>
      </c>
      <c r="C20" s="38" t="inlineStr">
        <is>
          <t>All parts</t>
        </is>
      </c>
      <c r="D20" s="38" t="inlineStr">
        <is>
          <t>Compiled CSS uses public brick classes, component tokens, layers, logical properties, and semantic roles</t>
        </is>
      </c>
      <c r="E20" s="38" t="inlineStr">
        <is>
          <t>package</t>
        </is>
      </c>
      <c r="F20" s="38" t="inlineStr">
        <is>
          <t>source</t>
        </is>
      </c>
      <c r="G20" s="38" t="inlineStr">
        <is>
          <t>../src/components/card/card.css</t>
        </is>
      </c>
      <c r="H20" s="38" t="inlineStr">
        <is>
          <t>tested</t>
        </is>
      </c>
      <c r="I20" s="38" t="inlineStr">
        <is>
          <t>no</t>
        </is>
      </c>
      <c r="J20" s="40" t="n">
        <v>46220</v>
      </c>
      <c r="K20" s="38" t="n"/>
      <c r="L20" s="41" t="n">
        <v>1</v>
      </c>
      <c r="M20" s="41">
        <f>IF(H20="not applicable",IF(K20&lt;&gt;"",1,0),IF(I20="yes",IF(H20="verified",1,0),IF(OR(H20="tested",H20="verified"),1,0)))</f>
        <v/>
      </c>
    </row>
    <row r="21" ht="42.75" customHeight="1" s="21">
      <c r="A21" s="38" t="inlineStr">
        <is>
          <t>CAR-13</t>
        </is>
      </c>
      <c r="B21" s="38" t="inlineStr">
        <is>
          <t>Visual system</t>
        </is>
      </c>
      <c r="C21" s="38" t="inlineStr">
        <is>
          <t>Root</t>
        </is>
      </c>
      <c r="D21" s="38" t="inlineStr">
        <is>
          <t>Outline, elevated, and subtle variants plus small, medium, and large density recipes remain distinct in light and dark</t>
        </is>
      </c>
      <c r="E21" s="38" t="inlineStr">
        <is>
          <t>package</t>
        </is>
      </c>
      <c r="F21" s="38" t="inlineStr">
        <is>
          <t>manual</t>
        </is>
      </c>
      <c r="G21" s="38" t="inlineStr">
        <is>
          <t>manual-tests/card.md</t>
        </is>
      </c>
      <c r="H21" s="38" t="inlineStr">
        <is>
          <t>verified</t>
        </is>
      </c>
      <c r="I21" s="38" t="inlineStr">
        <is>
          <t>yes</t>
        </is>
      </c>
      <c r="J21" s="40" t="n">
        <v>46220</v>
      </c>
      <c r="K21" s="38" t="n"/>
      <c r="L21" s="41" t="n">
        <v>1</v>
      </c>
      <c r="M21" s="41">
        <f>IF(H21="not applicable",IF(K21&lt;&gt;"",1,0),IF(I21="yes",IF(H21="verified",1,0),IF(OR(H21="tested",H21="verified"),1,0)))</f>
        <v/>
      </c>
    </row>
    <row r="22" ht="42.75" customHeight="1" s="21">
      <c r="A22" s="38" t="inlineStr">
        <is>
          <t>CAR-14</t>
        </is>
      </c>
      <c r="B22" s="38" t="inlineStr">
        <is>
          <t>Playground</t>
        </is>
      </c>
      <c r="C22" s="38" t="inlineStr">
        <is>
          <t>All parts</t>
        </is>
      </c>
      <c r="D22" s="38" t="inlineStr">
        <is>
          <t>Canonical article and every partial anatomy are built from public Card parts and Brick Button</t>
        </is>
      </c>
      <c r="E22" s="38" t="inlineStr">
        <is>
          <t>package</t>
        </is>
      </c>
      <c r="F22" s="38" t="inlineStr">
        <is>
          <t>playground</t>
        </is>
      </c>
      <c r="G22" s="38" t="inlineStr">
        <is>
          <t>manual-tests/card.md</t>
        </is>
      </c>
      <c r="H22" s="38" t="inlineStr">
        <is>
          <t>verified</t>
        </is>
      </c>
      <c r="I22" s="38" t="inlineStr">
        <is>
          <t>yes</t>
        </is>
      </c>
      <c r="J22" s="40" t="n">
        <v>46220</v>
      </c>
      <c r="K22" s="38" t="n"/>
      <c r="L22" s="41" t="n">
        <v>1</v>
      </c>
      <c r="M22" s="41">
        <f>IF(H22="not applicable",IF(K22&lt;&gt;"",1,0),IF(I22="yes",IF(H22="verified",1,0),IF(OR(H22="tested",H22="verified"),1,0)))</f>
        <v/>
      </c>
    </row>
    <row r="23" ht="42.75" customHeight="1" s="21">
      <c r="A23" s="38" t="inlineStr">
        <is>
          <t>CAR-15</t>
        </is>
      </c>
      <c r="B23" s="38" t="inlineStr">
        <is>
          <t>Playground</t>
        </is>
      </c>
      <c r="C23" s="38" t="inlineStr">
        <is>
          <t>Root</t>
        </is>
      </c>
      <c r="D23" s="38" t="inlineStr">
        <is>
          <t>Every variant and size plus media and single-action-link composition are represented</t>
        </is>
      </c>
      <c r="E23" s="38" t="inlineStr">
        <is>
          <t>package</t>
        </is>
      </c>
      <c r="F23" s="38" t="inlineStr">
        <is>
          <t>playground</t>
        </is>
      </c>
      <c r="G23" s="38" t="inlineStr">
        <is>
          <t>tests/card.spec.ts</t>
        </is>
      </c>
      <c r="H23" s="38" t="inlineStr">
        <is>
          <t>verified</t>
        </is>
      </c>
      <c r="I23" s="38" t="inlineStr">
        <is>
          <t>yes</t>
        </is>
      </c>
      <c r="J23" s="40" t="n">
        <v>46220</v>
      </c>
      <c r="K23" s="38" t="n"/>
      <c r="L23" s="41" t="n">
        <v>1</v>
      </c>
      <c r="M23" s="41">
        <f>IF(H23="not applicable",IF(K23&lt;&gt;"",1,0),IF(I23="yes",IF(H23="verified",1,0),IF(OR(H23="tested",H23="verified"),1,0)))</f>
        <v/>
      </c>
    </row>
    <row r="24" ht="42.75" customHeight="1" s="21">
      <c r="A24" s="38" t="inlineStr">
        <is>
          <t>CAR-16</t>
        </is>
      </c>
      <c r="B24" s="38" t="inlineStr">
        <is>
          <t>Playground</t>
        </is>
      </c>
      <c r="C24" s="38" t="inlineStr">
        <is>
          <t>All parts</t>
        </is>
      </c>
      <c r="D24" s="38" t="inlineStr">
        <is>
          <t>Mobile-first constrained layouts and intentional wide layouts preserve natural Card height and containment</t>
        </is>
      </c>
      <c r="E24" s="38" t="inlineStr">
        <is>
          <t>package</t>
        </is>
      </c>
      <c r="F24" s="38" t="inlineStr">
        <is>
          <t>manual</t>
        </is>
      </c>
      <c r="G24" s="38" t="inlineStr">
        <is>
          <t>manual-tests/card.md</t>
        </is>
      </c>
      <c r="H24" s="38" t="inlineStr">
        <is>
          <t>verified</t>
        </is>
      </c>
      <c r="I24" s="38" t="inlineStr">
        <is>
          <t>yes</t>
        </is>
      </c>
      <c r="J24" s="40" t="n">
        <v>46220</v>
      </c>
      <c r="K24" s="38" t="n"/>
      <c r="L24" s="41" t="n">
        <v>1</v>
      </c>
      <c r="M24" s="41">
        <f>IF(H24="not applicable",IF(K24&lt;&gt;"",1,0),IF(I24="yes",IF(H24="verified",1,0),IF(OR(H24="tested",H24="verified"),1,0)))</f>
        <v/>
      </c>
    </row>
    <row r="25" ht="42.75" customHeight="1" s="21">
      <c r="A25" s="38" t="inlineStr">
        <is>
          <t>CAR-17</t>
        </is>
      </c>
      <c r="B25" s="38" t="inlineStr">
        <is>
          <t>Playground</t>
        </is>
      </c>
      <c r="C25" s="38" t="inlineStr">
        <is>
          <t>Root</t>
        </is>
      </c>
      <c r="D25" s="38" t="inlineStr">
        <is>
          <t>Light, dark, scoped appearance, forced colors, and reduced motion retain hierarchy and boundaries</t>
        </is>
      </c>
      <c r="E25" s="38" t="inlineStr">
        <is>
          <t>package</t>
        </is>
      </c>
      <c r="F25" s="38" t="inlineStr">
        <is>
          <t>test</t>
        </is>
      </c>
      <c r="G25" s="38" t="inlineStr">
        <is>
          <t>tests/preferences.spec.ts</t>
        </is>
      </c>
      <c r="H25" s="38" t="inlineStr">
        <is>
          <t>verified</t>
        </is>
      </c>
      <c r="I25" s="38" t="inlineStr">
        <is>
          <t>yes</t>
        </is>
      </c>
      <c r="J25" s="40" t="n">
        <v>46220</v>
      </c>
      <c r="K25" s="38" t="n"/>
      <c r="L25" s="41" t="n">
        <v>1</v>
      </c>
      <c r="M25" s="41">
        <f>IF(H25="not applicable",IF(K25&lt;&gt;"",1,0),IF(I25="yes",IF(H25="verified",1,0),IF(OR(H25="tested",H25="verified"),1,0)))</f>
        <v/>
      </c>
    </row>
    <row r="26" ht="42.75" customHeight="1" s="21">
      <c r="A26" s="38" t="inlineStr">
        <is>
          <t>CAR-18</t>
        </is>
      </c>
      <c r="B26" s="38" t="inlineStr">
        <is>
          <t>Playground</t>
        </is>
      </c>
      <c r="C26" s="38" t="inlineStr">
        <is>
          <t>All parts</t>
        </is>
      </c>
      <c r="D26" s="38" t="inlineStr">
        <is>
          <t>Long content, unbroken text, localization, 400 percent zoom, and RTL remain contained and readable</t>
        </is>
      </c>
      <c r="E26" s="38" t="inlineStr">
        <is>
          <t>package</t>
        </is>
      </c>
      <c r="F26" s="38" t="inlineStr">
        <is>
          <t>manual</t>
        </is>
      </c>
      <c r="G26" s="38" t="inlineStr">
        <is>
          <t>manual-tests/card.md</t>
        </is>
      </c>
      <c r="H26" s="38" t="inlineStr">
        <is>
          <t>verified</t>
        </is>
      </c>
      <c r="I26" s="38" t="inlineStr">
        <is>
          <t>yes</t>
        </is>
      </c>
      <c r="J26" s="40" t="n">
        <v>46220</v>
      </c>
      <c r="K26" s="38" t="n"/>
      <c r="L26" s="41" t="n">
        <v>1</v>
      </c>
      <c r="M26" s="41">
        <f>IF(H26="not applicable",IF(K26&lt;&gt;"",1,0),IF(I26="yes",IF(H26="verified",1,0),IF(OR(H26="tested",H26="verified"),1,0)))</f>
        <v/>
      </c>
    </row>
    <row r="27" ht="42.75" customHeight="1" s="21">
      <c r="A27" s="38" t="inlineStr">
        <is>
          <t>CAR-19</t>
        </is>
      </c>
      <c r="B27" s="38" t="inlineStr">
        <is>
          <t>Playground</t>
        </is>
      </c>
      <c r="C27" s="38" t="inlineStr">
        <is>
          <t>All parts</t>
        </is>
      </c>
      <c r="D27" s="38" t="inlineStr">
        <is>
          <t>Public Card tokens, stable classes, style, data attributes, and overridable part slots are inspectable</t>
        </is>
      </c>
      <c r="E27" s="38" t="inlineStr">
        <is>
          <t>package</t>
        </is>
      </c>
      <c r="F27" s="38" t="inlineStr">
        <is>
          <t>manual</t>
        </is>
      </c>
      <c r="G27" s="38" t="inlineStr">
        <is>
          <t>manual-tests/card.md</t>
        </is>
      </c>
      <c r="H27" s="38" t="inlineStr">
        <is>
          <t>verified</t>
        </is>
      </c>
      <c r="I27" s="38" t="inlineStr">
        <is>
          <t>yes</t>
        </is>
      </c>
      <c r="J27" s="40" t="n">
        <v>46220</v>
      </c>
      <c r="K27" s="38" t="n"/>
      <c r="L27" s="41" t="n">
        <v>1</v>
      </c>
      <c r="M27" s="41">
        <f>IF(H27="not applicable",IF(K27&lt;&gt;"",1,0),IF(I27="yes",IF(H27="verified",1,0),IF(OR(H27="tested",H27="verified"),1,0)))</f>
        <v/>
      </c>
    </row>
    <row r="28" ht="42.75" customHeight="1" s="21">
      <c r="A28" s="38" t="inlineStr">
        <is>
          <t>CAR-20</t>
        </is>
      </c>
      <c r="B28" s="38" t="inlineStr">
        <is>
          <t>Playground</t>
        </is>
      </c>
      <c r="C28" s="38" t="inlineStr">
        <is>
          <t>Component</t>
        </is>
      </c>
      <c r="D28" s="38" t="inlineStr">
        <is>
          <t>Stable Card route and deterministic scenario selectors support repeatable browser tests</t>
        </is>
      </c>
      <c r="E28" s="38" t="inlineStr">
        <is>
          <t>package</t>
        </is>
      </c>
      <c r="F28" s="38" t="inlineStr">
        <is>
          <t>playground</t>
        </is>
      </c>
      <c r="G28" s="38" t="inlineStr">
        <is>
          <t>tests/card.spec.ts</t>
        </is>
      </c>
      <c r="H28" s="38" t="inlineStr">
        <is>
          <t>tested</t>
        </is>
      </c>
      <c r="I28" s="38" t="inlineStr">
        <is>
          <t>no</t>
        </is>
      </c>
      <c r="J28" s="40" t="n">
        <v>46220</v>
      </c>
      <c r="K28" s="38" t="n"/>
      <c r="L28" s="41" t="n">
        <v>1</v>
      </c>
      <c r="M28" s="41">
        <f>IF(H28="not applicable",IF(K28&lt;&gt;"",1,0),IF(I28="yes",IF(H28="verified",1,0),IF(OR(H28="tested",H28="verified"),1,0)))</f>
        <v/>
      </c>
    </row>
    <row r="29" ht="42.75" customHeight="1" s="21">
      <c r="A29" s="38" t="inlineStr">
        <is>
          <t>CAR-21</t>
        </is>
      </c>
      <c r="B29" s="38" t="inlineStr">
        <is>
          <t>Automated tests</t>
        </is>
      </c>
      <c r="C29" s="38" t="inlineStr">
        <is>
          <t>All parts</t>
        </is>
      </c>
      <c r="D29" s="38" t="inlineStr">
        <is>
          <t>Vitest and Testing Library cover the complete component and native DOM contract</t>
        </is>
      </c>
      <c r="E29" s="38" t="inlineStr">
        <is>
          <t>package</t>
        </is>
      </c>
      <c r="F29" s="38" t="inlineStr">
        <is>
          <t>test</t>
        </is>
      </c>
      <c r="G29" s="38" t="inlineStr">
        <is>
          <t>../test/components/card.test.tsx</t>
        </is>
      </c>
      <c r="H29" s="38" t="inlineStr">
        <is>
          <t>tested</t>
        </is>
      </c>
      <c r="I29" s="38" t="inlineStr">
        <is>
          <t>no</t>
        </is>
      </c>
      <c r="J29" s="40" t="n">
        <v>46220</v>
      </c>
      <c r="K29" s="38" t="n"/>
      <c r="L29" s="41" t="n">
        <v>1</v>
      </c>
      <c r="M29" s="41">
        <f>IF(H29="not applicable",IF(K29&lt;&gt;"",1,0),IF(I29="yes",IF(H29="verified",1,0),IF(OR(H29="tested",H29="verified"),1,0)))</f>
        <v/>
      </c>
    </row>
    <row r="30" ht="42.75" customHeight="1" s="21">
      <c r="A30" s="38" t="inlineStr">
        <is>
          <t>CAR-22</t>
        </is>
      </c>
      <c r="B30" s="38" t="inlineStr">
        <is>
          <t>Automated tests</t>
        </is>
      </c>
      <c r="C30" s="38" t="inlineStr">
        <is>
          <t>Namespace</t>
        </is>
      </c>
      <c r="D30" s="38" t="inlineStr">
        <is>
          <t>Public type, declaration, invalid-prop, root export, and card-subpath fixtures pass</t>
        </is>
      </c>
      <c r="E30" s="38" t="inlineStr">
        <is>
          <t>package</t>
        </is>
      </c>
      <c r="F30" s="38" t="inlineStr">
        <is>
          <t>test</t>
        </is>
      </c>
      <c r="G30" s="38" t="inlineStr">
        <is>
          <t>../test/types/public-api.test.ts</t>
        </is>
      </c>
      <c r="H30" s="38" t="inlineStr">
        <is>
          <t>tested</t>
        </is>
      </c>
      <c r="I30" s="38" t="inlineStr">
        <is>
          <t>no</t>
        </is>
      </c>
      <c r="J30" s="40" t="n">
        <v>46220</v>
      </c>
      <c r="K30" s="38" t="n"/>
      <c r="L30" s="41" t="n">
        <v>1</v>
      </c>
      <c r="M30" s="41">
        <f>IF(H30="not applicable",IF(K30&lt;&gt;"",1,0),IF(I30="yes",IF(H30="verified",1,0),IF(OR(H30="tested",H30="verified"),1,0)))</f>
        <v/>
      </c>
    </row>
    <row r="31" ht="42.75" customHeight="1" s="21">
      <c r="A31" s="38" t="inlineStr">
        <is>
          <t>CAR-23</t>
        </is>
      </c>
      <c r="B31" s="38" t="inlineStr">
        <is>
          <t>Automated tests</t>
        </is>
      </c>
      <c r="C31" s="38" t="inlineStr">
        <is>
          <t>Root</t>
        </is>
      </c>
      <c r="D31" s="38" t="inlineStr">
        <is>
          <t>Playwright verifies static semantics, explicit-control focus, accessible link naming, reflow, and zoom</t>
        </is>
      </c>
      <c r="E31" s="38" t="inlineStr">
        <is>
          <t>package</t>
        </is>
      </c>
      <c r="F31" s="38" t="inlineStr">
        <is>
          <t>test</t>
        </is>
      </c>
      <c r="G31" s="38" t="inlineStr">
        <is>
          <t>tests/card.spec.ts</t>
        </is>
      </c>
      <c r="H31" s="38" t="inlineStr">
        <is>
          <t>tested</t>
        </is>
      </c>
      <c r="I31" s="38" t="inlineStr">
        <is>
          <t>no</t>
        </is>
      </c>
      <c r="J31" s="40" t="n">
        <v>46220</v>
      </c>
      <c r="K31" s="38" t="n"/>
      <c r="L31" s="41" t="n">
        <v>1</v>
      </c>
      <c r="M31" s="41">
        <f>IF(H31="not applicable",IF(K31&lt;&gt;"",1,0),IF(I31="yes",IF(H31="verified",1,0),IF(OR(H31="tested",H31="verified"),1,0)))</f>
        <v/>
      </c>
    </row>
    <row r="32" ht="42.75" customHeight="1" s="21">
      <c r="A32" s="38" t="inlineStr">
        <is>
          <t>CAR-24</t>
        </is>
      </c>
      <c r="B32" s="38" t="inlineStr">
        <is>
          <t>Automated tests</t>
        </is>
      </c>
      <c r="C32" s="38" t="inlineStr">
        <is>
          <t>Root</t>
        </is>
      </c>
      <c r="D32" s="38" t="inlineStr">
        <is>
          <t>Axe reports no automatically detectable violations for canonical Card states</t>
        </is>
      </c>
      <c r="E32" s="38" t="inlineStr">
        <is>
          <t>package</t>
        </is>
      </c>
      <c r="F32" s="38" t="inlineStr">
        <is>
          <t>test</t>
        </is>
      </c>
      <c r="G32" s="38" t="inlineStr">
        <is>
          <t>tests/foundation.spec.ts</t>
        </is>
      </c>
      <c r="H32" s="38" t="inlineStr">
        <is>
          <t>tested</t>
        </is>
      </c>
      <c r="I32" s="38" t="inlineStr">
        <is>
          <t>no</t>
        </is>
      </c>
      <c r="J32" s="40" t="n">
        <v>46220</v>
      </c>
      <c r="K32" s="38" t="n"/>
      <c r="L32" s="41" t="n">
        <v>1</v>
      </c>
      <c r="M32" s="41">
        <f>IF(H32="not applicable",IF(K32&lt;&gt;"",1,0),IF(I32="yes",IF(H32="verified",1,0),IF(OR(H32="tested",H32="verified"),1,0)))</f>
        <v/>
      </c>
    </row>
    <row r="33" ht="42.75" customHeight="1" s="21">
      <c r="A33" s="38" t="inlineStr">
        <is>
          <t>CAR-25</t>
        </is>
      </c>
      <c r="B33" s="38" t="inlineStr">
        <is>
          <t>Automated tests</t>
        </is>
      </c>
      <c r="C33" s="38" t="inlineStr">
        <is>
          <t>Root</t>
        </is>
      </c>
      <c r="D33" s="38" t="inlineStr">
        <is>
          <t>Six deterministic Chromium visual baselines are reviewed</t>
        </is>
      </c>
      <c r="E33" s="38" t="inlineStr">
        <is>
          <t>package</t>
        </is>
      </c>
      <c r="F33" s="38" t="inlineStr">
        <is>
          <t>test</t>
        </is>
      </c>
      <c r="G33" s="38" t="inlineStr">
        <is>
          <t>tests/visual.spec.ts</t>
        </is>
      </c>
      <c r="H33" s="38" t="inlineStr">
        <is>
          <t>verified</t>
        </is>
      </c>
      <c r="I33" s="38" t="inlineStr">
        <is>
          <t>yes</t>
        </is>
      </c>
      <c r="J33" s="40" t="n">
        <v>46220</v>
      </c>
      <c r="K33" s="38" t="n"/>
      <c r="L33" s="41" t="n">
        <v>1</v>
      </c>
      <c r="M33" s="41">
        <f>IF(H33="not applicable",IF(K33&lt;&gt;"",1,0),IF(I33="yes",IF(H33="verified",1,0),IF(OR(H33="tested",H33="verified"),1,0)))</f>
        <v/>
      </c>
    </row>
    <row r="34" ht="42.75" customHeight="1" s="21">
      <c r="A34" s="38" t="inlineStr">
        <is>
          <t>CAR-26</t>
        </is>
      </c>
      <c r="B34" s="38" t="inlineStr">
        <is>
          <t>Automated tests</t>
        </is>
      </c>
      <c r="C34" s="38" t="inlineStr">
        <is>
          <t>All parts</t>
        </is>
      </c>
      <c r="D34" s="38" t="inlineStr">
        <is>
          <t>Chromium, Firefox, WebKit, Pixel, and iPhone release matrix records 73 passes and 42 intentional skips</t>
        </is>
      </c>
      <c r="E34" s="38" t="inlineStr">
        <is>
          <t>package</t>
        </is>
      </c>
      <c r="F34" s="38" t="inlineStr">
        <is>
          <t>test</t>
        </is>
      </c>
      <c r="G34" s="38" t="inlineStr">
        <is>
          <t>../playwright.config.ts</t>
        </is>
      </c>
      <c r="H34" s="38" t="inlineStr">
        <is>
          <t>tested</t>
        </is>
      </c>
      <c r="I34" s="38" t="inlineStr">
        <is>
          <t>no</t>
        </is>
      </c>
      <c r="J34" s="40" t="n">
        <v>46220</v>
      </c>
      <c r="K34" s="38" t="n"/>
      <c r="L34" s="41" t="n">
        <v>1</v>
      </c>
      <c r="M34" s="41">
        <f>IF(H34="not applicable",IF(K34&lt;&gt;"",1,0),IF(I34="yes",IF(H34="verified",1,0),IF(OR(H34="tested",H34="verified"),1,0)))</f>
        <v/>
      </c>
    </row>
    <row r="35" ht="26.25" customHeight="1" s="21">
      <c r="A35" s="38" t="inlineStr">
        <is>
          <t>CAR-27</t>
        </is>
      </c>
      <c r="B35" s="38" t="inlineStr">
        <is>
          <t>Automated tests</t>
        </is>
      </c>
      <c r="C35" s="38" t="inlineStr">
        <is>
          <t>Component</t>
        </is>
      </c>
      <c r="D35" s="38" t="inlineStr">
        <is>
          <t>SSR, package boundary, tarball, and clean React 18 and React 19 consumer verification pass</t>
        </is>
      </c>
      <c r="E35" s="38" t="inlineStr">
        <is>
          <t>package</t>
        </is>
      </c>
      <c r="F35" s="38" t="inlineStr">
        <is>
          <t>test</t>
        </is>
      </c>
      <c r="G35" s="38" t="inlineStr">
        <is>
          <t>../test/package/ssr.test.mjs</t>
        </is>
      </c>
      <c r="H35" s="38" t="inlineStr">
        <is>
          <t>tested</t>
        </is>
      </c>
      <c r="I35" s="38" t="inlineStr">
        <is>
          <t>no</t>
        </is>
      </c>
      <c r="J35" s="40" t="n">
        <v>46220</v>
      </c>
      <c r="K35" s="38" t="n"/>
      <c r="L35" s="41" t="n">
        <v>1</v>
      </c>
      <c r="M35" s="41">
        <f>IF(H35="not applicable",IF(K35&lt;&gt;"",1,0),IF(I35="yes",IF(H35="verified",1,0),IF(OR(H35="tested",H35="verified"),1,0)))</f>
        <v/>
      </c>
    </row>
    <row r="36" ht="15" customHeight="1" s="21">
      <c r="A36" s="38" t="inlineStr">
        <is>
          <t>CAR-28</t>
        </is>
      </c>
      <c r="B36" s="38" t="inlineStr">
        <is>
          <t>Manual evidence</t>
        </is>
      </c>
      <c r="C36" s="38" t="inlineStr">
        <is>
          <t>Component</t>
        </is>
      </c>
      <c r="D36" s="38" t="inlineStr">
        <is>
          <t>Numbered ten-step Card manual-test protocol is complete</t>
        </is>
      </c>
      <c r="E36" s="38" t="inlineStr">
        <is>
          <t>package</t>
        </is>
      </c>
      <c r="F36" s="38" t="inlineStr">
        <is>
          <t>manual</t>
        </is>
      </c>
      <c r="G36" s="38" t="inlineStr">
        <is>
          <t>manual-tests/card.md</t>
        </is>
      </c>
      <c r="H36" s="38" t="inlineStr">
        <is>
          <t>tested</t>
        </is>
      </c>
      <c r="I36" s="38" t="inlineStr">
        <is>
          <t>no</t>
        </is>
      </c>
      <c r="J36" s="40" t="n">
        <v>46220</v>
      </c>
      <c r="K36" s="38" t="n"/>
      <c r="L36" s="41" t="n">
        <v>1</v>
      </c>
      <c r="M36" s="41">
        <f>IF(H36="not applicable",IF(K36&lt;&gt;"",1,0),IF(I36="yes",IF(H36="verified",1,0),IF(OR(H36="tested",H36="verified"),1,0)))</f>
        <v/>
      </c>
    </row>
    <row r="37" ht="26.25" customHeight="1" s="21">
      <c r="A37" s="38" t="inlineStr">
        <is>
          <t>CAR-29</t>
        </is>
      </c>
      <c r="B37" s="38" t="inlineStr">
        <is>
          <t>Manual evidence</t>
        </is>
      </c>
      <c r="C37" s="38" t="inlineStr">
        <is>
          <t>All parts</t>
        </is>
      </c>
      <c r="D37" s="38" t="inlineStr">
        <is>
          <t>Latest owner run is recorded and passes after every discovered finding was corrected and retested</t>
        </is>
      </c>
      <c r="E37" s="38" t="inlineStr">
        <is>
          <t>package</t>
        </is>
      </c>
      <c r="F37" s="38" t="inlineStr">
        <is>
          <t>manual</t>
        </is>
      </c>
      <c r="G37" s="38" t="inlineStr">
        <is>
          <t>manual-tests/card.md</t>
        </is>
      </c>
      <c r="H37" s="38" t="inlineStr">
        <is>
          <t>verified</t>
        </is>
      </c>
      <c r="I37" s="38" t="inlineStr">
        <is>
          <t>yes</t>
        </is>
      </c>
      <c r="J37" s="40" t="n">
        <v>46220</v>
      </c>
      <c r="K37" s="38" t="n"/>
      <c r="L37" s="41" t="n">
        <v>1</v>
      </c>
      <c r="M37" s="41">
        <f>IF(H37="not applicable",IF(K37&lt;&gt;"",1,0),IF(I37="yes",IF(H37="verified",1,0),IF(OR(H37="tested",H37="verified"),1,0)))</f>
        <v/>
      </c>
    </row>
    <row r="38" ht="26.25" customHeight="1" s="21">
      <c r="A38" s="38" t="inlineStr">
        <is>
          <t>CAR-30</t>
        </is>
      </c>
      <c r="B38" s="38" t="inlineStr">
        <is>
          <t>Documentation</t>
        </is>
      </c>
      <c r="C38" s="38" t="inlineStr">
        <is>
          <t>Component</t>
        </is>
      </c>
      <c r="D38" s="38" t="inlineStr">
        <is>
          <t>Public Card documentation follows the standard template and documents whole-card accessibility</t>
        </is>
      </c>
      <c r="E38" s="38" t="inlineStr">
        <is>
          <t>package</t>
        </is>
      </c>
      <c r="F38" s="38" t="inlineStr">
        <is>
          <t>docs</t>
        </is>
      </c>
      <c r="G38" s="38" t="inlineStr">
        <is>
          <t>../docs/components/card/README.md</t>
        </is>
      </c>
      <c r="H38" s="38" t="inlineStr">
        <is>
          <t>verified</t>
        </is>
      </c>
      <c r="I38" s="38" t="inlineStr">
        <is>
          <t>yes</t>
        </is>
      </c>
      <c r="J38" s="40" t="n">
        <v>46220</v>
      </c>
      <c r="K38" s="38" t="n"/>
      <c r="L38" s="41" t="n">
        <v>1</v>
      </c>
      <c r="M38" s="41">
        <f>IF(H38="not applicable",IF(K38&lt;&gt;"",1,0),IF(I38="yes",IF(H38="verified",1,0),IF(OR(H38="tested",H38="verified"),1,0)))</f>
        <v/>
      </c>
    </row>
    <row r="39" ht="26.25" customHeight="1" s="21">
      <c r="A39" s="38" t="inlineStr">
        <is>
          <t>CAR-31</t>
        </is>
      </c>
      <c r="B39" s="38" t="inlineStr">
        <is>
          <t>Documentation</t>
        </is>
      </c>
      <c r="C39" s="38" t="inlineStr">
        <is>
          <t>Component</t>
        </is>
      </c>
      <c r="D39" s="38" t="inlineStr">
        <is>
          <t>Card changelog and package release notes record the initial contract and dark-elevation correction</t>
        </is>
      </c>
      <c r="E39" s="38" t="inlineStr">
        <is>
          <t>package</t>
        </is>
      </c>
      <c r="F39" s="38" t="inlineStr">
        <is>
          <t>docs</t>
        </is>
      </c>
      <c r="G39" s="38" t="inlineStr">
        <is>
          <t>../docs/components/card/CHANGELOG.md</t>
        </is>
      </c>
      <c r="H39" s="38" t="inlineStr">
        <is>
          <t>tested</t>
        </is>
      </c>
      <c r="I39" s="38" t="inlineStr">
        <is>
          <t>no</t>
        </is>
      </c>
      <c r="J39" s="40" t="n">
        <v>46220</v>
      </c>
      <c r="K39" s="38" t="n"/>
      <c r="L39" s="41" t="n">
        <v>1</v>
      </c>
      <c r="M39" s="41">
        <f>IF(H39="not applicable",IF(K39&lt;&gt;"",1,0),IF(I39="yes",IF(H39="verified",1,0),IF(OR(H39="tested",H39="verified"),1,0)))</f>
        <v/>
      </c>
    </row>
    <row r="40" ht="26.25" customHeight="1" s="21">
      <c r="A40" s="38" t="inlineStr">
        <is>
          <t>CAR-32</t>
        </is>
      </c>
      <c r="B40" s="38" t="inlineStr">
        <is>
          <t>Consumer</t>
        </is>
      </c>
      <c r="C40" s="38" t="inlineStr">
        <is>
          <t>Component</t>
        </is>
      </c>
      <c r="D40" s="38" t="inlineStr">
        <is>
          <t>Independent consumer uses public Card for project, checklist, and invitation surfaces and passes ten browser checks</t>
        </is>
      </c>
      <c r="E40" s="38" t="inlineStr">
        <is>
          <t>consumer</t>
        </is>
      </c>
      <c r="F40" s="38" t="inlineStr">
        <is>
          <t>consumer</t>
        </is>
      </c>
      <c r="G40" s="38" t="inlineStr">
        <is>
          <t>../../../../apps/brick-consumer/tests/consumer.spec.ts</t>
        </is>
      </c>
      <c r="H40" s="38" t="inlineStr">
        <is>
          <t>verified</t>
        </is>
      </c>
      <c r="I40" s="38" t="inlineStr">
        <is>
          <t>yes</t>
        </is>
      </c>
      <c r="J40" s="40" t="n">
        <v>46220</v>
      </c>
      <c r="K40" s="38" t="n"/>
      <c r="L40" s="41" t="n">
        <v>1</v>
      </c>
      <c r="M40" s="41">
        <f>IF(H40="not applicable",IF(K40&lt;&gt;"",1,0),IF(I40="yes",IF(H40="verified",1,0),IF(OR(H40="tested",H40="verified"),1,0)))</f>
        <v/>
      </c>
    </row>
    <row r="41" ht="26.25" customHeight="1" s="21">
      <c r="A41" s="38" t="inlineStr">
        <is>
          <t>CAR-33</t>
        </is>
      </c>
      <c r="B41" s="38" t="inlineStr">
        <is>
          <t>Retirement</t>
        </is>
      </c>
      <c r="C41" s="38" t="inlineStr">
        <is>
          <t>Legacy Card family</t>
        </is>
      </c>
      <c r="D41" s="38" t="inlineStr">
        <is>
          <t>Legacy Card source, exports, compatibility, and stale evidence are removed only after dependents are resolved</t>
        </is>
      </c>
      <c r="E41" s="38" t="inlineStr">
        <is>
          <t>retirement</t>
        </is>
      </c>
      <c r="F41" s="38" t="inlineStr">
        <is>
          <t>removal</t>
        </is>
      </c>
      <c r="G41" s="38" t="inlineStr">
        <is>
          <t>../../docs/core-dependency-ledger.md</t>
        </is>
      </c>
      <c r="H41" s="38" t="inlineStr">
        <is>
          <t>blocked</t>
        </is>
      </c>
      <c r="I41" s="38" t="inlineStr">
        <is>
          <t>yes</t>
        </is>
      </c>
      <c r="J41" s="40" t="n">
        <v>46220</v>
      </c>
      <c r="K41" s="38" t="inlineStr">
        <is>
          <t>Dialog, Drawer, and AlertDialog still consume legacy Card parts or types.</t>
        </is>
      </c>
      <c r="L41" s="41" t="n">
        <v>1</v>
      </c>
      <c r="M41" s="41">
        <f>IF(H41="not applicable",IF(K41&lt;&gt;"",1,0),IF(I41="yes",IF(H41="verified",1,0),IF(OR(H41="tested",H41="verified"),1,0)))</f>
        <v/>
      </c>
    </row>
  </sheetData>
  <autoFilter ref="A8:M34"/>
  <mergeCells count="3">
    <mergeCell ref="A2:M2"/>
    <mergeCell ref="A6:M6"/>
    <mergeCell ref="A1:M1"/>
  </mergeCells>
  <conditionalFormatting sqref="H9:H41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1" showDropDown="0" showInputMessage="0" showErrorMessage="0" allowBlank="0" type="list" errorStyle="stop" operator="between">
      <formula1>_Lists!$A$1:$A$7</formula1>
      <formula2>0</formula2>
    </dataValidation>
    <dataValidation sqref="I9:I41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card/Card.tsx" r:id="rId1"/>
    <hyperlink xmlns:r="http://schemas.openxmlformats.org/officeDocument/2006/relationships" ref="G10" display="../../docs/card-component-brief.md" r:id="rId2"/>
    <hyperlink xmlns:r="http://schemas.openxmlformats.org/officeDocument/2006/relationships" ref="G11" display="../src/card.ts" r:id="rId3"/>
    <hyperlink xmlns:r="http://schemas.openxmlformats.org/officeDocument/2006/relationships" ref="G12" display="../test/components/card.test.tsx" r:id="rId4"/>
    <hyperlink xmlns:r="http://schemas.openxmlformats.org/officeDocument/2006/relationships" ref="G13" display="../test/components/card.test.tsx" r:id="rId5"/>
    <hyperlink xmlns:r="http://schemas.openxmlformats.org/officeDocument/2006/relationships" ref="G14" display="manual-tests/card.md" r:id="rId6"/>
    <hyperlink xmlns:r="http://schemas.openxmlformats.org/officeDocument/2006/relationships" ref="G15" display="../test/components/card.test.tsx" r:id="rId7"/>
    <hyperlink xmlns:r="http://schemas.openxmlformats.org/officeDocument/2006/relationships" ref="G16" display="../test/components/card.test.tsx" r:id="rId8"/>
    <hyperlink xmlns:r="http://schemas.openxmlformats.org/officeDocument/2006/relationships" ref="G17" display="tests/card.spec.ts" r:id="rId9"/>
    <hyperlink xmlns:r="http://schemas.openxmlformats.org/officeDocument/2006/relationships" ref="G18" display="../test/components/card.test.tsx" r:id="rId10"/>
    <hyperlink xmlns:r="http://schemas.openxmlformats.org/officeDocument/2006/relationships" ref="G19" display="manual-tests/card.md" r:id="rId11"/>
    <hyperlink xmlns:r="http://schemas.openxmlformats.org/officeDocument/2006/relationships" ref="G20" display="../src/components/card/card.css" r:id="rId12"/>
    <hyperlink xmlns:r="http://schemas.openxmlformats.org/officeDocument/2006/relationships" ref="G21" display="manual-tests/card.md" r:id="rId13"/>
    <hyperlink xmlns:r="http://schemas.openxmlformats.org/officeDocument/2006/relationships" ref="G22" display="manual-tests/card.md" r:id="rId14"/>
    <hyperlink xmlns:r="http://schemas.openxmlformats.org/officeDocument/2006/relationships" ref="G23" display="tests/card.spec.ts" r:id="rId15"/>
    <hyperlink xmlns:r="http://schemas.openxmlformats.org/officeDocument/2006/relationships" ref="G24" display="manual-tests/card.md" r:id="rId16"/>
    <hyperlink xmlns:r="http://schemas.openxmlformats.org/officeDocument/2006/relationships" ref="G25" display="tests/preferences.spec.ts" r:id="rId17"/>
    <hyperlink xmlns:r="http://schemas.openxmlformats.org/officeDocument/2006/relationships" ref="G26" display="manual-tests/card.md" r:id="rId18"/>
    <hyperlink xmlns:r="http://schemas.openxmlformats.org/officeDocument/2006/relationships" ref="G27" display="manual-tests/card.md" r:id="rId19"/>
    <hyperlink xmlns:r="http://schemas.openxmlformats.org/officeDocument/2006/relationships" ref="G28" display="tests/card.spec.ts" r:id="rId20"/>
    <hyperlink xmlns:r="http://schemas.openxmlformats.org/officeDocument/2006/relationships" ref="G29" display="../test/components/card.test.tsx" r:id="rId21"/>
    <hyperlink xmlns:r="http://schemas.openxmlformats.org/officeDocument/2006/relationships" ref="G30" display="../test/types/public-api.test.ts" r:id="rId22"/>
    <hyperlink xmlns:r="http://schemas.openxmlformats.org/officeDocument/2006/relationships" ref="G31" display="tests/card.spec.ts" r:id="rId23"/>
    <hyperlink xmlns:r="http://schemas.openxmlformats.org/officeDocument/2006/relationships" ref="G32" display="tests/foundation.spec.ts" r:id="rId24"/>
    <hyperlink xmlns:r="http://schemas.openxmlformats.org/officeDocument/2006/relationships" ref="G33" display="tests/visual.spec.ts" r:id="rId25"/>
    <hyperlink xmlns:r="http://schemas.openxmlformats.org/officeDocument/2006/relationships" ref="G34" display="../playwright.config.ts" r:id="rId26"/>
    <hyperlink xmlns:r="http://schemas.openxmlformats.org/officeDocument/2006/relationships" ref="G35" display="../test/package/ssr.test.mjs" r:id="rId27"/>
    <hyperlink xmlns:r="http://schemas.openxmlformats.org/officeDocument/2006/relationships" ref="G36" display="manual-tests/card.md" r:id="rId28"/>
    <hyperlink xmlns:r="http://schemas.openxmlformats.org/officeDocument/2006/relationships" ref="G37" display="manual-tests/card.md" r:id="rId29"/>
    <hyperlink xmlns:r="http://schemas.openxmlformats.org/officeDocument/2006/relationships" ref="G38" display="../docs/components/card/README.md" r:id="rId30"/>
    <hyperlink xmlns:r="http://schemas.openxmlformats.org/officeDocument/2006/relationships" ref="G39" display="../docs/components/card/CHANGELOG.md" r:id="rId31"/>
    <hyperlink xmlns:r="http://schemas.openxmlformats.org/officeDocument/2006/relationships" ref="G40" display="../../../../apps/brick-consumer/tests/consumer.spec.ts" r:id="rId32"/>
    <hyperlink xmlns:r="http://schemas.openxmlformats.org/officeDocument/2006/relationships" ref="G41" display="../../docs/core-dependency-ledger.md" r:id="rId33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34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32" min="1" max="1"/>
    <col width="18" customWidth="1" style="32" min="2" max="2"/>
    <col width="16" customWidth="1" style="32" min="3" max="3"/>
    <col width="54" customWidth="1" style="32" min="4" max="4"/>
    <col width="12" customWidth="1" style="32" min="5" max="5"/>
    <col width="16" customWidth="1" style="32" min="6" max="6"/>
    <col width="30" customWidth="1" style="32" min="7" max="7"/>
    <col width="18" customWidth="1" style="32" min="8" max="8"/>
    <col width="14" customWidth="1" style="32" min="9" max="9"/>
    <col width="15" customWidth="1" style="32" min="10" max="10"/>
    <col width="32" customWidth="1" style="32" min="11" max="11"/>
    <col width="9" customWidth="1" style="32" min="12" max="12"/>
    <col width="10" customWidth="1" style="32" min="13" max="13"/>
  </cols>
  <sheetData>
    <row r="1" ht="33.75" customHeight="1" s="21">
      <c r="A1" s="22" t="inlineStr">
        <is>
          <t>Dialog Evidence Matrix</t>
        </is>
      </c>
    </row>
    <row r="2" ht="33.75" customHeight="1" s="21">
      <c r="A2" s="23" t="inlineStr">
        <is>
          <t>Evidence gates for the adopted modal Dialog compound, its twelve public parts, package proof, consumer cutover, and dependency-blocked legacy retirement.</t>
        </is>
      </c>
    </row>
    <row r="4" ht="15" customHeight="1" s="21">
      <c r="A4" s="24" t="inlineStr">
        <is>
          <t>Requirements</t>
        </is>
      </c>
      <c r="B4" s="25">
        <f>COUNTA(A9:A45)</f>
        <v/>
      </c>
      <c r="C4" s="24" t="inlineStr">
        <is>
          <t>Resolved</t>
        </is>
      </c>
      <c r="D4" s="25">
        <f>SUM(M9:M45)</f>
        <v/>
      </c>
      <c r="E4" s="24" t="inlineStr">
        <is>
          <t>Completion</t>
        </is>
      </c>
      <c r="F4" s="26">
        <f>IFERROR(D4/SUM(L9:L45),0)</f>
        <v/>
      </c>
      <c r="G4" s="24" t="inlineStr">
        <is>
          <t>Blocked</t>
        </is>
      </c>
      <c r="H4" s="25">
        <f>COUNTIF(H9:H45,"blocked")</f>
        <v/>
      </c>
      <c r="I4" s="24" t="inlineStr">
        <is>
          <t>Package gate</t>
        </is>
      </c>
      <c r="J4" s="25">
        <f>IF(COUNTIFS(E9:E45,"package",M9:M45,"&lt;1")=0,"complete","open")</f>
        <v/>
      </c>
      <c r="K4" s="24" t="inlineStr">
        <is>
          <t>Retirement gate</t>
        </is>
      </c>
      <c r="L4" s="25">
        <f>IF(COUNTIFS(E9:E45,"retirement",M9:M45,"&lt;1")=0,"complete","open")</f>
        <v/>
      </c>
    </row>
    <row r="6" ht="15" customHeight="1" s="21">
      <c r="A6" s="37" t="inlineStr">
        <is>
          <t>Completion is formula-driven. Human-review rows require verified; other rows require tested or verified. Not applicable requires a reason.</t>
        </is>
      </c>
    </row>
    <row r="8" ht="33.75" customHeight="1" s="21">
      <c r="A8" s="27" t="inlineStr">
        <is>
          <t>ID</t>
        </is>
      </c>
      <c r="B8" s="27" t="inlineStr">
        <is>
          <t>Area</t>
        </is>
      </c>
      <c r="C8" s="27" t="inlineStr">
        <is>
          <t>Part</t>
        </is>
      </c>
      <c r="D8" s="27" t="inlineStr">
        <is>
          <t>Requirement</t>
        </is>
      </c>
      <c r="E8" s="27" t="inlineStr">
        <is>
          <t>Gate</t>
        </is>
      </c>
      <c r="F8" s="27" t="inlineStr">
        <is>
          <t>Evidence type</t>
        </is>
      </c>
      <c r="G8" s="27" t="inlineStr">
        <is>
          <t>Evidence / link</t>
        </is>
      </c>
      <c r="H8" s="27" t="inlineStr">
        <is>
          <t>Status</t>
        </is>
      </c>
      <c r="I8" s="27" t="inlineStr">
        <is>
          <t>Human review?</t>
        </is>
      </c>
      <c r="J8" s="27" t="inlineStr">
        <is>
          <t>Last verified</t>
        </is>
      </c>
      <c r="K8" s="27" t="inlineStr">
        <is>
          <t>Blocker / N/A reason</t>
        </is>
      </c>
      <c r="L8" s="27" t="inlineStr">
        <is>
          <t>Weight</t>
        </is>
      </c>
      <c r="M8" s="27" t="inlineStr">
        <is>
          <t>Resolved</t>
        </is>
      </c>
    </row>
    <row r="9" ht="42" customHeight="1" s="21">
      <c r="A9" s="38" t="inlineStr">
        <is>
          <t>DIA-01</t>
        </is>
      </c>
      <c r="B9" s="38" t="inlineStr">
        <is>
          <t>Public API</t>
        </is>
      </c>
      <c r="C9" s="38" t="inlineStr">
        <is>
          <t>Component</t>
        </is>
      </c>
      <c r="D9" s="38" t="inlineStr">
        <is>
          <t>Implementation directly composes public Atom 0.3.2 behavior without Core or local headless wrappers</t>
        </is>
      </c>
      <c r="E9" s="38" t="inlineStr">
        <is>
          <t>package</t>
        </is>
      </c>
      <c r="F9" s="38" t="inlineStr">
        <is>
          <t>source</t>
        </is>
      </c>
      <c r="G9" s="38" t="inlineStr">
        <is>
          <t>../src/components/dialog/Dialog.tsx</t>
        </is>
      </c>
      <c r="H9" s="38" t="inlineStr">
        <is>
          <t>tested</t>
        </is>
      </c>
      <c r="I9" s="38" t="inlineStr">
        <is>
          <t>no</t>
        </is>
      </c>
      <c r="J9" s="42" t="n">
        <v>46220</v>
      </c>
      <c r="K9" s="38" t="n"/>
      <c r="L9" s="41" t="n">
        <v>1</v>
      </c>
      <c r="M9" s="41">
        <f>IF(H9="not applicable",IF(K9&lt;&gt;"",1,0),IF(I9="yes",IF(H9="verified",1,0),IF(OR(H9="tested",H9="verified"),1,0)))</f>
        <v/>
      </c>
    </row>
    <row r="10" ht="42" customHeight="1" s="21">
      <c r="A10" s="38" t="inlineStr">
        <is>
          <t>DIA-02</t>
        </is>
      </c>
      <c r="B10" s="38" t="inlineStr">
        <is>
          <t>Boundary</t>
        </is>
      </c>
      <c r="C10" s="38" t="inlineStr">
        <is>
          <t>Component</t>
        </is>
      </c>
      <c r="D10" s="38" t="inlineStr">
        <is>
          <t>Adopted capability audit covers focus, nested layers, portals, isolation, scrolling, touch focus, presence, and dismissal; released Atom gaps are resolved</t>
        </is>
      </c>
      <c r="E10" s="38" t="inlineStr">
        <is>
          <t>package</t>
        </is>
      </c>
      <c r="F10" s="38" t="inlineStr">
        <is>
          <t>decision</t>
        </is>
      </c>
      <c r="G10" s="38" t="inlineStr">
        <is>
          <t>../../docs/dialog-component-brief.md</t>
        </is>
      </c>
      <c r="H10" s="38" t="inlineStr">
        <is>
          <t>verified</t>
        </is>
      </c>
      <c r="I10" s="38" t="inlineStr">
        <is>
          <t>yes</t>
        </is>
      </c>
      <c r="J10" s="42" t="n">
        <v>46220</v>
      </c>
      <c r="K10" s="38" t="n"/>
      <c r="L10" s="41" t="n">
        <v>1</v>
      </c>
      <c r="M10" s="41">
        <f>IF(H10="not applicable",IF(K10&lt;&gt;"",1,0),IF(I10="yes",IF(H10="verified",1,0),IF(OR(H10="tested",H10="verified"),1,0)))</f>
        <v/>
      </c>
    </row>
    <row r="11" ht="42" customHeight="1" s="21">
      <c r="A11" s="38" t="inlineStr">
        <is>
          <t>DIA-03</t>
        </is>
      </c>
      <c r="B11" s="38" t="inlineStr">
        <is>
          <t>Public API</t>
        </is>
      </c>
      <c r="C11" s="38" t="inlineStr">
        <is>
          <t>Namespace</t>
        </is>
      </c>
      <c r="D11" s="38" t="inlineStr">
        <is>
          <t>Root and dialog-subpath namespaces, direct part exports, declarations, and closed prop unions match the adopted brief</t>
        </is>
      </c>
      <c r="E11" s="38" t="inlineStr">
        <is>
          <t>package</t>
        </is>
      </c>
      <c r="F11" s="38" t="inlineStr">
        <is>
          <t>types</t>
        </is>
      </c>
      <c r="G11" s="38" t="inlineStr">
        <is>
          <t>../test/types/public-api.test.ts</t>
        </is>
      </c>
      <c r="H11" s="38" t="inlineStr">
        <is>
          <t>tested</t>
        </is>
      </c>
      <c r="I11" s="38" t="inlineStr">
        <is>
          <t>no</t>
        </is>
      </c>
      <c r="J11" s="42" t="n">
        <v>46220</v>
      </c>
      <c r="K11" s="38" t="n"/>
      <c r="L11" s="41" t="n">
        <v>1</v>
      </c>
      <c r="M11" s="41">
        <f>IF(H11="not applicable",IF(K11&lt;&gt;"",1,0),IF(I11="yes",IF(H11="verified",1,0),IF(OR(H11="tested",H11="verified"),1,0)))</f>
        <v/>
      </c>
    </row>
    <row r="12" ht="42" customHeight="1" s="21">
      <c r="A12" s="38" t="inlineStr">
        <is>
          <t>DIA-04</t>
        </is>
      </c>
      <c r="B12" s="38" t="inlineStr">
        <is>
          <t>Anatomy</t>
        </is>
      </c>
      <c r="C12" s="38" t="inlineStr">
        <is>
          <t>Root</t>
        </is>
      </c>
      <c r="D12" s="38" t="inlineStr">
        <is>
          <t>Atom owns exhaustive controlled and uncontrolled state and modal policy; Brick verifies disabled Root forwarding and representative close-reason preservation</t>
        </is>
      </c>
      <c r="E12" s="38" t="inlineStr">
        <is>
          <t>package</t>
        </is>
      </c>
      <c r="F12" s="38" t="inlineStr">
        <is>
          <t>test</t>
        </is>
      </c>
      <c r="G12" s="38" t="inlineStr">
        <is>
          <t>../test/components/dialog.test.tsx</t>
        </is>
      </c>
      <c r="H12" s="38" t="inlineStr">
        <is>
          <t>tested</t>
        </is>
      </c>
      <c r="I12" s="38" t="inlineStr">
        <is>
          <t>no</t>
        </is>
      </c>
      <c r="J12" s="42" t="n">
        <v>46221</v>
      </c>
      <c r="K12" s="38" t="n"/>
      <c r="L12" s="41" t="n">
        <v>1</v>
      </c>
      <c r="M12" s="41">
        <f>IF(H12="not applicable",IF(K12&lt;&gt;"",1,0),IF(I12="yes",IF(H12="verified",1,0),IF(OR(H12="tested",H12="verified"),1,0)))</f>
        <v/>
      </c>
    </row>
    <row r="13" ht="42" customHeight="1" s="21">
      <c r="A13" s="38" t="inlineStr">
        <is>
          <t>DIA-05</t>
        </is>
      </c>
      <c r="B13" s="38" t="inlineStr">
        <is>
          <t>Anatomy</t>
        </is>
      </c>
      <c r="C13" s="38" t="inlineStr">
        <is>
          <t>Trigger</t>
        </is>
      </c>
      <c r="D13" s="38" t="inlineStr">
        <is>
          <t>Trigger preserves disabled state, native props, ref, stable Brick hooks, and representative Atom asChild and render composition</t>
        </is>
      </c>
      <c r="E13" s="38" t="inlineStr">
        <is>
          <t>package</t>
        </is>
      </c>
      <c r="F13" s="38" t="inlineStr">
        <is>
          <t>test</t>
        </is>
      </c>
      <c r="G13" s="38" t="inlineStr">
        <is>
          <t>../test/components/dialog.test.tsx</t>
        </is>
      </c>
      <c r="H13" s="38" t="inlineStr">
        <is>
          <t>tested</t>
        </is>
      </c>
      <c r="I13" s="38" t="inlineStr">
        <is>
          <t>no</t>
        </is>
      </c>
      <c r="J13" s="42" t="n">
        <v>46221</v>
      </c>
      <c r="K13" s="38" t="n"/>
      <c r="L13" s="41" t="n">
        <v>1</v>
      </c>
      <c r="M13" s="41">
        <f>IF(H13="not applicable",IF(K13&lt;&gt;"",1,0),IF(I13="yes",IF(H13="verified",1,0),IF(OR(H13="tested",H13="verified"),1,0)))</f>
        <v/>
      </c>
    </row>
    <row r="14" ht="42" customHeight="1" s="21">
      <c r="A14" s="38" t="inlineStr">
        <is>
          <t>DIA-06</t>
        </is>
      </c>
      <c r="B14" s="38" t="inlineStr">
        <is>
          <t>Anatomy</t>
        </is>
      </c>
      <c r="C14" s="38" t="inlineStr">
        <is>
          <t>Portal</t>
        </is>
      </c>
      <c r="D14" s="38" t="inlineStr">
        <is>
          <t>Portal preserves default body, inline disabled, and custom-container composition without copying behavior into Brick</t>
        </is>
      </c>
      <c r="E14" s="38" t="inlineStr">
        <is>
          <t>package</t>
        </is>
      </c>
      <c r="F14" s="38" t="inlineStr">
        <is>
          <t>test</t>
        </is>
      </c>
      <c r="G14" s="38" t="inlineStr">
        <is>
          <t>../test/components/dialog.test.tsx + tests/dialog.spec.ts</t>
        </is>
      </c>
      <c r="H14" s="38" t="inlineStr">
        <is>
          <t>tested</t>
        </is>
      </c>
      <c r="I14" s="38" t="inlineStr">
        <is>
          <t>no</t>
        </is>
      </c>
      <c r="J14" s="42" t="n">
        <v>46221</v>
      </c>
      <c r="K14" s="38" t="n"/>
      <c r="L14" s="41" t="n">
        <v>1</v>
      </c>
      <c r="M14" s="41">
        <f>IF(H14="not applicable",IF(K14&lt;&gt;"",1,0),IF(I14="yes",IF(H14="verified",1,0),IF(OR(H14="tested",H14="verified"),1,0)))</f>
        <v/>
      </c>
    </row>
    <row r="15" ht="42" customHeight="1" s="21">
      <c r="A15" s="38" t="inlineStr">
        <is>
          <t>DIA-07</t>
        </is>
      </c>
      <c r="B15" s="38" t="inlineStr">
        <is>
          <t>Anatomy</t>
        </is>
      </c>
      <c r="C15" s="38" t="inlineStr">
        <is>
          <t>Overlay</t>
        </is>
      </c>
      <c r="D15" s="38" t="inlineStr">
        <is>
          <t>Overlay remains a sibling of Content, exposes the semantic scrim, and preserves exact-target and disabled dismissal behavior</t>
        </is>
      </c>
      <c r="E15" s="38" t="inlineStr">
        <is>
          <t>package</t>
        </is>
      </c>
      <c r="F15" s="38" t="inlineStr">
        <is>
          <t>test</t>
        </is>
      </c>
      <c r="G15" s="38" t="inlineStr">
        <is>
          <t>tests/dialog.spec.ts</t>
        </is>
      </c>
      <c r="H15" s="38" t="inlineStr">
        <is>
          <t>tested</t>
        </is>
      </c>
      <c r="I15" s="38" t="inlineStr">
        <is>
          <t>no</t>
        </is>
      </c>
      <c r="J15" s="42" t="n">
        <v>46221</v>
      </c>
      <c r="K15" s="38" t="n"/>
      <c r="L15" s="41" t="n">
        <v>1</v>
      </c>
      <c r="M15" s="41">
        <f>IF(H15="not applicable",IF(K15&lt;&gt;"",1,0),IF(I15="yes",IF(H15="verified",1,0),IF(OR(H15="tested",H15="verified"),1,0)))</f>
        <v/>
      </c>
    </row>
    <row r="16" ht="42" customHeight="1" s="21">
      <c r="A16" s="38" t="inlineStr">
        <is>
          <t>DIA-08</t>
        </is>
      </c>
      <c r="B16" s="38" t="inlineStr">
        <is>
          <t>Anatomy</t>
        </is>
      </c>
      <c r="C16" s="38" t="inlineStr">
        <is>
          <t>Content</t>
        </is>
      </c>
      <c r="D16" s="38" t="inlineStr">
        <is>
          <t>Modal semantics, ARIA ownership, focus scope, native props, ref, stable hooks, and sm, md, and lg sizes follow the adopted contract</t>
        </is>
      </c>
      <c r="E16" s="38" t="inlineStr">
        <is>
          <t>package</t>
        </is>
      </c>
      <c r="F16" s="38" t="inlineStr">
        <is>
          <t>test</t>
        </is>
      </c>
      <c r="G16" s="38" t="inlineStr">
        <is>
          <t>../test/components/dialog.test.tsx</t>
        </is>
      </c>
      <c r="H16" s="38" t="inlineStr">
        <is>
          <t>tested</t>
        </is>
      </c>
      <c r="I16" s="38" t="inlineStr">
        <is>
          <t>no</t>
        </is>
      </c>
      <c r="J16" s="42" t="n">
        <v>46220</v>
      </c>
      <c r="K16" s="38" t="n"/>
      <c r="L16" s="41" t="n">
        <v>1</v>
      </c>
      <c r="M16" s="41">
        <f>IF(H16="not applicable",IF(K16&lt;&gt;"",1,0),IF(I16="yes",IF(H16="verified",1,0),IF(OR(H16="tested",H16="verified"),1,0)))</f>
        <v/>
      </c>
    </row>
    <row r="17" ht="42" customHeight="1" s="21">
      <c r="A17" s="38" t="inlineStr">
        <is>
          <t>DIA-09</t>
        </is>
      </c>
      <c r="B17" s="38" t="inlineStr">
        <is>
          <t>Anatomy</t>
        </is>
      </c>
      <c r="C17" s="38" t="inlineStr">
        <is>
          <t>Header</t>
        </is>
      </c>
      <c r="D17" s="38" t="inlineStr">
        <is>
          <t>Header renders one native visual region for title, description, and optional explicit controls without generated behavior</t>
        </is>
      </c>
      <c r="E17" s="38" t="inlineStr">
        <is>
          <t>package</t>
        </is>
      </c>
      <c r="F17" s="38" t="inlineStr">
        <is>
          <t>test</t>
        </is>
      </c>
      <c r="G17" s="38" t="inlineStr">
        <is>
          <t>../test/components/dialog.test.tsx</t>
        </is>
      </c>
      <c r="H17" s="38" t="inlineStr">
        <is>
          <t>tested</t>
        </is>
      </c>
      <c r="I17" s="38" t="inlineStr">
        <is>
          <t>no</t>
        </is>
      </c>
      <c r="J17" s="42" t="n">
        <v>46220</v>
      </c>
      <c r="K17" s="38" t="n"/>
      <c r="L17" s="41" t="n">
        <v>1</v>
      </c>
      <c r="M17" s="41">
        <f>IF(H17="not applicable",IF(K17&lt;&gt;"",1,0),IF(I17="yes",IF(H17="verified",1,0),IF(OR(H17="tested",H17="verified"),1,0)))</f>
        <v/>
      </c>
    </row>
    <row r="18" ht="42" customHeight="1" s="21">
      <c r="A18" s="38" t="inlineStr">
        <is>
          <t>DIA-10</t>
        </is>
      </c>
      <c r="B18" s="38" t="inlineStr">
        <is>
          <t>Anatomy</t>
        </is>
      </c>
      <c r="C18" s="38" t="inlineStr">
        <is>
          <t>Title</t>
        </is>
      </c>
      <c r="D18" s="38" t="inlineStr">
        <is>
          <t>Visible accessible naming, the default h2, and a representative h1 override preserve Atom ARIA relationships and heading forwarding</t>
        </is>
      </c>
      <c r="E18" s="38" t="inlineStr">
        <is>
          <t>package</t>
        </is>
      </c>
      <c r="F18" s="38" t="inlineStr">
        <is>
          <t>test</t>
        </is>
      </c>
      <c r="G18" s="38" t="inlineStr">
        <is>
          <t>../test/components/dialog.test.tsx</t>
        </is>
      </c>
      <c r="H18" s="38" t="inlineStr">
        <is>
          <t>tested</t>
        </is>
      </c>
      <c r="I18" s="38" t="inlineStr">
        <is>
          <t>no</t>
        </is>
      </c>
      <c r="J18" s="42" t="n">
        <v>46221</v>
      </c>
      <c r="K18" s="38" t="n"/>
      <c r="L18" s="41" t="n">
        <v>1</v>
      </c>
      <c r="M18" s="41">
        <f>IF(H18="not applicable",IF(K18&lt;&gt;"",1,0),IF(I18="yes",IF(H18="verified",1,0),IF(OR(H18="tested",H18="verified"),1,0)))</f>
        <v/>
      </c>
    </row>
    <row r="19" ht="42" customHeight="1" s="21">
      <c r="A19" s="38" t="inlineStr">
        <is>
          <t>DIA-11</t>
        </is>
      </c>
      <c r="B19" s="38" t="inlineStr">
        <is>
          <t>Anatomy</t>
        </is>
      </c>
      <c r="C19" s="38" t="inlineStr">
        <is>
          <t>Description</t>
        </is>
      </c>
      <c r="D19" s="38" t="inlineStr">
        <is>
          <t>Optional paragraph content supplies the accessible description without inventing copy or empty relationships</t>
        </is>
      </c>
      <c r="E19" s="38" t="inlineStr">
        <is>
          <t>package</t>
        </is>
      </c>
      <c r="F19" s="38" t="inlineStr">
        <is>
          <t>test</t>
        </is>
      </c>
      <c r="G19" s="38" t="inlineStr">
        <is>
          <t>../test/components/dialog.test.tsx</t>
        </is>
      </c>
      <c r="H19" s="38" t="inlineStr">
        <is>
          <t>tested</t>
        </is>
      </c>
      <c r="I19" s="38" t="inlineStr">
        <is>
          <t>no</t>
        </is>
      </c>
      <c r="J19" s="42" t="n">
        <v>46220</v>
      </c>
      <c r="K19" s="38" t="n"/>
      <c r="L19" s="41" t="n">
        <v>1</v>
      </c>
      <c r="M19" s="41">
        <f>IF(H19="not applicable",IF(K19&lt;&gt;"",1,0),IF(I19="yes",IF(H19="verified",1,0),IF(OR(H19="tested",H19="verified"),1,0)))</f>
        <v/>
      </c>
    </row>
    <row r="20" ht="42" customHeight="1" s="21">
      <c r="A20" s="38" t="inlineStr">
        <is>
          <t>DIA-12</t>
        </is>
      </c>
      <c r="B20" s="38" t="inlineStr">
        <is>
          <t>Anatomy</t>
        </is>
      </c>
      <c r="C20" s="38" t="inlineStr">
        <is>
          <t>Body</t>
        </is>
      </c>
      <c r="D20" s="38" t="inlineStr">
        <is>
          <t>Bounded body scrolling keeps long content readable without moving Header, Footer, or the background page</t>
        </is>
      </c>
      <c r="E20" s="38" t="inlineStr">
        <is>
          <t>package</t>
        </is>
      </c>
      <c r="F20" s="38" t="inlineStr">
        <is>
          <t>manual</t>
        </is>
      </c>
      <c r="G20" s="38" t="inlineStr">
        <is>
          <t>manual-tests/dialog.md</t>
        </is>
      </c>
      <c r="H20" s="38" t="inlineStr">
        <is>
          <t>verified</t>
        </is>
      </c>
      <c r="I20" s="38" t="inlineStr">
        <is>
          <t>yes</t>
        </is>
      </c>
      <c r="J20" s="42" t="n">
        <v>46220</v>
      </c>
      <c r="K20" s="38" t="n"/>
      <c r="L20" s="41" t="n">
        <v>1</v>
      </c>
      <c r="M20" s="41">
        <f>IF(H20="not applicable",IF(K20&lt;&gt;"",1,0),IF(I20="yes",IF(H20="verified",1,0),IF(OR(H20="tested",H20="verified"),1,0)))</f>
        <v/>
      </c>
    </row>
    <row r="21" ht="42" customHeight="1" s="21">
      <c r="A21" s="38" t="inlineStr">
        <is>
          <t>DIA-13</t>
        </is>
      </c>
      <c r="B21" s="38" t="inlineStr">
        <is>
          <t>Anatomy</t>
        </is>
      </c>
      <c r="C21" s="38" t="inlineStr">
        <is>
          <t>Footer</t>
        </is>
      </c>
      <c r="D21" s="38" t="inlineStr">
        <is>
          <t>Consumer-selected actions preserve source order, wrap logically, and remain reachable at narrow and keyboard-constrained heights</t>
        </is>
      </c>
      <c r="E21" s="38" t="inlineStr">
        <is>
          <t>package</t>
        </is>
      </c>
      <c r="F21" s="38" t="inlineStr">
        <is>
          <t>manual</t>
        </is>
      </c>
      <c r="G21" s="38" t="inlineStr">
        <is>
          <t>manual-tests/dialog.md</t>
        </is>
      </c>
      <c r="H21" s="38" t="inlineStr">
        <is>
          <t>verified</t>
        </is>
      </c>
      <c r="I21" s="38" t="inlineStr">
        <is>
          <t>yes</t>
        </is>
      </c>
      <c r="J21" s="42" t="n">
        <v>46220</v>
      </c>
      <c r="K21" s="38" t="n"/>
      <c r="L21" s="41" t="n">
        <v>1</v>
      </c>
      <c r="M21" s="41">
        <f>IF(H21="not applicable",IF(K21&lt;&gt;"",1,0),IF(I21="yes",IF(H21="verified",1,0),IF(OR(H21="tested",H21="verified"),1,0)))</f>
        <v/>
      </c>
    </row>
    <row r="22" ht="42" customHeight="1" s="21">
      <c r="A22" s="38" t="inlineStr">
        <is>
          <t>DIA-14</t>
        </is>
      </c>
      <c r="B22" s="38" t="inlineStr">
        <is>
          <t>Anatomy</t>
        </is>
      </c>
      <c r="C22" s="38" t="inlineStr">
        <is>
          <t>Close</t>
        </is>
      </c>
      <c r="D22" s="38" t="inlineStr">
        <is>
          <t>Close preserves native props, ref, stable Brick hooks, representative asChild and render composition, and the closeClick reason</t>
        </is>
      </c>
      <c r="E22" s="38" t="inlineStr">
        <is>
          <t>package</t>
        </is>
      </c>
      <c r="F22" s="38" t="inlineStr">
        <is>
          <t>test</t>
        </is>
      </c>
      <c r="G22" s="38" t="inlineStr">
        <is>
          <t>../test/components/dialog.test.tsx</t>
        </is>
      </c>
      <c r="H22" s="38" t="inlineStr">
        <is>
          <t>tested</t>
        </is>
      </c>
      <c r="I22" s="38" t="inlineStr">
        <is>
          <t>no</t>
        </is>
      </c>
      <c r="J22" s="42" t="n">
        <v>46221</v>
      </c>
      <c r="K22" s="38" t="n"/>
      <c r="L22" s="41" t="n">
        <v>1</v>
      </c>
      <c r="M22" s="41">
        <f>IF(H22="not applicable",IF(K22&lt;&gt;"",1,0),IF(I22="yes",IF(H22="verified",1,0),IF(OR(H22="tested",H22="verified"),1,0)))</f>
        <v/>
      </c>
    </row>
    <row r="23" ht="42" customHeight="1" s="21">
      <c r="A23" s="38" t="inlineStr">
        <is>
          <t>DIA-15</t>
        </is>
      </c>
      <c r="B23" s="38" t="inlineStr">
        <is>
          <t>Anatomy</t>
        </is>
      </c>
      <c r="C23" s="38" t="inlineStr">
        <is>
          <t>Branch</t>
        </is>
      </c>
      <c r="D23" s="38" t="inlineStr">
        <is>
          <t>Branch preserves Atom registration ownership while Brick verifies render composition, native forwarding, ref wiring, and stable styling hooks</t>
        </is>
      </c>
      <c r="E23" s="38" t="inlineStr">
        <is>
          <t>package</t>
        </is>
      </c>
      <c r="F23" s="38" t="inlineStr">
        <is>
          <t>test</t>
        </is>
      </c>
      <c r="G23" s="38" t="inlineStr">
        <is>
          <t>../test/components/dialog.test.tsx</t>
        </is>
      </c>
      <c r="H23" s="38" t="inlineStr">
        <is>
          <t>tested</t>
        </is>
      </c>
      <c r="I23" s="38" t="inlineStr">
        <is>
          <t>no</t>
        </is>
      </c>
      <c r="J23" s="42" t="n">
        <v>46221</v>
      </c>
      <c r="K23" s="38" t="n"/>
      <c r="L23" s="41" t="n">
        <v>1</v>
      </c>
      <c r="M23" s="41">
        <f>IF(H23="not applicable",IF(K23&lt;&gt;"",1,0),IF(I23="yes",IF(H23="verified",1,0),IF(OR(H23="tested",H23="verified"),1,0)))</f>
        <v/>
      </c>
    </row>
    <row r="24" ht="42" customHeight="1" s="21">
      <c r="A24" s="38" t="inlineStr">
        <is>
          <t>DIA-16</t>
        </is>
      </c>
      <c r="B24" s="38" t="inlineStr">
        <is>
          <t>Visual system</t>
        </is>
      </c>
      <c r="C24" s="38" t="inlineStr">
        <is>
          <t>All parts</t>
        </is>
      </c>
      <c r="D24" s="38" t="inlineStr">
        <is>
          <t>Compiled CSS uses public Brick classes, component tokens, layers, logical properties, semantic roles, and direction-neutral centering</t>
        </is>
      </c>
      <c r="E24" s="38" t="inlineStr">
        <is>
          <t>package</t>
        </is>
      </c>
      <c r="F24" s="38" t="inlineStr">
        <is>
          <t>source</t>
        </is>
      </c>
      <c r="G24" s="38" t="inlineStr">
        <is>
          <t>../src/components/dialog/dialog.css</t>
        </is>
      </c>
      <c r="H24" s="38" t="inlineStr">
        <is>
          <t>tested</t>
        </is>
      </c>
      <c r="I24" s="38" t="inlineStr">
        <is>
          <t>no</t>
        </is>
      </c>
      <c r="J24" s="42" t="n">
        <v>46220</v>
      </c>
      <c r="K24" s="38" t="n"/>
      <c r="L24" s="41" t="n">
        <v>1</v>
      </c>
      <c r="M24" s="41">
        <f>IF(H24="not applicable",IF(K24&lt;&gt;"",1,0),IF(I24="yes",IF(H24="verified",1,0),IF(OR(H24="tested",H24="verified"),1,0)))</f>
        <v/>
      </c>
    </row>
    <row r="25" ht="42" customHeight="1" s="21">
      <c r="A25" s="38" t="inlineStr">
        <is>
          <t>DIA-17</t>
        </is>
      </c>
      <c r="B25" s="38" t="inlineStr">
        <is>
          <t>Visual system</t>
        </is>
      </c>
      <c r="C25" s="38" t="inlineStr">
        <is>
          <t>Content</t>
        </is>
      </c>
      <c r="D25" s="38" t="inlineStr">
        <is>
          <t>The semantic overlay recipe, border, elevation, spacing, three sizes, and reduced-motion states remain distinct and coherent</t>
        </is>
      </c>
      <c r="E25" s="38" t="inlineStr">
        <is>
          <t>package</t>
        </is>
      </c>
      <c r="F25" s="38" t="inlineStr">
        <is>
          <t>manual</t>
        </is>
      </c>
      <c r="G25" s="38" t="inlineStr">
        <is>
          <t>manual-tests/dialog.md</t>
        </is>
      </c>
      <c r="H25" s="38" t="inlineStr">
        <is>
          <t>verified</t>
        </is>
      </c>
      <c r="I25" s="38" t="inlineStr">
        <is>
          <t>yes</t>
        </is>
      </c>
      <c r="J25" s="42" t="n">
        <v>46220</v>
      </c>
      <c r="K25" s="38" t="n"/>
      <c r="L25" s="41" t="n">
        <v>1</v>
      </c>
      <c r="M25" s="41">
        <f>IF(H25="not applicable",IF(K25&lt;&gt;"",1,0),IF(I25="yes",IF(H25="verified",1,0),IF(OR(H25="tested",H25="verified"),1,0)))</f>
        <v/>
      </c>
    </row>
    <row r="26" ht="42" customHeight="1" s="21">
      <c r="A26" s="38" t="inlineStr">
        <is>
          <t>DIA-18</t>
        </is>
      </c>
      <c r="B26" s="38" t="inlineStr">
        <is>
          <t>Playground</t>
        </is>
      </c>
      <c r="C26" s="38" t="inlineStr">
        <is>
          <t>All parts</t>
        </is>
      </c>
      <c r="D26" s="38" t="inlineStr">
        <is>
          <t>The nine-section deterministic workbench uses public Dialog anatomy and Brick Button composition</t>
        </is>
      </c>
      <c r="E26" s="38" t="inlineStr">
        <is>
          <t>package</t>
        </is>
      </c>
      <c r="F26" s="38" t="inlineStr">
        <is>
          <t>playground</t>
        </is>
      </c>
      <c r="G26" s="38" t="inlineStr">
        <is>
          <t>manual-tests/dialog.md</t>
        </is>
      </c>
      <c r="H26" s="38" t="inlineStr">
        <is>
          <t>verified</t>
        </is>
      </c>
      <c r="I26" s="38" t="inlineStr">
        <is>
          <t>yes</t>
        </is>
      </c>
      <c r="J26" s="42" t="n">
        <v>46220</v>
      </c>
      <c r="K26" s="38" t="n"/>
      <c r="L26" s="41" t="n">
        <v>1</v>
      </c>
      <c r="M26" s="41">
        <f>IF(H26="not applicable",IF(K26&lt;&gt;"",1,0),IF(I26="yes",IF(H26="verified",1,0),IF(OR(H26="tested",H26="verified"),1,0)))</f>
        <v/>
      </c>
    </row>
    <row r="27" ht="42" customHeight="1" s="21">
      <c r="A27" s="38" t="inlineStr">
        <is>
          <t>DIA-19</t>
        </is>
      </c>
      <c r="B27" s="38" t="inlineStr">
        <is>
          <t>Playground</t>
        </is>
      </c>
      <c r="C27" s="38" t="inlineStr">
        <is>
          <t>Component</t>
        </is>
      </c>
      <c r="D27" s="38" t="inlineStr">
        <is>
          <t>Overview, sizes, anatomy, dismissal, nesting, scoped appearance, customization, long content, and RTL scenarios are represented</t>
        </is>
      </c>
      <c r="E27" s="38" t="inlineStr">
        <is>
          <t>package</t>
        </is>
      </c>
      <c r="F27" s="38" t="inlineStr">
        <is>
          <t>playground</t>
        </is>
      </c>
      <c r="G27" s="38" t="inlineStr">
        <is>
          <t>tests/dialog.spec.ts</t>
        </is>
      </c>
      <c r="H27" s="38" t="inlineStr">
        <is>
          <t>verified</t>
        </is>
      </c>
      <c r="I27" s="38" t="inlineStr">
        <is>
          <t>yes</t>
        </is>
      </c>
      <c r="J27" s="42" t="n">
        <v>46220</v>
      </c>
      <c r="K27" s="38" t="n"/>
      <c r="L27" s="41" t="n">
        <v>1</v>
      </c>
      <c r="M27" s="41">
        <f>IF(H27="not applicable",IF(K27&lt;&gt;"",1,0),IF(I27="yes",IF(H27="verified",1,0),IF(OR(H27="tested",H27="verified"),1,0)))</f>
        <v/>
      </c>
    </row>
    <row r="28" ht="42" customHeight="1" s="21">
      <c r="A28" s="38" t="inlineStr">
        <is>
          <t>DIA-20</t>
        </is>
      </c>
      <c r="B28" s="38" t="inlineStr">
        <is>
          <t>Playground</t>
        </is>
      </c>
      <c r="C28" s="38" t="inlineStr">
        <is>
          <t>Content</t>
        </is>
      </c>
      <c r="D28" s="38" t="inlineStr">
        <is>
          <t>Mobile-first constrained and intentional wide layouts preserve viewport gaps, bounded height, body scrolling, and reachable actions</t>
        </is>
      </c>
      <c r="E28" s="38" t="inlineStr">
        <is>
          <t>package</t>
        </is>
      </c>
      <c r="F28" s="38" t="inlineStr">
        <is>
          <t>manual</t>
        </is>
      </c>
      <c r="G28" s="38" t="inlineStr">
        <is>
          <t>manual-tests/dialog.md</t>
        </is>
      </c>
      <c r="H28" s="38" t="inlineStr">
        <is>
          <t>verified</t>
        </is>
      </c>
      <c r="I28" s="38" t="inlineStr">
        <is>
          <t>yes</t>
        </is>
      </c>
      <c r="J28" s="42" t="n">
        <v>46220</v>
      </c>
      <c r="K28" s="38" t="n"/>
      <c r="L28" s="41" t="n">
        <v>1</v>
      </c>
      <c r="M28" s="41">
        <f>IF(H28="not applicable",IF(K28&lt;&gt;"",1,0),IF(I28="yes",IF(H28="verified",1,0),IF(OR(H28="tested",H28="verified"),1,0)))</f>
        <v/>
      </c>
    </row>
    <row r="29" ht="42" customHeight="1" s="21">
      <c r="A29" s="38" t="inlineStr">
        <is>
          <t>DIA-21</t>
        </is>
      </c>
      <c r="B29" s="38" t="inlineStr">
        <is>
          <t>Playground</t>
        </is>
      </c>
      <c r="C29" s="38" t="inlineStr">
        <is>
          <t>All parts</t>
        </is>
      </c>
      <c r="D29" s="38" t="inlineStr">
        <is>
          <t>Light, dark, scoped appearance, forced colors, and reduced motion retain hierarchy, boundaries, and focus visibility</t>
        </is>
      </c>
      <c r="E29" s="38" t="inlineStr">
        <is>
          <t>package</t>
        </is>
      </c>
      <c r="F29" s="38" t="inlineStr">
        <is>
          <t>test</t>
        </is>
      </c>
      <c r="G29" s="38" t="inlineStr">
        <is>
          <t>tests/visual.spec.ts</t>
        </is>
      </c>
      <c r="H29" s="38" t="inlineStr">
        <is>
          <t>verified</t>
        </is>
      </c>
      <c r="I29" s="38" t="inlineStr">
        <is>
          <t>yes</t>
        </is>
      </c>
      <c r="J29" s="42" t="n">
        <v>46220</v>
      </c>
      <c r="K29" s="38" t="n"/>
      <c r="L29" s="41" t="n">
        <v>1</v>
      </c>
      <c r="M29" s="41">
        <f>IF(H29="not applicable",IF(K29&lt;&gt;"",1,0),IF(I29="yes",IF(H29="verified",1,0),IF(OR(H29="tested",H29="verified"),1,0)))</f>
        <v/>
      </c>
    </row>
    <row r="30" ht="42" customHeight="1" s="21">
      <c r="A30" s="38" t="inlineStr">
        <is>
          <t>DIA-22</t>
        </is>
      </c>
      <c r="B30" s="38" t="inlineStr">
        <is>
          <t>Playground</t>
        </is>
      </c>
      <c r="C30" s="38" t="inlineStr">
        <is>
          <t>All parts</t>
        </is>
      </c>
      <c r="D30" s="38" t="inlineStr">
        <is>
          <t>Long content, unbroken text, localization, 200 and 400 percent zoom, narrow widths, and RTL remain contained and readable</t>
        </is>
      </c>
      <c r="E30" s="38" t="inlineStr">
        <is>
          <t>package</t>
        </is>
      </c>
      <c r="F30" s="38" t="inlineStr">
        <is>
          <t>manual</t>
        </is>
      </c>
      <c r="G30" s="38" t="inlineStr">
        <is>
          <t>manual-tests/dialog.md</t>
        </is>
      </c>
      <c r="H30" s="38" t="inlineStr">
        <is>
          <t>verified</t>
        </is>
      </c>
      <c r="I30" s="38" t="inlineStr">
        <is>
          <t>yes</t>
        </is>
      </c>
      <c r="J30" s="42" t="n">
        <v>46220</v>
      </c>
      <c r="K30" s="38" t="n"/>
      <c r="L30" s="41" t="n">
        <v>1</v>
      </c>
      <c r="M30" s="41">
        <f>IF(H30="not applicable",IF(K30&lt;&gt;"",1,0),IF(I30="yes",IF(H30="verified",1,0),IF(OR(H30="tested",H30="verified"),1,0)))</f>
        <v/>
      </c>
    </row>
    <row r="31" ht="42" customHeight="1" s="21">
      <c r="A31" s="38" t="inlineStr">
        <is>
          <t>DIA-23</t>
        </is>
      </c>
      <c r="B31" s="38" t="inlineStr">
        <is>
          <t>Playground</t>
        </is>
      </c>
      <c r="C31" s="38" t="inlineStr">
        <is>
          <t>All parts</t>
        </is>
      </c>
      <c r="D31" s="38" t="inlineStr">
        <is>
          <t>Public Dialog tokens, stable classes, style, data attributes, and overridable part slots remain local and inspectable</t>
        </is>
      </c>
      <c r="E31" s="38" t="inlineStr">
        <is>
          <t>package</t>
        </is>
      </c>
      <c r="F31" s="38" t="inlineStr">
        <is>
          <t>manual</t>
        </is>
      </c>
      <c r="G31" s="38" t="inlineStr">
        <is>
          <t>manual-tests/dialog.md</t>
        </is>
      </c>
      <c r="H31" s="38" t="inlineStr">
        <is>
          <t>verified</t>
        </is>
      </c>
      <c r="I31" s="38" t="inlineStr">
        <is>
          <t>yes</t>
        </is>
      </c>
      <c r="J31" s="42" t="n">
        <v>46220</v>
      </c>
      <c r="K31" s="38" t="n"/>
      <c r="L31" s="41" t="n">
        <v>1</v>
      </c>
      <c r="M31" s="41">
        <f>IF(H31="not applicable",IF(K31&lt;&gt;"",1,0),IF(I31="yes",IF(H31="verified",1,0),IF(OR(H31="tested",H31="verified"),1,0)))</f>
        <v/>
      </c>
    </row>
    <row r="32" ht="42" customHeight="1" s="21">
      <c r="A32" s="38" t="inlineStr">
        <is>
          <t>DIA-24</t>
        </is>
      </c>
      <c r="B32" s="38" t="inlineStr">
        <is>
          <t>Playground</t>
        </is>
      </c>
      <c r="C32" s="38" t="inlineStr">
        <is>
          <t>Component</t>
        </is>
      </c>
      <c r="D32" s="38" t="inlineStr">
        <is>
          <t>Stable Dialog route and deterministic selectors support repeatable browser and visual checks</t>
        </is>
      </c>
      <c r="E32" s="38" t="inlineStr">
        <is>
          <t>package</t>
        </is>
      </c>
      <c r="F32" s="38" t="inlineStr">
        <is>
          <t>playground</t>
        </is>
      </c>
      <c r="G32" s="38" t="inlineStr">
        <is>
          <t>tests/dialog.spec.ts</t>
        </is>
      </c>
      <c r="H32" s="38" t="inlineStr">
        <is>
          <t>tested</t>
        </is>
      </c>
      <c r="I32" s="38" t="inlineStr">
        <is>
          <t>no</t>
        </is>
      </c>
      <c r="J32" s="42" t="n">
        <v>46220</v>
      </c>
      <c r="K32" s="38" t="n"/>
      <c r="L32" s="41" t="n">
        <v>1</v>
      </c>
      <c r="M32" s="41">
        <f>IF(H32="not applicable",IF(K32&lt;&gt;"",1,0),IF(I32="yes",IF(H32="verified",1,0),IF(OR(H32="tested",H32="verified"),1,0)))</f>
        <v/>
      </c>
    </row>
    <row r="33" ht="42" customHeight="1" s="21">
      <c r="A33" s="38" t="inlineStr">
        <is>
          <t>DIA-25</t>
        </is>
      </c>
      <c r="B33" s="38" t="inlineStr">
        <is>
          <t>Automated tests</t>
        </is>
      </c>
      <c r="C33" s="38" t="inlineStr">
        <is>
          <t>All parts</t>
        </is>
      </c>
      <c r="D33" s="38" t="inlineStr">
        <is>
          <t>Vitest and Testing Library cover default DOM, native contracts, disabled Root, asChild and render composition, portal container, heading override, sizes, ARIA, close reason, and namespace identity</t>
        </is>
      </c>
      <c r="E33" s="38" t="inlineStr">
        <is>
          <t>package</t>
        </is>
      </c>
      <c r="F33" s="38" t="inlineStr">
        <is>
          <t>test</t>
        </is>
      </c>
      <c r="G33" s="38" t="inlineStr">
        <is>
          <t>../test/components/dialog.test.tsx</t>
        </is>
      </c>
      <c r="H33" s="38" t="inlineStr">
        <is>
          <t>tested</t>
        </is>
      </c>
      <c r="I33" s="38" t="inlineStr">
        <is>
          <t>no</t>
        </is>
      </c>
      <c r="J33" s="42" t="n">
        <v>46221</v>
      </c>
      <c r="K33" s="38" t="n"/>
      <c r="L33" s="41" t="n">
        <v>1</v>
      </c>
      <c r="M33" s="41">
        <f>IF(H33="not applicable",IF(K33&lt;&gt;"",1,0),IF(I33="yes",IF(H33="verified",1,0),IF(OR(H33="tested",H33="verified"),1,0)))</f>
        <v/>
      </c>
    </row>
    <row r="34" ht="42" customHeight="1" s="21">
      <c r="A34" s="38" t="inlineStr">
        <is>
          <t>DIA-26</t>
        </is>
      </c>
      <c r="B34" s="38" t="inlineStr">
        <is>
          <t>Automated tests</t>
        </is>
      </c>
      <c r="C34" s="38" t="inlineStr">
        <is>
          <t>Namespace</t>
        </is>
      </c>
      <c r="D34" s="38" t="inlineStr">
        <is>
          <t>Public types, declarations, invalid size and flat-call exclusions, root exports, and dialog-subpath fixtures pass</t>
        </is>
      </c>
      <c r="E34" s="38" t="inlineStr">
        <is>
          <t>package</t>
        </is>
      </c>
      <c r="F34" s="38" t="inlineStr">
        <is>
          <t>test</t>
        </is>
      </c>
      <c r="G34" s="38" t="inlineStr">
        <is>
          <t>../test/types/public-api.test.ts</t>
        </is>
      </c>
      <c r="H34" s="38" t="inlineStr">
        <is>
          <t>tested</t>
        </is>
      </c>
      <c r="I34" s="38" t="inlineStr">
        <is>
          <t>no</t>
        </is>
      </c>
      <c r="J34" s="42" t="n">
        <v>46220</v>
      </c>
      <c r="K34" s="38" t="n"/>
      <c r="L34" s="41" t="n">
        <v>1</v>
      </c>
      <c r="M34" s="41">
        <f>IF(H34="not applicable",IF(K34&lt;&gt;"",1,0),IF(I34="yes",IF(H34="verified",1,0),IF(OR(H34="tested",H34="verified"),1,0)))</f>
        <v/>
      </c>
    </row>
    <row r="35" ht="42" customHeight="1" s="21">
      <c r="A35" s="38" t="inlineStr">
        <is>
          <t>DIA-27</t>
        </is>
      </c>
      <c r="B35" s="38" t="inlineStr">
        <is>
          <t>Automated tests</t>
        </is>
      </c>
      <c r="C35" s="38" t="inlineStr">
        <is>
          <t>Component</t>
        </is>
      </c>
      <c r="D35" s="38" t="inlineStr">
        <is>
          <t>Playwright verifies modal anatomy, focus containment and restoration, dismissal, disabled Trigger and Overlay paths, nested cleanup, RTL, and mobile geometry</t>
        </is>
      </c>
      <c r="E35" s="38" t="inlineStr">
        <is>
          <t>package</t>
        </is>
      </c>
      <c r="F35" s="38" t="inlineStr">
        <is>
          <t>test</t>
        </is>
      </c>
      <c r="G35" s="38" t="inlineStr">
        <is>
          <t>tests/dialog.spec.ts</t>
        </is>
      </c>
      <c r="H35" s="38" t="inlineStr">
        <is>
          <t>tested</t>
        </is>
      </c>
      <c r="I35" s="38" t="inlineStr">
        <is>
          <t>no</t>
        </is>
      </c>
      <c r="J35" s="42" t="n">
        <v>46221</v>
      </c>
      <c r="K35" s="38" t="n"/>
      <c r="L35" s="41" t="n">
        <v>1</v>
      </c>
      <c r="M35" s="41">
        <f>IF(H35="not applicable",IF(K35&lt;&gt;"",1,0),IF(I35="yes",IF(H35="verified",1,0),IF(OR(H35="tested",H35="verified"),1,0)))</f>
        <v/>
      </c>
    </row>
    <row r="36" ht="42" customHeight="1" s="21">
      <c r="A36" s="38" t="inlineStr">
        <is>
          <t>DIA-28</t>
        </is>
      </c>
      <c r="B36" s="38" t="inlineStr">
        <is>
          <t>Automated tests</t>
        </is>
      </c>
      <c r="C36" s="38" t="inlineStr">
        <is>
          <t>Content</t>
        </is>
      </c>
      <c r="D36" s="38" t="inlineStr">
        <is>
          <t>Axe reports no automatically detectable violations for the canonical open Dialog state</t>
        </is>
      </c>
      <c r="E36" s="38" t="inlineStr">
        <is>
          <t>package</t>
        </is>
      </c>
      <c r="F36" s="38" t="inlineStr">
        <is>
          <t>test</t>
        </is>
      </c>
      <c r="G36" s="38" t="inlineStr">
        <is>
          <t>tests/dialog.spec.ts</t>
        </is>
      </c>
      <c r="H36" s="38" t="inlineStr">
        <is>
          <t>tested</t>
        </is>
      </c>
      <c r="I36" s="38" t="inlineStr">
        <is>
          <t>no</t>
        </is>
      </c>
      <c r="J36" s="42" t="n">
        <v>46220</v>
      </c>
      <c r="K36" s="38" t="n"/>
      <c r="L36" s="41" t="n">
        <v>1</v>
      </c>
      <c r="M36" s="41">
        <f>IF(H36="not applicable",IF(K36&lt;&gt;"",1,0),IF(I36="yes",IF(H36="verified",1,0),IF(OR(H36="tested",H36="verified"),1,0)))</f>
        <v/>
      </c>
    </row>
    <row r="37" ht="42" customHeight="1" s="21">
      <c r="A37" s="38" t="inlineStr">
        <is>
          <t>DIA-29</t>
        </is>
      </c>
      <c r="B37" s="38" t="inlineStr">
        <is>
          <t>Automated tests</t>
        </is>
      </c>
      <c r="C37" s="38" t="inlineStr">
        <is>
          <t>All parts</t>
        </is>
      </c>
      <c r="D37" s="38" t="inlineStr">
        <is>
          <t>Four deterministic Chromium visual baselines covering light, dark, mobile RTL, and forced colors are reviewed</t>
        </is>
      </c>
      <c r="E37" s="38" t="inlineStr">
        <is>
          <t>package</t>
        </is>
      </c>
      <c r="F37" s="38" t="inlineStr">
        <is>
          <t>test</t>
        </is>
      </c>
      <c r="G37" s="38" t="inlineStr">
        <is>
          <t>tests/visual.spec.ts</t>
        </is>
      </c>
      <c r="H37" s="38" t="inlineStr">
        <is>
          <t>verified</t>
        </is>
      </c>
      <c r="I37" s="38" t="inlineStr">
        <is>
          <t>yes</t>
        </is>
      </c>
      <c r="J37" s="42" t="n">
        <v>46220</v>
      </c>
      <c r="K37" s="38" t="n"/>
      <c r="L37" s="41" t="n">
        <v>1</v>
      </c>
      <c r="M37" s="41">
        <f>IF(H37="not applicable",IF(K37&lt;&gt;"",1,0),IF(I37="yes",IF(H37="verified",1,0),IF(OR(H37="tested",H37="verified"),1,0)))</f>
        <v/>
      </c>
    </row>
    <row r="38" ht="42" customHeight="1" s="21">
      <c r="A38" s="38" t="inlineStr">
        <is>
          <t>DIA-30</t>
        </is>
      </c>
      <c r="B38" s="38" t="inlineStr">
        <is>
          <t>Automated tests</t>
        </is>
      </c>
      <c r="C38" s="38" t="inlineStr">
        <is>
          <t>All parts</t>
        </is>
      </c>
      <c r="D38" s="38" t="inlineStr">
        <is>
          <t>Chromium, Firefox, WebKit, Pixel, and iPhone Dialog release matrix records 40 passing Dialog checks</t>
        </is>
      </c>
      <c r="E38" s="38" t="inlineStr">
        <is>
          <t>package</t>
        </is>
      </c>
      <c r="F38" s="38" t="inlineStr">
        <is>
          <t>test</t>
        </is>
      </c>
      <c r="G38" s="38" t="inlineStr">
        <is>
          <t>../playwright.config.ts</t>
        </is>
      </c>
      <c r="H38" s="38" t="inlineStr">
        <is>
          <t>tested</t>
        </is>
      </c>
      <c r="I38" s="38" t="inlineStr">
        <is>
          <t>no</t>
        </is>
      </c>
      <c r="J38" s="42" t="n">
        <v>46221</v>
      </c>
      <c r="K38" s="38" t="n"/>
      <c r="L38" s="41" t="n">
        <v>1</v>
      </c>
      <c r="M38" s="41">
        <f>IF(H38="not applicable",IF(K38&lt;&gt;"",1,0),IF(I38="yes",IF(H38="verified",1,0),IF(OR(H38="tested",H38="verified"),1,0)))</f>
        <v/>
      </c>
    </row>
    <row r="39" ht="42" customHeight="1" s="21">
      <c r="A39" s="38" t="inlineStr">
        <is>
          <t>DIA-31</t>
        </is>
      </c>
      <c r="B39" s="38" t="inlineStr">
        <is>
          <t>Automated tests</t>
        </is>
      </c>
      <c r="C39" s="38" t="inlineStr">
        <is>
          <t>Component</t>
        </is>
      </c>
      <c r="D39" s="38" t="inlineStr">
        <is>
          <t>SSR, package boundary, tarball, and clean React 18 and React 19 consumer verification pass</t>
        </is>
      </c>
      <c r="E39" s="38" t="inlineStr">
        <is>
          <t>package</t>
        </is>
      </c>
      <c r="F39" s="38" t="inlineStr">
        <is>
          <t>test</t>
        </is>
      </c>
      <c r="G39" s="38" t="inlineStr">
        <is>
          <t>../scripts/verify-consumers.mjs</t>
        </is>
      </c>
      <c r="H39" s="38" t="inlineStr">
        <is>
          <t>tested</t>
        </is>
      </c>
      <c r="I39" s="38" t="inlineStr">
        <is>
          <t>no</t>
        </is>
      </c>
      <c r="J39" s="42" t="n">
        <v>46220</v>
      </c>
      <c r="K39" s="38" t="n"/>
      <c r="L39" s="41" t="n">
        <v>1</v>
      </c>
      <c r="M39" s="41">
        <f>IF(H39="not applicable",IF(K39&lt;&gt;"",1,0),IF(I39="yes",IF(H39="verified",1,0),IF(OR(H39="tested",H39="verified"),1,0)))</f>
        <v/>
      </c>
    </row>
    <row r="40" ht="42" customHeight="1" s="21">
      <c r="A40" s="38" t="inlineStr">
        <is>
          <t>DIA-32</t>
        </is>
      </c>
      <c r="B40" s="38" t="inlineStr">
        <is>
          <t>Manual evidence</t>
        </is>
      </c>
      <c r="C40" s="38" t="inlineStr">
        <is>
          <t>Component</t>
        </is>
      </c>
      <c r="D40" s="38" t="inlineStr">
        <is>
          <t>Numbered nine-step Dialog manual-test protocol is complete</t>
        </is>
      </c>
      <c r="E40" s="38" t="inlineStr">
        <is>
          <t>package</t>
        </is>
      </c>
      <c r="F40" s="38" t="inlineStr">
        <is>
          <t>manual</t>
        </is>
      </c>
      <c r="G40" s="38" t="inlineStr">
        <is>
          <t>manual-tests/dialog.md</t>
        </is>
      </c>
      <c r="H40" s="38" t="inlineStr">
        <is>
          <t>tested</t>
        </is>
      </c>
      <c r="I40" s="38" t="inlineStr">
        <is>
          <t>no</t>
        </is>
      </c>
      <c r="J40" s="42" t="n">
        <v>46220</v>
      </c>
      <c r="K40" s="38" t="n"/>
      <c r="L40" s="41" t="n">
        <v>1</v>
      </c>
      <c r="M40" s="41">
        <f>IF(H40="not applicable",IF(K40&lt;&gt;"",1,0),IF(I40="yes",IF(H40="verified",1,0),IF(OR(H40="tested",H40="verified"),1,0)))</f>
        <v/>
      </c>
    </row>
    <row r="41" ht="42" customHeight="1" s="21">
      <c r="A41" s="38" t="inlineStr">
        <is>
          <t>DIA-33</t>
        </is>
      </c>
      <c r="B41" s="38" t="inlineStr">
        <is>
          <t>Manual evidence</t>
        </is>
      </c>
      <c r="C41" s="38" t="inlineStr">
        <is>
          <t>All parts</t>
        </is>
      </c>
      <c r="D41" s="38" t="inlineStr">
        <is>
          <t>Latest owner run passes after nested isolation, portalled RTL direction, and direction-neutral centering findings were corrected and retested</t>
        </is>
      </c>
      <c r="E41" s="38" t="inlineStr">
        <is>
          <t>package</t>
        </is>
      </c>
      <c r="F41" s="38" t="inlineStr">
        <is>
          <t>manual</t>
        </is>
      </c>
      <c r="G41" s="38" t="inlineStr">
        <is>
          <t>manual-tests/dialog.md</t>
        </is>
      </c>
      <c r="H41" s="38" t="inlineStr">
        <is>
          <t>verified</t>
        </is>
      </c>
      <c r="I41" s="38" t="inlineStr">
        <is>
          <t>yes</t>
        </is>
      </c>
      <c r="J41" s="42" t="n">
        <v>46220</v>
      </c>
      <c r="K41" s="38" t="n"/>
      <c r="L41" s="41" t="n">
        <v>1</v>
      </c>
      <c r="M41" s="41">
        <f>IF(H41="not applicable",IF(K41&lt;&gt;"",1,0),IF(I41="yes",IF(H41="verified",1,0),IF(OR(H41="tested",H41="verified"),1,0)))</f>
        <v/>
      </c>
    </row>
    <row r="42" ht="42" customHeight="1" s="21">
      <c r="A42" s="38" t="inlineStr">
        <is>
          <t>DIA-34</t>
        </is>
      </c>
      <c r="B42" s="38" t="inlineStr">
        <is>
          <t>Documentation</t>
        </is>
      </c>
      <c r="C42" s="38" t="inlineStr">
        <is>
          <t>Component</t>
        </is>
      </c>
      <c r="D42" s="38" t="inlineStr">
        <is>
          <t>Public Dialog documentation follows the standard template and covers use boundaries, anatomy, API, states, accessibility, responsive behavior, portals, Branch, tokens, composition, and customization</t>
        </is>
      </c>
      <c r="E42" s="38" t="inlineStr">
        <is>
          <t>package</t>
        </is>
      </c>
      <c r="F42" s="38" t="inlineStr">
        <is>
          <t>docs</t>
        </is>
      </c>
      <c r="G42" s="38" t="inlineStr">
        <is>
          <t>../docs/components/dialog/README.md</t>
        </is>
      </c>
      <c r="H42" s="38" t="inlineStr">
        <is>
          <t>verified</t>
        </is>
      </c>
      <c r="I42" s="38" t="inlineStr">
        <is>
          <t>yes</t>
        </is>
      </c>
      <c r="J42" s="42" t="n">
        <v>46221</v>
      </c>
      <c r="K42" s="38" t="n"/>
      <c r="L42" s="41" t="n">
        <v>1</v>
      </c>
      <c r="M42" s="41">
        <f>IF(H42="not applicable",IF(K42&lt;&gt;"",1,0),IF(I42="yes",IF(H42="verified",1,0),IF(OR(H42="tested",H42="verified"),1,0)))</f>
        <v/>
      </c>
    </row>
    <row r="43" ht="42" customHeight="1" s="21">
      <c r="A43" s="38" t="inlineStr">
        <is>
          <t>DIA-35</t>
        </is>
      </c>
      <c r="B43" s="38" t="inlineStr">
        <is>
          <t>Documentation</t>
        </is>
      </c>
      <c r="C43" s="38" t="inlineStr">
        <is>
          <t>Component</t>
        </is>
      </c>
      <c r="D43" s="38" t="inlineStr">
        <is>
          <t>Dialog component changelog records the initial contract and post-review evidence corrections</t>
        </is>
      </c>
      <c r="E43" s="38" t="inlineStr">
        <is>
          <t>package</t>
        </is>
      </c>
      <c r="F43" s="38" t="inlineStr">
        <is>
          <t>docs</t>
        </is>
      </c>
      <c r="G43" s="38" t="inlineStr">
        <is>
          <t>../docs/components/dialog/CHANGELOG.md</t>
        </is>
      </c>
      <c r="H43" s="38" t="inlineStr">
        <is>
          <t>tested</t>
        </is>
      </c>
      <c r="I43" s="38" t="inlineStr">
        <is>
          <t>no</t>
        </is>
      </c>
      <c r="J43" s="42" t="n">
        <v>46221</v>
      </c>
      <c r="K43" s="38" t="n"/>
      <c r="L43" s="41" t="n">
        <v>1</v>
      </c>
      <c r="M43" s="41">
        <f>IF(H43="not applicable",IF(K43&lt;&gt;"",1,0),IF(I43="yes",IF(H43="verified",1,0),IF(OR(H43="tested",H43="verified"),1,0)))</f>
        <v/>
      </c>
    </row>
    <row r="44" ht="42" customHeight="1" s="21">
      <c r="A44" s="38" t="inlineStr">
        <is>
          <t>DIA-36</t>
        </is>
      </c>
      <c r="B44" s="38" t="inlineStr">
        <is>
          <t>Consumer</t>
        </is>
      </c>
      <c r="C44" s="38" t="inlineStr">
        <is>
          <t>Component</t>
        </is>
      </c>
      <c r="D44" s="38" t="inlineStr">
        <is>
          <t>Independent Brick Consumer uses Dialog through public package exports and passes production, interaction, layout, and axe gates</t>
        </is>
      </c>
      <c r="E44" s="38" t="inlineStr">
        <is>
          <t>consumer</t>
        </is>
      </c>
      <c r="F44" s="38" t="inlineStr">
        <is>
          <t>consumer</t>
        </is>
      </c>
      <c r="G44" s="38" t="inlineStr">
        <is>
          <t>../../../../apps/brick-consumer/tests/consumer.spec.ts</t>
        </is>
      </c>
      <c r="H44" s="38" t="inlineStr">
        <is>
          <t>verified</t>
        </is>
      </c>
      <c r="I44" s="38" t="inlineStr">
        <is>
          <t>yes</t>
        </is>
      </c>
      <c r="J44" s="42" t="n">
        <v>46220</v>
      </c>
      <c r="K44" s="38" t="n"/>
      <c r="L44" s="41" t="n">
        <v>1</v>
      </c>
      <c r="M44" s="41">
        <f>IF(H44="not applicable",IF(K44&lt;&gt;"",1,0),IF(I44="yes",IF(H44="verified",1,0),IF(OR(H44="tested",H44="verified"),1,0)))</f>
        <v/>
      </c>
    </row>
    <row r="45" ht="42" customHeight="1" s="21">
      <c r="A45" s="38" t="inlineStr">
        <is>
          <t>DIA-37</t>
        </is>
      </c>
      <c r="B45" s="38" t="inlineStr">
        <is>
          <t>Retirement</t>
        </is>
      </c>
      <c r="C45" s="38" t="inlineStr">
        <is>
          <t>Legacy Dialog family</t>
        </is>
      </c>
      <c r="D45" s="38" t="inlineStr">
        <is>
          <t>Legacy Core Dialog source, exports, defaults, compatibility, and stale evidence are removed only after dependents are resolved</t>
        </is>
      </c>
      <c r="E45" s="38" t="inlineStr">
        <is>
          <t>retirement</t>
        </is>
      </c>
      <c r="F45" s="38" t="inlineStr">
        <is>
          <t>removal</t>
        </is>
      </c>
      <c r="G45" s="38" t="inlineStr">
        <is>
          <t>../../docs/core-dependency-ledger.md</t>
        </is>
      </c>
      <c r="H45" s="38" t="inlineStr">
        <is>
          <t>blocked</t>
        </is>
      </c>
      <c r="I45" s="38" t="inlineStr">
        <is>
          <t>yes</t>
        </is>
      </c>
      <c r="J45" s="42" t="n">
        <v>46220</v>
      </c>
      <c r="K45" s="38" t="inlineStr">
        <is>
          <t>AlertDialog still imports shared Dialog defaults and legacy structures.</t>
        </is>
      </c>
      <c r="L45" s="41" t="n">
        <v>1</v>
      </c>
      <c r="M45" s="41">
        <f>IF(H45="not applicable",IF(K45&lt;&gt;"",1,0),IF(I45="yes",IF(H45="verified",1,0),IF(OR(H45="tested",H45="verified"),1,0)))</f>
        <v/>
      </c>
    </row>
  </sheetData>
  <autoFilter ref="A8:M45"/>
  <mergeCells count="3">
    <mergeCell ref="A2:M2"/>
    <mergeCell ref="A6:M6"/>
    <mergeCell ref="A1:M1"/>
  </mergeCells>
  <conditionalFormatting sqref="H9:H45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5" showDropDown="0" showInputMessage="0" showErrorMessage="0" allowBlank="0" type="list" errorStyle="stop" operator="between">
      <formula1>_Lists!$A$1:$A$7</formula1>
      <formula2>0</formula2>
    </dataValidation>
    <dataValidation sqref="I9:I45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dialog/Dialog.tsx" r:id="rId1"/>
    <hyperlink xmlns:r="http://schemas.openxmlformats.org/officeDocument/2006/relationships" ref="G10" display="../../docs/dialog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dialog.test.tsx" r:id="rId4"/>
    <hyperlink xmlns:r="http://schemas.openxmlformats.org/officeDocument/2006/relationships" ref="G13" display="../test/components/dialog.test.tsx" r:id="rId5"/>
    <hyperlink xmlns:r="http://schemas.openxmlformats.org/officeDocument/2006/relationships" ref="G14" display="../test/components/dialog.test.tsx + tests/dialog.spec.ts" r:id="rId6"/>
    <hyperlink xmlns:r="http://schemas.openxmlformats.org/officeDocument/2006/relationships" ref="G15" display="tests/dialog.spec.ts" r:id="rId7"/>
    <hyperlink xmlns:r="http://schemas.openxmlformats.org/officeDocument/2006/relationships" ref="G16" display="../test/components/dialog.test.tsx" r:id="rId8"/>
    <hyperlink xmlns:r="http://schemas.openxmlformats.org/officeDocument/2006/relationships" ref="G17" display="../test/components/dialog.test.tsx" r:id="rId9"/>
    <hyperlink xmlns:r="http://schemas.openxmlformats.org/officeDocument/2006/relationships" ref="G18" display="../test/components/dialog.test.tsx" r:id="rId10"/>
    <hyperlink xmlns:r="http://schemas.openxmlformats.org/officeDocument/2006/relationships" ref="G19" display="../test/components/dialog.test.tsx" r:id="rId11"/>
    <hyperlink xmlns:r="http://schemas.openxmlformats.org/officeDocument/2006/relationships" ref="G20" display="manual-tests/dialog.md" r:id="rId12"/>
    <hyperlink xmlns:r="http://schemas.openxmlformats.org/officeDocument/2006/relationships" ref="G21" display="manual-tests/dialog.md" r:id="rId13"/>
    <hyperlink xmlns:r="http://schemas.openxmlformats.org/officeDocument/2006/relationships" ref="G22" display="../test/components/dialog.test.tsx" r:id="rId14"/>
    <hyperlink xmlns:r="http://schemas.openxmlformats.org/officeDocument/2006/relationships" ref="G23" display="../test/components/dialog.test.tsx" r:id="rId15"/>
    <hyperlink xmlns:r="http://schemas.openxmlformats.org/officeDocument/2006/relationships" ref="G24" display="../src/components/dialog/dialog.css" r:id="rId16"/>
    <hyperlink xmlns:r="http://schemas.openxmlformats.org/officeDocument/2006/relationships" ref="G25" display="manual-tests/dialog.md" r:id="rId17"/>
    <hyperlink xmlns:r="http://schemas.openxmlformats.org/officeDocument/2006/relationships" ref="G26" display="manual-tests/dialog.md" r:id="rId18"/>
    <hyperlink xmlns:r="http://schemas.openxmlformats.org/officeDocument/2006/relationships" ref="G27" display="tests/dialog.spec.ts" r:id="rId19"/>
    <hyperlink xmlns:r="http://schemas.openxmlformats.org/officeDocument/2006/relationships" ref="G28" display="manual-tests/dialog.md" r:id="rId20"/>
    <hyperlink xmlns:r="http://schemas.openxmlformats.org/officeDocument/2006/relationships" ref="G29" display="tests/visual.spec.ts" r:id="rId21"/>
    <hyperlink xmlns:r="http://schemas.openxmlformats.org/officeDocument/2006/relationships" ref="G30" display="manual-tests/dialog.md" r:id="rId22"/>
    <hyperlink xmlns:r="http://schemas.openxmlformats.org/officeDocument/2006/relationships" ref="G31" display="manual-tests/dialog.md" r:id="rId23"/>
    <hyperlink xmlns:r="http://schemas.openxmlformats.org/officeDocument/2006/relationships" ref="G32" display="tests/dialog.spec.ts" r:id="rId24"/>
    <hyperlink xmlns:r="http://schemas.openxmlformats.org/officeDocument/2006/relationships" ref="G33" display="../test/components/dialog.test.tsx" r:id="rId25"/>
    <hyperlink xmlns:r="http://schemas.openxmlformats.org/officeDocument/2006/relationships" ref="G34" display="../test/types/public-api.test.ts" r:id="rId26"/>
    <hyperlink xmlns:r="http://schemas.openxmlformats.org/officeDocument/2006/relationships" ref="G35" display="tests/dialog.spec.ts" r:id="rId27"/>
    <hyperlink xmlns:r="http://schemas.openxmlformats.org/officeDocument/2006/relationships" ref="G36" display="tests/dialog.spec.ts" r:id="rId28"/>
    <hyperlink xmlns:r="http://schemas.openxmlformats.org/officeDocument/2006/relationships" ref="G37" display="tests/visual.spec.ts" r:id="rId29"/>
    <hyperlink xmlns:r="http://schemas.openxmlformats.org/officeDocument/2006/relationships" ref="G38" display="../playwright.config.ts" r:id="rId30"/>
    <hyperlink xmlns:r="http://schemas.openxmlformats.org/officeDocument/2006/relationships" ref="G39" display="../scripts/verify-consumers.mjs" r:id="rId31"/>
    <hyperlink xmlns:r="http://schemas.openxmlformats.org/officeDocument/2006/relationships" ref="G40" display="manual-tests/dialog.md" r:id="rId32"/>
    <hyperlink xmlns:r="http://schemas.openxmlformats.org/officeDocument/2006/relationships" ref="G41" display="manual-tests/dialog.md" r:id="rId33"/>
    <hyperlink xmlns:r="http://schemas.openxmlformats.org/officeDocument/2006/relationships" ref="G42" display="../docs/components/dialog/README.md" r:id="rId34"/>
    <hyperlink xmlns:r="http://schemas.openxmlformats.org/officeDocument/2006/relationships" ref="G43" display="../docs/components/dialog/CHANGELOG.md" r:id="rId35"/>
    <hyperlink xmlns:r="http://schemas.openxmlformats.org/officeDocument/2006/relationships" ref="G44" display="../../../../apps/brick-consumer/tests/consumer.spec.ts" r:id="rId36"/>
    <hyperlink xmlns:r="http://schemas.openxmlformats.org/officeDocument/2006/relationships" ref="G45" display="../../docs/core-dependency-ledger.md" r:id="rId37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38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sheetData>
    <row r="1" ht="15" customHeight="1" s="21">
      <c r="A1" s="32" t="inlineStr">
        <is>
          <t>not started</t>
        </is>
      </c>
      <c r="B1" s="32" t="inlineStr">
        <is>
          <t>yes</t>
        </is>
      </c>
    </row>
    <row r="2" ht="15" customHeight="1" s="21">
      <c r="A2" s="32" t="inlineStr">
        <is>
          <t>partial</t>
        </is>
      </c>
      <c r="B2" s="32" t="inlineStr">
        <is>
          <t>no</t>
        </is>
      </c>
    </row>
    <row r="3" ht="15" customHeight="1" s="21">
      <c r="A3" s="32" t="inlineStr">
        <is>
          <t>implemented</t>
        </is>
      </c>
    </row>
    <row r="4" ht="15" customHeight="1" s="21">
      <c r="A4" s="32" t="inlineStr">
        <is>
          <t>tested</t>
        </is>
      </c>
    </row>
    <row r="5" ht="15" customHeight="1" s="21">
      <c r="A5" s="32" t="inlineStr">
        <is>
          <t>verified</t>
        </is>
      </c>
    </row>
    <row r="6" ht="15" customHeight="1" s="21">
      <c r="A6" s="32" t="inlineStr">
        <is>
          <t>blocked</t>
        </is>
      </c>
    </row>
    <row r="7" ht="15" customHeight="1" s="21">
      <c r="A7" s="32" t="inlineStr">
        <is>
          <t>not applicable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32" min="1" max="1"/>
    <col width="18" customWidth="1" style="32" min="2" max="2"/>
    <col width="16" customWidth="1" style="32" min="3" max="3"/>
    <col width="54" customWidth="1" style="32" min="4" max="4"/>
    <col width="12" customWidth="1" style="32" min="5" max="5"/>
    <col width="16" customWidth="1" style="32" min="6" max="6"/>
    <col width="30" customWidth="1" style="32" min="7" max="7"/>
    <col width="18" customWidth="1" style="32" min="8" max="8"/>
    <col width="14" customWidth="1" style="32" min="9" max="9"/>
    <col width="15" customWidth="1" style="32" min="10" max="10"/>
    <col width="32" customWidth="1" style="32" min="11" max="11"/>
    <col width="9" customWidth="1" style="32" min="12" max="12"/>
    <col width="10" customWidth="1" style="32" min="13" max="13"/>
  </cols>
  <sheetData>
    <row r="1" ht="33.75" customHeight="1" s="21">
      <c r="A1" s="22" t="inlineStr">
        <is>
          <t>AlertDialog Evidence Matrix</t>
        </is>
      </c>
    </row>
    <row r="2" ht="33.75" customHeight="1" s="21">
      <c r="A2" s="23" t="inlineStr">
        <is>
          <t>Evidence gates for the adopted urgent-decision compound, its twelve public parts, package proof, consumer cutover, and dependency-led legacy retirement.</t>
        </is>
      </c>
    </row>
    <row r="4" ht="15" customHeight="1" s="21">
      <c r="A4" s="24" t="inlineStr">
        <is>
          <t>Requirements</t>
        </is>
      </c>
      <c r="B4" s="25">
        <f>COUNTA(A9:A47)</f>
        <v/>
      </c>
      <c r="C4" s="24" t="inlineStr">
        <is>
          <t>Resolved</t>
        </is>
      </c>
      <c r="D4" s="25">
        <f>SUM(M9:M47)</f>
        <v/>
      </c>
      <c r="E4" s="24" t="inlineStr">
        <is>
          <t>Completion</t>
        </is>
      </c>
      <c r="F4" s="26">
        <f>IFERROR(D4/SUM(L9:L47),0)</f>
        <v/>
      </c>
      <c r="G4" s="24" t="inlineStr">
        <is>
          <t>Blocked</t>
        </is>
      </c>
      <c r="H4" s="25">
        <f>COUNTIF(H9:H47,"blocked")</f>
        <v/>
      </c>
      <c r="I4" s="24" t="inlineStr">
        <is>
          <t>Package gate</t>
        </is>
      </c>
      <c r="J4" s="25">
        <f>IF(COUNTIFS(E9:E47,"package",M9:M47,"&lt;1")=0,"complete","open")</f>
        <v/>
      </c>
      <c r="K4" s="24" t="inlineStr">
        <is>
          <t>Retirement gate</t>
        </is>
      </c>
      <c r="L4" s="25">
        <f>IF(COUNTIFS(E9:E47,"retirement",M9:M47,"&lt;1")=0,"complete","open")</f>
        <v/>
      </c>
    </row>
    <row r="6" ht="15" customHeight="1" s="21">
      <c r="A6" s="37" t="inlineStr">
        <is>
          <t>Completion is formula-driven. Human-review rows require verified; other rows require tested or verified. Not applicable requires a reason.</t>
        </is>
      </c>
    </row>
    <row r="8" ht="33.75" customHeight="1" s="21">
      <c r="A8" s="27" t="inlineStr">
        <is>
          <t>ID</t>
        </is>
      </c>
      <c r="B8" s="27" t="inlineStr">
        <is>
          <t>Area</t>
        </is>
      </c>
      <c r="C8" s="27" t="inlineStr">
        <is>
          <t>Part</t>
        </is>
      </c>
      <c r="D8" s="27" t="inlineStr">
        <is>
          <t>Requirement</t>
        </is>
      </c>
      <c r="E8" s="27" t="inlineStr">
        <is>
          <t>Gate</t>
        </is>
      </c>
      <c r="F8" s="27" t="inlineStr">
        <is>
          <t>Evidence type</t>
        </is>
      </c>
      <c r="G8" s="27" t="inlineStr">
        <is>
          <t>Evidence / link</t>
        </is>
      </c>
      <c r="H8" s="27" t="inlineStr">
        <is>
          <t>Status</t>
        </is>
      </c>
      <c r="I8" s="27" t="inlineStr">
        <is>
          <t>Human review?</t>
        </is>
      </c>
      <c r="J8" s="27" t="inlineStr">
        <is>
          <t>Last verified</t>
        </is>
      </c>
      <c r="K8" s="27" t="inlineStr">
        <is>
          <t>Blocker / N/A reason</t>
        </is>
      </c>
      <c r="L8" s="27" t="inlineStr">
        <is>
          <t>Weight</t>
        </is>
      </c>
      <c r="M8" s="27" t="inlineStr">
        <is>
          <t>Resolved</t>
        </is>
      </c>
    </row>
    <row r="9" ht="42" customHeight="1" s="21">
      <c r="A9" s="38" t="inlineStr">
        <is>
          <t>ALD-01</t>
        </is>
      </c>
      <c r="B9" s="38" t="inlineStr">
        <is>
          <t>Public API</t>
        </is>
      </c>
      <c r="C9" s="38" t="inlineStr">
        <is>
          <t>Component</t>
        </is>
      </c>
      <c r="D9" s="38" t="inlineStr">
        <is>
          <t>Implementation directly composes public Atom 0.3.2 AlertDialog behavior without Core or local headless wrappers</t>
        </is>
      </c>
      <c r="E9" s="38" t="inlineStr">
        <is>
          <t>package</t>
        </is>
      </c>
      <c r="F9" s="38" t="inlineStr">
        <is>
          <t>source</t>
        </is>
      </c>
      <c r="G9" s="39" t="inlineStr">
        <is>
          <t>../src/components/alert-dialog/AlertDialog.tsx</t>
        </is>
      </c>
      <c r="H9" s="38" t="inlineStr">
        <is>
          <t>tested</t>
        </is>
      </c>
      <c r="I9" s="38" t="inlineStr">
        <is>
          <t>no</t>
        </is>
      </c>
      <c r="J9" s="42" t="n">
        <v>46221</v>
      </c>
      <c r="K9" s="38" t="n"/>
      <c r="L9" s="41" t="n">
        <v>1</v>
      </c>
      <c r="M9" s="41">
        <f>IF(H9="not applicable",IF(K9&lt;&gt;"",1,0),IF(I9="yes",IF(H9="verified",1,0),IF(OR(H9="tested",H9="verified"),1,0)))</f>
        <v/>
      </c>
    </row>
    <row r="10" ht="42" customHeight="1" s="21">
      <c r="A10" s="38" t="inlineStr">
        <is>
          <t>ALD-02</t>
        </is>
      </c>
      <c r="B10" s="38" t="inlineStr">
        <is>
          <t>Boundary</t>
        </is>
      </c>
      <c r="C10" s="38" t="inlineStr">
        <is>
          <t>Component</t>
        </is>
      </c>
      <c r="D10" s="38" t="inlineStr">
        <is>
          <t>Adopted capability audit covers alert semantics, required message, safe Cancel focus, modal layers, portals, isolation, scrolling, presence, and dismissal</t>
        </is>
      </c>
      <c r="E10" s="38" t="inlineStr">
        <is>
          <t>package</t>
        </is>
      </c>
      <c r="F10" s="38" t="inlineStr">
        <is>
          <t>decision</t>
        </is>
      </c>
      <c r="G10" s="39" t="inlineStr">
        <is>
          <t>../../docs/alert-dialog-component-brief.md</t>
        </is>
      </c>
      <c r="H10" s="38" t="inlineStr">
        <is>
          <t>verified</t>
        </is>
      </c>
      <c r="I10" s="38" t="inlineStr">
        <is>
          <t>yes</t>
        </is>
      </c>
      <c r="J10" s="42" t="n">
        <v>46221</v>
      </c>
      <c r="K10" s="38" t="n"/>
      <c r="L10" s="41" t="n">
        <v>1</v>
      </c>
      <c r="M10" s="41">
        <f>IF(H10="not applicable",IF(K10&lt;&gt;"",1,0),IF(I10="yes",IF(H10="verified",1,0),IF(OR(H10="tested",H10="verified"),1,0)))</f>
        <v/>
      </c>
    </row>
    <row r="11" ht="42" customHeight="1" s="21">
      <c r="A11" s="38" t="inlineStr">
        <is>
          <t>ALD-03</t>
        </is>
      </c>
      <c r="B11" s="38" t="inlineStr">
        <is>
          <t>Public API</t>
        </is>
      </c>
      <c r="C11" s="38" t="inlineStr">
        <is>
          <t>Namespace</t>
        </is>
      </c>
      <c r="D11" s="38" t="inlineStr">
        <is>
          <t>Root and alert-dialog-subpath namespaces, direct part exports, declarations, and closed prop unions match the adopted brief</t>
        </is>
      </c>
      <c r="E11" s="38" t="inlineStr">
        <is>
          <t>package</t>
        </is>
      </c>
      <c r="F11" s="38" t="inlineStr">
        <is>
          <t>types</t>
        </is>
      </c>
      <c r="G11" s="39" t="inlineStr">
        <is>
          <t>../test/types/public-api.test.ts</t>
        </is>
      </c>
      <c r="H11" s="38" t="inlineStr">
        <is>
          <t>tested</t>
        </is>
      </c>
      <c r="I11" s="38" t="inlineStr">
        <is>
          <t>no</t>
        </is>
      </c>
      <c r="J11" s="42" t="n">
        <v>46221</v>
      </c>
      <c r="K11" s="38" t="n"/>
      <c r="L11" s="41" t="n">
        <v>1</v>
      </c>
      <c r="M11" s="41">
        <f>IF(H11="not applicable",IF(K11&lt;&gt;"",1,0),IF(I11="yes",IF(H11="verified",1,0),IF(OR(H11="tested",H11="verified"),1,0)))</f>
        <v/>
      </c>
    </row>
    <row r="12" ht="42" customHeight="1" s="21">
      <c r="A12" s="38" t="inlineStr">
        <is>
          <t>ALD-04</t>
        </is>
      </c>
      <c r="B12" s="38" t="inlineStr">
        <is>
          <t>Anatomy</t>
        </is>
      </c>
      <c r="C12" s="38" t="inlineStr">
        <is>
          <t>Root</t>
        </is>
      </c>
      <c r="D12" s="38" t="inlineStr">
        <is>
          <t>Atom owns controlled and uncontrolled state, Escape policy, disabled state, close reasons, and modal ownership; Brick forwards the public contract</t>
        </is>
      </c>
      <c r="E12" s="38" t="inlineStr">
        <is>
          <t>package</t>
        </is>
      </c>
      <c r="F12" s="38" t="inlineStr">
        <is>
          <t>test</t>
        </is>
      </c>
      <c r="G12" s="39" t="inlineStr">
        <is>
          <t>../test/components/alert-dialog.test.tsx</t>
        </is>
      </c>
      <c r="H12" s="38" t="inlineStr">
        <is>
          <t>tested</t>
        </is>
      </c>
      <c r="I12" s="38" t="inlineStr">
        <is>
          <t>no</t>
        </is>
      </c>
      <c r="J12" s="42" t="n">
        <v>46221</v>
      </c>
      <c r="K12" s="38" t="n"/>
      <c r="L12" s="41" t="n">
        <v>1</v>
      </c>
      <c r="M12" s="41">
        <f>IF(H12="not applicable",IF(K12&lt;&gt;"",1,0),IF(I12="yes",IF(H12="verified",1,0),IF(OR(H12="tested",H12="verified"),1,0)))</f>
        <v/>
      </c>
    </row>
    <row r="13" ht="42" customHeight="1" s="21">
      <c r="A13" s="38" t="inlineStr">
        <is>
          <t>ALD-05</t>
        </is>
      </c>
      <c r="B13" s="38" t="inlineStr">
        <is>
          <t>Anatomy</t>
        </is>
      </c>
      <c r="C13" s="38" t="inlineStr">
        <is>
          <t>Trigger</t>
        </is>
      </c>
      <c r="D13" s="38" t="inlineStr">
        <is>
          <t>Trigger preserves disabled state, native props, ref, stable Brick hooks, and representative Atom asChild and render composition</t>
        </is>
      </c>
      <c r="E13" s="38" t="inlineStr">
        <is>
          <t>package</t>
        </is>
      </c>
      <c r="F13" s="38" t="inlineStr">
        <is>
          <t>test</t>
        </is>
      </c>
      <c r="G13" s="39" t="inlineStr">
        <is>
          <t>../test/components/alert-dialog.test.tsx</t>
        </is>
      </c>
      <c r="H13" s="38" t="inlineStr">
        <is>
          <t>tested</t>
        </is>
      </c>
      <c r="I13" s="38" t="inlineStr">
        <is>
          <t>no</t>
        </is>
      </c>
      <c r="J13" s="42" t="n">
        <v>46221</v>
      </c>
      <c r="K13" s="38" t="n"/>
      <c r="L13" s="41" t="n">
        <v>1</v>
      </c>
      <c r="M13" s="41">
        <f>IF(H13="not applicable",IF(K13&lt;&gt;"",1,0),IF(I13="yes",IF(H13="verified",1,0),IF(OR(H13="tested",H13="verified"),1,0)))</f>
        <v/>
      </c>
    </row>
    <row r="14" ht="42" customHeight="1" s="21">
      <c r="A14" s="38" t="inlineStr">
        <is>
          <t>ALD-06</t>
        </is>
      </c>
      <c r="B14" s="38" t="inlineStr">
        <is>
          <t>Anatomy</t>
        </is>
      </c>
      <c r="C14" s="38" t="inlineStr">
        <is>
          <t>Portal</t>
        </is>
      </c>
      <c r="D14" s="38" t="inlineStr">
        <is>
          <t>Portal preserves default body, inline disabled, and custom-container composition without copying behavior into Brick</t>
        </is>
      </c>
      <c r="E14" s="38" t="inlineStr">
        <is>
          <t>package</t>
        </is>
      </c>
      <c r="F14" s="38" t="inlineStr">
        <is>
          <t>test</t>
        </is>
      </c>
      <c r="G14" s="39" t="inlineStr">
        <is>
          <t>../test/components/alert-dialog.test.tsx</t>
        </is>
      </c>
      <c r="H14" s="38" t="inlineStr">
        <is>
          <t>tested</t>
        </is>
      </c>
      <c r="I14" s="38" t="inlineStr">
        <is>
          <t>no</t>
        </is>
      </c>
      <c r="J14" s="42" t="n">
        <v>46221</v>
      </c>
      <c r="K14" s="38" t="n"/>
      <c r="L14" s="41" t="n">
        <v>1</v>
      </c>
      <c r="M14" s="41">
        <f>IF(H14="not applicable",IF(K14&lt;&gt;"",1,0),IF(I14="yes",IF(H14="verified",1,0),IF(OR(H14="tested",H14="verified"),1,0)))</f>
        <v/>
      </c>
    </row>
    <row r="15" ht="42" customHeight="1" s="21">
      <c r="A15" s="38" t="inlineStr">
        <is>
          <t>ALD-07</t>
        </is>
      </c>
      <c r="B15" s="38" t="inlineStr">
        <is>
          <t>Anatomy</t>
        </is>
      </c>
      <c r="C15" s="38" t="inlineStr">
        <is>
          <t>Overlay</t>
        </is>
      </c>
      <c r="D15" s="38" t="inlineStr">
        <is>
          <t>Overlay remains a sibling of Content, exposes the semantic scrim, never dismisses, and exposes no redundant disabled prop</t>
        </is>
      </c>
      <c r="E15" s="38" t="inlineStr">
        <is>
          <t>package</t>
        </is>
      </c>
      <c r="F15" s="38" t="inlineStr">
        <is>
          <t>test</t>
        </is>
      </c>
      <c r="G15" s="39" t="inlineStr">
        <is>
          <t>tests/alert-dialog.spec.ts</t>
        </is>
      </c>
      <c r="H15" s="38" t="inlineStr">
        <is>
          <t>tested</t>
        </is>
      </c>
      <c r="I15" s="38" t="inlineStr">
        <is>
          <t>no</t>
        </is>
      </c>
      <c r="J15" s="42" t="n">
        <v>46221</v>
      </c>
      <c r="K15" s="38" t="n"/>
      <c r="L15" s="41" t="n">
        <v>1</v>
      </c>
      <c r="M15" s="41">
        <f>IF(H15="not applicable",IF(K15&lt;&gt;"",1,0),IF(I15="yes",IF(H15="verified",1,0),IF(OR(H15="tested",H15="verified"),1,0)))</f>
        <v/>
      </c>
    </row>
    <row r="16" ht="42" customHeight="1" s="21">
      <c r="A16" s="38" t="inlineStr">
        <is>
          <t>ALD-08</t>
        </is>
      </c>
      <c r="B16" s="38" t="inlineStr">
        <is>
          <t>Anatomy</t>
        </is>
      </c>
      <c r="C16" s="38" t="inlineStr">
        <is>
          <t>Content</t>
        </is>
      </c>
      <c r="D16" s="38" t="inlineStr">
        <is>
          <t>Alertdialog semantics, ARIA ownership, focus scope, native props, ref, stable hooks, and sm/md sizes follow the adopted contract</t>
        </is>
      </c>
      <c r="E16" s="38" t="inlineStr">
        <is>
          <t>package</t>
        </is>
      </c>
      <c r="F16" s="38" t="inlineStr">
        <is>
          <t>test</t>
        </is>
      </c>
      <c r="G16" s="39" t="inlineStr">
        <is>
          <t>../test/components/alert-dialog.test.tsx</t>
        </is>
      </c>
      <c r="H16" s="38" t="inlineStr">
        <is>
          <t>tested</t>
        </is>
      </c>
      <c r="I16" s="38" t="inlineStr">
        <is>
          <t>no</t>
        </is>
      </c>
      <c r="J16" s="42" t="n">
        <v>46221</v>
      </c>
      <c r="K16" s="38" t="n"/>
      <c r="L16" s="41" t="n">
        <v>1</v>
      </c>
      <c r="M16" s="41">
        <f>IF(H16="not applicable",IF(K16&lt;&gt;"",1,0),IF(I16="yes",IF(H16="verified",1,0),IF(OR(H16="tested",H16="verified"),1,0)))</f>
        <v/>
      </c>
    </row>
    <row r="17" ht="42" customHeight="1" s="21">
      <c r="A17" s="38" t="inlineStr">
        <is>
          <t>ALD-09</t>
        </is>
      </c>
      <c r="B17" s="38" t="inlineStr">
        <is>
          <t>Anatomy</t>
        </is>
      </c>
      <c r="C17" s="38" t="inlineStr">
        <is>
          <t>Header</t>
        </is>
      </c>
      <c r="D17" s="38" t="inlineStr">
        <is>
          <t>Header renders one native visual region for Title and required alert message without generated behavior</t>
        </is>
      </c>
      <c r="E17" s="38" t="inlineStr">
        <is>
          <t>package</t>
        </is>
      </c>
      <c r="F17" s="38" t="inlineStr">
        <is>
          <t>test</t>
        </is>
      </c>
      <c r="G17" s="39" t="inlineStr">
        <is>
          <t>../test/components/alert-dialog.test.tsx</t>
        </is>
      </c>
      <c r="H17" s="38" t="inlineStr">
        <is>
          <t>tested</t>
        </is>
      </c>
      <c r="I17" s="38" t="inlineStr">
        <is>
          <t>no</t>
        </is>
      </c>
      <c r="J17" s="42" t="n">
        <v>46221</v>
      </c>
      <c r="K17" s="38" t="n"/>
      <c r="L17" s="41" t="n">
        <v>1</v>
      </c>
      <c r="M17" s="41">
        <f>IF(H17="not applicable",IF(K17&lt;&gt;"",1,0),IF(I17="yes",IF(H17="verified",1,0),IF(OR(H17="tested",H17="verified"),1,0)))</f>
        <v/>
      </c>
    </row>
    <row r="18" ht="42" customHeight="1" s="21">
      <c r="A18" s="38" t="inlineStr">
        <is>
          <t>ALD-10</t>
        </is>
      </c>
      <c r="B18" s="38" t="inlineStr">
        <is>
          <t>Anatomy</t>
        </is>
      </c>
      <c r="C18" s="38" t="inlineStr">
        <is>
          <t>Title</t>
        </is>
      </c>
      <c r="D18" s="38" t="inlineStr">
        <is>
          <t>Visible accessible naming, the default h2, and a representative h1 override preserve Atom ARIA relationships and heading forwarding</t>
        </is>
      </c>
      <c r="E18" s="38" t="inlineStr">
        <is>
          <t>package</t>
        </is>
      </c>
      <c r="F18" s="38" t="inlineStr">
        <is>
          <t>test</t>
        </is>
      </c>
      <c r="G18" s="39" t="inlineStr">
        <is>
          <t>../test/components/alert-dialog.test.tsx</t>
        </is>
      </c>
      <c r="H18" s="38" t="inlineStr">
        <is>
          <t>tested</t>
        </is>
      </c>
      <c r="I18" s="38" t="inlineStr">
        <is>
          <t>no</t>
        </is>
      </c>
      <c r="J18" s="42" t="n">
        <v>46221</v>
      </c>
      <c r="K18" s="38" t="n"/>
      <c r="L18" s="41" t="n">
        <v>1</v>
      </c>
      <c r="M18" s="41">
        <f>IF(H18="not applicable",IF(K18&lt;&gt;"",1,0),IF(I18="yes",IF(H18="verified",1,0),IF(OR(H18="tested",H18="verified"),1,0)))</f>
        <v/>
      </c>
    </row>
    <row r="19" ht="42" customHeight="1" s="21">
      <c r="A19" s="38" t="inlineStr">
        <is>
          <t>ALD-11</t>
        </is>
      </c>
      <c r="B19" s="38" t="inlineStr">
        <is>
          <t>Anatomy</t>
        </is>
      </c>
      <c r="C19" s="38" t="inlineStr">
        <is>
          <t>Description</t>
        </is>
      </c>
      <c r="D19" s="38" t="inlineStr">
        <is>
          <t>Description supplies the required alert message and generated accessible description without inventing copy</t>
        </is>
      </c>
      <c r="E19" s="38" t="inlineStr">
        <is>
          <t>package</t>
        </is>
      </c>
      <c r="F19" s="38" t="inlineStr">
        <is>
          <t>test</t>
        </is>
      </c>
      <c r="G19" s="39" t="inlineStr">
        <is>
          <t>../test/components/alert-dialog.test.tsx</t>
        </is>
      </c>
      <c r="H19" s="38" t="inlineStr">
        <is>
          <t>tested</t>
        </is>
      </c>
      <c r="I19" s="38" t="inlineStr">
        <is>
          <t>no</t>
        </is>
      </c>
      <c r="J19" s="42" t="n">
        <v>46221</v>
      </c>
      <c r="K19" s="38" t="n"/>
      <c r="L19" s="41" t="n">
        <v>1</v>
      </c>
      <c r="M19" s="41">
        <f>IF(H19="not applicable",IF(K19&lt;&gt;"",1,0),IF(I19="yes",IF(H19="verified",1,0),IF(OR(H19="tested",H19="verified"),1,0)))</f>
        <v/>
      </c>
    </row>
    <row r="20" ht="42" customHeight="1" s="21">
      <c r="A20" s="38" t="inlineStr">
        <is>
          <t>ALD-12</t>
        </is>
      </c>
      <c r="B20" s="38" t="inlineStr">
        <is>
          <t>Anatomy</t>
        </is>
      </c>
      <c r="C20" s="38" t="inlineStr">
        <is>
          <t>Body</t>
        </is>
      </c>
      <c r="D20" s="38" t="inlineStr">
        <is>
          <t>Optional supplemental detail uses a bounded scroll region while the alert message and responses remain reachable</t>
        </is>
      </c>
      <c r="E20" s="38" t="inlineStr">
        <is>
          <t>package</t>
        </is>
      </c>
      <c r="F20" s="38" t="inlineStr">
        <is>
          <t>manual</t>
        </is>
      </c>
      <c r="G20" s="39" t="inlineStr">
        <is>
          <t>manual-tests/alert-dialog.md</t>
        </is>
      </c>
      <c r="H20" s="38" t="inlineStr">
        <is>
          <t>partial</t>
        </is>
      </c>
      <c r="I20" s="38" t="inlineStr">
        <is>
          <t>yes</t>
        </is>
      </c>
      <c r="J20" s="42" t="n"/>
      <c r="K20" s="38" t="inlineStr">
        <is>
          <t>Owner manual review pending.</t>
        </is>
      </c>
      <c r="L20" s="41" t="n">
        <v>1</v>
      </c>
      <c r="M20" s="41">
        <f>IF(H20="not applicable",IF(K20&lt;&gt;"",1,0),IF(I20="yes",IF(H20="verified",1,0),IF(OR(H20="tested",H20="verified"),1,0)))</f>
        <v/>
      </c>
    </row>
    <row r="21" ht="42" customHeight="1" s="21">
      <c r="A21" s="38" t="inlineStr">
        <is>
          <t>ALD-13</t>
        </is>
      </c>
      <c r="B21" s="38" t="inlineStr">
        <is>
          <t>Anatomy</t>
        </is>
      </c>
      <c r="C21" s="38" t="inlineStr">
        <is>
          <t>Footer</t>
        </is>
      </c>
      <c r="D21" s="38" t="inlineStr">
        <is>
          <t>Consumer-selected responses preserve source order, wrap logically, and remain reachable at narrow and keyboard-constrained heights</t>
        </is>
      </c>
      <c r="E21" s="38" t="inlineStr">
        <is>
          <t>package</t>
        </is>
      </c>
      <c r="F21" s="38" t="inlineStr">
        <is>
          <t>manual</t>
        </is>
      </c>
      <c r="G21" s="39" t="inlineStr">
        <is>
          <t>manual-tests/alert-dialog.md</t>
        </is>
      </c>
      <c r="H21" s="38" t="inlineStr">
        <is>
          <t>partial</t>
        </is>
      </c>
      <c r="I21" s="38" t="inlineStr">
        <is>
          <t>yes</t>
        </is>
      </c>
      <c r="J21" s="42" t="n"/>
      <c r="K21" s="38" t="inlineStr">
        <is>
          <t>Owner manual review pending.</t>
        </is>
      </c>
      <c r="L21" s="41" t="n">
        <v>1</v>
      </c>
      <c r="M21" s="41">
        <f>IF(H21="not applicable",IF(K21&lt;&gt;"",1,0),IF(I21="yes",IF(H21="verified",1,0),IF(OR(H21="tested",H21="verified"),1,0)))</f>
        <v/>
      </c>
    </row>
    <row r="22" ht="42" customHeight="1" s="21">
      <c r="A22" s="38" t="inlineStr">
        <is>
          <t>ALD-14</t>
        </is>
      </c>
      <c r="B22" s="38" t="inlineStr">
        <is>
          <t>Anatomy</t>
        </is>
      </c>
      <c r="C22" s="38" t="inlineStr">
        <is>
          <t>Cancel</t>
        </is>
      </c>
      <c r="D22" s="38" t="inlineStr">
        <is>
          <t>Cancel preserves native props, ref, stable hooks, composition, cancel close reason, safe initial focus, and restoration</t>
        </is>
      </c>
      <c r="E22" s="38" t="inlineStr">
        <is>
          <t>package</t>
        </is>
      </c>
      <c r="F22" s="38" t="inlineStr">
        <is>
          <t>test</t>
        </is>
      </c>
      <c r="G22" s="39" t="inlineStr">
        <is>
          <t>../test/components/alert-dialog.test.tsx + tests/alert-dialog.spec.ts</t>
        </is>
      </c>
      <c r="H22" s="38" t="inlineStr">
        <is>
          <t>tested</t>
        </is>
      </c>
      <c r="I22" s="38" t="inlineStr">
        <is>
          <t>no</t>
        </is>
      </c>
      <c r="J22" s="42" t="n">
        <v>46221</v>
      </c>
      <c r="K22" s="38" t="n"/>
      <c r="L22" s="41" t="n">
        <v>1</v>
      </c>
      <c r="M22" s="41">
        <f>IF(H22="not applicable",IF(K22&lt;&gt;"",1,0),IF(I22="yes",IF(H22="verified",1,0),IF(OR(H22="tested",H22="verified"),1,0)))</f>
        <v/>
      </c>
    </row>
    <row r="23" ht="42" customHeight="1" s="21">
      <c r="A23" s="38" t="inlineStr">
        <is>
          <t>ALD-15</t>
        </is>
      </c>
      <c r="B23" s="38" t="inlineStr">
        <is>
          <t>Anatomy</t>
        </is>
      </c>
      <c r="C23" s="38" t="inlineStr">
        <is>
          <t>Action</t>
        </is>
      </c>
      <c r="D23" s="38" t="inlineStr">
        <is>
          <t>Action preserves native props, ref, stable hooks, composition, action close reason, and preventDefault closure control without owning application work</t>
        </is>
      </c>
      <c r="E23" s="38" t="inlineStr">
        <is>
          <t>package</t>
        </is>
      </c>
      <c r="F23" s="38" t="inlineStr">
        <is>
          <t>test</t>
        </is>
      </c>
      <c r="G23" s="39" t="inlineStr">
        <is>
          <t>../test/components/alert-dialog.test.tsx + tests/alert-dialog.spec.ts</t>
        </is>
      </c>
      <c r="H23" s="38" t="inlineStr">
        <is>
          <t>tested</t>
        </is>
      </c>
      <c r="I23" s="38" t="inlineStr">
        <is>
          <t>no</t>
        </is>
      </c>
      <c r="J23" s="42" t="n">
        <v>46221</v>
      </c>
      <c r="K23" s="38" t="n"/>
      <c r="L23" s="41" t="n">
        <v>1</v>
      </c>
      <c r="M23" s="41">
        <f>IF(H23="not applicable",IF(K23&lt;&gt;"",1,0),IF(I23="yes",IF(H23="verified",1,0),IF(OR(H23="tested",H23="verified"),1,0)))</f>
        <v/>
      </c>
    </row>
    <row r="24" ht="42" customHeight="1" s="21">
      <c r="A24" s="38" t="inlineStr">
        <is>
          <t>ALD-16</t>
        </is>
      </c>
      <c r="B24" s="38" t="inlineStr">
        <is>
          <t>Visual system</t>
        </is>
      </c>
      <c r="C24" s="38" t="inlineStr">
        <is>
          <t>All parts</t>
        </is>
      </c>
      <c r="D24" s="38" t="inlineStr">
        <is>
          <t>Compiled CSS uses public Brick classes, component tokens, layers, logical properties, semantic colors, and direction-neutral centering</t>
        </is>
      </c>
      <c r="E24" s="38" t="inlineStr">
        <is>
          <t>package</t>
        </is>
      </c>
      <c r="F24" s="38" t="inlineStr">
        <is>
          <t>source</t>
        </is>
      </c>
      <c r="G24" s="39" t="inlineStr">
        <is>
          <t>../src/components/alert-dialog/alert-dialog.css</t>
        </is>
      </c>
      <c r="H24" s="38" t="inlineStr">
        <is>
          <t>tested</t>
        </is>
      </c>
      <c r="I24" s="38" t="inlineStr">
        <is>
          <t>no</t>
        </is>
      </c>
      <c r="J24" s="42" t="n">
        <v>46221</v>
      </c>
      <c r="K24" s="38" t="n"/>
      <c r="L24" s="41" t="n">
        <v>1</v>
      </c>
      <c r="M24" s="41">
        <f>IF(H24="not applicable",IF(K24&lt;&gt;"",1,0),IF(I24="yes",IF(H24="verified",1,0),IF(OR(H24="tested",H24="verified"),1,0)))</f>
        <v/>
      </c>
    </row>
    <row r="25" ht="42" customHeight="1" s="21">
      <c r="A25" s="38" t="inlineStr">
        <is>
          <t>ALD-17</t>
        </is>
      </c>
      <c r="B25" s="38" t="inlineStr">
        <is>
          <t>Visual system</t>
        </is>
      </c>
      <c r="C25" s="38" t="inlineStr">
        <is>
          <t>Content</t>
        </is>
      </c>
      <c r="D25" s="38" t="inlineStr">
        <is>
          <t>Overlay, surface, border, elevation, spacing, two sizes, focus, and reduced-motion treatment are visually coherent</t>
        </is>
      </c>
      <c r="E25" s="38" t="inlineStr">
        <is>
          <t>package</t>
        </is>
      </c>
      <c r="F25" s="38" t="inlineStr">
        <is>
          <t>manual</t>
        </is>
      </c>
      <c r="G25" s="39" t="inlineStr">
        <is>
          <t>manual-tests/alert-dialog.md</t>
        </is>
      </c>
      <c r="H25" s="38" t="inlineStr">
        <is>
          <t>partial</t>
        </is>
      </c>
      <c r="I25" s="38" t="inlineStr">
        <is>
          <t>yes</t>
        </is>
      </c>
      <c r="J25" s="42" t="n"/>
      <c r="K25" s="38" t="inlineStr">
        <is>
          <t>Owner manual review pending.</t>
        </is>
      </c>
      <c r="L25" s="41" t="n">
        <v>1</v>
      </c>
      <c r="M25" s="41">
        <f>IF(H25="not applicable",IF(K25&lt;&gt;"",1,0),IF(I25="yes",IF(H25="verified",1,0),IF(OR(H25="tested",H25="verified"),1,0)))</f>
        <v/>
      </c>
    </row>
    <row r="26" ht="42" customHeight="1" s="21">
      <c r="A26" s="38" t="inlineStr">
        <is>
          <t>ALD-18</t>
        </is>
      </c>
      <c r="B26" s="38" t="inlineStr">
        <is>
          <t>Playground</t>
        </is>
      </c>
      <c r="C26" s="38" t="inlineStr">
        <is>
          <t>All parts</t>
        </is>
      </c>
      <c r="D26" s="38" t="inlineStr">
        <is>
          <t>The nine-section deterministic workbench uses public AlertDialog anatomy and explicit Brick Button composition</t>
        </is>
      </c>
      <c r="E26" s="38" t="inlineStr">
        <is>
          <t>package</t>
        </is>
      </c>
      <c r="F26" s="38" t="inlineStr">
        <is>
          <t>playground</t>
        </is>
      </c>
      <c r="G26" s="39" t="inlineStr">
        <is>
          <t>../playground/src/main.tsx</t>
        </is>
      </c>
      <c r="H26" s="38" t="inlineStr">
        <is>
          <t>tested</t>
        </is>
      </c>
      <c r="I26" s="38" t="inlineStr">
        <is>
          <t>no</t>
        </is>
      </c>
      <c r="J26" s="42" t="n">
        <v>46221</v>
      </c>
      <c r="K26" s="38" t="n"/>
      <c r="L26" s="41" t="n">
        <v>1</v>
      </c>
      <c r="M26" s="41">
        <f>IF(H26="not applicable",IF(K26&lt;&gt;"",1,0),IF(I26="yes",IF(H26="verified",1,0),IF(OR(H26="tested",H26="verified"),1,0)))</f>
        <v/>
      </c>
    </row>
    <row r="27" ht="42" customHeight="1" s="21">
      <c r="A27" s="38" t="inlineStr">
        <is>
          <t>ALD-19</t>
        </is>
      </c>
      <c r="B27" s="38" t="inlineStr">
        <is>
          <t>Playground</t>
        </is>
      </c>
      <c r="C27" s="38" t="inlineStr">
        <is>
          <t>Component</t>
        </is>
      </c>
      <c r="D27" s="38" t="inlineStr">
        <is>
          <t>Overview, sizes, anatomy, outcomes, disabled and pending state, nesting, scoped appearance, customization, long content, and RTL are represented</t>
        </is>
      </c>
      <c r="E27" s="38" t="inlineStr">
        <is>
          <t>package</t>
        </is>
      </c>
      <c r="F27" s="38" t="inlineStr">
        <is>
          <t>playground</t>
        </is>
      </c>
      <c r="G27" s="39" t="inlineStr">
        <is>
          <t>tests/alert-dialog.spec.ts</t>
        </is>
      </c>
      <c r="H27" s="38" t="inlineStr">
        <is>
          <t>tested</t>
        </is>
      </c>
      <c r="I27" s="38" t="inlineStr">
        <is>
          <t>no</t>
        </is>
      </c>
      <c r="J27" s="42" t="n">
        <v>46221</v>
      </c>
      <c r="K27" s="38" t="n"/>
      <c r="L27" s="41" t="n">
        <v>1</v>
      </c>
      <c r="M27" s="41">
        <f>IF(H27="not applicable",IF(K27&lt;&gt;"",1,0),IF(I27="yes",IF(H27="verified",1,0),IF(OR(H27="tested",H27="verified"),1,0)))</f>
        <v/>
      </c>
    </row>
    <row r="28" ht="42" customHeight="1" s="21">
      <c r="A28" s="38" t="inlineStr">
        <is>
          <t>ALD-20</t>
        </is>
      </c>
      <c r="B28" s="38" t="inlineStr">
        <is>
          <t>Playground</t>
        </is>
      </c>
      <c r="C28" s="38" t="inlineStr">
        <is>
          <t>Content</t>
        </is>
      </c>
      <c r="D28" s="38" t="inlineStr">
        <is>
          <t>Mobile-first constrained and intentional wide layouts preserve viewport gaps, bounded height, Body scrolling, and reachable responses</t>
        </is>
      </c>
      <c r="E28" s="38" t="inlineStr">
        <is>
          <t>package</t>
        </is>
      </c>
      <c r="F28" s="38" t="inlineStr">
        <is>
          <t>test</t>
        </is>
      </c>
      <c r="G28" s="39" t="inlineStr">
        <is>
          <t>tests/alert-dialog.spec.ts</t>
        </is>
      </c>
      <c r="H28" s="38" t="inlineStr">
        <is>
          <t>tested</t>
        </is>
      </c>
      <c r="I28" s="38" t="inlineStr">
        <is>
          <t>no</t>
        </is>
      </c>
      <c r="J28" s="42" t="n">
        <v>46221</v>
      </c>
      <c r="K28" s="38" t="n"/>
      <c r="L28" s="41" t="n">
        <v>1</v>
      </c>
      <c r="M28" s="41">
        <f>IF(H28="not applicable",IF(K28&lt;&gt;"",1,0),IF(I28="yes",IF(H28="verified",1,0),IF(OR(H28="tested",H28="verified"),1,0)))</f>
        <v/>
      </c>
    </row>
    <row r="29" ht="42" customHeight="1" s="21">
      <c r="A29" s="38" t="inlineStr">
        <is>
          <t>ALD-21</t>
        </is>
      </c>
      <c r="B29" s="38" t="inlineStr">
        <is>
          <t>Playground</t>
        </is>
      </c>
      <c r="C29" s="38" t="inlineStr">
        <is>
          <t>All parts</t>
        </is>
      </c>
      <c r="D29" s="38" t="inlineStr">
        <is>
          <t>Light, dark, scoped appearance, forced colors, and reduced motion retain hierarchy, boundaries, and focus visibility</t>
        </is>
      </c>
      <c r="E29" s="38" t="inlineStr">
        <is>
          <t>package</t>
        </is>
      </c>
      <c r="F29" s="38" t="inlineStr">
        <is>
          <t>manual</t>
        </is>
      </c>
      <c r="G29" s="39" t="inlineStr">
        <is>
          <t>manual-tests/alert-dialog.md</t>
        </is>
      </c>
      <c r="H29" s="38" t="inlineStr">
        <is>
          <t>partial</t>
        </is>
      </c>
      <c r="I29" s="38" t="inlineStr">
        <is>
          <t>yes</t>
        </is>
      </c>
      <c r="J29" s="42" t="n"/>
      <c r="K29" s="38" t="inlineStr">
        <is>
          <t>Owner manual review pending.</t>
        </is>
      </c>
      <c r="L29" s="41" t="n">
        <v>1</v>
      </c>
      <c r="M29" s="41">
        <f>IF(H29="not applicable",IF(K29&lt;&gt;"",1,0),IF(I29="yes",IF(H29="verified",1,0),IF(OR(H29="tested",H29="verified"),1,0)))</f>
        <v/>
      </c>
    </row>
    <row r="30" ht="42" customHeight="1" s="21">
      <c r="A30" s="38" t="inlineStr">
        <is>
          <t>ALD-22</t>
        </is>
      </c>
      <c r="B30" s="38" t="inlineStr">
        <is>
          <t>Playground</t>
        </is>
      </c>
      <c r="C30" s="38" t="inlineStr">
        <is>
          <t>All parts</t>
        </is>
      </c>
      <c r="D30" s="38" t="inlineStr">
        <is>
          <t>Long content, unbroken text, localization, 200 and 400 percent zoom, narrow widths, and RTL remain contained and readable</t>
        </is>
      </c>
      <c r="E30" s="38" t="inlineStr">
        <is>
          <t>package</t>
        </is>
      </c>
      <c r="F30" s="38" t="inlineStr">
        <is>
          <t>manual</t>
        </is>
      </c>
      <c r="G30" s="39" t="inlineStr">
        <is>
          <t>manual-tests/alert-dialog.md</t>
        </is>
      </c>
      <c r="H30" s="38" t="inlineStr">
        <is>
          <t>partial</t>
        </is>
      </c>
      <c r="I30" s="38" t="inlineStr">
        <is>
          <t>yes</t>
        </is>
      </c>
      <c r="J30" s="42" t="n"/>
      <c r="K30" s="38" t="inlineStr">
        <is>
          <t>Owner manual review pending.</t>
        </is>
      </c>
      <c r="L30" s="41" t="n">
        <v>1</v>
      </c>
      <c r="M30" s="41">
        <f>IF(H30="not applicable",IF(K30&lt;&gt;"",1,0),IF(I30="yes",IF(H30="verified",1,0),IF(OR(H30="tested",H30="verified"),1,0)))</f>
        <v/>
      </c>
    </row>
    <row r="31" ht="42" customHeight="1" s="21">
      <c r="A31" s="38" t="inlineStr">
        <is>
          <t>ALD-23</t>
        </is>
      </c>
      <c r="B31" s="38" t="inlineStr">
        <is>
          <t>Playground</t>
        </is>
      </c>
      <c r="C31" s="38" t="inlineStr">
        <is>
          <t>All parts</t>
        </is>
      </c>
      <c r="D31" s="38" t="inlineStr">
        <is>
          <t>Public tokens, stable classes, style, data attributes, and overridable part slots remain local and inspectable</t>
        </is>
      </c>
      <c r="E31" s="38" t="inlineStr">
        <is>
          <t>package</t>
        </is>
      </c>
      <c r="F31" s="38" t="inlineStr">
        <is>
          <t>manual</t>
        </is>
      </c>
      <c r="G31" s="39" t="inlineStr">
        <is>
          <t>manual-tests/alert-dialog.md</t>
        </is>
      </c>
      <c r="H31" s="38" t="inlineStr">
        <is>
          <t>partial</t>
        </is>
      </c>
      <c r="I31" s="38" t="inlineStr">
        <is>
          <t>yes</t>
        </is>
      </c>
      <c r="J31" s="42" t="n"/>
      <c r="K31" s="38" t="inlineStr">
        <is>
          <t>Owner manual review pending.</t>
        </is>
      </c>
      <c r="L31" s="41" t="n">
        <v>1</v>
      </c>
      <c r="M31" s="41">
        <f>IF(H31="not applicable",IF(K31&lt;&gt;"",1,0),IF(I31="yes",IF(H31="verified",1,0),IF(OR(H31="tested",H31="verified"),1,0)))</f>
        <v/>
      </c>
    </row>
    <row r="32" ht="42" customHeight="1" s="21">
      <c r="A32" s="38" t="inlineStr">
        <is>
          <t>ALD-24</t>
        </is>
      </c>
      <c r="B32" s="38" t="inlineStr">
        <is>
          <t>Playground</t>
        </is>
      </c>
      <c r="C32" s="38" t="inlineStr">
        <is>
          <t>Component</t>
        </is>
      </c>
      <c r="D32" s="38" t="inlineStr">
        <is>
          <t>Stable AlertDialog route and deterministic selectors support repeatable browser and visual checks</t>
        </is>
      </c>
      <c r="E32" s="38" t="inlineStr">
        <is>
          <t>package</t>
        </is>
      </c>
      <c r="F32" s="38" t="inlineStr">
        <is>
          <t>playground</t>
        </is>
      </c>
      <c r="G32" s="39" t="inlineStr">
        <is>
          <t>tests/alert-dialog.spec.ts</t>
        </is>
      </c>
      <c r="H32" s="38" t="inlineStr">
        <is>
          <t>tested</t>
        </is>
      </c>
      <c r="I32" s="38" t="inlineStr">
        <is>
          <t>no</t>
        </is>
      </c>
      <c r="J32" s="42" t="n">
        <v>46221</v>
      </c>
      <c r="K32" s="38" t="n"/>
      <c r="L32" s="41" t="n">
        <v>1</v>
      </c>
      <c r="M32" s="41">
        <f>IF(H32="not applicable",IF(K32&lt;&gt;"",1,0),IF(I32="yes",IF(H32="verified",1,0),IF(OR(H32="tested",H32="verified"),1,0)))</f>
        <v/>
      </c>
    </row>
    <row r="33" ht="42" customHeight="1" s="21">
      <c r="A33" s="38" t="inlineStr">
        <is>
          <t>ALD-25</t>
        </is>
      </c>
      <c r="B33" s="38" t="inlineStr">
        <is>
          <t>Automated tests</t>
        </is>
      </c>
      <c r="C33" s="38" t="inlineStr">
        <is>
          <t>All parts</t>
        </is>
      </c>
      <c r="D33" s="38" t="inlineStr">
        <is>
          <t>Vitest covers default DOM, ARIA, native contracts, disabled native and composed Triggers, sizes, close reasons, autofocus, composition, refs, portal container, heading override, prevention, and namespace identity</t>
        </is>
      </c>
      <c r="E33" s="38" t="inlineStr">
        <is>
          <t>package</t>
        </is>
      </c>
      <c r="F33" s="38" t="inlineStr">
        <is>
          <t>test</t>
        </is>
      </c>
      <c r="G33" s="39" t="inlineStr">
        <is>
          <t>../test/components/alert-dialog.test.tsx</t>
        </is>
      </c>
      <c r="H33" s="38" t="inlineStr">
        <is>
          <t>tested</t>
        </is>
      </c>
      <c r="I33" s="38" t="inlineStr">
        <is>
          <t>no</t>
        </is>
      </c>
      <c r="J33" s="42" t="n">
        <v>46221</v>
      </c>
      <c r="K33" s="38" t="n"/>
      <c r="L33" s="41" t="n">
        <v>1</v>
      </c>
      <c r="M33" s="41">
        <f>IF(H33="not applicable",IF(K33&lt;&gt;"",1,0),IF(I33="yes",IF(H33="verified",1,0),IF(OR(H33="tested",H33="verified"),1,0)))</f>
        <v/>
      </c>
    </row>
    <row r="34" ht="42" customHeight="1" s="21">
      <c r="A34" s="38" t="inlineStr">
        <is>
          <t>ALD-26</t>
        </is>
      </c>
      <c r="B34" s="38" t="inlineStr">
        <is>
          <t>Automated tests</t>
        </is>
      </c>
      <c r="C34" s="38" t="inlineStr">
        <is>
          <t>Namespace</t>
        </is>
      </c>
      <c r="D34" s="38" t="inlineStr">
        <is>
          <t>Public types, declarations, invalid size, callable API, backdrop prop, and Overlay-disabled exclusions plus root/subpath fixtures pass</t>
        </is>
      </c>
      <c r="E34" s="38" t="inlineStr">
        <is>
          <t>package</t>
        </is>
      </c>
      <c r="F34" s="38" t="inlineStr">
        <is>
          <t>test</t>
        </is>
      </c>
      <c r="G34" s="39" t="inlineStr">
        <is>
          <t>../test/types/public-api.test.ts</t>
        </is>
      </c>
      <c r="H34" s="38" t="inlineStr">
        <is>
          <t>tested</t>
        </is>
      </c>
      <c r="I34" s="38" t="inlineStr">
        <is>
          <t>no</t>
        </is>
      </c>
      <c r="J34" s="42" t="n">
        <v>46221</v>
      </c>
      <c r="K34" s="38" t="n"/>
      <c r="L34" s="41" t="n">
        <v>1</v>
      </c>
      <c r="M34" s="41">
        <f>IF(H34="not applicable",IF(K34&lt;&gt;"",1,0),IF(I34="yes",IF(H34="verified",1,0),IF(OR(H34="tested",H34="verified"),1,0)))</f>
        <v/>
      </c>
    </row>
    <row r="35" ht="42" customHeight="1" s="21">
      <c r="A35" s="38" t="inlineStr">
        <is>
          <t>ALD-27</t>
        </is>
      </c>
      <c r="B35" s="38" t="inlineStr">
        <is>
          <t>Automated tests</t>
        </is>
      </c>
      <c r="C35" s="38" t="inlineStr">
        <is>
          <t>Component</t>
        </is>
      </c>
      <c r="D35" s="38" t="inlineStr">
        <is>
          <t>Playwright verifies alert anatomy, Cancel focus, focus restoration, explicit outcomes, Escape policy, and blocked backdrop dismissal</t>
        </is>
      </c>
      <c r="E35" s="38" t="inlineStr">
        <is>
          <t>package</t>
        </is>
      </c>
      <c r="F35" s="38" t="inlineStr">
        <is>
          <t>test</t>
        </is>
      </c>
      <c r="G35" s="39" t="inlineStr">
        <is>
          <t>tests/alert-dialog.spec.ts</t>
        </is>
      </c>
      <c r="H35" s="38" t="inlineStr">
        <is>
          <t>tested</t>
        </is>
      </c>
      <c r="I35" s="38" t="inlineStr">
        <is>
          <t>no</t>
        </is>
      </c>
      <c r="J35" s="42" t="n">
        <v>46221</v>
      </c>
      <c r="K35" s="38" t="n"/>
      <c r="L35" s="41" t="n">
        <v>1</v>
      </c>
      <c r="M35" s="41">
        <f>IF(H35="not applicable",IF(K35&lt;&gt;"",1,0),IF(I35="yes",IF(H35="verified",1,0),IF(OR(H35="tested",H35="verified"),1,0)))</f>
        <v/>
      </c>
    </row>
    <row r="36" ht="42" customHeight="1" s="21">
      <c r="A36" s="38" t="inlineStr">
        <is>
          <t>ALD-28</t>
        </is>
      </c>
      <c r="B36" s="38" t="inlineStr">
        <is>
          <t>Automated tests</t>
        </is>
      </c>
      <c r="C36" s="38" t="inlineStr">
        <is>
          <t>Trigger and Action</t>
        </is>
      </c>
      <c r="D36" s="38" t="inlineStr">
        <is>
          <t>Playwright verifies disabled pointer/keyboard opening and prevented Action closure with application-owned pending feedback</t>
        </is>
      </c>
      <c r="E36" s="38" t="inlineStr">
        <is>
          <t>package</t>
        </is>
      </c>
      <c r="F36" s="38" t="inlineStr">
        <is>
          <t>test</t>
        </is>
      </c>
      <c r="G36" s="39" t="inlineStr">
        <is>
          <t>tests/alert-dialog.spec.ts</t>
        </is>
      </c>
      <c r="H36" s="38" t="inlineStr">
        <is>
          <t>tested</t>
        </is>
      </c>
      <c r="I36" s="38" t="inlineStr">
        <is>
          <t>no</t>
        </is>
      </c>
      <c r="J36" s="42" t="n">
        <v>46221</v>
      </c>
      <c r="K36" s="38" t="n"/>
      <c r="L36" s="41" t="n">
        <v>1</v>
      </c>
      <c r="M36" s="41">
        <f>IF(H36="not applicable",IF(K36&lt;&gt;"",1,0),IF(I36="yes",IF(H36="verified",1,0),IF(OR(H36="tested",H36="verified"),1,0)))</f>
        <v/>
      </c>
    </row>
    <row r="37" ht="42" customHeight="1" s="21">
      <c r="A37" s="38" t="inlineStr">
        <is>
          <t>ALD-29</t>
        </is>
      </c>
      <c r="B37" s="38" t="inlineStr">
        <is>
          <t>Automated tests</t>
        </is>
      </c>
      <c r="C37" s="38" t="inlineStr">
        <is>
          <t>Component</t>
        </is>
      </c>
      <c r="D37" s="38" t="inlineStr">
        <is>
          <t>Nested AlertDialog cleanup returns focus and control to its parent Dialog and leaves the application operable</t>
        </is>
      </c>
      <c r="E37" s="38" t="inlineStr">
        <is>
          <t>package</t>
        </is>
      </c>
      <c r="F37" s="38" t="inlineStr">
        <is>
          <t>test</t>
        </is>
      </c>
      <c r="G37" s="39" t="inlineStr">
        <is>
          <t>tests/alert-dialog.spec.ts</t>
        </is>
      </c>
      <c r="H37" s="38" t="inlineStr">
        <is>
          <t>tested</t>
        </is>
      </c>
      <c r="I37" s="38" t="inlineStr">
        <is>
          <t>no</t>
        </is>
      </c>
      <c r="J37" s="42" t="n">
        <v>46221</v>
      </c>
      <c r="K37" s="38" t="n"/>
      <c r="L37" s="41" t="n">
        <v>1</v>
      </c>
      <c r="M37" s="41">
        <f>IF(H37="not applicable",IF(K37&lt;&gt;"",1,0),IF(I37="yes",IF(H37="verified",1,0),IF(OR(H37="tested",H37="verified"),1,0)))</f>
        <v/>
      </c>
    </row>
    <row r="38" ht="42" customHeight="1" s="21">
      <c r="A38" s="38" t="inlineStr">
        <is>
          <t>ALD-30</t>
        </is>
      </c>
      <c r="B38" s="38" t="inlineStr">
        <is>
          <t>Automated tests</t>
        </is>
      </c>
      <c r="C38" s="38" t="inlineStr">
        <is>
          <t>Content</t>
        </is>
      </c>
      <c r="D38" s="38" t="inlineStr">
        <is>
          <t>Axe reports no automatically detectable violations for the canonical open AlertDialog state</t>
        </is>
      </c>
      <c r="E38" s="38" t="inlineStr">
        <is>
          <t>package</t>
        </is>
      </c>
      <c r="F38" s="38" t="inlineStr">
        <is>
          <t>test</t>
        </is>
      </c>
      <c r="G38" s="39" t="inlineStr">
        <is>
          <t>tests/alert-dialog.spec.ts</t>
        </is>
      </c>
      <c r="H38" s="38" t="inlineStr">
        <is>
          <t>tested</t>
        </is>
      </c>
      <c r="I38" s="38" t="inlineStr">
        <is>
          <t>no</t>
        </is>
      </c>
      <c r="J38" s="42" t="n">
        <v>46221</v>
      </c>
      <c r="K38" s="38" t="n"/>
      <c r="L38" s="41" t="n">
        <v>1</v>
      </c>
      <c r="M38" s="41">
        <f>IF(H38="not applicable",IF(K38&lt;&gt;"",1,0),IF(I38="yes",IF(H38="verified",1,0),IF(OR(H38="tested",H38="verified"),1,0)))</f>
        <v/>
      </c>
    </row>
    <row r="39" ht="42" customHeight="1" s="21">
      <c r="A39" s="38" t="inlineStr">
        <is>
          <t>ALD-31</t>
        </is>
      </c>
      <c r="B39" s="38" t="inlineStr">
        <is>
          <t>Automated tests</t>
        </is>
      </c>
      <c r="C39" s="38" t="inlineStr">
        <is>
          <t>All parts</t>
        </is>
      </c>
      <c r="D39" s="38" t="inlineStr">
        <is>
          <t>Four deterministic Chromium visual baselines covering light, dark, mobile RTL, and forced colors are reviewed</t>
        </is>
      </c>
      <c r="E39" s="38" t="inlineStr">
        <is>
          <t>package</t>
        </is>
      </c>
      <c r="F39" s="38" t="inlineStr">
        <is>
          <t>test</t>
        </is>
      </c>
      <c r="G39" s="39" t="inlineStr">
        <is>
          <t>tests/visual.spec.ts</t>
        </is>
      </c>
      <c r="H39" s="38" t="inlineStr">
        <is>
          <t>verified</t>
        </is>
      </c>
      <c r="I39" s="38" t="inlineStr">
        <is>
          <t>yes</t>
        </is>
      </c>
      <c r="J39" s="42" t="n">
        <v>46221</v>
      </c>
      <c r="K39" s="38" t="n"/>
      <c r="L39" s="41" t="n">
        <v>1</v>
      </c>
      <c r="M39" s="41">
        <f>IF(H39="not applicable",IF(K39&lt;&gt;"",1,0),IF(I39="yes",IF(H39="verified",1,0),IF(OR(H39="tested",H39="verified"),1,0)))</f>
        <v/>
      </c>
    </row>
    <row r="40" ht="42" customHeight="1" s="21">
      <c r="A40" s="38" t="inlineStr">
        <is>
          <t>ALD-32</t>
        </is>
      </c>
      <c r="B40" s="38" t="inlineStr">
        <is>
          <t>Automated tests</t>
        </is>
      </c>
      <c r="C40" s="38" t="inlineStr">
        <is>
          <t>All parts</t>
        </is>
      </c>
      <c r="D40" s="38" t="inlineStr">
        <is>
          <t>Chromium, Firefox, WebKit, Pixel, and iPhone AlertDialog release matrix passes</t>
        </is>
      </c>
      <c r="E40" s="38" t="inlineStr">
        <is>
          <t>package</t>
        </is>
      </c>
      <c r="F40" s="38" t="inlineStr">
        <is>
          <t>test</t>
        </is>
      </c>
      <c r="G40" s="39" t="inlineStr">
        <is>
          <t>../playwright.config.ts</t>
        </is>
      </c>
      <c r="H40" s="38" t="inlineStr">
        <is>
          <t>tested</t>
        </is>
      </c>
      <c r="I40" s="38" t="inlineStr">
        <is>
          <t>no</t>
        </is>
      </c>
      <c r="J40" s="42" t="n">
        <v>46221</v>
      </c>
      <c r="K40" s="38" t="n"/>
      <c r="L40" s="41" t="n">
        <v>1</v>
      </c>
      <c r="M40" s="41">
        <f>IF(H40="not applicable",IF(K40&lt;&gt;"",1,0),IF(I40="yes",IF(H40="verified",1,0),IF(OR(H40="tested",H40="verified"),1,0)))</f>
        <v/>
      </c>
    </row>
    <row r="41" ht="42" customHeight="1" s="21">
      <c r="A41" s="38" t="inlineStr">
        <is>
          <t>ALD-33</t>
        </is>
      </c>
      <c r="B41" s="38" t="inlineStr">
        <is>
          <t>Automated tests</t>
        </is>
      </c>
      <c r="C41" s="38" t="inlineStr">
        <is>
          <t>Component</t>
        </is>
      </c>
      <c r="D41" s="38" t="inlineStr">
        <is>
          <t>Package boundary, tarball, and clean React 18 and React 19 consumer verification include AlertDialog</t>
        </is>
      </c>
      <c r="E41" s="38" t="inlineStr">
        <is>
          <t>package</t>
        </is>
      </c>
      <c r="F41" s="38" t="inlineStr">
        <is>
          <t>test</t>
        </is>
      </c>
      <c r="G41" s="39" t="inlineStr">
        <is>
          <t>../scripts/verify-consumers.mjs</t>
        </is>
      </c>
      <c r="H41" s="38" t="inlineStr">
        <is>
          <t>tested</t>
        </is>
      </c>
      <c r="I41" s="38" t="inlineStr">
        <is>
          <t>no</t>
        </is>
      </c>
      <c r="J41" s="42" t="n">
        <v>46221</v>
      </c>
      <c r="K41" s="38" t="n"/>
      <c r="L41" s="41" t="n">
        <v>1</v>
      </c>
      <c r="M41" s="41">
        <f>IF(H41="not applicable",IF(K41&lt;&gt;"",1,0),IF(I41="yes",IF(H41="verified",1,0),IF(OR(H41="tested",H41="verified"),1,0)))</f>
        <v/>
      </c>
    </row>
    <row r="42" ht="42" customHeight="1" s="21">
      <c r="A42" s="38" t="inlineStr">
        <is>
          <t>ALD-34</t>
        </is>
      </c>
      <c r="B42" s="38" t="inlineStr">
        <is>
          <t>Manual evidence</t>
        </is>
      </c>
      <c r="C42" s="38" t="inlineStr">
        <is>
          <t>Component</t>
        </is>
      </c>
      <c r="D42" s="38" t="inlineStr">
        <is>
          <t>Numbered nine-step AlertDialog manual-test protocol exists with assertion-specific owner checks</t>
        </is>
      </c>
      <c r="E42" s="38" t="inlineStr">
        <is>
          <t>package</t>
        </is>
      </c>
      <c r="F42" s="38" t="inlineStr">
        <is>
          <t>manual</t>
        </is>
      </c>
      <c r="G42" s="39" t="inlineStr">
        <is>
          <t>manual-tests/alert-dialog.md</t>
        </is>
      </c>
      <c r="H42" s="38" t="inlineStr">
        <is>
          <t>tested</t>
        </is>
      </c>
      <c r="I42" s="38" t="inlineStr">
        <is>
          <t>no</t>
        </is>
      </c>
      <c r="J42" s="42" t="n">
        <v>46221</v>
      </c>
      <c r="K42" s="38" t="n"/>
      <c r="L42" s="41" t="n">
        <v>1</v>
      </c>
      <c r="M42" s="41">
        <f>IF(H42="not applicable",IF(K42&lt;&gt;"",1,0),IF(I42="yes",IF(H42="verified",1,0),IF(OR(H42="tested",H42="verified"),1,0)))</f>
        <v/>
      </c>
    </row>
    <row r="43" ht="42" customHeight="1" s="21">
      <c r="A43" s="38" t="inlineStr">
        <is>
          <t>ALD-35</t>
        </is>
      </c>
      <c r="B43" s="38" t="inlineStr">
        <is>
          <t>Manual evidence</t>
        </is>
      </c>
      <c r="C43" s="38" t="inlineStr">
        <is>
          <t>All parts</t>
        </is>
      </c>
      <c r="D43" s="38" t="inlineStr">
        <is>
          <t>Latest owner run passes visual, keyboard, touch, nesting, real-phone, preference, reflow, RTL, screen-reader, and customization review</t>
        </is>
      </c>
      <c r="E43" s="38" t="inlineStr">
        <is>
          <t>package</t>
        </is>
      </c>
      <c r="F43" s="38" t="inlineStr">
        <is>
          <t>manual</t>
        </is>
      </c>
      <c r="G43" s="39" t="inlineStr">
        <is>
          <t>manual-tests/alert-dialog.md</t>
        </is>
      </c>
      <c r="H43" s="38" t="inlineStr">
        <is>
          <t>partial</t>
        </is>
      </c>
      <c r="I43" s="38" t="inlineStr">
        <is>
          <t>yes</t>
        </is>
      </c>
      <c r="J43" s="42" t="n"/>
      <c r="K43" s="38" t="inlineStr">
        <is>
          <t>Owner manual review pending.</t>
        </is>
      </c>
      <c r="L43" s="41" t="n">
        <v>1</v>
      </c>
      <c r="M43" s="41">
        <f>IF(H43="not applicable",IF(K43&lt;&gt;"",1,0),IF(I43="yes",IF(H43="verified",1,0),IF(OR(H43="tested",H43="verified"),1,0)))</f>
        <v/>
      </c>
    </row>
    <row r="44" ht="42" customHeight="1" s="21">
      <c r="A44" s="38" t="inlineStr">
        <is>
          <t>ALD-36</t>
        </is>
      </c>
      <c r="B44" s="38" t="inlineStr">
        <is>
          <t>Documentation</t>
        </is>
      </c>
      <c r="C44" s="38" t="inlineStr">
        <is>
          <t>Component</t>
        </is>
      </c>
      <c r="D44" s="38" t="inlineStr">
        <is>
          <t>Public AlertDialog guide covers use boundaries, anatomy, API, required message, focus, dismissal, async prevention, nesting, responsiveness, tokens, composition, and customization</t>
        </is>
      </c>
      <c r="E44" s="38" t="inlineStr">
        <is>
          <t>package</t>
        </is>
      </c>
      <c r="F44" s="38" t="inlineStr">
        <is>
          <t>docs</t>
        </is>
      </c>
      <c r="G44" s="39" t="inlineStr">
        <is>
          <t>../docs/components/alert-dialog/README.md</t>
        </is>
      </c>
      <c r="H44" s="38" t="inlineStr">
        <is>
          <t>tested</t>
        </is>
      </c>
      <c r="I44" s="38" t="inlineStr">
        <is>
          <t>no</t>
        </is>
      </c>
      <c r="J44" s="42" t="n">
        <v>46221</v>
      </c>
      <c r="K44" s="38" t="n"/>
      <c r="L44" s="41" t="n">
        <v>1</v>
      </c>
      <c r="M44" s="41">
        <f>IF(H44="not applicable",IF(K44&lt;&gt;"",1,0),IF(I44="yes",IF(H44="verified",1,0),IF(OR(H44="tested",H44="verified"),1,0)))</f>
        <v/>
      </c>
    </row>
    <row r="45" ht="42" customHeight="1" s="21">
      <c r="A45" s="38" t="inlineStr">
        <is>
          <t>ALD-37</t>
        </is>
      </c>
      <c r="B45" s="38" t="inlineStr">
        <is>
          <t>Documentation</t>
        </is>
      </c>
      <c r="C45" s="38" t="inlineStr">
        <is>
          <t>Component</t>
        </is>
      </c>
      <c r="D45" s="38" t="inlineStr">
        <is>
          <t>AlertDialog component and package changelogs record the initial contract and evidence</t>
        </is>
      </c>
      <c r="E45" s="38" t="inlineStr">
        <is>
          <t>package</t>
        </is>
      </c>
      <c r="F45" s="38" t="inlineStr">
        <is>
          <t>docs</t>
        </is>
      </c>
      <c r="G45" s="39" t="inlineStr">
        <is>
          <t>../docs/components/alert-dialog/CHANGELOG.md</t>
        </is>
      </c>
      <c r="H45" s="38" t="inlineStr">
        <is>
          <t>tested</t>
        </is>
      </c>
      <c r="I45" s="38" t="inlineStr">
        <is>
          <t>no</t>
        </is>
      </c>
      <c r="J45" s="42" t="n">
        <v>46221</v>
      </c>
      <c r="K45" s="38" t="n"/>
      <c r="L45" s="41" t="n">
        <v>1</v>
      </c>
      <c r="M45" s="41">
        <f>IF(H45="not applicable",IF(K45&lt;&gt;"",1,0),IF(I45="yes",IF(H45="verified",1,0),IF(OR(H45="tested",H45="verified"),1,0)))</f>
        <v/>
      </c>
    </row>
    <row r="46" ht="42" customHeight="1" s="21">
      <c r="A46" s="38" t="inlineStr">
        <is>
          <t>ALD-38</t>
        </is>
      </c>
      <c r="B46" s="38" t="inlineStr">
        <is>
          <t>Consumer</t>
        </is>
      </c>
      <c r="C46" s="38" t="inlineStr">
        <is>
          <t>Component</t>
        </is>
      </c>
      <c r="D46" s="38" t="inlineStr">
        <is>
          <t>Independent Brick Consumer uses the public AlertDialog subpath and passes production, boundary, interaction, layout, desktop/mobile, and axe gates</t>
        </is>
      </c>
      <c r="E46" s="38" t="inlineStr">
        <is>
          <t>consumer</t>
        </is>
      </c>
      <c r="F46" s="38" t="inlineStr">
        <is>
          <t>consumer</t>
        </is>
      </c>
      <c r="G46" s="39" t="inlineStr">
        <is>
          <t>../../../../apps/brick-consumer/tests/consumer.spec.ts</t>
        </is>
      </c>
      <c r="H46" s="38" t="inlineStr">
        <is>
          <t>tested</t>
        </is>
      </c>
      <c r="I46" s="38" t="inlineStr">
        <is>
          <t>no</t>
        </is>
      </c>
      <c r="J46" s="42" t="n">
        <v>46221</v>
      </c>
      <c r="K46" s="38" t="n"/>
      <c r="L46" s="41" t="n">
        <v>1</v>
      </c>
      <c r="M46" s="41">
        <f>IF(H46="not applicable",IF(K46&lt;&gt;"",1,0),IF(I46="yes",IF(H46="verified",1,0),IF(OR(H46="tested",H46="verified"),1,0)))</f>
        <v/>
      </c>
    </row>
    <row r="47" ht="42" customHeight="1" s="21">
      <c r="A47" s="38" t="inlineStr">
        <is>
          <t>ALD-39</t>
        </is>
      </c>
      <c r="B47" s="38" t="inlineStr">
        <is>
          <t>Retirement</t>
        </is>
      </c>
      <c r="C47" s="38" t="inlineStr">
        <is>
          <t>Legacy AlertDialog</t>
        </is>
      </c>
      <c r="D47" s="38" t="inlineStr">
        <is>
          <t>Legacy Core AlertDialog source and feedback export are removed after the package and consumer gates pass</t>
        </is>
      </c>
      <c r="E47" s="38" t="inlineStr">
        <is>
          <t>retirement</t>
        </is>
      </c>
      <c r="F47" s="38" t="inlineStr">
        <is>
          <t>removal</t>
        </is>
      </c>
      <c r="G47" s="39" t="inlineStr">
        <is>
          <t>../../docs/core-dependency-ledger.md</t>
        </is>
      </c>
      <c r="H47" s="38" t="inlineStr">
        <is>
          <t>blocked</t>
        </is>
      </c>
      <c r="I47" s="38" t="inlineStr">
        <is>
          <t>yes</t>
        </is>
      </c>
      <c r="J47" s="42" t="n"/>
      <c r="K47" s="38" t="inlineStr">
        <is>
          <t>Package owner-review gate remains open; legacy source is retained until it passes.</t>
        </is>
      </c>
      <c r="L47" s="41" t="n">
        <v>1</v>
      </c>
      <c r="M47" s="41">
        <f>IF(H47="not applicable",IF(K47&lt;&gt;"",1,0),IF(I47="yes",IF(H47="verified",1,0),IF(OR(H47="tested",H47="verified"),1,0)))</f>
        <v/>
      </c>
    </row>
  </sheetData>
  <autoFilter ref="A8:M47"/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alert-dialog/AlertDialog.tsx" r:id="rId1"/>
    <hyperlink xmlns:r="http://schemas.openxmlformats.org/officeDocument/2006/relationships" ref="G10" display="../../docs/alert-dialog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alert-dialog.test.tsx" r:id="rId4"/>
    <hyperlink xmlns:r="http://schemas.openxmlformats.org/officeDocument/2006/relationships" ref="G13" display="../test/components/alert-dialog.test.tsx" r:id="rId5"/>
    <hyperlink xmlns:r="http://schemas.openxmlformats.org/officeDocument/2006/relationships" ref="G14" display="../test/components/alert-dialog.test.tsx" r:id="rId6"/>
    <hyperlink xmlns:r="http://schemas.openxmlformats.org/officeDocument/2006/relationships" ref="G15" display="tests/alert-dialog.spec.ts" r:id="rId7"/>
    <hyperlink xmlns:r="http://schemas.openxmlformats.org/officeDocument/2006/relationships" ref="G16" display="../test/components/alert-dialog.test.tsx" r:id="rId8"/>
    <hyperlink xmlns:r="http://schemas.openxmlformats.org/officeDocument/2006/relationships" ref="G17" display="../test/components/alert-dialog.test.tsx" r:id="rId9"/>
    <hyperlink xmlns:r="http://schemas.openxmlformats.org/officeDocument/2006/relationships" ref="G18" display="../test/components/alert-dialog.test.tsx" r:id="rId10"/>
    <hyperlink xmlns:r="http://schemas.openxmlformats.org/officeDocument/2006/relationships" ref="G19" display="../test/components/alert-dialog.test.tsx" r:id="rId11"/>
    <hyperlink xmlns:r="http://schemas.openxmlformats.org/officeDocument/2006/relationships" ref="G20" display="manual-tests/alert-dialog.md" r:id="rId12"/>
    <hyperlink xmlns:r="http://schemas.openxmlformats.org/officeDocument/2006/relationships" ref="G21" display="manual-tests/alert-dialog.md" r:id="rId13"/>
    <hyperlink xmlns:r="http://schemas.openxmlformats.org/officeDocument/2006/relationships" ref="G22" display="../test/components/alert-dialog.test.tsx + tests/alert-dialog.spec.ts" r:id="rId14"/>
    <hyperlink xmlns:r="http://schemas.openxmlformats.org/officeDocument/2006/relationships" ref="G23" display="../test/components/alert-dialog.test.tsx + tests/alert-dialog.spec.ts" r:id="rId15"/>
    <hyperlink xmlns:r="http://schemas.openxmlformats.org/officeDocument/2006/relationships" ref="G24" display="../src/components/alert-dialog/alert-dialog.css" r:id="rId16"/>
    <hyperlink xmlns:r="http://schemas.openxmlformats.org/officeDocument/2006/relationships" ref="G25" display="manual-tests/alert-dialog.md" r:id="rId17"/>
    <hyperlink xmlns:r="http://schemas.openxmlformats.org/officeDocument/2006/relationships" ref="G26" display="../playground/src/main.tsx" r:id="rId18"/>
    <hyperlink xmlns:r="http://schemas.openxmlformats.org/officeDocument/2006/relationships" ref="G27" display="tests/alert-dialog.spec.ts" r:id="rId19"/>
    <hyperlink xmlns:r="http://schemas.openxmlformats.org/officeDocument/2006/relationships" ref="G28" display="tests/alert-dialog.spec.ts" r:id="rId20"/>
    <hyperlink xmlns:r="http://schemas.openxmlformats.org/officeDocument/2006/relationships" ref="G29" display="manual-tests/alert-dialog.md" r:id="rId21"/>
    <hyperlink xmlns:r="http://schemas.openxmlformats.org/officeDocument/2006/relationships" ref="G30" display="manual-tests/alert-dialog.md" r:id="rId22"/>
    <hyperlink xmlns:r="http://schemas.openxmlformats.org/officeDocument/2006/relationships" ref="G31" display="manual-tests/alert-dialog.md" r:id="rId23"/>
    <hyperlink xmlns:r="http://schemas.openxmlformats.org/officeDocument/2006/relationships" ref="G32" display="tests/alert-dialog.spec.ts" r:id="rId24"/>
    <hyperlink xmlns:r="http://schemas.openxmlformats.org/officeDocument/2006/relationships" ref="G33" display="../test/components/alert-dialog.test.tsx" r:id="rId25"/>
    <hyperlink xmlns:r="http://schemas.openxmlformats.org/officeDocument/2006/relationships" ref="G34" display="../test/types/public-api.test.ts" r:id="rId26"/>
    <hyperlink xmlns:r="http://schemas.openxmlformats.org/officeDocument/2006/relationships" ref="G35" display="tests/alert-dialog.spec.ts" r:id="rId27"/>
    <hyperlink xmlns:r="http://schemas.openxmlformats.org/officeDocument/2006/relationships" ref="G36" display="tests/alert-dialog.spec.ts" r:id="rId28"/>
    <hyperlink xmlns:r="http://schemas.openxmlformats.org/officeDocument/2006/relationships" ref="G37" display="tests/alert-dialog.spec.ts" r:id="rId29"/>
    <hyperlink xmlns:r="http://schemas.openxmlformats.org/officeDocument/2006/relationships" ref="G38" display="tests/alert-dialog.spec.ts" r:id="rId30"/>
    <hyperlink xmlns:r="http://schemas.openxmlformats.org/officeDocument/2006/relationships" ref="G39" display="tests/visual.spec.ts" r:id="rId31"/>
    <hyperlink xmlns:r="http://schemas.openxmlformats.org/officeDocument/2006/relationships" ref="G40" display="../playwright.config.ts" r:id="rId32"/>
    <hyperlink xmlns:r="http://schemas.openxmlformats.org/officeDocument/2006/relationships" ref="G41" display="../scripts/verify-consumers.mjs" r:id="rId33"/>
    <hyperlink xmlns:r="http://schemas.openxmlformats.org/officeDocument/2006/relationships" ref="G42" display="manual-tests/alert-dialog.md" r:id="rId34"/>
    <hyperlink xmlns:r="http://schemas.openxmlformats.org/officeDocument/2006/relationships" ref="G43" display="manual-tests/alert-dialog.md" r:id="rId35"/>
    <hyperlink xmlns:r="http://schemas.openxmlformats.org/officeDocument/2006/relationships" ref="G44" display="../docs/components/alert-dialog/README.md" r:id="rId36"/>
    <hyperlink xmlns:r="http://schemas.openxmlformats.org/officeDocument/2006/relationships" ref="G45" display="../docs/components/alert-dialog/CHANGELOG.md" r:id="rId37"/>
    <hyperlink xmlns:r="http://schemas.openxmlformats.org/officeDocument/2006/relationships" ref="G46" display="../../../../apps/brick-consumer/tests/consumer.spec.ts" r:id="rId38"/>
    <hyperlink xmlns:r="http://schemas.openxmlformats.org/officeDocument/2006/relationships" ref="G47" display="../../docs/core-dependency-ledger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32" min="1" max="1"/>
    <col width="18" customWidth="1" style="32" min="2" max="2"/>
    <col width="16" customWidth="1" style="32" min="3" max="3"/>
    <col width="54" customWidth="1" style="32" min="4" max="4"/>
    <col width="12" customWidth="1" style="32" min="5" max="5"/>
    <col width="16" customWidth="1" style="32" min="6" max="6"/>
    <col width="30" customWidth="1" style="32" min="7" max="7"/>
    <col width="18" customWidth="1" style="32" min="8" max="8"/>
    <col width="14" customWidth="1" style="32" min="9" max="9"/>
    <col width="15" customWidth="1" style="32" min="10" max="10"/>
    <col width="32" customWidth="1" style="32" min="11" max="11"/>
    <col width="9" customWidth="1" style="32" min="12" max="12"/>
    <col width="10" customWidth="1" style="32" min="13" max="13"/>
  </cols>
  <sheetData>
    <row r="1" ht="33.75" customHeight="1" s="21">
      <c r="A1" s="22" t="inlineStr">
        <is>
          <t>Drawer Evidence Matrix</t>
        </is>
      </c>
    </row>
    <row r="2" ht="33.75" customHeight="1" s="21">
      <c r="A2" s="23" t="inlineStr">
        <is>
          <t>Evidence gates for the adopted logical-edge modal compound, its twelve public parts, package proof, Consumer cutover, deferred owner review, and Sidebar-led legacy retirement.</t>
        </is>
      </c>
    </row>
    <row r="4" ht="15" customHeight="1" s="21">
      <c r="A4" s="24" t="inlineStr">
        <is>
          <t>Requirements</t>
        </is>
      </c>
      <c r="B4" s="25">
        <f>COUNTA(A9:A47)</f>
        <v/>
      </c>
      <c r="C4" s="24" t="inlineStr">
        <is>
          <t>Resolved</t>
        </is>
      </c>
      <c r="D4" s="25">
        <f>SUM(M9:M47)</f>
        <v/>
      </c>
      <c r="E4" s="24" t="inlineStr">
        <is>
          <t>Completion</t>
        </is>
      </c>
      <c r="F4" s="26">
        <f>IFERROR(D4/SUM(L9:L47),0)</f>
        <v/>
      </c>
      <c r="G4" s="24" t="inlineStr">
        <is>
          <t>Blocked</t>
        </is>
      </c>
      <c r="H4" s="25">
        <f>COUNTIF(H9:H47,"blocked")</f>
        <v/>
      </c>
      <c r="I4" s="24" t="inlineStr">
        <is>
          <t>Package gate</t>
        </is>
      </c>
      <c r="J4" s="25">
        <f>IF(COUNTIFS(E9:E47,"package",M9:M47,"&lt;1")=0,"complete","open")</f>
        <v/>
      </c>
      <c r="K4" s="24" t="inlineStr">
        <is>
          <t>Retirement gate</t>
        </is>
      </c>
      <c r="L4" s="25">
        <f>IF(COUNTIFS(E9:E47,"retirement",M9:M47,"&lt;1")=0,"complete","open")</f>
        <v/>
      </c>
    </row>
    <row r="6" ht="15" customHeight="1" s="21">
      <c r="A6" s="37" t="inlineStr">
        <is>
          <t>Completion is formula-driven. Human-review rows require verified; other rows require tested or verified. Not applicable requires a reason.</t>
        </is>
      </c>
    </row>
    <row r="8" ht="33.75" customHeight="1" s="21">
      <c r="A8" s="27" t="inlineStr">
        <is>
          <t>ID</t>
        </is>
      </c>
      <c r="B8" s="27" t="inlineStr">
        <is>
          <t>Area</t>
        </is>
      </c>
      <c r="C8" s="27" t="inlineStr">
        <is>
          <t>Part</t>
        </is>
      </c>
      <c r="D8" s="27" t="inlineStr">
        <is>
          <t>Requirement</t>
        </is>
      </c>
      <c r="E8" s="27" t="inlineStr">
        <is>
          <t>Gate</t>
        </is>
      </c>
      <c r="F8" s="27" t="inlineStr">
        <is>
          <t>Evidence type</t>
        </is>
      </c>
      <c r="G8" s="27" t="inlineStr">
        <is>
          <t>Evidence / link</t>
        </is>
      </c>
      <c r="H8" s="27" t="inlineStr">
        <is>
          <t>Status</t>
        </is>
      </c>
      <c r="I8" s="27" t="inlineStr">
        <is>
          <t>Human review?</t>
        </is>
      </c>
      <c r="J8" s="27" t="inlineStr">
        <is>
          <t>Last verified</t>
        </is>
      </c>
      <c r="K8" s="27" t="inlineStr">
        <is>
          <t>Blocker / N/A reason</t>
        </is>
      </c>
      <c r="L8" s="27" t="inlineStr">
        <is>
          <t>Weight</t>
        </is>
      </c>
      <c r="M8" s="27" t="inlineStr">
        <is>
          <t>Resolved</t>
        </is>
      </c>
    </row>
    <row r="9" ht="42" customHeight="1" s="21">
      <c r="A9" s="38" t="inlineStr">
        <is>
          <t>DRA-01</t>
        </is>
      </c>
      <c r="B9" s="38" t="inlineStr">
        <is>
          <t>Public API</t>
        </is>
      </c>
      <c r="C9" s="38" t="inlineStr">
        <is>
          <t>Component</t>
        </is>
      </c>
      <c r="D9" s="38" t="inlineStr">
        <is>
          <t>Implementation directly composes public Atom 0.3.2 Drawer behavior and Modal.Branch without Core or local headless wrappers</t>
        </is>
      </c>
      <c r="E9" s="38" t="inlineStr">
        <is>
          <t>package</t>
        </is>
      </c>
      <c r="F9" s="38" t="inlineStr">
        <is>
          <t>source</t>
        </is>
      </c>
      <c r="G9" s="39" t="inlineStr">
        <is>
          <t>../src/components/drawer/Drawer.tsx</t>
        </is>
      </c>
      <c r="H9" s="38" t="inlineStr">
        <is>
          <t>tested</t>
        </is>
      </c>
      <c r="I9" s="38" t="inlineStr">
        <is>
          <t>no</t>
        </is>
      </c>
      <c r="J9" s="42" t="n">
        <v>46221</v>
      </c>
      <c r="K9" s="38" t="n"/>
      <c r="L9" s="41" t="n">
        <v>1</v>
      </c>
      <c r="M9" s="41">
        <f>IF(H9="not applicable",IF(K9&lt;&gt;"",1,0),IF(I9="yes",IF(H9="verified",1,0),IF(OR(H9="tested",H9="verified"),1,0)))</f>
        <v/>
      </c>
    </row>
    <row r="10" ht="42" customHeight="1" s="21">
      <c r="A10" s="38" t="inlineStr">
        <is>
          <t>DRA-02</t>
        </is>
      </c>
      <c r="B10" s="38" t="inlineStr">
        <is>
          <t>Boundary</t>
        </is>
      </c>
      <c r="C10" s="38" t="inlineStr">
        <is>
          <t>Component</t>
        </is>
      </c>
      <c r="D10" s="38" t="inlineStr">
        <is>
          <t>Owner-approved capability audit covers modal state, keyboard, pointer, touch activation, focus, dismissal, portals, isolation, scrolling, presence, direction, and constrained viewports</t>
        </is>
      </c>
      <c r="E10" s="38" t="inlineStr">
        <is>
          <t>package</t>
        </is>
      </c>
      <c r="F10" s="38" t="inlineStr">
        <is>
          <t>decision</t>
        </is>
      </c>
      <c r="G10" s="39" t="inlineStr">
        <is>
          <t>../../docs/drawer-component-brief.md</t>
        </is>
      </c>
      <c r="H10" s="38" t="inlineStr">
        <is>
          <t>verified</t>
        </is>
      </c>
      <c r="I10" s="38" t="inlineStr">
        <is>
          <t>yes</t>
        </is>
      </c>
      <c r="J10" s="42" t="n">
        <v>46221</v>
      </c>
      <c r="K10" s="38" t="n"/>
      <c r="L10" s="41" t="n">
        <v>1</v>
      </c>
      <c r="M10" s="41">
        <f>IF(H10="not applicable",IF(K10&lt;&gt;"",1,0),IF(I10="yes",IF(H10="verified",1,0),IF(OR(H10="tested",H10="verified"),1,0)))</f>
        <v/>
      </c>
    </row>
    <row r="11" ht="42" customHeight="1" s="21">
      <c r="A11" s="38" t="inlineStr">
        <is>
          <t>DRA-03</t>
        </is>
      </c>
      <c r="B11" s="38" t="inlineStr">
        <is>
          <t>Boundary</t>
        </is>
      </c>
      <c r="C11" s="38" t="inlineStr">
        <is>
          <t>Component</t>
        </is>
      </c>
      <c r="D11" s="38" t="inlineStr">
        <is>
          <t>Swipe, drag, snap, handle, and gesture behavior are excluded from this release and the named Gesture Drawer / Bottom Sheet audit is tracked before a gesture surface is selected</t>
        </is>
      </c>
      <c r="E11" s="38" t="inlineStr">
        <is>
          <t>package</t>
        </is>
      </c>
      <c r="F11" s="38" t="inlineStr">
        <is>
          <t>decision</t>
        </is>
      </c>
      <c r="G11" s="39" t="inlineStr">
        <is>
          <t>../../TODO.md</t>
        </is>
      </c>
      <c r="H11" s="38" t="inlineStr">
        <is>
          <t>verified</t>
        </is>
      </c>
      <c r="I11" s="38" t="inlineStr">
        <is>
          <t>yes</t>
        </is>
      </c>
      <c r="J11" s="42" t="n">
        <v>46221</v>
      </c>
      <c r="K11" s="38" t="n"/>
      <c r="L11" s="41" t="n">
        <v>1</v>
      </c>
      <c r="M11" s="41">
        <f>IF(H11="not applicable",IF(K11&lt;&gt;"",1,0),IF(I11="yes",IF(H11="verified",1,0),IF(OR(H11="tested",H11="verified"),1,0)))</f>
        <v/>
      </c>
    </row>
    <row r="12" ht="42" customHeight="1" s="21">
      <c r="A12" s="38" t="inlineStr">
        <is>
          <t>DRA-04</t>
        </is>
      </c>
      <c r="B12" s="38" t="inlineStr">
        <is>
          <t>Public API</t>
        </is>
      </c>
      <c r="C12" s="38" t="inlineStr">
        <is>
          <t>Namespace</t>
        </is>
      </c>
      <c r="D12" s="38" t="inlineStr">
        <is>
          <t>Root and drawer-subpath namespaces, direct part exports, declarations, logical placement, and closed size unions match the adopted brief</t>
        </is>
      </c>
      <c r="E12" s="38" t="inlineStr">
        <is>
          <t>package</t>
        </is>
      </c>
      <c r="F12" s="38" t="inlineStr">
        <is>
          <t>types</t>
        </is>
      </c>
      <c r="G12" s="39" t="inlineStr">
        <is>
          <t>../test/types/public-api.test.ts</t>
        </is>
      </c>
      <c r="H12" s="38" t="inlineStr">
        <is>
          <t>tested</t>
        </is>
      </c>
      <c r="I12" s="38" t="inlineStr">
        <is>
          <t>no</t>
        </is>
      </c>
      <c r="J12" s="42" t="n">
        <v>46221</v>
      </c>
      <c r="K12" s="38" t="n"/>
      <c r="L12" s="41" t="n">
        <v>1</v>
      </c>
      <c r="M12" s="41">
        <f>IF(H12="not applicable",IF(K12&lt;&gt;"",1,0),IF(I12="yes",IF(H12="verified",1,0),IF(OR(H12="tested",H12="verified"),1,0)))</f>
        <v/>
      </c>
    </row>
    <row r="13" ht="42" customHeight="1" s="21">
      <c r="A13" s="38" t="inlineStr">
        <is>
          <t>DRA-05</t>
        </is>
      </c>
      <c r="B13" s="38" t="inlineStr">
        <is>
          <t>Anatomy</t>
        </is>
      </c>
      <c r="C13" s="38" t="inlineStr">
        <is>
          <t>Root</t>
        </is>
      </c>
      <c r="D13" s="38" t="inlineStr">
        <is>
          <t>Atom owns controlled/uncontrolled state, Escape/backdrop policy, disabled state, close reasons, modal layers, and cleanup; Brick forwards the public contract</t>
        </is>
      </c>
      <c r="E13" s="38" t="inlineStr">
        <is>
          <t>package</t>
        </is>
      </c>
      <c r="F13" s="38" t="inlineStr">
        <is>
          <t>test</t>
        </is>
      </c>
      <c r="G13" s="39" t="inlineStr">
        <is>
          <t>../test/components/drawer.test.tsx</t>
        </is>
      </c>
      <c r="H13" s="38" t="inlineStr">
        <is>
          <t>tested</t>
        </is>
      </c>
      <c r="I13" s="38" t="inlineStr">
        <is>
          <t>no</t>
        </is>
      </c>
      <c r="J13" s="42" t="n">
        <v>46221</v>
      </c>
      <c r="K13" s="38" t="n"/>
      <c r="L13" s="41" t="n">
        <v>1</v>
      </c>
      <c r="M13" s="41">
        <f>IF(H13="not applicable",IF(K13&lt;&gt;"",1,0),IF(I13="yes",IF(H13="verified",1,0),IF(OR(H13="tested",H13="verified"),1,0)))</f>
        <v/>
      </c>
    </row>
    <row r="14" ht="42" customHeight="1" s="21">
      <c r="A14" s="38" t="inlineStr">
        <is>
          <t>DRA-06</t>
        </is>
      </c>
      <c r="B14" s="38" t="inlineStr">
        <is>
          <t>Anatomy</t>
        </is>
      </c>
      <c r="C14" s="38" t="inlineStr">
        <is>
          <t>Trigger</t>
        </is>
      </c>
      <c r="D14" s="38" t="inlineStr">
        <is>
          <t>Trigger preserves disabled state, native props, ref, stable hooks, and representative Atom asChild and render composition</t>
        </is>
      </c>
      <c r="E14" s="38" t="inlineStr">
        <is>
          <t>package</t>
        </is>
      </c>
      <c r="F14" s="38" t="inlineStr">
        <is>
          <t>test</t>
        </is>
      </c>
      <c r="G14" s="39" t="inlineStr">
        <is>
          <t>../test/components/drawer.test.tsx</t>
        </is>
      </c>
      <c r="H14" s="38" t="inlineStr">
        <is>
          <t>tested</t>
        </is>
      </c>
      <c r="I14" s="38" t="inlineStr">
        <is>
          <t>no</t>
        </is>
      </c>
      <c r="J14" s="42" t="n">
        <v>46221</v>
      </c>
      <c r="K14" s="38" t="n"/>
      <c r="L14" s="41" t="n">
        <v>1</v>
      </c>
      <c r="M14" s="41">
        <f>IF(H14="not applicable",IF(K14&lt;&gt;"",1,0),IF(I14="yes",IF(H14="verified",1,0),IF(OR(H14="tested",H14="verified"),1,0)))</f>
        <v/>
      </c>
    </row>
    <row r="15" ht="42" customHeight="1" s="21">
      <c r="A15" s="38" t="inlineStr">
        <is>
          <t>DRA-07</t>
        </is>
      </c>
      <c r="B15" s="38" t="inlineStr">
        <is>
          <t>Anatomy</t>
        </is>
      </c>
      <c r="C15" s="38" t="inlineStr">
        <is>
          <t>Portal</t>
        </is>
      </c>
      <c r="D15" s="38" t="inlineStr">
        <is>
          <t>Portal preserves body, inline, and custom-container composition without copying behavior into Brick</t>
        </is>
      </c>
      <c r="E15" s="38" t="inlineStr">
        <is>
          <t>package</t>
        </is>
      </c>
      <c r="F15" s="38" t="inlineStr">
        <is>
          <t>test</t>
        </is>
      </c>
      <c r="G15" s="39" t="inlineStr">
        <is>
          <t>../test/components/drawer.test.tsx</t>
        </is>
      </c>
      <c r="H15" s="38" t="inlineStr">
        <is>
          <t>tested</t>
        </is>
      </c>
      <c r="I15" s="38" t="inlineStr">
        <is>
          <t>no</t>
        </is>
      </c>
      <c r="J15" s="42" t="n">
        <v>46221</v>
      </c>
      <c r="K15" s="38" t="n"/>
      <c r="L15" s="41" t="n">
        <v>1</v>
      </c>
      <c r="M15" s="41">
        <f>IF(H15="not applicable",IF(K15&lt;&gt;"",1,0),IF(I15="yes",IF(H15="verified",1,0),IF(OR(H15="tested",H15="verified"),1,0)))</f>
        <v/>
      </c>
    </row>
    <row r="16" ht="42" customHeight="1" s="21">
      <c r="A16" s="38" t="inlineStr">
        <is>
          <t>DRA-08</t>
        </is>
      </c>
      <c r="B16" s="38" t="inlineStr">
        <is>
          <t>Anatomy</t>
        </is>
      </c>
      <c r="C16" s="38" t="inlineStr">
        <is>
          <t>Overlay</t>
        </is>
      </c>
      <c r="D16" s="38" t="inlineStr">
        <is>
          <t>Visible Overlay preserves class/slot/ref/native props and enabled/disabled exact-target dismissal</t>
        </is>
      </c>
      <c r="E16" s="38" t="inlineStr">
        <is>
          <t>package</t>
        </is>
      </c>
      <c r="F16" s="38" t="inlineStr">
        <is>
          <t>test</t>
        </is>
      </c>
      <c r="G16" s="39" t="inlineStr">
        <is>
          <t>tests/drawer.spec.ts</t>
        </is>
      </c>
      <c r="H16" s="38" t="inlineStr">
        <is>
          <t>tested</t>
        </is>
      </c>
      <c r="I16" s="38" t="inlineStr">
        <is>
          <t>no</t>
        </is>
      </c>
      <c r="J16" s="42" t="n">
        <v>46221</v>
      </c>
      <c r="K16" s="38" t="n"/>
      <c r="L16" s="41" t="n">
        <v>1</v>
      </c>
      <c r="M16" s="41">
        <f>IF(H16="not applicable",IF(K16&lt;&gt;"",1,0),IF(I16="yes",IF(H16="verified",1,0),IF(OR(H16="tested",H16="verified"),1,0)))</f>
        <v/>
      </c>
    </row>
    <row r="17" ht="42" customHeight="1" s="21">
      <c r="A17" s="38" t="inlineStr">
        <is>
          <t>DRA-09</t>
        </is>
      </c>
      <c r="B17" s="38" t="inlineStr">
        <is>
          <t>Anatomy</t>
        </is>
      </c>
      <c r="C17" s="38" t="inlineStr">
        <is>
          <t>Content</t>
        </is>
      </c>
      <c r="D17" s="38" t="inlineStr">
        <is>
          <t>Content preserves dialog semantics, accessible-name fallback, refs and native props while adding only placement, size, class, slot, and visual data</t>
        </is>
      </c>
      <c r="E17" s="38" t="inlineStr">
        <is>
          <t>package</t>
        </is>
      </c>
      <c r="F17" s="38" t="inlineStr">
        <is>
          <t>test</t>
        </is>
      </c>
      <c r="G17" s="39" t="inlineStr">
        <is>
          <t>../test/components/drawer.test.tsx</t>
        </is>
      </c>
      <c r="H17" s="38" t="inlineStr">
        <is>
          <t>tested</t>
        </is>
      </c>
      <c r="I17" s="38" t="inlineStr">
        <is>
          <t>no</t>
        </is>
      </c>
      <c r="J17" s="42" t="n">
        <v>46221</v>
      </c>
      <c r="K17" s="38" t="n"/>
      <c r="L17" s="41" t="n">
        <v>1</v>
      </c>
      <c r="M17" s="41">
        <f>IF(H17="not applicable",IF(K17&lt;&gt;"",1,0),IF(I17="yes",IF(H17="verified",1,0),IF(OR(H17="tested",H17="verified"),1,0)))</f>
        <v/>
      </c>
    </row>
    <row r="18" ht="42" customHeight="1" s="21">
      <c r="A18" s="38" t="inlineStr">
        <is>
          <t>DRA-10</t>
        </is>
      </c>
      <c r="B18" s="38" t="inlineStr">
        <is>
          <t>Anatomy</t>
        </is>
      </c>
      <c r="C18" s="38" t="inlineStr">
        <is>
          <t>Header</t>
        </is>
      </c>
      <c r="D18" s="38" t="inlineStr">
        <is>
          <t>Header is one optional native visual region with stable class/slot and no generated semantic structure</t>
        </is>
      </c>
      <c r="E18" s="38" t="inlineStr">
        <is>
          <t>package</t>
        </is>
      </c>
      <c r="F18" s="38" t="inlineStr">
        <is>
          <t>test</t>
        </is>
      </c>
      <c r="G18" s="39" t="inlineStr">
        <is>
          <t>../test/components/drawer.test.tsx</t>
        </is>
      </c>
      <c r="H18" s="38" t="inlineStr">
        <is>
          <t>tested</t>
        </is>
      </c>
      <c r="I18" s="38" t="inlineStr">
        <is>
          <t>no</t>
        </is>
      </c>
      <c r="J18" s="42" t="n">
        <v>46221</v>
      </c>
      <c r="K18" s="38" t="n"/>
      <c r="L18" s="41" t="n">
        <v>1</v>
      </c>
      <c r="M18" s="41">
        <f>IF(H18="not applicable",IF(K18&lt;&gt;"",1,0),IF(I18="yes",IF(H18="verified",1,0),IF(OR(H18="tested",H18="verified"),1,0)))</f>
        <v/>
      </c>
    </row>
    <row r="19" ht="42" customHeight="1" s="21">
      <c r="A19" s="38" t="inlineStr">
        <is>
          <t>DRA-11</t>
        </is>
      </c>
      <c r="B19" s="38" t="inlineStr">
        <is>
          <t>Anatomy</t>
        </is>
      </c>
      <c r="C19" s="38" t="inlineStr">
        <is>
          <t>Title</t>
        </is>
      </c>
      <c r="D19" s="38" t="inlineStr">
        <is>
          <t>Title preserves Atom registration, generated accessible naming, heading-level forwarding, ref, and visual hooks</t>
        </is>
      </c>
      <c r="E19" s="38" t="inlineStr">
        <is>
          <t>package</t>
        </is>
      </c>
      <c r="F19" s="38" t="inlineStr">
        <is>
          <t>test</t>
        </is>
      </c>
      <c r="G19" s="39" t="inlineStr">
        <is>
          <t>../test/components/drawer.test.tsx</t>
        </is>
      </c>
      <c r="H19" s="38" t="inlineStr">
        <is>
          <t>tested</t>
        </is>
      </c>
      <c r="I19" s="38" t="inlineStr">
        <is>
          <t>no</t>
        </is>
      </c>
      <c r="J19" s="42" t="n">
        <v>46221</v>
      </c>
      <c r="K19" s="38" t="n"/>
      <c r="L19" s="41" t="n">
        <v>1</v>
      </c>
      <c r="M19" s="41">
        <f>IF(H19="not applicable",IF(K19&lt;&gt;"",1,0),IF(I19="yes",IF(H19="verified",1,0),IF(OR(H19="tested",H19="verified"),1,0)))</f>
        <v/>
      </c>
    </row>
    <row r="20" ht="42" customHeight="1" s="21">
      <c r="A20" s="38" t="inlineStr">
        <is>
          <t>DRA-12</t>
        </is>
      </c>
      <c r="B20" s="38" t="inlineStr">
        <is>
          <t>Anatomy</t>
        </is>
      </c>
      <c r="C20" s="38" t="inlineStr">
        <is>
          <t>Description</t>
        </is>
      </c>
      <c r="D20" s="38" t="inlineStr">
        <is>
          <t>Description preserves Atom registration and the optional generated accessible description while forwarding native props and ref</t>
        </is>
      </c>
      <c r="E20" s="38" t="inlineStr">
        <is>
          <t>package</t>
        </is>
      </c>
      <c r="F20" s="38" t="inlineStr">
        <is>
          <t>test</t>
        </is>
      </c>
      <c r="G20" s="39" t="inlineStr">
        <is>
          <t>../test/components/drawer.test.tsx</t>
        </is>
      </c>
      <c r="H20" s="38" t="inlineStr">
        <is>
          <t>tested</t>
        </is>
      </c>
      <c r="I20" s="38" t="inlineStr">
        <is>
          <t>no</t>
        </is>
      </c>
      <c r="J20" s="42" t="n">
        <v>46221</v>
      </c>
      <c r="K20" s="38" t="n"/>
      <c r="L20" s="41" t="n">
        <v>1</v>
      </c>
      <c r="M20" s="41">
        <f>IF(H20="not applicable",IF(K20&lt;&gt;"",1,0),IF(I20="yes",IF(H20="verified",1,0),IF(OR(H20="tested",H20="verified"),1,0)))</f>
        <v/>
      </c>
    </row>
    <row r="21" ht="42" customHeight="1" s="21">
      <c r="A21" s="38" t="inlineStr">
        <is>
          <t>DRA-13</t>
        </is>
      </c>
      <c r="B21" s="38" t="inlineStr">
        <is>
          <t>Anatomy</t>
        </is>
      </c>
      <c r="C21" s="38" t="inlineStr">
        <is>
          <t>Body</t>
        </is>
      </c>
      <c r="D21" s="38" t="inlineStr">
        <is>
          <t>Body is the flexible independently scrollable native region and keeps long mobile content contained</t>
        </is>
      </c>
      <c r="E21" s="38" t="inlineStr">
        <is>
          <t>package</t>
        </is>
      </c>
      <c r="F21" s="38" t="inlineStr">
        <is>
          <t>test</t>
        </is>
      </c>
      <c r="G21" s="39" t="inlineStr">
        <is>
          <t>tests/drawer.spec.ts</t>
        </is>
      </c>
      <c r="H21" s="38" t="inlineStr">
        <is>
          <t>tested</t>
        </is>
      </c>
      <c r="I21" s="38" t="inlineStr">
        <is>
          <t>no</t>
        </is>
      </c>
      <c r="J21" s="42" t="n">
        <v>46221</v>
      </c>
      <c r="K21" s="38" t="n"/>
      <c r="L21" s="41" t="n">
        <v>1</v>
      </c>
      <c r="M21" s="41">
        <f>IF(H21="not applicable",IF(K21&lt;&gt;"",1,0),IF(I21="yes",IF(H21="verified",1,0),IF(OR(H21="tested",H21="verified"),1,0)))</f>
        <v/>
      </c>
    </row>
    <row r="22" ht="42" customHeight="1" s="21">
      <c r="A22" s="38" t="inlineStr">
        <is>
          <t>DRA-14</t>
        </is>
      </c>
      <c r="B22" s="38" t="inlineStr">
        <is>
          <t>Anatomy</t>
        </is>
      </c>
      <c r="C22" s="38" t="inlineStr">
        <is>
          <t>Footer</t>
        </is>
      </c>
      <c r="D22" s="38" t="inlineStr">
        <is>
          <t>Footer is a native wrapping action region in logical source order and stays reachable with long content</t>
        </is>
      </c>
      <c r="E22" s="38" t="inlineStr">
        <is>
          <t>package</t>
        </is>
      </c>
      <c r="F22" s="38" t="inlineStr">
        <is>
          <t>test</t>
        </is>
      </c>
      <c r="G22" s="39" t="inlineStr">
        <is>
          <t>tests/drawer.spec.ts</t>
        </is>
      </c>
      <c r="H22" s="38" t="inlineStr">
        <is>
          <t>tested</t>
        </is>
      </c>
      <c r="I22" s="38" t="inlineStr">
        <is>
          <t>no</t>
        </is>
      </c>
      <c r="J22" s="42" t="n">
        <v>46221</v>
      </c>
      <c r="K22" s="38" t="n"/>
      <c r="L22" s="41" t="n">
        <v>1</v>
      </c>
      <c r="M22" s="41">
        <f>IF(H22="not applicable",IF(K22&lt;&gt;"",1,0),IF(I22="yes",IF(H22="verified",1,0),IF(OR(H22="tested",H22="verified"),1,0)))</f>
        <v/>
      </c>
    </row>
    <row r="23" ht="42" customHeight="1" s="21">
      <c r="A23" s="38" t="inlineStr">
        <is>
          <t>DRA-15</t>
        </is>
      </c>
      <c r="B23" s="38" t="inlineStr">
        <is>
          <t>Anatomy</t>
        </is>
      </c>
      <c r="C23" s="38" t="inlineStr">
        <is>
          <t>Close</t>
        </is>
      </c>
      <c r="D23" s="38" t="inlineStr">
        <is>
          <t>Close preserves close reason, native props, ref, stable hooks, and representative asChild/render composition</t>
        </is>
      </c>
      <c r="E23" s="38" t="inlineStr">
        <is>
          <t>package</t>
        </is>
      </c>
      <c r="F23" s="38" t="inlineStr">
        <is>
          <t>test</t>
        </is>
      </c>
      <c r="G23" s="39" t="inlineStr">
        <is>
          <t>../test/components/drawer.test.tsx</t>
        </is>
      </c>
      <c r="H23" s="38" t="inlineStr">
        <is>
          <t>tested</t>
        </is>
      </c>
      <c r="I23" s="38" t="inlineStr">
        <is>
          <t>no</t>
        </is>
      </c>
      <c r="J23" s="42" t="n">
        <v>46221</v>
      </c>
      <c r="K23" s="38" t="n"/>
      <c r="L23" s="41" t="n">
        <v>1</v>
      </c>
      <c r="M23" s="41">
        <f>IF(H23="not applicable",IF(K23&lt;&gt;"",1,0),IF(I23="yes",IF(H23="verified",1,0),IF(OR(H23="tested",H23="verified"),1,0)))</f>
        <v/>
      </c>
    </row>
    <row r="24" ht="42" customHeight="1" s="21">
      <c r="A24" s="38" t="inlineStr">
        <is>
          <t>DRA-16</t>
        </is>
      </c>
      <c r="B24" s="38" t="inlineStr">
        <is>
          <t>Anatomy</t>
        </is>
      </c>
      <c r="C24" s="38" t="inlineStr">
        <is>
          <t>Branch</t>
        </is>
      </c>
      <c r="D24" s="38" t="inlineStr">
        <is>
          <t>Branch preserves Atom registration, render composition, ref, and stable Drawer hooks for a body-portalled composite surface</t>
        </is>
      </c>
      <c r="E24" s="38" t="inlineStr">
        <is>
          <t>package</t>
        </is>
      </c>
      <c r="F24" s="38" t="inlineStr">
        <is>
          <t>test</t>
        </is>
      </c>
      <c r="G24" s="39" t="inlineStr">
        <is>
          <t>tests/drawer.spec.ts</t>
        </is>
      </c>
      <c r="H24" s="38" t="inlineStr">
        <is>
          <t>tested</t>
        </is>
      </c>
      <c r="I24" s="38" t="inlineStr">
        <is>
          <t>no</t>
        </is>
      </c>
      <c r="J24" s="42" t="n">
        <v>46221</v>
      </c>
      <c r="K24" s="38" t="n"/>
      <c r="L24" s="41" t="n">
        <v>1</v>
      </c>
      <c r="M24" s="41">
        <f>IF(H24="not applicable",IF(K24&lt;&gt;"",1,0),IF(I24="yes",IF(H24="verified",1,0),IF(OR(H24="tested",H24="verified"),1,0)))</f>
        <v/>
      </c>
    </row>
    <row r="25" ht="42" customHeight="1" s="21">
      <c r="A25" s="38" t="inlineStr">
        <is>
          <t>DRA-17</t>
        </is>
      </c>
      <c r="B25" s="38" t="inlineStr">
        <is>
          <t>Visual system</t>
        </is>
      </c>
      <c r="C25" s="38" t="inlineStr">
        <is>
          <t>Content</t>
        </is>
      </c>
      <c r="D25" s="38" t="inlineStr">
        <is>
          <t>Logical start, end, top, and bottom placement attach to the correct edge and remain viewport-bound</t>
        </is>
      </c>
      <c r="E25" s="38" t="inlineStr">
        <is>
          <t>package</t>
        </is>
      </c>
      <c r="F25" s="38" t="inlineStr">
        <is>
          <t>test</t>
        </is>
      </c>
      <c r="G25" s="39" t="inlineStr">
        <is>
          <t>tests/drawer.spec.ts</t>
        </is>
      </c>
      <c r="H25" s="38" t="inlineStr">
        <is>
          <t>tested</t>
        </is>
      </c>
      <c r="I25" s="38" t="inlineStr">
        <is>
          <t>no</t>
        </is>
      </c>
      <c r="J25" s="42" t="n">
        <v>46221</v>
      </c>
      <c r="K25" s="38" t="n"/>
      <c r="L25" s="41" t="n">
        <v>1</v>
      </c>
      <c r="M25" s="41">
        <f>IF(H25="not applicable",IF(K25&lt;&gt;"",1,0),IF(I25="yes",IF(H25="verified",1,0),IF(OR(H25="tested",H25="verified"),1,0)))</f>
        <v/>
      </c>
    </row>
    <row r="26" ht="42" customHeight="1" s="21">
      <c r="A26" s="38" t="inlineStr">
        <is>
          <t>DRA-18</t>
        </is>
      </c>
      <c r="B26" s="38" t="inlineStr">
        <is>
          <t>Visual system</t>
        </is>
      </c>
      <c r="C26" s="38" t="inlineStr">
        <is>
          <t>Content</t>
        </is>
      </c>
      <c r="D26" s="38" t="inlineStr">
        <is>
          <t>Small, medium, large, and full size recipes are closed, directional, and exposed through public CSS variables</t>
        </is>
      </c>
      <c r="E26" s="38" t="inlineStr">
        <is>
          <t>package</t>
        </is>
      </c>
      <c r="F26" s="38" t="inlineStr">
        <is>
          <t>test</t>
        </is>
      </c>
      <c r="G26" s="39" t="inlineStr">
        <is>
          <t>../test/components/drawer.test.tsx</t>
        </is>
      </c>
      <c r="H26" s="38" t="inlineStr">
        <is>
          <t>tested</t>
        </is>
      </c>
      <c r="I26" s="38" t="inlineStr">
        <is>
          <t>no</t>
        </is>
      </c>
      <c r="J26" s="42" t="n">
        <v>46221</v>
      </c>
      <c r="K26" s="38" t="n"/>
      <c r="L26" s="41" t="n">
        <v>1</v>
      </c>
      <c r="M26" s="41">
        <f>IF(H26="not applicable",IF(K26&lt;&gt;"",1,0),IF(I26="yes",IF(H26="verified",1,0),IF(OR(H26="tested",H26="verified"),1,0)))</f>
        <v/>
      </c>
    </row>
    <row r="27" ht="42" customHeight="1" s="21">
      <c r="A27" s="38" t="inlineStr">
        <is>
          <t>DRA-19</t>
        </is>
      </c>
      <c r="B27" s="38" t="inlineStr">
        <is>
          <t>Visual system</t>
        </is>
      </c>
      <c r="C27" s="38" t="inlineStr">
        <is>
          <t>Content</t>
        </is>
      </c>
      <c r="D27" s="38" t="inlineStr">
        <is>
          <t>Mobile side sizes remain strictly ordered; non-full sizes preserve Overlay context and only full occupies the viewport</t>
        </is>
      </c>
      <c r="E27" s="38" t="inlineStr">
        <is>
          <t>package</t>
        </is>
      </c>
      <c r="F27" s="38" t="inlineStr">
        <is>
          <t>test</t>
        </is>
      </c>
      <c r="G27" s="39" t="inlineStr">
        <is>
          <t>tests/drawer.spec.ts</t>
        </is>
      </c>
      <c r="H27" s="38" t="inlineStr">
        <is>
          <t>tested</t>
        </is>
      </c>
      <c r="I27" s="38" t="inlineStr">
        <is>
          <t>no</t>
        </is>
      </c>
      <c r="J27" s="42" t="n">
        <v>46221</v>
      </c>
      <c r="K27" s="38" t="n"/>
      <c r="L27" s="41" t="n">
        <v>1</v>
      </c>
      <c r="M27" s="41">
        <f>IF(H27="not applicable",IF(K27&lt;&gt;"",1,0),IF(I27="yes",IF(H27="verified",1,0),IF(OR(H27="tested",H27="verified"),1,0)))</f>
        <v/>
      </c>
    </row>
    <row r="28" ht="42" customHeight="1" s="21">
      <c r="A28" s="38" t="inlineStr">
        <is>
          <t>DRA-20</t>
        </is>
      </c>
      <c r="B28" s="38" t="inlineStr">
        <is>
          <t>Visual system</t>
        </is>
      </c>
      <c r="C28" s="38" t="inlineStr">
        <is>
          <t>All parts</t>
        </is>
      </c>
      <c r="D28" s="38" t="inlineStr">
        <is>
          <t>Compiled CSS uses public classes, component tokens, logical properties, elevated surface hierarchy, and safe-area-aware edge treatment</t>
        </is>
      </c>
      <c r="E28" s="38" t="inlineStr">
        <is>
          <t>package</t>
        </is>
      </c>
      <c r="F28" s="38" t="inlineStr">
        <is>
          <t>visual</t>
        </is>
      </c>
      <c r="G28" s="39" t="inlineStr">
        <is>
          <t>tests/visual.spec.ts</t>
        </is>
      </c>
      <c r="H28" s="38" t="inlineStr">
        <is>
          <t>verified</t>
        </is>
      </c>
      <c r="I28" s="38" t="inlineStr">
        <is>
          <t>yes</t>
        </is>
      </c>
      <c r="J28" s="42" t="n">
        <v>46221</v>
      </c>
      <c r="K28" s="38" t="n"/>
      <c r="L28" s="41" t="n">
        <v>1</v>
      </c>
      <c r="M28" s="41">
        <f>IF(H28="not applicable",IF(K28&lt;&gt;"",1,0),IF(I28="yes",IF(H28="verified",1,0),IF(OR(H28="tested",H28="verified"),1,0)))</f>
        <v/>
      </c>
    </row>
    <row r="29" ht="42" customHeight="1" s="21">
      <c r="A29" s="38" t="inlineStr">
        <is>
          <t>DRA-21</t>
        </is>
      </c>
      <c r="B29" s="38" t="inlineStr">
        <is>
          <t>Visual system</t>
        </is>
      </c>
      <c r="C29" s="38" t="inlineStr">
        <is>
          <t>All parts</t>
        </is>
      </c>
      <c r="D29" s="38" t="inlineStr">
        <is>
          <t>Light and dark Drawer surfaces retain readable hierarchy, controls, scrim, and edge separation</t>
        </is>
      </c>
      <c r="E29" s="38" t="inlineStr">
        <is>
          <t>package</t>
        </is>
      </c>
      <c r="F29" s="38" t="inlineStr">
        <is>
          <t>visual</t>
        </is>
      </c>
      <c r="G29" s="39" t="inlineStr">
        <is>
          <t>tests/visual.spec.ts</t>
        </is>
      </c>
      <c r="H29" s="38" t="inlineStr">
        <is>
          <t>verified</t>
        </is>
      </c>
      <c r="I29" s="38" t="inlineStr">
        <is>
          <t>yes</t>
        </is>
      </c>
      <c r="J29" s="42" t="n">
        <v>46221</v>
      </c>
      <c r="K29" s="38" t="n"/>
      <c r="L29" s="41" t="n">
        <v>1</v>
      </c>
      <c r="M29" s="41">
        <f>IF(H29="not applicable",IF(K29&lt;&gt;"",1,0),IF(I29="yes",IF(H29="verified",1,0),IF(OR(H29="tested",H29="verified"),1,0)))</f>
        <v/>
      </c>
    </row>
    <row r="30" ht="42" customHeight="1" s="21">
      <c r="A30" s="38" t="inlineStr">
        <is>
          <t>DRA-22</t>
        </is>
      </c>
      <c r="B30" s="38" t="inlineStr">
        <is>
          <t>Visual system</t>
        </is>
      </c>
      <c r="C30" s="38" t="inlineStr">
        <is>
          <t>Content</t>
        </is>
      </c>
      <c r="D30" s="38" t="inlineStr">
        <is>
          <t>RTL start resolves to the physical right with direction-correct title, body, footer, radius, shadow, and entrance</t>
        </is>
      </c>
      <c r="E30" s="38" t="inlineStr">
        <is>
          <t>package</t>
        </is>
      </c>
      <c r="F30" s="38" t="inlineStr">
        <is>
          <t>test</t>
        </is>
      </c>
      <c r="G30" s="39" t="inlineStr">
        <is>
          <t>tests/drawer.spec.ts</t>
        </is>
      </c>
      <c r="H30" s="38" t="inlineStr">
        <is>
          <t>tested</t>
        </is>
      </c>
      <c r="I30" s="38" t="inlineStr">
        <is>
          <t>no</t>
        </is>
      </c>
      <c r="J30" s="42" t="n">
        <v>46221</v>
      </c>
      <c r="K30" s="38" t="n"/>
      <c r="L30" s="41" t="n">
        <v>1</v>
      </c>
      <c r="M30" s="41">
        <f>IF(H30="not applicable",IF(K30&lt;&gt;"",1,0),IF(I30="yes",IF(H30="verified",1,0),IF(OR(H30="tested",H30="verified"),1,0)))</f>
        <v/>
      </c>
    </row>
    <row r="31" ht="42" customHeight="1" s="21">
      <c r="A31" s="38" t="inlineStr">
        <is>
          <t>DRA-23</t>
        </is>
      </c>
      <c r="B31" s="38" t="inlineStr">
        <is>
          <t>Visual system</t>
        </is>
      </c>
      <c r="C31" s="38" t="inlineStr">
        <is>
          <t>All parts</t>
        </is>
      </c>
      <c r="D31" s="38" t="inlineStr">
        <is>
          <t>Reduced-motion baselines remove travel and forced colors retain a system boundary and operable controls</t>
        </is>
      </c>
      <c r="E31" s="38" t="inlineStr">
        <is>
          <t>package</t>
        </is>
      </c>
      <c r="F31" s="38" t="inlineStr">
        <is>
          <t>visual</t>
        </is>
      </c>
      <c r="G31" s="39" t="inlineStr">
        <is>
          <t>tests/visual.spec.ts</t>
        </is>
      </c>
      <c r="H31" s="38" t="inlineStr">
        <is>
          <t>verified</t>
        </is>
      </c>
      <c r="I31" s="38" t="inlineStr">
        <is>
          <t>yes</t>
        </is>
      </c>
      <c r="J31" s="42" t="n">
        <v>46221</v>
      </c>
      <c r="K31" s="38" t="n"/>
      <c r="L31" s="41" t="n">
        <v>1</v>
      </c>
      <c r="M31" s="41">
        <f>IF(H31="not applicable",IF(K31&lt;&gt;"",1,0),IF(I31="yes",IF(H31="verified",1,0),IF(OR(H31="tested",H31="verified"),1,0)))</f>
        <v/>
      </c>
    </row>
    <row r="32" ht="42" customHeight="1" s="21">
      <c r="A32" s="38" t="inlineStr">
        <is>
          <t>DRA-24</t>
        </is>
      </c>
      <c r="B32" s="38" t="inlineStr">
        <is>
          <t>Visual system</t>
        </is>
      </c>
      <c r="C32" s="38" t="inlineStr">
        <is>
          <t>Content</t>
        </is>
      </c>
      <c r="D32" s="38" t="inlineStr">
        <is>
          <t>Public tokens, class, style, slot, scoped appearance, and inline Portal customization remain local and inspectable</t>
        </is>
      </c>
      <c r="E32" s="38" t="inlineStr">
        <is>
          <t>package</t>
        </is>
      </c>
      <c r="F32" s="38" t="inlineStr">
        <is>
          <t>playground</t>
        </is>
      </c>
      <c r="G32" s="39" t="inlineStr">
        <is>
          <t>../playground/src/main.tsx</t>
        </is>
      </c>
      <c r="H32" s="38" t="inlineStr">
        <is>
          <t>tested</t>
        </is>
      </c>
      <c r="I32" s="38" t="inlineStr">
        <is>
          <t>no</t>
        </is>
      </c>
      <c r="J32" s="42" t="n">
        <v>46221</v>
      </c>
      <c r="K32" s="38" t="n"/>
      <c r="L32" s="41" t="n">
        <v>1</v>
      </c>
      <c r="M32" s="41">
        <f>IF(H32="not applicable",IF(K32&lt;&gt;"",1,0),IF(I32="yes",IF(H32="verified",1,0),IF(OR(H32="tested",H32="verified"),1,0)))</f>
        <v/>
      </c>
    </row>
    <row r="33" ht="42" customHeight="1" s="21">
      <c r="A33" s="38" t="inlineStr">
        <is>
          <t>DRA-25</t>
        </is>
      </c>
      <c r="B33" s="38" t="inlineStr">
        <is>
          <t>Playground</t>
        </is>
      </c>
      <c r="C33" s="38" t="inlineStr">
        <is>
          <t>All parts</t>
        </is>
      </c>
      <c r="D33" s="38" t="inlineStr">
        <is>
          <t>The /drawer workbench exposes overview, anatomy, placements, sizes, state, appearance, responsive, customization, stress, and evidence scenarios</t>
        </is>
      </c>
      <c r="E33" s="38" t="inlineStr">
        <is>
          <t>package</t>
        </is>
      </c>
      <c r="F33" s="38" t="inlineStr">
        <is>
          <t>playground</t>
        </is>
      </c>
      <c r="G33" s="39" t="inlineStr">
        <is>
          <t>../playground/src/main.tsx</t>
        </is>
      </c>
      <c r="H33" s="38" t="inlineStr">
        <is>
          <t>tested</t>
        </is>
      </c>
      <c r="I33" s="38" t="inlineStr">
        <is>
          <t>no</t>
        </is>
      </c>
      <c r="J33" s="42" t="n">
        <v>46221</v>
      </c>
      <c r="K33" s="38" t="n"/>
      <c r="L33" s="41" t="n">
        <v>1</v>
      </c>
      <c r="M33" s="41">
        <f>IF(H33="not applicable",IF(K33&lt;&gt;"",1,0),IF(I33="yes",IF(H33="verified",1,0),IF(OR(H33="tested",H33="verified"),1,0)))</f>
        <v/>
      </c>
    </row>
    <row r="34" ht="42" customHeight="1" s="21">
      <c r="A34" s="38" t="inlineStr">
        <is>
          <t>DRA-26</t>
        </is>
      </c>
      <c r="B34" s="38" t="inlineStr">
        <is>
          <t>Playground</t>
        </is>
      </c>
      <c r="C34" s="38" t="inlineStr">
        <is>
          <t>All parts</t>
        </is>
      </c>
      <c r="D34" s="38" t="inlineStr">
        <is>
          <t>Nested modal, portalled Branch, long content, RTL, mobile, dismissal, disabled Trigger, and full-viewport cases are deterministic</t>
        </is>
      </c>
      <c r="E34" s="38" t="inlineStr">
        <is>
          <t>package</t>
        </is>
      </c>
      <c r="F34" s="38" t="inlineStr">
        <is>
          <t>playground</t>
        </is>
      </c>
      <c r="G34" s="39" t="inlineStr">
        <is>
          <t>../playground/src/main.tsx</t>
        </is>
      </c>
      <c r="H34" s="38" t="inlineStr">
        <is>
          <t>tested</t>
        </is>
      </c>
      <c r="I34" s="38" t="inlineStr">
        <is>
          <t>no</t>
        </is>
      </c>
      <c r="J34" s="42" t="n">
        <v>46221</v>
      </c>
      <c r="K34" s="38" t="n"/>
      <c r="L34" s="41" t="n">
        <v>1</v>
      </c>
      <c r="M34" s="41">
        <f>IF(H34="not applicable",IF(K34&lt;&gt;"",1,0),IF(I34="yes",IF(H34="verified",1,0),IF(OR(H34="tested",H34="verified"),1,0)))</f>
        <v/>
      </c>
    </row>
    <row r="35" ht="42" customHeight="1" s="21">
      <c r="A35" s="38" t="inlineStr">
        <is>
          <t>DRA-27</t>
        </is>
      </c>
      <c r="B35" s="38" t="inlineStr">
        <is>
          <t>Automated tests</t>
        </is>
      </c>
      <c r="C35" s="38" t="inlineStr">
        <is>
          <t>Component</t>
        </is>
      </c>
      <c r="D35" s="38" t="inlineStr">
        <is>
          <t>Vitest and Testing Library adapter tests cover defaults, anatomy, props, refs, composition, disabled behavior, Portal, heading, placements, sizes, and exports</t>
        </is>
      </c>
      <c r="E35" s="38" t="inlineStr">
        <is>
          <t>package</t>
        </is>
      </c>
      <c r="F35" s="38" t="inlineStr">
        <is>
          <t>test</t>
        </is>
      </c>
      <c r="G35" s="39" t="inlineStr">
        <is>
          <t>../test/components/drawer.test.tsx</t>
        </is>
      </c>
      <c r="H35" s="38" t="inlineStr">
        <is>
          <t>tested</t>
        </is>
      </c>
      <c r="I35" s="38" t="inlineStr">
        <is>
          <t>no</t>
        </is>
      </c>
      <c r="J35" s="42" t="n">
        <v>46221</v>
      </c>
      <c r="K35" s="38" t="n"/>
      <c r="L35" s="41" t="n">
        <v>1</v>
      </c>
      <c r="M35" s="41">
        <f>IF(H35="not applicable",IF(K35&lt;&gt;"",1,0),IF(I35="yes",IF(H35="verified",1,0),IF(OR(H35="tested",H35="verified"),1,0)))</f>
        <v/>
      </c>
    </row>
    <row r="36" ht="42" customHeight="1" s="21">
      <c r="A36" s="38" t="inlineStr">
        <is>
          <t>DRA-28</t>
        </is>
      </c>
      <c r="B36" s="38" t="inlineStr">
        <is>
          <t>Automated tests</t>
        </is>
      </c>
      <c r="C36" s="38" t="inlineStr">
        <is>
          <t>Namespace</t>
        </is>
      </c>
      <c r="D36" s="38" t="inlineStr">
        <is>
          <t>Public root/subpath types accept supported native and Atom props and reject physical placement, invalid sizes, and callable Drawer</t>
        </is>
      </c>
      <c r="E36" s="38" t="inlineStr">
        <is>
          <t>package</t>
        </is>
      </c>
      <c r="F36" s="38" t="inlineStr">
        <is>
          <t>types</t>
        </is>
      </c>
      <c r="G36" s="39" t="inlineStr">
        <is>
          <t>../test/types/public-api.test.ts</t>
        </is>
      </c>
      <c r="H36" s="38" t="inlineStr">
        <is>
          <t>tested</t>
        </is>
      </c>
      <c r="I36" s="38" t="inlineStr">
        <is>
          <t>no</t>
        </is>
      </c>
      <c r="J36" s="42" t="n">
        <v>46221</v>
      </c>
      <c r="K36" s="38" t="n"/>
      <c r="L36" s="41" t="n">
        <v>1</v>
      </c>
      <c r="M36" s="41">
        <f>IF(H36="not applicable",IF(K36&lt;&gt;"",1,0),IF(I36="yes",IF(H36="verified",1,0),IF(OR(H36="tested",H36="verified"),1,0)))</f>
        <v/>
      </c>
    </row>
    <row r="37" ht="42" customHeight="1" s="21">
      <c r="A37" s="38" t="inlineStr">
        <is>
          <t>DRA-29</t>
        </is>
      </c>
      <c r="B37" s="38" t="inlineStr">
        <is>
          <t>Automated tests</t>
        </is>
      </c>
      <c r="C37" s="38" t="inlineStr">
        <is>
          <t>Component</t>
        </is>
      </c>
      <c r="D37" s="38" t="inlineStr">
        <is>
          <t>Node boundary/export/CSS tests, strict typecheck, build, and 100% component-source coverage pass</t>
        </is>
      </c>
      <c r="E37" s="38" t="inlineStr">
        <is>
          <t>package</t>
        </is>
      </c>
      <c r="F37" s="38" t="inlineStr">
        <is>
          <t>test</t>
        </is>
      </c>
      <c r="G37" s="39" t="inlineStr">
        <is>
          <t>../test/package/package.test.mjs</t>
        </is>
      </c>
      <c r="H37" s="38" t="inlineStr">
        <is>
          <t>tested</t>
        </is>
      </c>
      <c r="I37" s="38" t="inlineStr">
        <is>
          <t>no</t>
        </is>
      </c>
      <c r="J37" s="42" t="n">
        <v>46221</v>
      </c>
      <c r="K37" s="38" t="n"/>
      <c r="L37" s="41" t="n">
        <v>1</v>
      </c>
      <c r="M37" s="41">
        <f>IF(H37="not applicable",IF(K37&lt;&gt;"",1,0),IF(I37="yes",IF(H37="verified",1,0),IF(OR(H37="tested",H37="verified"),1,0)))</f>
        <v/>
      </c>
    </row>
    <row r="38" ht="42" customHeight="1" s="21">
      <c r="A38" s="38" t="inlineStr">
        <is>
          <t>DRA-30</t>
        </is>
      </c>
      <c r="B38" s="38" t="inlineStr">
        <is>
          <t>Automated tests</t>
        </is>
      </c>
      <c r="C38" s="38" t="inlineStr">
        <is>
          <t>Component</t>
        </is>
      </c>
      <c r="D38" s="38" t="inlineStr">
        <is>
          <t>Chromium, Firefox, WebKit, Pixel, and iPhone Drawer interaction matrix passes for all eleven focused scenarios</t>
        </is>
      </c>
      <c r="E38" s="38" t="inlineStr">
        <is>
          <t>package</t>
        </is>
      </c>
      <c r="F38" s="38" t="inlineStr">
        <is>
          <t>test</t>
        </is>
      </c>
      <c r="G38" s="39" t="inlineStr">
        <is>
          <t>tests/drawer.spec.ts</t>
        </is>
      </c>
      <c r="H38" s="38" t="inlineStr">
        <is>
          <t>tested</t>
        </is>
      </c>
      <c r="I38" s="38" t="inlineStr">
        <is>
          <t>no</t>
        </is>
      </c>
      <c r="J38" s="42" t="n">
        <v>46221</v>
      </c>
      <c r="K38" s="38" t="n"/>
      <c r="L38" s="41" t="n">
        <v>1</v>
      </c>
      <c r="M38" s="41">
        <f>IF(H38="not applicable",IF(K38&lt;&gt;"",1,0),IF(I38="yes",IF(H38="verified",1,0),IF(OR(H38="tested",H38="verified"),1,0)))</f>
        <v/>
      </c>
    </row>
    <row r="39" ht="42" customHeight="1" s="21">
      <c r="A39" s="38" t="inlineStr">
        <is>
          <t>DRA-31</t>
        </is>
      </c>
      <c r="B39" s="38" t="inlineStr">
        <is>
          <t>Automated tests</t>
        </is>
      </c>
      <c r="C39" s="38" t="inlineStr">
        <is>
          <t>Content</t>
        </is>
      </c>
      <c r="D39" s="38" t="inlineStr">
        <is>
          <t>Canonical open Drawer and Consumer workflow have no automated axe violations</t>
        </is>
      </c>
      <c r="E39" s="38" t="inlineStr">
        <is>
          <t>package</t>
        </is>
      </c>
      <c r="F39" s="38" t="inlineStr">
        <is>
          <t>test</t>
        </is>
      </c>
      <c r="G39" s="39" t="inlineStr">
        <is>
          <t>tests/drawer.spec.ts</t>
        </is>
      </c>
      <c r="H39" s="38" t="inlineStr">
        <is>
          <t>tested</t>
        </is>
      </c>
      <c r="I39" s="38" t="inlineStr">
        <is>
          <t>no</t>
        </is>
      </c>
      <c r="J39" s="42" t="n">
        <v>46221</v>
      </c>
      <c r="K39" s="38" t="n"/>
      <c r="L39" s="41" t="n">
        <v>1</v>
      </c>
      <c r="M39" s="41">
        <f>IF(H39="not applicable",IF(K39&lt;&gt;"",1,0),IF(I39="yes",IF(H39="verified",1,0),IF(OR(H39="tested",H39="verified"),1,0)))</f>
        <v/>
      </c>
    </row>
    <row r="40" ht="42" customHeight="1" s="21">
      <c r="A40" s="38" t="inlineStr">
        <is>
          <t>DRA-32</t>
        </is>
      </c>
      <c r="B40" s="38" t="inlineStr">
        <is>
          <t>Automated tests</t>
        </is>
      </c>
      <c r="C40" s="38" t="inlineStr">
        <is>
          <t>All parts</t>
        </is>
      </c>
      <c r="D40" s="38" t="inlineStr">
        <is>
          <t>Five Chromium visual baselines are recorded and reviewed for light, dark, mobile RTL, full mobile, and forced colors</t>
        </is>
      </c>
      <c r="E40" s="38" t="inlineStr">
        <is>
          <t>package</t>
        </is>
      </c>
      <c r="F40" s="38" t="inlineStr">
        <is>
          <t>visual</t>
        </is>
      </c>
      <c r="G40" s="39" t="inlineStr">
        <is>
          <t>tests/visual.spec.ts</t>
        </is>
      </c>
      <c r="H40" s="38" t="inlineStr">
        <is>
          <t>verified</t>
        </is>
      </c>
      <c r="I40" s="38" t="inlineStr">
        <is>
          <t>yes</t>
        </is>
      </c>
      <c r="J40" s="42" t="n">
        <v>46221</v>
      </c>
      <c r="K40" s="38" t="n"/>
      <c r="L40" s="41" t="n">
        <v>1</v>
      </c>
      <c r="M40" s="41">
        <f>IF(H40="not applicable",IF(K40&lt;&gt;"",1,0),IF(I40="yes",IF(H40="verified",1,0),IF(OR(H40="tested",H40="verified"),1,0)))</f>
        <v/>
      </c>
    </row>
    <row r="41" ht="42" customHeight="1" s="21">
      <c r="A41" s="38" t="inlineStr">
        <is>
          <t>DRA-33</t>
        </is>
      </c>
      <c r="B41" s="38" t="inlineStr">
        <is>
          <t>Automated tests</t>
        </is>
      </c>
      <c r="C41" s="38" t="inlineStr">
        <is>
          <t>Component</t>
        </is>
      </c>
      <c r="D41" s="38" t="inlineStr">
        <is>
          <t>Dry-run pack, CSS size report, and clean React 18/19 tarball consumers verify published files and imports</t>
        </is>
      </c>
      <c r="E41" s="38" t="inlineStr">
        <is>
          <t>package</t>
        </is>
      </c>
      <c r="F41" s="38" t="inlineStr">
        <is>
          <t>package</t>
        </is>
      </c>
      <c r="G41" s="39" t="inlineStr">
        <is>
          <t>../scripts/verify-consumers.mjs</t>
        </is>
      </c>
      <c r="H41" s="38" t="inlineStr">
        <is>
          <t>tested</t>
        </is>
      </c>
      <c r="I41" s="38" t="inlineStr">
        <is>
          <t>no</t>
        </is>
      </c>
      <c r="J41" s="42" t="n">
        <v>46221</v>
      </c>
      <c r="K41" s="38" t="n"/>
      <c r="L41" s="41" t="n">
        <v>1</v>
      </c>
      <c r="M41" s="41">
        <f>IF(H41="not applicable",IF(K41&lt;&gt;"",1,0),IF(I41="yes",IF(H41="verified",1,0),IF(OR(H41="tested",H41="verified"),1,0)))</f>
        <v/>
      </c>
    </row>
    <row r="42" ht="42" customHeight="1" s="21">
      <c r="A42" s="38" t="inlineStr">
        <is>
          <t>DRA-34</t>
        </is>
      </c>
      <c r="B42" s="38" t="inlineStr">
        <is>
          <t>Manual evidence</t>
        </is>
      </c>
      <c r="C42" s="38" t="inlineStr">
        <is>
          <t>Component</t>
        </is>
      </c>
      <c r="D42" s="38" t="inlineStr">
        <is>
          <t>Numbered Drawer manual-test protocol covers human visual, keyboard, touch, phone, zoom, VoiceOver, direction, preferences, Branch, and customization judgment</t>
        </is>
      </c>
      <c r="E42" s="38" t="inlineStr">
        <is>
          <t>package</t>
        </is>
      </c>
      <c r="F42" s="38" t="inlineStr">
        <is>
          <t>manual</t>
        </is>
      </c>
      <c r="G42" s="39" t="inlineStr">
        <is>
          <t>manual-tests/drawer.md</t>
        </is>
      </c>
      <c r="H42" s="38" t="inlineStr">
        <is>
          <t>tested</t>
        </is>
      </c>
      <c r="I42" s="38" t="inlineStr">
        <is>
          <t>no</t>
        </is>
      </c>
      <c r="J42" s="42" t="n">
        <v>46221</v>
      </c>
      <c r="K42" s="38" t="n"/>
      <c r="L42" s="41" t="n">
        <v>1</v>
      </c>
      <c r="M42" s="41">
        <f>IF(H42="not applicable",IF(K42&lt;&gt;"",1,0),IF(I42="yes",IF(H42="verified",1,0),IF(OR(H42="tested",H42="verified"),1,0)))</f>
        <v/>
      </c>
    </row>
    <row r="43" ht="42" customHeight="1" s="21">
      <c r="A43" s="38" t="inlineStr">
        <is>
          <t>DRA-35</t>
        </is>
      </c>
      <c r="B43" s="38" t="inlineStr">
        <is>
          <t>Manual evidence</t>
        </is>
      </c>
      <c r="C43" s="38" t="inlineStr">
        <is>
          <t>Component</t>
        </is>
      </c>
      <c r="D43" s="38" t="inlineStr">
        <is>
          <t>Latest owner manual run records every numbered result and corrects any finding before package completion</t>
        </is>
      </c>
      <c r="E43" s="38" t="inlineStr">
        <is>
          <t>package</t>
        </is>
      </c>
      <c r="F43" s="38" t="inlineStr">
        <is>
          <t>manual</t>
        </is>
      </c>
      <c r="G43" s="39" t="inlineStr">
        <is>
          <t>manual-tests/drawer.md</t>
        </is>
      </c>
      <c r="H43" s="38" t="inlineStr">
        <is>
          <t>partial</t>
        </is>
      </c>
      <c r="I43" s="38" t="inlineStr">
        <is>
          <t>yes</t>
        </is>
      </c>
      <c r="J43" s="42" t="n"/>
      <c r="K43" s="38" t="inlineStr">
        <is>
          <t>Owner manual review intentionally deferred</t>
        </is>
      </c>
      <c r="L43" s="41" t="n">
        <v>1</v>
      </c>
      <c r="M43" s="41">
        <f>IF(H43="not applicable",IF(K43&lt;&gt;"",1,0),IF(I43="yes",IF(H43="verified",1,0),IF(OR(H43="tested",H43="verified"),1,0)))</f>
        <v/>
      </c>
    </row>
    <row r="44" ht="42" customHeight="1" s="21">
      <c r="A44" s="38" t="inlineStr">
        <is>
          <t>DRA-36</t>
        </is>
      </c>
      <c r="B44" s="38" t="inlineStr">
        <is>
          <t>Documentation</t>
        </is>
      </c>
      <c r="C44" s="38" t="inlineStr">
        <is>
          <t>Component</t>
        </is>
      </c>
      <c r="D44" s="38" t="inlineStr">
        <is>
          <t>Public Drawer guide covers role, imports, anatomy, API, placement, mobile sizes, tokens, responsive behavior, accessibility, composition, and gesture exclusion</t>
        </is>
      </c>
      <c r="E44" s="38" t="inlineStr">
        <is>
          <t>package</t>
        </is>
      </c>
      <c r="F44" s="38" t="inlineStr">
        <is>
          <t>docs</t>
        </is>
      </c>
      <c r="G44" s="39" t="inlineStr">
        <is>
          <t>../docs/components/drawer/README.md</t>
        </is>
      </c>
      <c r="H44" s="38" t="inlineStr">
        <is>
          <t>tested</t>
        </is>
      </c>
      <c r="I44" s="38" t="inlineStr">
        <is>
          <t>no</t>
        </is>
      </c>
      <c r="J44" s="42" t="n">
        <v>46221</v>
      </c>
      <c r="K44" s="38" t="n"/>
      <c r="L44" s="41" t="n">
        <v>1</v>
      </c>
      <c r="M44" s="41">
        <f>IF(H44="not applicable",IF(K44&lt;&gt;"",1,0),IF(I44="yes",IF(H44="verified",1,0),IF(OR(H44="tested",H44="verified"),1,0)))</f>
        <v/>
      </c>
    </row>
    <row r="45" ht="42" customHeight="1" s="21">
      <c r="A45" s="38" t="inlineStr">
        <is>
          <t>DRA-37</t>
        </is>
      </c>
      <c r="B45" s="38" t="inlineStr">
        <is>
          <t>Documentation</t>
        </is>
      </c>
      <c r="C45" s="38" t="inlineStr">
        <is>
          <t>Component</t>
        </is>
      </c>
      <c r="D45" s="38" t="inlineStr">
        <is>
          <t>Drawer and package changelogs record the public component, mobile sizing, evidence, and named gesture follow-up</t>
        </is>
      </c>
      <c r="E45" s="38" t="inlineStr">
        <is>
          <t>package</t>
        </is>
      </c>
      <c r="F45" s="38" t="inlineStr">
        <is>
          <t>docs</t>
        </is>
      </c>
      <c r="G45" s="39" t="inlineStr">
        <is>
          <t>../docs/components/drawer/CHANGELOG.md</t>
        </is>
      </c>
      <c r="H45" s="38" t="inlineStr">
        <is>
          <t>tested</t>
        </is>
      </c>
      <c r="I45" s="38" t="inlineStr">
        <is>
          <t>no</t>
        </is>
      </c>
      <c r="J45" s="42" t="n">
        <v>46221</v>
      </c>
      <c r="K45" s="38" t="n"/>
      <c r="L45" s="41" t="n">
        <v>1</v>
      </c>
      <c r="M45" s="41">
        <f>IF(H45="not applicable",IF(K45&lt;&gt;"",1,0),IF(I45="yes",IF(H45="verified",1,0),IF(OR(H45="tested",H45="verified"),1,0)))</f>
        <v/>
      </c>
    </row>
    <row r="46" ht="42" customHeight="1" s="21">
      <c r="A46" s="38" t="inlineStr">
        <is>
          <t>DRA-38</t>
        </is>
      </c>
      <c r="B46" s="38" t="inlineStr">
        <is>
          <t>Consumer</t>
        </is>
      </c>
      <c r="C46" s="38" t="inlineStr">
        <is>
          <t>Component</t>
        </is>
      </c>
      <c r="D46" s="38" t="inlineStr">
        <is>
          <t>Independent Consumer composes a public-subpath project-filter workflow and passes boundary, production, desktop/mobile interaction, layout, focus, and axe gates</t>
        </is>
      </c>
      <c r="E46" s="38" t="inlineStr">
        <is>
          <t>consumer</t>
        </is>
      </c>
      <c r="F46" s="38" t="inlineStr">
        <is>
          <t>consumer</t>
        </is>
      </c>
      <c r="G46" s="39" t="inlineStr">
        <is>
          <t>../../../../apps/brick-consumer/tests/consumer.spec.ts</t>
        </is>
      </c>
      <c r="H46" s="38" t="inlineStr">
        <is>
          <t>tested</t>
        </is>
      </c>
      <c r="I46" s="38" t="inlineStr">
        <is>
          <t>no</t>
        </is>
      </c>
      <c r="J46" s="42" t="n">
        <v>46221</v>
      </c>
      <c r="K46" s="38" t="n"/>
      <c r="L46" s="41" t="n">
        <v>1</v>
      </c>
      <c r="M46" s="41">
        <f>IF(H46="not applicable",IF(K46&lt;&gt;"",1,0),IF(I46="yes",IF(H46="verified",1,0),IF(OR(H46="tested",H46="verified"),1,0)))</f>
        <v/>
      </c>
    </row>
    <row r="47" ht="42" customHeight="1" s="21">
      <c r="A47" s="38" t="inlineStr">
        <is>
          <t>DRA-39</t>
        </is>
      </c>
      <c r="B47" s="38" t="inlineStr">
        <is>
          <t>Retirement</t>
        </is>
      </c>
      <c r="C47" s="38" t="inlineStr">
        <is>
          <t>Legacy Drawer</t>
        </is>
      </c>
      <c r="D47" s="38" t="inlineStr">
        <is>
          <t>Legacy Core Drawer remains until Sidebar stops importing DrawerContentBase and a later authorized cutover removes source, types, defaults, exports, CSS, and dead declarations</t>
        </is>
      </c>
      <c r="E47" s="38" t="inlineStr">
        <is>
          <t>retirement</t>
        </is>
      </c>
      <c r="F47" s="38" t="inlineStr">
        <is>
          <t>removal</t>
        </is>
      </c>
      <c r="G47" s="39" t="inlineStr">
        <is>
          <t>../../docs/core-dependency-ledger.md</t>
        </is>
      </c>
      <c r="H47" s="38" t="inlineStr">
        <is>
          <t>blocked</t>
        </is>
      </c>
      <c r="I47" s="38" t="inlineStr">
        <is>
          <t>no</t>
        </is>
      </c>
      <c r="J47" s="42" t="n">
        <v>46221</v>
      </c>
      <c r="K47" s="38" t="inlineStr">
        <is>
          <t>Sidebar imports DrawerContentBase</t>
        </is>
      </c>
      <c r="L47" s="41" t="n">
        <v>1</v>
      </c>
      <c r="M47" s="41">
        <f>IF(H47="not applicable",IF(K47&lt;&gt;"",1,0),IF(I47="yes",IF(H47="verified",1,0),IF(OR(H47="tested",H47="verified"),1,0)))</f>
        <v/>
      </c>
    </row>
  </sheetData>
  <autoFilter ref="A8:M47"/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drawer/Drawer.tsx" r:id="rId1"/>
    <hyperlink xmlns:r="http://schemas.openxmlformats.org/officeDocument/2006/relationships" ref="G10" display="../../docs/drawer-component-brief.md" r:id="rId2"/>
    <hyperlink xmlns:r="http://schemas.openxmlformats.org/officeDocument/2006/relationships" ref="G11" display="../../TODO.md" r:id="rId3"/>
    <hyperlink xmlns:r="http://schemas.openxmlformats.org/officeDocument/2006/relationships" ref="G12" display="../test/types/public-api.test.ts" r:id="rId4"/>
    <hyperlink xmlns:r="http://schemas.openxmlformats.org/officeDocument/2006/relationships" ref="G13" display="../test/components/drawer.test.tsx" r:id="rId5"/>
    <hyperlink xmlns:r="http://schemas.openxmlformats.org/officeDocument/2006/relationships" ref="G14" display="../test/components/drawer.test.tsx" r:id="rId6"/>
    <hyperlink xmlns:r="http://schemas.openxmlformats.org/officeDocument/2006/relationships" ref="G15" display="../test/components/drawer.test.tsx" r:id="rId7"/>
    <hyperlink xmlns:r="http://schemas.openxmlformats.org/officeDocument/2006/relationships" ref="G16" display="tests/drawer.spec.ts" r:id="rId8"/>
    <hyperlink xmlns:r="http://schemas.openxmlformats.org/officeDocument/2006/relationships" ref="G17" display="../test/components/drawer.test.tsx" r:id="rId9"/>
    <hyperlink xmlns:r="http://schemas.openxmlformats.org/officeDocument/2006/relationships" ref="G18" display="../test/components/drawer.test.tsx" r:id="rId10"/>
    <hyperlink xmlns:r="http://schemas.openxmlformats.org/officeDocument/2006/relationships" ref="G19" display="../test/components/drawer.test.tsx" r:id="rId11"/>
    <hyperlink xmlns:r="http://schemas.openxmlformats.org/officeDocument/2006/relationships" ref="G20" display="../test/components/drawer.test.tsx" r:id="rId12"/>
    <hyperlink xmlns:r="http://schemas.openxmlformats.org/officeDocument/2006/relationships" ref="G21" display="tests/drawer.spec.ts" r:id="rId13"/>
    <hyperlink xmlns:r="http://schemas.openxmlformats.org/officeDocument/2006/relationships" ref="G22" display="tests/drawer.spec.ts" r:id="rId14"/>
    <hyperlink xmlns:r="http://schemas.openxmlformats.org/officeDocument/2006/relationships" ref="G23" display="../test/components/drawer.test.tsx" r:id="rId15"/>
    <hyperlink xmlns:r="http://schemas.openxmlformats.org/officeDocument/2006/relationships" ref="G24" display="tests/drawer.spec.ts" r:id="rId16"/>
    <hyperlink xmlns:r="http://schemas.openxmlformats.org/officeDocument/2006/relationships" ref="G25" display="tests/drawer.spec.ts" r:id="rId17"/>
    <hyperlink xmlns:r="http://schemas.openxmlformats.org/officeDocument/2006/relationships" ref="G26" display="../test/components/drawer.test.tsx" r:id="rId18"/>
    <hyperlink xmlns:r="http://schemas.openxmlformats.org/officeDocument/2006/relationships" ref="G27" display="tests/drawer.spec.ts" r:id="rId19"/>
    <hyperlink xmlns:r="http://schemas.openxmlformats.org/officeDocument/2006/relationships" ref="G28" display="tests/visual.spec.ts" r:id="rId20"/>
    <hyperlink xmlns:r="http://schemas.openxmlformats.org/officeDocument/2006/relationships" ref="G29" display="tests/visual.spec.ts" r:id="rId21"/>
    <hyperlink xmlns:r="http://schemas.openxmlformats.org/officeDocument/2006/relationships" ref="G30" display="tests/drawer.spec.ts" r:id="rId22"/>
    <hyperlink xmlns:r="http://schemas.openxmlformats.org/officeDocument/2006/relationships" ref="G31" display="tests/visual.spec.ts" r:id="rId23"/>
    <hyperlink xmlns:r="http://schemas.openxmlformats.org/officeDocument/2006/relationships" ref="G32" display="../playground/src/main.tsx" r:id="rId24"/>
    <hyperlink xmlns:r="http://schemas.openxmlformats.org/officeDocument/2006/relationships" ref="G33" display="../playground/src/main.tsx" r:id="rId25"/>
    <hyperlink xmlns:r="http://schemas.openxmlformats.org/officeDocument/2006/relationships" ref="G34" display="../playground/src/main.tsx" r:id="rId26"/>
    <hyperlink xmlns:r="http://schemas.openxmlformats.org/officeDocument/2006/relationships" ref="G35" display="../test/components/drawer.test.tsx" r:id="rId27"/>
    <hyperlink xmlns:r="http://schemas.openxmlformats.org/officeDocument/2006/relationships" ref="G36" display="../test/types/public-api.test.ts" r:id="rId28"/>
    <hyperlink xmlns:r="http://schemas.openxmlformats.org/officeDocument/2006/relationships" ref="G37" display="../test/package/package.test.mjs" r:id="rId29"/>
    <hyperlink xmlns:r="http://schemas.openxmlformats.org/officeDocument/2006/relationships" ref="G38" display="tests/drawer.spec.ts" r:id="rId30"/>
    <hyperlink xmlns:r="http://schemas.openxmlformats.org/officeDocument/2006/relationships" ref="G39" display="tests/drawer.spec.ts" r:id="rId31"/>
    <hyperlink xmlns:r="http://schemas.openxmlformats.org/officeDocument/2006/relationships" ref="G40" display="tests/visual.spec.ts" r:id="rId32"/>
    <hyperlink xmlns:r="http://schemas.openxmlformats.org/officeDocument/2006/relationships" ref="G41" display="../scripts/verify-consumers.mjs" r:id="rId33"/>
    <hyperlink xmlns:r="http://schemas.openxmlformats.org/officeDocument/2006/relationships" ref="G42" display="manual-tests/drawer.md" r:id="rId34"/>
    <hyperlink xmlns:r="http://schemas.openxmlformats.org/officeDocument/2006/relationships" ref="G43" display="manual-tests/drawer.md" r:id="rId35"/>
    <hyperlink xmlns:r="http://schemas.openxmlformats.org/officeDocument/2006/relationships" ref="G44" display="../docs/components/drawer/README.md" r:id="rId36"/>
    <hyperlink xmlns:r="http://schemas.openxmlformats.org/officeDocument/2006/relationships" ref="G45" display="../docs/components/drawer/CHANGELOG.md" r:id="rId37"/>
    <hyperlink xmlns:r="http://schemas.openxmlformats.org/officeDocument/2006/relationships" ref="G46" display="../../../../apps/brick-consumer/tests/consumer.spec.ts" r:id="rId38"/>
    <hyperlink xmlns:r="http://schemas.openxmlformats.org/officeDocument/2006/relationships" ref="G47" display="../../docs/core-dependency-ledger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32" min="1" max="1"/>
    <col width="18" customWidth="1" style="32" min="2" max="2"/>
    <col width="16" customWidth="1" style="32" min="3" max="3"/>
    <col width="54" customWidth="1" style="32" min="4" max="4"/>
    <col width="12" customWidth="1" style="32" min="5" max="5"/>
    <col width="16" customWidth="1" style="32" min="6" max="6"/>
    <col width="30" customWidth="1" style="32" min="7" max="7"/>
    <col width="18" customWidth="1" style="32" min="8" max="8"/>
    <col width="14" customWidth="1" style="32" min="9" max="9"/>
    <col width="15" customWidth="1" style="32" min="10" max="10"/>
    <col width="32" customWidth="1" style="32" min="11" max="11"/>
    <col width="9" customWidth="1" style="32" min="12" max="12"/>
    <col width="10" customWidth="1" style="32" min="13" max="13"/>
  </cols>
  <sheetData>
    <row r="1" ht="33.75" customHeight="1" s="21">
      <c r="A1" s="22" t="inlineStr">
        <is>
          <t>Badge Evidence Matrix</t>
        </is>
      </c>
    </row>
    <row r="2" ht="33.75" customHeight="1" s="21">
      <c r="A2" s="23" t="inlineStr">
        <is>
          <t>Evidence gates for the adopted passive Badge and attached NotificationBadge family, package proof, Consumer cutover, and completed dependency-led Core retirement.</t>
        </is>
      </c>
    </row>
    <row r="4" ht="15" customHeight="1" s="21">
      <c r="A4" s="24" t="inlineStr">
        <is>
          <t>Requirements</t>
        </is>
      </c>
      <c r="B4" s="25">
        <f>COUNTA(A9:A47)</f>
        <v/>
      </c>
      <c r="C4" s="24" t="inlineStr">
        <is>
          <t>Resolved</t>
        </is>
      </c>
      <c r="D4" s="25">
        <f>SUM(M9:M47)</f>
        <v/>
      </c>
      <c r="E4" s="24" t="inlineStr">
        <is>
          <t>Completion</t>
        </is>
      </c>
      <c r="F4" s="26">
        <f>IFERROR(D4/SUM(L9:L47),0)</f>
        <v/>
      </c>
      <c r="G4" s="24" t="inlineStr">
        <is>
          <t>Blocked</t>
        </is>
      </c>
      <c r="H4" s="25">
        <f>COUNTIF(H9:H47,"blocked")</f>
        <v/>
      </c>
      <c r="I4" s="24" t="inlineStr">
        <is>
          <t>Package gate</t>
        </is>
      </c>
      <c r="J4" s="25">
        <f>IF(COUNTIFS(E9:E47,"package",M9:M47,"&lt;1")=0,"complete","open")</f>
        <v/>
      </c>
      <c r="K4" s="24" t="inlineStr">
        <is>
          <t>Retirement gate</t>
        </is>
      </c>
      <c r="L4" s="25">
        <f>IF(COUNTIFS(E9:E47,"retirement",M9:M47,"&lt;1")=0,"complete","open")</f>
        <v/>
      </c>
    </row>
    <row r="6" ht="15" customHeight="1" s="21">
      <c r="A6" s="37" t="inlineStr">
        <is>
          <t>Completion is formula-driven. Human-review rows require verified; other rows require tested or verified. Not applicable requires a reason.</t>
        </is>
      </c>
    </row>
    <row r="8" ht="33.75" customHeight="1" s="21">
      <c r="A8" s="27" t="inlineStr">
        <is>
          <t>ID</t>
        </is>
      </c>
      <c r="B8" s="27" t="inlineStr">
        <is>
          <t>Area</t>
        </is>
      </c>
      <c r="C8" s="27" t="inlineStr">
        <is>
          <t>Part</t>
        </is>
      </c>
      <c r="D8" s="27" t="inlineStr">
        <is>
          <t>Requirement</t>
        </is>
      </c>
      <c r="E8" s="27" t="inlineStr">
        <is>
          <t>Gate</t>
        </is>
      </c>
      <c r="F8" s="27" t="inlineStr">
        <is>
          <t>Evidence type</t>
        </is>
      </c>
      <c r="G8" s="27" t="inlineStr">
        <is>
          <t>Evidence / link</t>
        </is>
      </c>
      <c r="H8" s="27" t="inlineStr">
        <is>
          <t>Status</t>
        </is>
      </c>
      <c r="I8" s="27" t="inlineStr">
        <is>
          <t>Human review?</t>
        </is>
      </c>
      <c r="J8" s="27" t="inlineStr">
        <is>
          <t>Last verified</t>
        </is>
      </c>
      <c r="K8" s="27" t="inlineStr">
        <is>
          <t>Blocker / N/A reason</t>
        </is>
      </c>
      <c r="L8" s="27" t="inlineStr">
        <is>
          <t>Weight</t>
        </is>
      </c>
      <c r="M8" s="27" t="inlineStr">
        <is>
          <t>Resolved</t>
        </is>
      </c>
    </row>
    <row r="9" ht="42" customHeight="1" s="21">
      <c r="A9" s="38" t="inlineStr">
        <is>
          <t>BAD-01</t>
        </is>
      </c>
      <c r="B9" s="38" t="inlineStr">
        <is>
          <t>Public API</t>
        </is>
      </c>
      <c r="C9" s="38" t="inlineStr">
        <is>
          <t>Badge</t>
        </is>
      </c>
      <c r="D9" s="38" t="inlineStr">
        <is>
          <t>Badge directly composes the public Atom 0.3.3 Badge subpath without Core, framework, or local behavior wrappers</t>
        </is>
      </c>
      <c r="E9" s="38" t="inlineStr">
        <is>
          <t>package</t>
        </is>
      </c>
      <c r="F9" s="38" t="inlineStr">
        <is>
          <t>source</t>
        </is>
      </c>
      <c r="G9" s="39" t="inlineStr">
        <is>
          <t>../src/components/badge/Badge.tsx</t>
        </is>
      </c>
      <c r="H9" s="38" t="inlineStr">
        <is>
          <t>tested</t>
        </is>
      </c>
      <c r="I9" s="38" t="inlineStr">
        <is>
          <t>no</t>
        </is>
      </c>
      <c r="J9" s="42" t="n">
        <v>46221</v>
      </c>
      <c r="K9" s="38" t="n"/>
      <c r="L9" s="41" t="n">
        <v>1</v>
      </c>
      <c r="M9" s="41">
        <f>IF(H9="not applicable",IF(K9&lt;&gt;"",1,0),IF(I9="yes",IF(H9="verified",1,0),IF(OR(H9="tested",H9="verified"),1,0)))</f>
        <v/>
      </c>
    </row>
    <row r="10" ht="42" customHeight="1" s="21">
      <c r="A10" s="38" t="inlineStr">
        <is>
          <t>BAD-02</t>
        </is>
      </c>
      <c r="B10" s="38" t="inlineStr">
        <is>
          <t>Boundary</t>
        </is>
      </c>
      <c r="C10" s="38" t="inlineStr">
        <is>
          <t>Family</t>
        </is>
      </c>
      <c r="D10" s="38" t="inlineStr">
        <is>
          <t>Owner-approved Atom audit and released 0.3.3 server-safety patch cover semantic span output, native forwarding, ref, composition, and slots</t>
        </is>
      </c>
      <c r="E10" s="38" t="inlineStr">
        <is>
          <t>package</t>
        </is>
      </c>
      <c r="F10" s="38" t="inlineStr">
        <is>
          <t>decision</t>
        </is>
      </c>
      <c r="G10" s="39" t="inlineStr">
        <is>
          <t>../../docs/badge-component-brief.md</t>
        </is>
      </c>
      <c r="H10" s="38" t="inlineStr">
        <is>
          <t>verified</t>
        </is>
      </c>
      <c r="I10" s="38" t="inlineStr">
        <is>
          <t>yes</t>
        </is>
      </c>
      <c r="J10" s="42" t="n">
        <v>46221</v>
      </c>
      <c r="K10" s="38" t="n"/>
      <c r="L10" s="41" t="n">
        <v>1</v>
      </c>
      <c r="M10" s="41">
        <f>IF(H10="not applicable",IF(K10&lt;&gt;"",1,0),IF(I10="yes",IF(H10="verified",1,0),IF(OR(H10="tested",H10="verified"),1,0)))</f>
        <v/>
      </c>
    </row>
    <row r="11" ht="42" customHeight="1" s="21">
      <c r="A11" s="38" t="inlineStr">
        <is>
          <t>BAD-03</t>
        </is>
      </c>
      <c r="B11" s="38" t="inlineStr">
        <is>
          <t>Public API</t>
        </is>
      </c>
      <c r="C11" s="38" t="inlineStr">
        <is>
          <t>Family</t>
        </is>
      </c>
      <c r="D11" s="38" t="inlineStr">
        <is>
          <t>Root and badge-subpath exports, declarations, required children, and all closed unions match the adopted brief</t>
        </is>
      </c>
      <c r="E11" s="38" t="inlineStr">
        <is>
          <t>package</t>
        </is>
      </c>
      <c r="F11" s="38" t="inlineStr">
        <is>
          <t>types</t>
        </is>
      </c>
      <c r="G11" s="39" t="inlineStr">
        <is>
          <t>../test/types/public-api.test.ts</t>
        </is>
      </c>
      <c r="H11" s="38" t="inlineStr">
        <is>
          <t>tested</t>
        </is>
      </c>
      <c r="I11" s="38" t="inlineStr">
        <is>
          <t>no</t>
        </is>
      </c>
      <c r="J11" s="42" t="n">
        <v>46221</v>
      </c>
      <c r="K11" s="38" t="n"/>
      <c r="L11" s="41" t="n">
        <v>1</v>
      </c>
      <c r="M11" s="41">
        <f>IF(H11="not applicable",IF(K11&lt;&gt;"",1,0),IF(I11="yes",IF(H11="verified",1,0),IF(OR(H11="tested",H11="verified"),1,0)))</f>
        <v/>
      </c>
    </row>
    <row r="12" ht="42" customHeight="1" s="21">
      <c r="A12" s="38" t="inlineStr">
        <is>
          <t>BAD-04</t>
        </is>
      </c>
      <c r="B12" s="38" t="inlineStr">
        <is>
          <t>Anatomy</t>
        </is>
      </c>
      <c r="C12" s="38" t="inlineStr">
        <is>
          <t>Badge</t>
        </is>
      </c>
      <c r="D12" s="38" t="inlineStr">
        <is>
          <t>Default passive span emits stable class/slot plus soft, neutral, medium, and rounded metadata without invented role, state, or focus</t>
        </is>
      </c>
      <c r="E12" s="38" t="inlineStr">
        <is>
          <t>package</t>
        </is>
      </c>
      <c r="F12" s="38" t="inlineStr">
        <is>
          <t>test</t>
        </is>
      </c>
      <c r="G12" s="39" t="inlineStr">
        <is>
          <t>../test/components/badge.test.tsx</t>
        </is>
      </c>
      <c r="H12" s="38" t="inlineStr">
        <is>
          <t>tested</t>
        </is>
      </c>
      <c r="I12" s="38" t="inlineStr">
        <is>
          <t>no</t>
        </is>
      </c>
      <c r="J12" s="42" t="n">
        <v>46221</v>
      </c>
      <c r="K12" s="38" t="n"/>
      <c r="L12" s="41" t="n">
        <v>1</v>
      </c>
      <c r="M12" s="41">
        <f>IF(H12="not applicable",IF(K12&lt;&gt;"",1,0),IF(I12="yes",IF(H12="verified",1,0),IF(OR(H12="tested",H12="verified"),1,0)))</f>
        <v/>
      </c>
    </row>
    <row r="13" ht="42" customHeight="1" s="21">
      <c r="A13" s="38" t="inlineStr">
        <is>
          <t>BAD-05</t>
        </is>
      </c>
      <c r="B13" s="38" t="inlineStr">
        <is>
          <t>Visual system</t>
        </is>
      </c>
      <c r="C13" s="38" t="inlineStr">
        <is>
          <t>Badge</t>
        </is>
      </c>
      <c r="D13" s="38" t="inlineStr">
        <is>
          <t>Soft, solid, and outline variants; six tones; three sizes; and rounded/pill shapes are complete and reject arbitrary color/radius</t>
        </is>
      </c>
      <c r="E13" s="38" t="inlineStr">
        <is>
          <t>package</t>
        </is>
      </c>
      <c r="F13" s="38" t="inlineStr">
        <is>
          <t>test</t>
        </is>
      </c>
      <c r="G13" s="39" t="inlineStr">
        <is>
          <t>../test/components/badge.test.tsx</t>
        </is>
      </c>
      <c r="H13" s="38" t="inlineStr">
        <is>
          <t>tested</t>
        </is>
      </c>
      <c r="I13" s="38" t="inlineStr">
        <is>
          <t>no</t>
        </is>
      </c>
      <c r="J13" s="42" t="n">
        <v>46221</v>
      </c>
      <c r="K13" s="38" t="n"/>
      <c r="L13" s="41" t="n">
        <v>1</v>
      </c>
      <c r="M13" s="41">
        <f>IF(H13="not applicable",IF(K13&lt;&gt;"",1,0),IF(I13="yes",IF(H13="verified",1,0),IF(OR(H13="tested",H13="verified"),1,0)))</f>
        <v/>
      </c>
    </row>
    <row r="14" ht="42" customHeight="1" s="21">
      <c r="A14" s="38" t="inlineStr">
        <is>
          <t>BAD-06</t>
        </is>
      </c>
      <c r="B14" s="38" t="inlineStr">
        <is>
          <t>Public API</t>
        </is>
      </c>
      <c r="C14" s="38" t="inlineStr">
        <is>
          <t>Badge</t>
        </is>
      </c>
      <c r="D14" s="38" t="inlineStr">
        <is>
          <t>Children, native props/events, class, style, ref, slot override, asChild, and render composition preserve Atom ownership</t>
        </is>
      </c>
      <c r="E14" s="38" t="inlineStr">
        <is>
          <t>package</t>
        </is>
      </c>
      <c r="F14" s="38" t="inlineStr">
        <is>
          <t>test</t>
        </is>
      </c>
      <c r="G14" s="39" t="inlineStr">
        <is>
          <t>../test/components/badge.test.tsx</t>
        </is>
      </c>
      <c r="H14" s="38" t="inlineStr">
        <is>
          <t>tested</t>
        </is>
      </c>
      <c r="I14" s="38" t="inlineStr">
        <is>
          <t>no</t>
        </is>
      </c>
      <c r="J14" s="42" t="n">
        <v>46221</v>
      </c>
      <c r="K14" s="38" t="n"/>
      <c r="L14" s="41" t="n">
        <v>1</v>
      </c>
      <c r="M14" s="41">
        <f>IF(H14="not applicable",IF(K14&lt;&gt;"",1,0),IF(I14="yes",IF(H14="verified",1,0),IF(OR(H14="tested",H14="verified"),1,0)))</f>
        <v/>
      </c>
    </row>
    <row r="15" ht="42" customHeight="1" s="21">
      <c r="A15" s="38" t="inlineStr">
        <is>
          <t>BAD-07</t>
        </is>
      </c>
      <c r="B15" s="38" t="inlineStr">
        <is>
          <t>Accessibility</t>
        </is>
      </c>
      <c r="C15" s="38" t="inlineStr">
        <is>
          <t>Badge</t>
        </is>
      </c>
      <c r="D15" s="38" t="inlineStr">
        <is>
          <t>Passive Badge adds no role, live region, tab stop, disabled, selected, removable, or interactive behavior</t>
        </is>
      </c>
      <c r="E15" s="38" t="inlineStr">
        <is>
          <t>package</t>
        </is>
      </c>
      <c r="F15" s="38" t="inlineStr">
        <is>
          <t>test</t>
        </is>
      </c>
      <c r="G15" s="39" t="inlineStr">
        <is>
          <t>../test/components/badge.test.tsx</t>
        </is>
      </c>
      <c r="H15" s="38" t="inlineStr">
        <is>
          <t>tested</t>
        </is>
      </c>
      <c r="I15" s="38" t="inlineStr">
        <is>
          <t>no</t>
        </is>
      </c>
      <c r="J15" s="42" t="n">
        <v>46221</v>
      </c>
      <c r="K15" s="38" t="n"/>
      <c r="L15" s="41" t="n">
        <v>1</v>
      </c>
      <c r="M15" s="41">
        <f>IF(H15="not applicable",IF(K15&lt;&gt;"",1,0),IF(I15="yes",IF(H15="verified",1,0),IF(OR(H15="tested",H15="verified"),1,0)))</f>
        <v/>
      </c>
    </row>
    <row r="16" ht="42" customHeight="1" s="21">
      <c r="A16" s="38" t="inlineStr">
        <is>
          <t>BAD-08</t>
        </is>
      </c>
      <c r="B16" s="38" t="inlineStr">
        <is>
          <t>Anatomy</t>
        </is>
      </c>
      <c r="C16" s="38" t="inlineStr">
        <is>
          <t>NotificationBadge</t>
        </is>
      </c>
      <c r="D16" s="38" t="inlineStr">
        <is>
          <t>Wrapper requires one React element child and emits stable wrapper/indicator slots without mutating child semantics</t>
        </is>
      </c>
      <c r="E16" s="38" t="inlineStr">
        <is>
          <t>package</t>
        </is>
      </c>
      <c r="F16" s="38" t="inlineStr">
        <is>
          <t>types</t>
        </is>
      </c>
      <c r="G16" s="39" t="inlineStr">
        <is>
          <t>../test/types/public-api.test.ts</t>
        </is>
      </c>
      <c r="H16" s="38" t="inlineStr">
        <is>
          <t>tested</t>
        </is>
      </c>
      <c r="I16" s="38" t="inlineStr">
        <is>
          <t>no</t>
        </is>
      </c>
      <c r="J16" s="42" t="n">
        <v>46221</v>
      </c>
      <c r="K16" s="38" t="n"/>
      <c r="L16" s="41" t="n">
        <v>1</v>
      </c>
      <c r="M16" s="41">
        <f>IF(H16="not applicable",IF(K16&lt;&gt;"",1,0),IF(I16="yes",IF(H16="verified",1,0),IF(OR(H16="tested",H16="verified"),1,0)))</f>
        <v/>
      </c>
    </row>
    <row r="17" ht="42" customHeight="1" s="21">
      <c r="A17" s="38" t="inlineStr">
        <is>
          <t>BAD-09</t>
        </is>
      </c>
      <c r="B17" s="38" t="inlineStr">
        <is>
          <t>Formatting</t>
        </is>
      </c>
      <c r="C17" s="38" t="inlineStr">
        <is>
          <t>NotificationBadge</t>
        </is>
      </c>
      <c r="D17" s="38" t="inlineStr">
        <is>
          <t>Count formatting covers one-digit circles, multi-digit pills, configurable maximum, and overflow labels</t>
        </is>
      </c>
      <c r="E17" s="38" t="inlineStr">
        <is>
          <t>package</t>
        </is>
      </c>
      <c r="F17" s="38" t="inlineStr">
        <is>
          <t>test</t>
        </is>
      </c>
      <c r="G17" s="39" t="inlineStr">
        <is>
          <t>../test/components/badge.test.tsx</t>
        </is>
      </c>
      <c r="H17" s="38" t="inlineStr">
        <is>
          <t>tested</t>
        </is>
      </c>
      <c r="I17" s="38" t="inlineStr">
        <is>
          <t>no</t>
        </is>
      </c>
      <c r="J17" s="42" t="n">
        <v>46221</v>
      </c>
      <c r="K17" s="38" t="n"/>
      <c r="L17" s="41" t="n">
        <v>1</v>
      </c>
      <c r="M17" s="41">
        <f>IF(H17="not applicable",IF(K17&lt;&gt;"",1,0),IF(I17="yes",IF(H17="verified",1,0),IF(OR(H17="tested",H17="verified"),1,0)))</f>
        <v/>
      </c>
    </row>
    <row r="18" ht="42" customHeight="1" s="21">
      <c r="A18" s="38" t="inlineStr">
        <is>
          <t>BAD-10</t>
        </is>
      </c>
      <c r="B18" s="38" t="inlineStr">
        <is>
          <t>Formatting</t>
        </is>
      </c>
      <c r="C18" s="38" t="inlineStr">
        <is>
          <t>NotificationBadge</t>
        </is>
      </c>
      <c r="D18" s="38" t="inlineStr">
        <is>
          <t>Dot, showZero, zero suppression, and invisible state preserve layout while controlling indicator visibility</t>
        </is>
      </c>
      <c r="E18" s="38" t="inlineStr">
        <is>
          <t>package</t>
        </is>
      </c>
      <c r="F18" s="38" t="inlineStr">
        <is>
          <t>test</t>
        </is>
      </c>
      <c r="G18" s="39" t="inlineStr">
        <is>
          <t>../test/components/badge.test.tsx</t>
        </is>
      </c>
      <c r="H18" s="38" t="inlineStr">
        <is>
          <t>tested</t>
        </is>
      </c>
      <c r="I18" s="38" t="inlineStr">
        <is>
          <t>no</t>
        </is>
      </c>
      <c r="J18" s="42" t="n">
        <v>46221</v>
      </c>
      <c r="K18" s="38" t="n"/>
      <c r="L18" s="41" t="n">
        <v>1</v>
      </c>
      <c r="M18" s="41">
        <f>IF(H18="not applicable",IF(K18&lt;&gt;"",1,0),IF(I18="yes",IF(H18="verified",1,0),IF(OR(H18="tested",H18="verified"),1,0)))</f>
        <v/>
      </c>
    </row>
    <row r="19" ht="42" customHeight="1" s="21">
      <c r="A19" s="38" t="inlineStr">
        <is>
          <t>BAD-11</t>
        </is>
      </c>
      <c r="B19" s="38" t="inlineStr">
        <is>
          <t>Geometry</t>
        </is>
      </c>
      <c r="C19" s="38" t="inlineStr">
        <is>
          <t>NotificationBadge</t>
        </is>
      </c>
      <c r="D19" s="38" t="inlineStr">
        <is>
          <t>Four logical placements, circular/rectangular overlap, and three indicator sizes emit closed metadata</t>
        </is>
      </c>
      <c r="E19" s="38" t="inlineStr">
        <is>
          <t>package</t>
        </is>
      </c>
      <c r="F19" s="38" t="inlineStr">
        <is>
          <t>test</t>
        </is>
      </c>
      <c r="G19" s="39" t="inlineStr">
        <is>
          <t>../test/components/badge.test.tsx</t>
        </is>
      </c>
      <c r="H19" s="38" t="inlineStr">
        <is>
          <t>tested</t>
        </is>
      </c>
      <c r="I19" s="38" t="inlineStr">
        <is>
          <t>no</t>
        </is>
      </c>
      <c r="J19" s="42" t="n">
        <v>46221</v>
      </c>
      <c r="K19" s="38" t="n"/>
      <c r="L19" s="41" t="n">
        <v>1</v>
      </c>
      <c r="M19" s="41">
        <f>IF(H19="not applicable",IF(K19&lt;&gt;"",1,0),IF(I19="yes",IF(H19="verified",1,0),IF(OR(H19="tested",H19="verified"),1,0)))</f>
        <v/>
      </c>
    </row>
    <row r="20" ht="42" customHeight="1" s="21">
      <c r="A20" s="38" t="inlineStr">
        <is>
          <t>BAD-12</t>
        </is>
      </c>
      <c r="B20" s="38" t="inlineStr">
        <is>
          <t>Accessibility</t>
        </is>
      </c>
      <c r="C20" s="38" t="inlineStr">
        <is>
          <t>NotificationBadge</t>
        </is>
      </c>
      <c r="D20" s="38" t="inlineStr">
        <is>
          <t>Indicator is aria-hidden and pointer-inert; owning content retains the full localized count/status name without automatic live announcements</t>
        </is>
      </c>
      <c r="E20" s="38" t="inlineStr">
        <is>
          <t>package</t>
        </is>
      </c>
      <c r="F20" s="38" t="inlineStr">
        <is>
          <t>test</t>
        </is>
      </c>
      <c r="G20" s="39" t="inlineStr">
        <is>
          <t>tests/badge.spec.ts</t>
        </is>
      </c>
      <c r="H20" s="38" t="inlineStr">
        <is>
          <t>tested</t>
        </is>
      </c>
      <c r="I20" s="38" t="inlineStr">
        <is>
          <t>no</t>
        </is>
      </c>
      <c r="J20" s="42" t="n">
        <v>46221</v>
      </c>
      <c r="K20" s="38" t="n"/>
      <c r="L20" s="41" t="n">
        <v>1</v>
      </c>
      <c r="M20" s="41">
        <f>IF(H20="not applicable",IF(K20&lt;&gt;"",1,0),IF(I20="yes",IF(H20="verified",1,0),IF(OR(H20="tested",H20="verified"),1,0)))</f>
        <v/>
      </c>
    </row>
    <row r="21" ht="42" customHeight="1" s="21">
      <c r="A21" s="38" t="inlineStr">
        <is>
          <t>BAD-13</t>
        </is>
      </c>
      <c r="B21" s="38" t="inlineStr">
        <is>
          <t>Visual system</t>
        </is>
      </c>
      <c r="C21" s="38" t="inlineStr">
        <is>
          <t>Family</t>
        </is>
      </c>
      <c r="D21" s="38" t="inlineStr">
        <is>
          <t>Compiled layered CSS uses Brick classes, semantic tokens, logical properties, and public component variables without global leakage</t>
        </is>
      </c>
      <c r="E21" s="38" t="inlineStr">
        <is>
          <t>package</t>
        </is>
      </c>
      <c r="F21" s="38" t="inlineStr">
        <is>
          <t>source</t>
        </is>
      </c>
      <c r="G21" s="39" t="inlineStr">
        <is>
          <t>../src/components/badge/badge.css</t>
        </is>
      </c>
      <c r="H21" s="38" t="inlineStr">
        <is>
          <t>tested</t>
        </is>
      </c>
      <c r="I21" s="38" t="inlineStr">
        <is>
          <t>no</t>
        </is>
      </c>
      <c r="J21" s="42" t="n">
        <v>46221</v>
      </c>
      <c r="K21" s="38" t="n"/>
      <c r="L21" s="41" t="n">
        <v>1</v>
      </c>
      <c r="M21" s="41">
        <f>IF(H21="not applicable",IF(K21&lt;&gt;"",1,0),IF(I21="yes",IF(H21="verified",1,0),IF(OR(H21="tested",H21="verified"),1,0)))</f>
        <v/>
      </c>
    </row>
    <row r="22" ht="42" customHeight="1" s="21">
      <c r="A22" s="38" t="inlineStr">
        <is>
          <t>BAD-14</t>
        </is>
      </c>
      <c r="B22" s="38" t="inlineStr">
        <is>
          <t>Visual system</t>
        </is>
      </c>
      <c r="C22" s="38" t="inlineStr">
        <is>
          <t>Family</t>
        </is>
      </c>
      <c r="D22" s="38" t="inlineStr">
        <is>
          <t>Reviewed light and dark matrices preserve tone, variant, inline hierarchy, count, dot, and anchor geometry</t>
        </is>
      </c>
      <c r="E22" s="38" t="inlineStr">
        <is>
          <t>package</t>
        </is>
      </c>
      <c r="F22" s="38" t="inlineStr">
        <is>
          <t>visual</t>
        </is>
      </c>
      <c r="G22" s="39" t="inlineStr">
        <is>
          <t>tests/visual.spec.ts</t>
        </is>
      </c>
      <c r="H22" s="38" t="inlineStr">
        <is>
          <t>verified</t>
        </is>
      </c>
      <c r="I22" s="38" t="inlineStr">
        <is>
          <t>yes</t>
        </is>
      </c>
      <c r="J22" s="42" t="n">
        <v>46221</v>
      </c>
      <c r="K22" s="38" t="n"/>
      <c r="L22" s="41" t="n">
        <v>1</v>
      </c>
      <c r="M22" s="41">
        <f>IF(H22="not applicable",IF(K22&lt;&gt;"",1,0),IF(I22="yes",IF(H22="verified",1,0),IF(OR(H22="tested",H22="verified"),1,0)))</f>
        <v/>
      </c>
    </row>
    <row r="23" ht="42" customHeight="1" s="21">
      <c r="A23" s="38" t="inlineStr">
        <is>
          <t>BAD-15</t>
        </is>
      </c>
      <c r="B23" s="38" t="inlineStr">
        <is>
          <t>Visual system</t>
        </is>
      </c>
      <c r="C23" s="38" t="inlineStr">
        <is>
          <t>Family</t>
        </is>
      </c>
      <c r="D23" s="38" t="inlineStr">
        <is>
          <t>Forced-colors emulation preserves explicit system boundaries for inline and attached indicators</t>
        </is>
      </c>
      <c r="E23" s="38" t="inlineStr">
        <is>
          <t>package</t>
        </is>
      </c>
      <c r="F23" s="38" t="inlineStr">
        <is>
          <t>test</t>
        </is>
      </c>
      <c r="G23" s="39" t="inlineStr">
        <is>
          <t>tests/badge.spec.ts</t>
        </is>
      </c>
      <c r="H23" s="38" t="inlineStr">
        <is>
          <t>tested</t>
        </is>
      </c>
      <c r="I23" s="38" t="inlineStr">
        <is>
          <t>no</t>
        </is>
      </c>
      <c r="J23" s="42" t="n">
        <v>46221</v>
      </c>
      <c r="K23" s="38" t="n"/>
      <c r="L23" s="41" t="n">
        <v>1</v>
      </c>
      <c r="M23" s="41">
        <f>IF(H23="not applicable",IF(K23&lt;&gt;"",1,0),IF(I23="yes",IF(H23="verified",1,0),IF(OR(H23="tested",H23="verified"),1,0)))</f>
        <v/>
      </c>
    </row>
    <row r="24" ht="42" customHeight="1" s="21">
      <c r="A24" s="38" t="inlineStr">
        <is>
          <t>BAD-16</t>
        </is>
      </c>
      <c r="B24" s="38" t="inlineStr">
        <is>
          <t>Visual system</t>
        </is>
      </c>
      <c r="C24" s="38" t="inlineStr">
        <is>
          <t>NotificationBadge</t>
        </is>
      </c>
      <c r="D24" s="38" t="inlineStr">
        <is>
          <t>Logical start/end placement mirrors in RTL without physical-position props</t>
        </is>
      </c>
      <c r="E24" s="38" t="inlineStr">
        <is>
          <t>package</t>
        </is>
      </c>
      <c r="F24" s="38" t="inlineStr">
        <is>
          <t>test</t>
        </is>
      </c>
      <c r="G24" s="39" t="inlineStr">
        <is>
          <t>tests/badge.spec.ts</t>
        </is>
      </c>
      <c r="H24" s="38" t="inlineStr">
        <is>
          <t>tested</t>
        </is>
      </c>
      <c r="I24" s="38" t="inlineStr">
        <is>
          <t>no</t>
        </is>
      </c>
      <c r="J24" s="42" t="n">
        <v>46221</v>
      </c>
      <c r="K24" s="38" t="n"/>
      <c r="L24" s="41" t="n">
        <v>1</v>
      </c>
      <c r="M24" s="41">
        <f>IF(H24="not applicable",IF(K24&lt;&gt;"",1,0),IF(I24="yes",IF(H24="verified",1,0),IF(OR(H24="tested",H24="verified"),1,0)))</f>
        <v/>
      </c>
    </row>
    <row r="25" ht="42" customHeight="1" s="21">
      <c r="A25" s="38" t="inlineStr">
        <is>
          <t>BAD-17</t>
        </is>
      </c>
      <c r="B25" s="38" t="inlineStr">
        <is>
          <t>Visual system</t>
        </is>
      </c>
      <c r="C25" s="38" t="inlineStr">
        <is>
          <t>Family</t>
        </is>
      </c>
      <c r="D25" s="38" t="inlineStr">
        <is>
          <t>Constrained, localized, mixed-direction, long-token, and inline-baseline scenarios stay contained without document overflow</t>
        </is>
      </c>
      <c r="E25" s="38" t="inlineStr">
        <is>
          <t>package</t>
        </is>
      </c>
      <c r="F25" s="38" t="inlineStr">
        <is>
          <t>test</t>
        </is>
      </c>
      <c r="G25" s="39" t="inlineStr">
        <is>
          <t>tests/badge.spec.ts</t>
        </is>
      </c>
      <c r="H25" s="38" t="inlineStr">
        <is>
          <t>tested</t>
        </is>
      </c>
      <c r="I25" s="38" t="inlineStr">
        <is>
          <t>no</t>
        </is>
      </c>
      <c r="J25" s="42" t="n">
        <v>46221</v>
      </c>
      <c r="K25" s="38" t="n"/>
      <c r="L25" s="41" t="n">
        <v>1</v>
      </c>
      <c r="M25" s="41">
        <f>IF(H25="not applicable",IF(K25&lt;&gt;"",1,0),IF(I25="yes",IF(H25="verified",1,0),IF(OR(H25="tested",H25="verified"),1,0)))</f>
        <v/>
      </c>
    </row>
    <row r="26" ht="42" customHeight="1" s="21">
      <c r="A26" s="38" t="inlineStr">
        <is>
          <t>BAD-18</t>
        </is>
      </c>
      <c r="B26" s="38" t="inlineStr">
        <is>
          <t>Interaction boundary</t>
        </is>
      </c>
      <c r="C26" s="38" t="inlineStr">
        <is>
          <t>NotificationBadge</t>
        </is>
      </c>
      <c r="D26" s="38" t="inlineStr">
        <is>
          <t>Indicator does not intercept pointer input or obscure the anchor focus ring; the owning control preserves at least a 44px target</t>
        </is>
      </c>
      <c r="E26" s="38" t="inlineStr">
        <is>
          <t>package</t>
        </is>
      </c>
      <c r="F26" s="38" t="inlineStr">
        <is>
          <t>test</t>
        </is>
      </c>
      <c r="G26" s="39" t="inlineStr">
        <is>
          <t>tests/badge.spec.ts</t>
        </is>
      </c>
      <c r="H26" s="38" t="inlineStr">
        <is>
          <t>tested</t>
        </is>
      </c>
      <c r="I26" s="38" t="inlineStr">
        <is>
          <t>no</t>
        </is>
      </c>
      <c r="J26" s="42" t="n">
        <v>46221</v>
      </c>
      <c r="K26" s="38" t="n"/>
      <c r="L26" s="41" t="n">
        <v>1</v>
      </c>
      <c r="M26" s="41">
        <f>IF(H26="not applicable",IF(K26&lt;&gt;"",1,0),IF(I26="yes",IF(H26="verified",1,0),IF(OR(H26="tested",H26="verified"),1,0)))</f>
        <v/>
      </c>
    </row>
    <row r="27" ht="42" customHeight="1" s="21">
      <c r="A27" s="38" t="inlineStr">
        <is>
          <t>BAD-19</t>
        </is>
      </c>
      <c r="B27" s="38" t="inlineStr">
        <is>
          <t>Customization</t>
        </is>
      </c>
      <c r="C27" s="38" t="inlineStr">
        <is>
          <t>Family</t>
        </is>
      </c>
      <c r="D27" s="38" t="inlineStr">
        <is>
          <t>Class, style, slot, scoped appearance, and semantic/component-token overrides remain local and inspectable</t>
        </is>
      </c>
      <c r="E27" s="38" t="inlineStr">
        <is>
          <t>package</t>
        </is>
      </c>
      <c r="F27" s="38" t="inlineStr">
        <is>
          <t>playground</t>
        </is>
      </c>
      <c r="G27" s="39" t="inlineStr">
        <is>
          <t>../playground/src/main.tsx</t>
        </is>
      </c>
      <c r="H27" s="38" t="inlineStr">
        <is>
          <t>tested</t>
        </is>
      </c>
      <c r="I27" s="38" t="inlineStr">
        <is>
          <t>no</t>
        </is>
      </c>
      <c r="J27" s="42" t="n">
        <v>46221</v>
      </c>
      <c r="K27" s="38" t="n"/>
      <c r="L27" s="41" t="n">
        <v>1</v>
      </c>
      <c r="M27" s="41">
        <f>IF(H27="not applicable",IF(K27&lt;&gt;"",1,0),IF(I27="yes",IF(H27="verified",1,0),IF(OR(H27="tested",H27="verified"),1,0)))</f>
        <v/>
      </c>
    </row>
    <row r="28" ht="42" customHeight="1" s="21">
      <c r="A28" s="38" t="inlineStr">
        <is>
          <t>BAD-20</t>
        </is>
      </c>
      <c r="B28" s="38" t="inlineStr">
        <is>
          <t>Playground</t>
        </is>
      </c>
      <c r="C28" s="38" t="inlineStr">
        <is>
          <t>Family</t>
        </is>
      </c>
      <c r="D28" s="38" t="inlineStr">
        <is>
          <t>The /badge workbench exposes defaults, complete recipes, shapes, sizes, passive-tag routing, and real contexts</t>
        </is>
      </c>
      <c r="E28" s="38" t="inlineStr">
        <is>
          <t>package</t>
        </is>
      </c>
      <c r="F28" s="38" t="inlineStr">
        <is>
          <t>playground</t>
        </is>
      </c>
      <c r="G28" s="39" t="inlineStr">
        <is>
          <t>../playground/src/main.tsx</t>
        </is>
      </c>
      <c r="H28" s="38" t="inlineStr">
        <is>
          <t>tested</t>
        </is>
      </c>
      <c r="I28" s="38" t="inlineStr">
        <is>
          <t>no</t>
        </is>
      </c>
      <c r="J28" s="42" t="n">
        <v>46221</v>
      </c>
      <c r="K28" s="38" t="n"/>
      <c r="L28" s="41" t="n">
        <v>1</v>
      </c>
      <c r="M28" s="41">
        <f>IF(H28="not applicable",IF(K28&lt;&gt;"",1,0),IF(I28="yes",IF(H28="verified",1,0),IF(OR(H28="tested",H28="verified"),1,0)))</f>
        <v/>
      </c>
    </row>
    <row r="29" ht="42" customHeight="1" s="21">
      <c r="A29" s="38" t="inlineStr">
        <is>
          <t>BAD-21</t>
        </is>
      </c>
      <c r="B29" s="38" t="inlineStr">
        <is>
          <t>Playground</t>
        </is>
      </c>
      <c r="C29" s="38" t="inlineStr">
        <is>
          <t>NotificationBadge</t>
        </is>
      </c>
      <c r="D29" s="38" t="inlineStr">
        <is>
          <t>Counts, dots, maximum, zero, invisible, placements, overlap, icon/navigation/Avatar anchors, and contextual names are deterministic</t>
        </is>
      </c>
      <c r="E29" s="38" t="inlineStr">
        <is>
          <t>package</t>
        </is>
      </c>
      <c r="F29" s="38" t="inlineStr">
        <is>
          <t>playground</t>
        </is>
      </c>
      <c r="G29" s="39" t="inlineStr">
        <is>
          <t>../playground/src/main.tsx</t>
        </is>
      </c>
      <c r="H29" s="38" t="inlineStr">
        <is>
          <t>tested</t>
        </is>
      </c>
      <c r="I29" s="38" t="inlineStr">
        <is>
          <t>no</t>
        </is>
      </c>
      <c r="J29" s="42" t="n">
        <v>46221</v>
      </c>
      <c r="K29" s="38" t="n"/>
      <c r="L29" s="41" t="n">
        <v>1</v>
      </c>
      <c r="M29" s="41">
        <f>IF(H29="not applicable",IF(K29&lt;&gt;"",1,0),IF(I29="yes",IF(H29="verified",1,0),IF(OR(H29="tested",H29="verified"),1,0)))</f>
        <v/>
      </c>
    </row>
    <row r="30" ht="42" customHeight="1" s="21">
      <c r="A30" s="38" t="inlineStr">
        <is>
          <t>BAD-22</t>
        </is>
      </c>
      <c r="B30" s="38" t="inlineStr">
        <is>
          <t>Playground</t>
        </is>
      </c>
      <c r="C30" s="38" t="inlineStr">
        <is>
          <t>Family</t>
        </is>
      </c>
      <c r="D30" s="38" t="inlineStr">
        <is>
          <t>Light/dark, customization, localization, RTL, constrained width, stress, and forced-colors inspection anchors exist</t>
        </is>
      </c>
      <c r="E30" s="38" t="inlineStr">
        <is>
          <t>package</t>
        </is>
      </c>
      <c r="F30" s="38" t="inlineStr">
        <is>
          <t>playground</t>
        </is>
      </c>
      <c r="G30" s="39" t="inlineStr">
        <is>
          <t>../playground/src/main.tsx</t>
        </is>
      </c>
      <c r="H30" s="38" t="inlineStr">
        <is>
          <t>tested</t>
        </is>
      </c>
      <c r="I30" s="38" t="inlineStr">
        <is>
          <t>no</t>
        </is>
      </c>
      <c r="J30" s="42" t="n">
        <v>46221</v>
      </c>
      <c r="K30" s="38" t="n"/>
      <c r="L30" s="41" t="n">
        <v>1</v>
      </c>
      <c r="M30" s="41">
        <f>IF(H30="not applicable",IF(K30&lt;&gt;"",1,0),IF(I30="yes",IF(H30="verified",1,0),IF(OR(H30="tested",H30="verified"),1,0)))</f>
        <v/>
      </c>
    </row>
    <row r="31" ht="42" customHeight="1" s="21">
      <c r="A31" s="38" t="inlineStr">
        <is>
          <t>BAD-23</t>
        </is>
      </c>
      <c r="B31" s="38" t="inlineStr">
        <is>
          <t>Automated tests</t>
        </is>
      </c>
      <c r="C31" s="38" t="inlineStr">
        <is>
          <t>Badge</t>
        </is>
      </c>
      <c r="D31" s="38" t="inlineStr">
        <is>
          <t>Vitest and Testing Library cover defaults, recipes, native props, ref, composition, slots, and passive semantics</t>
        </is>
      </c>
      <c r="E31" s="38" t="inlineStr">
        <is>
          <t>package</t>
        </is>
      </c>
      <c r="F31" s="38" t="inlineStr">
        <is>
          <t>test</t>
        </is>
      </c>
      <c r="G31" s="39" t="inlineStr">
        <is>
          <t>../test/components/badge.test.tsx</t>
        </is>
      </c>
      <c r="H31" s="38" t="inlineStr">
        <is>
          <t>tested</t>
        </is>
      </c>
      <c r="I31" s="38" t="inlineStr">
        <is>
          <t>no</t>
        </is>
      </c>
      <c r="J31" s="42" t="n">
        <v>46221</v>
      </c>
      <c r="K31" s="38" t="n"/>
      <c r="L31" s="41" t="n">
        <v>1</v>
      </c>
      <c r="M31" s="41">
        <f>IF(H31="not applicable",IF(K31&lt;&gt;"",1,0),IF(I31="yes",IF(H31="verified",1,0),IF(OR(H31="tested",H31="verified"),1,0)))</f>
        <v/>
      </c>
    </row>
    <row r="32" ht="42" customHeight="1" s="21">
      <c r="A32" s="38" t="inlineStr">
        <is>
          <t>BAD-24</t>
        </is>
      </c>
      <c r="B32" s="38" t="inlineStr">
        <is>
          <t>Automated tests</t>
        </is>
      </c>
      <c r="C32" s="38" t="inlineStr">
        <is>
          <t>NotificationBadge</t>
        </is>
      </c>
      <c r="D32" s="38" t="inlineStr">
        <is>
          <t>Vitest covers count/dot union, formatting, visibility, placements, overlap, sizes, arbitrary element targets, and pointer ownership</t>
        </is>
      </c>
      <c r="E32" s="38" t="inlineStr">
        <is>
          <t>package</t>
        </is>
      </c>
      <c r="F32" s="38" t="inlineStr">
        <is>
          <t>test</t>
        </is>
      </c>
      <c r="G32" s="39" t="inlineStr">
        <is>
          <t>../test/components/badge.test.tsx</t>
        </is>
      </c>
      <c r="H32" s="38" t="inlineStr">
        <is>
          <t>tested</t>
        </is>
      </c>
      <c r="I32" s="38" t="inlineStr">
        <is>
          <t>no</t>
        </is>
      </c>
      <c r="J32" s="42" t="n">
        <v>46221</v>
      </c>
      <c r="K32" s="38" t="n"/>
      <c r="L32" s="41" t="n">
        <v>1</v>
      </c>
      <c r="M32" s="41">
        <f>IF(H32="not applicable",IF(K32&lt;&gt;"",1,0),IF(I32="yes",IF(H32="verified",1,0),IF(OR(H32="tested",H32="verified"),1,0)))</f>
        <v/>
      </c>
    </row>
    <row r="33" ht="42" customHeight="1" s="21">
      <c r="A33" s="38" t="inlineStr">
        <is>
          <t>BAD-25</t>
        </is>
      </c>
      <c r="B33" s="38" t="inlineStr">
        <is>
          <t>Automated tests</t>
        </is>
      </c>
      <c r="C33" s="38" t="inlineStr">
        <is>
          <t>Family</t>
        </is>
      </c>
      <c r="D33" s="38" t="inlineStr">
        <is>
          <t>Public root/subpath types accept supported contracts and reject invalid variants, tones, shapes, counts, children, and Chip-like APIs</t>
        </is>
      </c>
      <c r="E33" s="38" t="inlineStr">
        <is>
          <t>package</t>
        </is>
      </c>
      <c r="F33" s="38" t="inlineStr">
        <is>
          <t>types</t>
        </is>
      </c>
      <c r="G33" s="39" t="inlineStr">
        <is>
          <t>../test/types/public-api.test.ts</t>
        </is>
      </c>
      <c r="H33" s="38" t="inlineStr">
        <is>
          <t>tested</t>
        </is>
      </c>
      <c r="I33" s="38" t="inlineStr">
        <is>
          <t>no</t>
        </is>
      </c>
      <c r="J33" s="42" t="n">
        <v>46221</v>
      </c>
      <c r="K33" s="38" t="n"/>
      <c r="L33" s="41" t="n">
        <v>1</v>
      </c>
      <c r="M33" s="41">
        <f>IF(H33="not applicable",IF(K33&lt;&gt;"",1,0),IF(I33="yes",IF(H33="verified",1,0),IF(OR(H33="tested",H33="verified"),1,0)))</f>
        <v/>
      </c>
    </row>
    <row r="34" ht="42" customHeight="1" s="21">
      <c r="A34" s="38" t="inlineStr">
        <is>
          <t>BAD-26</t>
        </is>
      </c>
      <c r="B34" s="38" t="inlineStr">
        <is>
          <t>Automated tests</t>
        </is>
      </c>
      <c r="C34" s="38" t="inlineStr">
        <is>
          <t>Family</t>
        </is>
      </c>
      <c r="D34" s="38" t="inlineStr">
        <is>
          <t>Node boundary, package export, server markup, stylesheet, declaration, and dry-pack checks include both Badge components</t>
        </is>
      </c>
      <c r="E34" s="38" t="inlineStr">
        <is>
          <t>package</t>
        </is>
      </c>
      <c r="F34" s="38" t="inlineStr">
        <is>
          <t>test</t>
        </is>
      </c>
      <c r="G34" s="39" t="inlineStr">
        <is>
          <t>../test/package/package.test.mjs</t>
        </is>
      </c>
      <c r="H34" s="38" t="inlineStr">
        <is>
          <t>tested</t>
        </is>
      </c>
      <c r="I34" s="38" t="inlineStr">
        <is>
          <t>no</t>
        </is>
      </c>
      <c r="J34" s="42" t="n">
        <v>46221</v>
      </c>
      <c r="K34" s="38" t="n"/>
      <c r="L34" s="41" t="n">
        <v>1</v>
      </c>
      <c r="M34" s="41">
        <f>IF(H34="not applicable",IF(K34&lt;&gt;"",1,0),IF(I34="yes",IF(H34="verified",1,0),IF(OR(H34="tested",H34="verified"),1,0)))</f>
        <v/>
      </c>
    </row>
    <row r="35" ht="42" customHeight="1" s="21">
      <c r="A35" s="38" t="inlineStr">
        <is>
          <t>BAD-27</t>
        </is>
      </c>
      <c r="B35" s="38" t="inlineStr">
        <is>
          <t>Automated tests</t>
        </is>
      </c>
      <c r="C35" s="38" t="inlineStr">
        <is>
          <t>Badge</t>
        </is>
      </c>
      <c r="D35" s="38" t="inlineStr">
        <is>
          <t>Explicit Atom Badge subpath remains server-safe and clean React 18/19 packed consumers import, render, and load CSS</t>
        </is>
      </c>
      <c r="E35" s="38" t="inlineStr">
        <is>
          <t>package</t>
        </is>
      </c>
      <c r="F35" s="38" t="inlineStr">
        <is>
          <t>package</t>
        </is>
      </c>
      <c r="G35" s="39" t="inlineStr">
        <is>
          <t>../scripts/verify-consumers.mjs</t>
        </is>
      </c>
      <c r="H35" s="38" t="inlineStr">
        <is>
          <t>tested</t>
        </is>
      </c>
      <c r="I35" s="38" t="inlineStr">
        <is>
          <t>no</t>
        </is>
      </c>
      <c r="J35" s="42" t="n">
        <v>46221</v>
      </c>
      <c r="K35" s="38" t="n"/>
      <c r="L35" s="41" t="n">
        <v>1</v>
      </c>
      <c r="M35" s="41">
        <f>IF(H35="not applicable",IF(K35&lt;&gt;"",1,0),IF(I35="yes",IF(H35="verified",1,0),IF(OR(H35="tested",H35="verified"),1,0)))</f>
        <v/>
      </c>
    </row>
    <row r="36" ht="42" customHeight="1" s="21">
      <c r="A36" s="38" t="inlineStr">
        <is>
          <t>BAD-28</t>
        </is>
      </c>
      <c r="B36" s="38" t="inlineStr">
        <is>
          <t>Automated tests</t>
        </is>
      </c>
      <c r="C36" s="38" t="inlineStr">
        <is>
          <t>Family</t>
        </is>
      </c>
      <c r="D36" s="38" t="inlineStr">
        <is>
          <t>Strict typecheck, build, CSS report, and 100% Brick component-source coverage pass</t>
        </is>
      </c>
      <c r="E36" s="38" t="inlineStr">
        <is>
          <t>package</t>
        </is>
      </c>
      <c r="F36" s="38" t="inlineStr">
        <is>
          <t>test</t>
        </is>
      </c>
      <c r="G36" s="39" t="inlineStr">
        <is>
          <t>../test/components/badge.test.tsx</t>
        </is>
      </c>
      <c r="H36" s="38" t="inlineStr">
        <is>
          <t>tested</t>
        </is>
      </c>
      <c r="I36" s="38" t="inlineStr">
        <is>
          <t>no</t>
        </is>
      </c>
      <c r="J36" s="42" t="n">
        <v>46221</v>
      </c>
      <c r="K36" s="38" t="n"/>
      <c r="L36" s="41" t="n">
        <v>1</v>
      </c>
      <c r="M36" s="41">
        <f>IF(H36="not applicable",IF(K36&lt;&gt;"",1,0),IF(I36="yes",IF(H36="verified",1,0),IF(OR(H36="tested",H36="verified"),1,0)))</f>
        <v/>
      </c>
    </row>
    <row r="37" ht="42" customHeight="1" s="21">
      <c r="A37" s="38" t="inlineStr">
        <is>
          <t>BAD-29</t>
        </is>
      </c>
      <c r="B37" s="38" t="inlineStr">
        <is>
          <t>Automated tests</t>
        </is>
      </c>
      <c r="C37" s="38" t="inlineStr">
        <is>
          <t>Family</t>
        </is>
      </c>
      <c r="D37" s="38" t="inlineStr">
        <is>
          <t>Browser checks cover recipes, formatting, focus/pointer ownership, RTL, stress, axe, and forced colors</t>
        </is>
      </c>
      <c r="E37" s="38" t="inlineStr">
        <is>
          <t>package</t>
        </is>
      </c>
      <c r="F37" s="38" t="inlineStr">
        <is>
          <t>test</t>
        </is>
      </c>
      <c r="G37" s="39" t="inlineStr">
        <is>
          <t>tests/badge.spec.ts</t>
        </is>
      </c>
      <c r="H37" s="38" t="inlineStr">
        <is>
          <t>tested</t>
        </is>
      </c>
      <c r="I37" s="38" t="inlineStr">
        <is>
          <t>no</t>
        </is>
      </c>
      <c r="J37" s="42" t="n">
        <v>46221</v>
      </c>
      <c r="K37" s="38" t="n"/>
      <c r="L37" s="41" t="n">
        <v>1</v>
      </c>
      <c r="M37" s="41">
        <f>IF(H37="not applicable",IF(K37&lt;&gt;"",1,0),IF(I37="yes",IF(H37="verified",1,0),IF(OR(H37="tested",H37="verified"),1,0)))</f>
        <v/>
      </c>
    </row>
    <row r="38" ht="42" customHeight="1" s="21">
      <c r="A38" s="38" t="inlineStr">
        <is>
          <t>BAD-30</t>
        </is>
      </c>
      <c r="B38" s="38" t="inlineStr">
        <is>
          <t>Automated tests</t>
        </is>
      </c>
      <c r="C38" s="38" t="inlineStr">
        <is>
          <t>Family</t>
        </is>
      </c>
      <c r="D38" s="38" t="inlineStr">
        <is>
          <t>Canonical Badge route has no automatically detectable axe violations</t>
        </is>
      </c>
      <c r="E38" s="38" t="inlineStr">
        <is>
          <t>package</t>
        </is>
      </c>
      <c r="F38" s="38" t="inlineStr">
        <is>
          <t>test</t>
        </is>
      </c>
      <c r="G38" s="39" t="inlineStr">
        <is>
          <t>tests/badge.spec.ts</t>
        </is>
      </c>
      <c r="H38" s="38" t="inlineStr">
        <is>
          <t>tested</t>
        </is>
      </c>
      <c r="I38" s="38" t="inlineStr">
        <is>
          <t>no</t>
        </is>
      </c>
      <c r="J38" s="42" t="n">
        <v>46221</v>
      </c>
      <c r="K38" s="38" t="n"/>
      <c r="L38" s="41" t="n">
        <v>1</v>
      </c>
      <c r="M38" s="41">
        <f>IF(H38="not applicable",IF(K38&lt;&gt;"",1,0),IF(I38="yes",IF(H38="verified",1,0),IF(OR(H38="tested",H38="verified"),1,0)))</f>
        <v/>
      </c>
    </row>
    <row r="39" ht="42" customHeight="1" s="21">
      <c r="A39" s="38" t="inlineStr">
        <is>
          <t>BAD-31</t>
        </is>
      </c>
      <c r="B39" s="38" t="inlineStr">
        <is>
          <t>Automated tests</t>
        </is>
      </c>
      <c r="C39" s="38" t="inlineStr">
        <is>
          <t>Family</t>
        </is>
      </c>
      <c r="D39" s="38" t="inlineStr">
        <is>
          <t>Seven reviewed Chromium baselines cover recipes, dark geometry, inline alignment, localization/RTL, and forced colors</t>
        </is>
      </c>
      <c r="E39" s="38" t="inlineStr">
        <is>
          <t>package</t>
        </is>
      </c>
      <c r="F39" s="38" t="inlineStr">
        <is>
          <t>visual</t>
        </is>
      </c>
      <c r="G39" s="39" t="inlineStr">
        <is>
          <t>tests/visual.spec.ts</t>
        </is>
      </c>
      <c r="H39" s="38" t="inlineStr">
        <is>
          <t>verified</t>
        </is>
      </c>
      <c r="I39" s="38" t="inlineStr">
        <is>
          <t>yes</t>
        </is>
      </c>
      <c r="J39" s="42" t="n">
        <v>46221</v>
      </c>
      <c r="K39" s="38" t="n"/>
      <c r="L39" s="41" t="n">
        <v>1</v>
      </c>
      <c r="M39" s="41">
        <f>IF(H39="not applicable",IF(K39&lt;&gt;"",1,0),IF(I39="yes",IF(H39="verified",1,0),IF(OR(H39="tested",H39="verified"),1,0)))</f>
        <v/>
      </c>
    </row>
    <row r="40" ht="42" customHeight="1" s="21">
      <c r="A40" s="38" t="inlineStr">
        <is>
          <t>BAD-32</t>
        </is>
      </c>
      <c r="B40" s="38" t="inlineStr">
        <is>
          <t>Automated tests</t>
        </is>
      </c>
      <c r="C40" s="38" t="inlineStr">
        <is>
          <t>Family</t>
        </is>
      </c>
      <c r="D40" s="38" t="inlineStr">
        <is>
          <t>Chromium, Firefox, WebKit, Pixel, and iPhone Badge release-matrix checks pass where applicable</t>
        </is>
      </c>
      <c r="E40" s="38" t="inlineStr">
        <is>
          <t>package</t>
        </is>
      </c>
      <c r="F40" s="38" t="inlineStr">
        <is>
          <t>test</t>
        </is>
      </c>
      <c r="G40" s="39" t="inlineStr">
        <is>
          <t>../playwright.config.ts</t>
        </is>
      </c>
      <c r="H40" s="38" t="inlineStr">
        <is>
          <t>tested</t>
        </is>
      </c>
      <c r="I40" s="38" t="inlineStr">
        <is>
          <t>no</t>
        </is>
      </c>
      <c r="J40" s="42" t="n">
        <v>46221</v>
      </c>
      <c r="K40" s="38" t="n"/>
      <c r="L40" s="41" t="n">
        <v>1</v>
      </c>
      <c r="M40" s="41">
        <f>IF(H40="not applicable",IF(K40&lt;&gt;"",1,0),IF(I40="yes",IF(H40="verified",1,0),IF(OR(H40="tested",H40="verified"),1,0)))</f>
        <v/>
      </c>
    </row>
    <row r="41" ht="42" customHeight="1" s="21">
      <c r="A41" s="38" t="inlineStr">
        <is>
          <t>BAD-33</t>
        </is>
      </c>
      <c r="B41" s="38" t="inlineStr">
        <is>
          <t>Manual evidence</t>
        </is>
      </c>
      <c r="C41" s="38" t="inlineStr">
        <is>
          <t>Family</t>
        </is>
      </c>
      <c r="D41" s="38" t="inlineStr">
        <is>
          <t>Numbered Badge manual protocol covers hierarchy, recipes, zoom, VoiceOver, direction, system colors, touch/focus context, and customization</t>
        </is>
      </c>
      <c r="E41" s="38" t="inlineStr">
        <is>
          <t>package</t>
        </is>
      </c>
      <c r="F41" s="38" t="inlineStr">
        <is>
          <t>manual</t>
        </is>
      </c>
      <c r="G41" s="39" t="inlineStr">
        <is>
          <t>manual-tests/badge.md</t>
        </is>
      </c>
      <c r="H41" s="38" t="inlineStr">
        <is>
          <t>tested</t>
        </is>
      </c>
      <c r="I41" s="38" t="inlineStr">
        <is>
          <t>no</t>
        </is>
      </c>
      <c r="J41" s="42" t="n">
        <v>46221</v>
      </c>
      <c r="K41" s="38" t="n"/>
      <c r="L41" s="41" t="n">
        <v>1</v>
      </c>
      <c r="M41" s="41">
        <f>IF(H41="not applicable",IF(K41&lt;&gt;"",1,0),IF(I41="yes",IF(H41="verified",1,0),IF(OR(H41="tested",H41="verified"),1,0)))</f>
        <v/>
      </c>
    </row>
    <row r="42" ht="42" customHeight="1" s="21">
      <c r="A42" s="38" t="inlineStr">
        <is>
          <t>BAD-34</t>
        </is>
      </c>
      <c r="B42" s="38" t="inlineStr">
        <is>
          <t>Manual evidence</t>
        </is>
      </c>
      <c r="C42" s="38" t="inlineStr">
        <is>
          <t>Family</t>
        </is>
      </c>
      <c r="D42" s="38" t="inlineStr">
        <is>
          <t>Latest owner run records every numbered Badge and NotificationBadge result and corrects any finding before package completion</t>
        </is>
      </c>
      <c r="E42" s="38" t="inlineStr">
        <is>
          <t>package</t>
        </is>
      </c>
      <c r="F42" s="38" t="inlineStr">
        <is>
          <t>manual</t>
        </is>
      </c>
      <c r="G42" s="39" t="inlineStr">
        <is>
          <t>manual-tests/badge.md</t>
        </is>
      </c>
      <c r="H42" s="38" t="inlineStr">
        <is>
          <t>partial</t>
        </is>
      </c>
      <c r="I42" s="38" t="inlineStr">
        <is>
          <t>yes</t>
        </is>
      </c>
      <c r="J42" s="42" t="n"/>
      <c r="K42" s="38" t="inlineStr">
        <is>
          <t>Owner manual review intentionally deferred</t>
        </is>
      </c>
      <c r="L42" s="41" t="n">
        <v>1</v>
      </c>
      <c r="M42" s="41">
        <f>IF(H42="not applicable",IF(K42&lt;&gt;"",1,0),IF(I42="yes",IF(H42="verified",1,0),IF(OR(H42="tested",H42="verified"),1,0)))</f>
        <v/>
      </c>
    </row>
    <row r="43" ht="42" customHeight="1" s="21">
      <c r="A43" s="38" t="inlineStr">
        <is>
          <t>BAD-35</t>
        </is>
      </c>
      <c r="B43" s="38" t="inlineStr">
        <is>
          <t>Documentation</t>
        </is>
      </c>
      <c r="C43" s="38" t="inlineStr">
        <is>
          <t>Family</t>
        </is>
      </c>
      <c r="D43" s="38" t="inlineStr">
        <is>
          <t>Public guide covers both roles, use/avoid boundaries, recipes, formatting, accessibility context, composition, responsiveness, and customization</t>
        </is>
      </c>
      <c r="E43" s="38" t="inlineStr">
        <is>
          <t>package</t>
        </is>
      </c>
      <c r="F43" s="38" t="inlineStr">
        <is>
          <t>docs</t>
        </is>
      </c>
      <c r="G43" s="39" t="inlineStr">
        <is>
          <t>../docs/components/badge/README.md</t>
        </is>
      </c>
      <c r="H43" s="38" t="inlineStr">
        <is>
          <t>tested</t>
        </is>
      </c>
      <c r="I43" s="38" t="inlineStr">
        <is>
          <t>no</t>
        </is>
      </c>
      <c r="J43" s="42" t="n">
        <v>46221</v>
      </c>
      <c r="K43" s="38" t="n"/>
      <c r="L43" s="41" t="n">
        <v>1</v>
      </c>
      <c r="M43" s="41">
        <f>IF(H43="not applicable",IF(K43&lt;&gt;"",1,0),IF(I43="yes",IF(H43="verified",1,0),IF(OR(H43="tested",H43="verified"),1,0)))</f>
        <v/>
      </c>
    </row>
    <row r="44" ht="42" customHeight="1" s="21">
      <c r="A44" s="38" t="inlineStr">
        <is>
          <t>BAD-36</t>
        </is>
      </c>
      <c r="B44" s="38" t="inlineStr">
        <is>
          <t>Documentation</t>
        </is>
      </c>
      <c r="C44" s="38" t="inlineStr">
        <is>
          <t>Family</t>
        </is>
      </c>
      <c r="D44" s="38" t="inlineStr">
        <is>
          <t>Badge component changelog records the initial public contract, Atom 0.3.3 boundary, and evidence</t>
        </is>
      </c>
      <c r="E44" s="38" t="inlineStr">
        <is>
          <t>package</t>
        </is>
      </c>
      <c r="F44" s="38" t="inlineStr">
        <is>
          <t>docs</t>
        </is>
      </c>
      <c r="G44" s="39" t="inlineStr">
        <is>
          <t>../docs/components/badge/CHANGELOG.md</t>
        </is>
      </c>
      <c r="H44" s="38" t="inlineStr">
        <is>
          <t>tested</t>
        </is>
      </c>
      <c r="I44" s="38" t="inlineStr">
        <is>
          <t>no</t>
        </is>
      </c>
      <c r="J44" s="42" t="n">
        <v>46221</v>
      </c>
      <c r="K44" s="38" t="n"/>
      <c r="L44" s="41" t="n">
        <v>1</v>
      </c>
      <c r="M44" s="41">
        <f>IF(H44="not applicable",IF(K44&lt;&gt;"",1,0),IF(I44="yes",IF(H44="verified",1,0),IF(OR(H44="tested",H44="verified"),1,0)))</f>
        <v/>
      </c>
    </row>
    <row r="45" ht="42" customHeight="1" s="21">
      <c r="A45" s="38" t="inlineStr">
        <is>
          <t>BAD-37</t>
        </is>
      </c>
      <c r="B45" s="38" t="inlineStr">
        <is>
          <t>Consumer</t>
        </is>
      </c>
      <c r="C45" s="38" t="inlineStr">
        <is>
          <t>Family</t>
        </is>
      </c>
      <c r="D45" s="38" t="inlineStr">
        <is>
          <t>Independent Consumer uses public Badge and NotificationBadge subpaths and passes production, boundary, desktop/mobile, focus, layout, dark, and axe checks</t>
        </is>
      </c>
      <c r="E45" s="38" t="inlineStr">
        <is>
          <t>consumer</t>
        </is>
      </c>
      <c r="F45" s="38" t="inlineStr">
        <is>
          <t>consumer</t>
        </is>
      </c>
      <c r="G45" s="39" t="inlineStr">
        <is>
          <t>../../../../apps/brick-consumer/tests/consumer.spec.ts</t>
        </is>
      </c>
      <c r="H45" s="38" t="inlineStr">
        <is>
          <t>tested</t>
        </is>
      </c>
      <c r="I45" s="38" t="inlineStr">
        <is>
          <t>no</t>
        </is>
      </c>
      <c r="J45" s="42" t="n">
        <v>46221</v>
      </c>
      <c r="K45" s="38" t="n"/>
      <c r="L45" s="41" t="n">
        <v>1</v>
      </c>
      <c r="M45" s="41">
        <f>IF(H45="not applicable",IF(K45&lt;&gt;"",1,0),IF(I45="yes",IF(H45="verified",1,0),IF(OR(H45="tested",H45="verified"),1,0)))</f>
        <v/>
      </c>
    </row>
    <row r="46" ht="42" customHeight="1" s="21">
      <c r="A46" s="38" t="inlineStr">
        <is>
          <t>BAD-38</t>
        </is>
      </c>
      <c r="B46" s="38" t="inlineStr">
        <is>
          <t>Retirement</t>
        </is>
      </c>
      <c r="C46" s="38" t="inlineStr">
        <is>
          <t>Legacy Badge</t>
        </is>
      </c>
      <c r="D46" s="38" t="inlineStr">
        <is>
          <t>Fresh search after Avatar removal found no Core Badge dependent; source, types, defaults, resolver, base alias, and barrel export are removed and Core builds</t>
        </is>
      </c>
      <c r="E46" s="38" t="inlineStr">
        <is>
          <t>retirement</t>
        </is>
      </c>
      <c r="F46" s="38" t="inlineStr">
        <is>
          <t>removal</t>
        </is>
      </c>
      <c r="G46" s="39" t="inlineStr">
        <is>
          <t>../../docs/core-dependency-ledger.md</t>
        </is>
      </c>
      <c r="H46" s="38" t="inlineStr">
        <is>
          <t>tested</t>
        </is>
      </c>
      <c r="I46" s="38" t="inlineStr">
        <is>
          <t>no</t>
        </is>
      </c>
      <c r="J46" s="42" t="n">
        <v>46221</v>
      </c>
      <c r="K46" s="38" t="n"/>
      <c r="L46" s="41" t="n">
        <v>1</v>
      </c>
      <c r="M46" s="41">
        <f>IF(H46="not applicable",IF(K46&lt;&gt;"",1,0),IF(I46="yes",IF(H46="verified",1,0),IF(OR(H46="tested",H46="verified"),1,0)))</f>
        <v/>
      </c>
    </row>
    <row r="47" ht="42" customHeight="1" s="21">
      <c r="A47" s="38" t="inlineStr">
        <is>
          <t>BAD-39</t>
        </is>
      </c>
      <c r="B47" s="38" t="inlineStr">
        <is>
          <t>Scope</t>
        </is>
      </c>
      <c r="C47" s="38" t="inlineStr">
        <is>
          <t>Chip / Tag</t>
        </is>
      </c>
      <c r="D47" s="38" t="inlineStr">
        <is>
          <t>Generic Chip, removable Tag, actions, and persistent selections remain excluded and route to Badge, Button, or future Toggle/Tag work</t>
        </is>
      </c>
      <c r="E47" s="38" t="inlineStr">
        <is>
          <t>package</t>
        </is>
      </c>
      <c r="F47" s="38" t="inlineStr">
        <is>
          <t>decision</t>
        </is>
      </c>
      <c r="G47" s="39" t="inlineStr">
        <is>
          <t>../../docs/badge-component-brief.md</t>
        </is>
      </c>
      <c r="H47" s="38" t="inlineStr">
        <is>
          <t>verified</t>
        </is>
      </c>
      <c r="I47" s="38" t="inlineStr">
        <is>
          <t>yes</t>
        </is>
      </c>
      <c r="J47" s="42" t="n">
        <v>46221</v>
      </c>
      <c r="K47" s="38" t="n"/>
      <c r="L47" s="41" t="n">
        <v>1</v>
      </c>
      <c r="M47" s="41">
        <f>IF(H47="not applicable",IF(K47&lt;&gt;"",1,0),IF(I47="yes",IF(H47="verified",1,0),IF(OR(H47="tested",H47="verified"),1,0)))</f>
        <v/>
      </c>
    </row>
  </sheetData>
  <autoFilter ref="A8:M47"/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badge/Badge.tsx" r:id="rId1"/>
    <hyperlink xmlns:r="http://schemas.openxmlformats.org/officeDocument/2006/relationships" ref="G10" display="../../docs/badge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badge.test.tsx" r:id="rId4"/>
    <hyperlink xmlns:r="http://schemas.openxmlformats.org/officeDocument/2006/relationships" ref="G13" display="../test/components/badge.test.tsx" r:id="rId5"/>
    <hyperlink xmlns:r="http://schemas.openxmlformats.org/officeDocument/2006/relationships" ref="G14" display="../test/components/badge.test.tsx" r:id="rId6"/>
    <hyperlink xmlns:r="http://schemas.openxmlformats.org/officeDocument/2006/relationships" ref="G15" display="../test/components/badge.test.tsx" r:id="rId7"/>
    <hyperlink xmlns:r="http://schemas.openxmlformats.org/officeDocument/2006/relationships" ref="G16" display="../test/types/public-api.test.ts" r:id="rId8"/>
    <hyperlink xmlns:r="http://schemas.openxmlformats.org/officeDocument/2006/relationships" ref="G17" display="../test/components/badge.test.tsx" r:id="rId9"/>
    <hyperlink xmlns:r="http://schemas.openxmlformats.org/officeDocument/2006/relationships" ref="G18" display="../test/components/badge.test.tsx" r:id="rId10"/>
    <hyperlink xmlns:r="http://schemas.openxmlformats.org/officeDocument/2006/relationships" ref="G19" display="../test/components/badge.test.tsx" r:id="rId11"/>
    <hyperlink xmlns:r="http://schemas.openxmlformats.org/officeDocument/2006/relationships" ref="G20" display="tests/badge.spec.ts" r:id="rId12"/>
    <hyperlink xmlns:r="http://schemas.openxmlformats.org/officeDocument/2006/relationships" ref="G21" display="../src/components/badge/badge.css" r:id="rId13"/>
    <hyperlink xmlns:r="http://schemas.openxmlformats.org/officeDocument/2006/relationships" ref="G22" display="tests/visual.spec.ts" r:id="rId14"/>
    <hyperlink xmlns:r="http://schemas.openxmlformats.org/officeDocument/2006/relationships" ref="G23" display="tests/badge.spec.ts" r:id="rId15"/>
    <hyperlink xmlns:r="http://schemas.openxmlformats.org/officeDocument/2006/relationships" ref="G24" display="tests/badge.spec.ts" r:id="rId16"/>
    <hyperlink xmlns:r="http://schemas.openxmlformats.org/officeDocument/2006/relationships" ref="G25" display="tests/badge.spec.ts" r:id="rId17"/>
    <hyperlink xmlns:r="http://schemas.openxmlformats.org/officeDocument/2006/relationships" ref="G26" display="tests/badge.spec.ts" r:id="rId18"/>
    <hyperlink xmlns:r="http://schemas.openxmlformats.org/officeDocument/2006/relationships" ref="G27" display="../playground/src/main.tsx" r:id="rId19"/>
    <hyperlink xmlns:r="http://schemas.openxmlformats.org/officeDocument/2006/relationships" ref="G28" display="../playground/src/main.tsx" r:id="rId20"/>
    <hyperlink xmlns:r="http://schemas.openxmlformats.org/officeDocument/2006/relationships" ref="G29" display="../playground/src/main.tsx" r:id="rId21"/>
    <hyperlink xmlns:r="http://schemas.openxmlformats.org/officeDocument/2006/relationships" ref="G30" display="../playground/src/main.tsx" r:id="rId22"/>
    <hyperlink xmlns:r="http://schemas.openxmlformats.org/officeDocument/2006/relationships" ref="G31" display="../test/components/badge.test.tsx" r:id="rId23"/>
    <hyperlink xmlns:r="http://schemas.openxmlformats.org/officeDocument/2006/relationships" ref="G32" display="../test/components/badge.test.tsx" r:id="rId24"/>
    <hyperlink xmlns:r="http://schemas.openxmlformats.org/officeDocument/2006/relationships" ref="G33" display="../test/types/public-api.test.ts" r:id="rId25"/>
    <hyperlink xmlns:r="http://schemas.openxmlformats.org/officeDocument/2006/relationships" ref="G34" display="../test/package/package.test.mjs" r:id="rId26"/>
    <hyperlink xmlns:r="http://schemas.openxmlformats.org/officeDocument/2006/relationships" ref="G35" display="../scripts/verify-consumers.mjs" r:id="rId27"/>
    <hyperlink xmlns:r="http://schemas.openxmlformats.org/officeDocument/2006/relationships" ref="G36" display="../test/components/badge.test.tsx" r:id="rId28"/>
    <hyperlink xmlns:r="http://schemas.openxmlformats.org/officeDocument/2006/relationships" ref="G37" display="tests/badge.spec.ts" r:id="rId29"/>
    <hyperlink xmlns:r="http://schemas.openxmlformats.org/officeDocument/2006/relationships" ref="G38" display="tests/badge.spec.ts" r:id="rId30"/>
    <hyperlink xmlns:r="http://schemas.openxmlformats.org/officeDocument/2006/relationships" ref="G39" display="tests/visual.spec.ts" r:id="rId31"/>
    <hyperlink xmlns:r="http://schemas.openxmlformats.org/officeDocument/2006/relationships" ref="G40" display="../playwright.config.ts" r:id="rId32"/>
    <hyperlink xmlns:r="http://schemas.openxmlformats.org/officeDocument/2006/relationships" ref="G41" display="manual-tests/badge.md" r:id="rId33"/>
    <hyperlink xmlns:r="http://schemas.openxmlformats.org/officeDocument/2006/relationships" ref="G42" display="manual-tests/badge.md" r:id="rId34"/>
    <hyperlink xmlns:r="http://schemas.openxmlformats.org/officeDocument/2006/relationships" ref="G43" display="../docs/components/badge/README.md" r:id="rId35"/>
    <hyperlink xmlns:r="http://schemas.openxmlformats.org/officeDocument/2006/relationships" ref="G44" display="../docs/components/badge/CHANGELOG.md" r:id="rId36"/>
    <hyperlink xmlns:r="http://schemas.openxmlformats.org/officeDocument/2006/relationships" ref="G45" display="../../../../apps/brick-consumer/tests/consumer.spec.ts" r:id="rId37"/>
    <hyperlink xmlns:r="http://schemas.openxmlformats.org/officeDocument/2006/relationships" ref="G46" display="../../docs/core-dependency-ledger.md" r:id="rId38"/>
    <hyperlink xmlns:r="http://schemas.openxmlformats.org/officeDocument/2006/relationships" ref="G47" display="../../docs/badge-component-brief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32" min="1" max="1"/>
    <col width="18" customWidth="1" style="32" min="2" max="2"/>
    <col width="16" customWidth="1" style="32" min="3" max="3"/>
    <col width="54" customWidth="1" style="32" min="4" max="4"/>
    <col width="12" customWidth="1" style="32" min="5" max="5"/>
    <col width="16" customWidth="1" style="32" min="6" max="6"/>
    <col width="30" customWidth="1" style="32" min="7" max="7"/>
    <col width="18" customWidth="1" style="32" min="8" max="8"/>
    <col width="14" customWidth="1" style="32" min="9" max="9"/>
    <col width="15" customWidth="1" style="32" min="10" max="10"/>
    <col width="32" customWidth="1" style="32" min="11" max="11"/>
    <col width="9" customWidth="1" style="32" min="12" max="12"/>
    <col width="10" customWidth="1" style="32" min="13" max="13"/>
  </cols>
  <sheetData>
    <row r="1" ht="33.75" customHeight="1" s="21">
      <c r="A1" s="22" t="inlineStr">
        <is>
          <t>Avatar Evidence Matrix</t>
        </is>
      </c>
    </row>
    <row r="2" ht="33.75" customHeight="1" s="21">
      <c r="A2" s="23" t="inlineStr">
        <is>
          <t>Evidence gates for the adopted direct Avatar, explicit image/fallback semantics, status-ring geometry, package proof, Consumer cutover, and completed Core retirement.</t>
        </is>
      </c>
    </row>
    <row r="4" ht="15" customHeight="1" s="21">
      <c r="A4" s="24" t="inlineStr">
        <is>
          <t>Requirements</t>
        </is>
      </c>
      <c r="B4" s="25">
        <f>COUNTA(A9:A47)</f>
        <v/>
      </c>
      <c r="C4" s="24" t="inlineStr">
        <is>
          <t>Resolved</t>
        </is>
      </c>
      <c r="D4" s="25">
        <f>SUM(M9:M47)</f>
        <v/>
      </c>
      <c r="E4" s="24" t="inlineStr">
        <is>
          <t>Completion</t>
        </is>
      </c>
      <c r="F4" s="26">
        <f>IFERROR(D4/SUM(L9:L47),0)</f>
        <v/>
      </c>
      <c r="G4" s="24" t="inlineStr">
        <is>
          <t>Blocked</t>
        </is>
      </c>
      <c r="H4" s="25">
        <f>COUNTIF(H9:H47,"blocked")</f>
        <v/>
      </c>
      <c r="I4" s="24" t="inlineStr">
        <is>
          <t>Package gate</t>
        </is>
      </c>
      <c r="J4" s="25">
        <f>IF(COUNTIFS(E9:E47,"package",M9:M47,"&lt;1")=0,"complete","open")</f>
        <v/>
      </c>
      <c r="K4" s="24" t="inlineStr">
        <is>
          <t>Retirement gate</t>
        </is>
      </c>
      <c r="L4" s="25">
        <f>IF(COUNTIFS(E9:E47,"retirement",M9:M47,"&lt;1")=0,"complete","open")</f>
        <v/>
      </c>
    </row>
    <row r="6" ht="15" customHeight="1" s="21">
      <c r="A6" s="37" t="inlineStr">
        <is>
          <t>Completion is formula-driven. Human-review rows require verified; other rows require tested or verified. Not applicable requires a reason.</t>
        </is>
      </c>
    </row>
    <row r="8" ht="33.75" customHeight="1" s="21">
      <c r="A8" s="27" t="inlineStr">
        <is>
          <t>ID</t>
        </is>
      </c>
      <c r="B8" s="27" t="inlineStr">
        <is>
          <t>Area</t>
        </is>
      </c>
      <c r="C8" s="27" t="inlineStr">
        <is>
          <t>Part</t>
        </is>
      </c>
      <c r="D8" s="27" t="inlineStr">
        <is>
          <t>Requirement</t>
        </is>
      </c>
      <c r="E8" s="27" t="inlineStr">
        <is>
          <t>Gate</t>
        </is>
      </c>
      <c r="F8" s="27" t="inlineStr">
        <is>
          <t>Evidence type</t>
        </is>
      </c>
      <c r="G8" s="27" t="inlineStr">
        <is>
          <t>Evidence / link</t>
        </is>
      </c>
      <c r="H8" s="27" t="inlineStr">
        <is>
          <t>Status</t>
        </is>
      </c>
      <c r="I8" s="27" t="inlineStr">
        <is>
          <t>Human review?</t>
        </is>
      </c>
      <c r="J8" s="27" t="inlineStr">
        <is>
          <t>Last verified</t>
        </is>
      </c>
      <c r="K8" s="27" t="inlineStr">
        <is>
          <t>Blocker / N/A reason</t>
        </is>
      </c>
      <c r="L8" s="27" t="inlineStr">
        <is>
          <t>Weight</t>
        </is>
      </c>
      <c r="M8" s="27" t="inlineStr">
        <is>
          <t>Resolved</t>
        </is>
      </c>
    </row>
    <row r="9" ht="42" customHeight="1" s="21">
      <c r="A9" s="38" t="inlineStr">
        <is>
          <t>AVA-01</t>
        </is>
      </c>
      <c r="B9" s="38" t="inlineStr">
        <is>
          <t>Public API</t>
        </is>
      </c>
      <c r="C9" s="38" t="inlineStr">
        <is>
          <t>Avatar</t>
        </is>
      </c>
      <c r="D9" s="38" t="inlineStr">
        <is>
          <t>Avatar directly composes the public Atom 0.3.3 Avatar subpath without Core, framework, or local behavior wrappers</t>
        </is>
      </c>
      <c r="E9" s="38" t="inlineStr">
        <is>
          <t>package</t>
        </is>
      </c>
      <c r="F9" s="38" t="inlineStr">
        <is>
          <t>source</t>
        </is>
      </c>
      <c r="G9" s="39" t="inlineStr">
        <is>
          <t>../src/components/avatar/Avatar.tsx</t>
        </is>
      </c>
      <c r="H9" s="38" t="inlineStr">
        <is>
          <t>tested</t>
        </is>
      </c>
      <c r="I9" s="38" t="inlineStr">
        <is>
          <t>no</t>
        </is>
      </c>
      <c r="J9" s="42" t="n">
        <v>46221</v>
      </c>
      <c r="K9" s="38" t="n"/>
      <c r="L9" s="41" t="n">
        <v>1</v>
      </c>
      <c r="M9" s="41">
        <f>IF(H9="not applicable",IF(K9&lt;&gt;"",1,0),IF(I9="yes",IF(H9="verified",1,0),IF(OR(H9="tested",H9="verified"),1,0)))</f>
        <v/>
      </c>
    </row>
    <row r="10" ht="42" customHeight="1" s="21">
      <c r="A10" s="38" t="inlineStr">
        <is>
          <t>AVA-02</t>
        </is>
      </c>
      <c r="B10" s="38" t="inlineStr">
        <is>
          <t>Boundary</t>
        </is>
      </c>
      <c r="C10" s="38" t="inlineStr">
        <is>
          <t>Avatar</t>
        </is>
      </c>
      <c r="D10" s="38" t="inlineStr">
        <is>
          <t>Owner-approved capability audit confirms Atom owns loading/error state, source preload, delayed fallback, native image semantics, and status callback</t>
        </is>
      </c>
      <c r="E10" s="38" t="inlineStr">
        <is>
          <t>package</t>
        </is>
      </c>
      <c r="F10" s="38" t="inlineStr">
        <is>
          <t>decision</t>
        </is>
      </c>
      <c r="G10" s="39" t="inlineStr">
        <is>
          <t>../../docs/avatar-component-brief.md</t>
        </is>
      </c>
      <c r="H10" s="38" t="inlineStr">
        <is>
          <t>verified</t>
        </is>
      </c>
      <c r="I10" s="38" t="inlineStr">
        <is>
          <t>yes</t>
        </is>
      </c>
      <c r="J10" s="42" t="n">
        <v>46221</v>
      </c>
      <c r="K10" s="38" t="n"/>
      <c r="L10" s="41" t="n">
        <v>1</v>
      </c>
      <c r="M10" s="41">
        <f>IF(H10="not applicable",IF(K10&lt;&gt;"",1,0),IF(I10="yes",IF(H10="verified",1,0),IF(OR(H10="tested",H10="verified"),1,0)))</f>
        <v/>
      </c>
    </row>
    <row r="11" ht="42" customHeight="1" s="21">
      <c r="A11" s="38" t="inlineStr">
        <is>
          <t>AVA-03</t>
        </is>
      </c>
      <c r="B11" s="38" t="inlineStr">
        <is>
          <t>Public API</t>
        </is>
      </c>
      <c r="C11" s="38" t="inlineStr">
        <is>
          <t>Avatar</t>
        </is>
      </c>
      <c r="D11" s="38" t="inlineStr">
        <is>
          <t>Root and avatar-subpath exports, declarations, required alt/fallback, optional src, and closed size/shape/status unions match the brief</t>
        </is>
      </c>
      <c r="E11" s="38" t="inlineStr">
        <is>
          <t>package</t>
        </is>
      </c>
      <c r="F11" s="38" t="inlineStr">
        <is>
          <t>types</t>
        </is>
      </c>
      <c r="G11" s="39" t="inlineStr">
        <is>
          <t>../test/types/public-api.test.ts</t>
        </is>
      </c>
      <c r="H11" s="38" t="inlineStr">
        <is>
          <t>tested</t>
        </is>
      </c>
      <c r="I11" s="38" t="inlineStr">
        <is>
          <t>no</t>
        </is>
      </c>
      <c r="J11" s="42" t="n">
        <v>46221</v>
      </c>
      <c r="K11" s="38" t="n"/>
      <c r="L11" s="41" t="n">
        <v>1</v>
      </c>
      <c r="M11" s="41">
        <f>IF(H11="not applicable",IF(K11&lt;&gt;"",1,0),IF(I11="yes",IF(H11="verified",1,0),IF(OR(H11="tested",H11="verified"),1,0)))</f>
        <v/>
      </c>
    </row>
    <row r="12" ht="42" customHeight="1" s="21">
      <c r="A12" s="38" t="inlineStr">
        <is>
          <t>AVA-04</t>
        </is>
      </c>
      <c r="B12" s="38" t="inlineStr">
        <is>
          <t>Anatomy</t>
        </is>
      </c>
      <c r="C12" s="38" t="inlineStr">
        <is>
          <t>Root</t>
        </is>
      </c>
      <c r="D12" s="38" t="inlineStr">
        <is>
          <t>Shortest fallback-only render emits a passive span with stable class/slot and md/circle defaults without leaked visual props or root role/tab stop</t>
        </is>
      </c>
      <c r="E12" s="38" t="inlineStr">
        <is>
          <t>package</t>
        </is>
      </c>
      <c r="F12" s="38" t="inlineStr">
        <is>
          <t>test</t>
        </is>
      </c>
      <c r="G12" s="39" t="inlineStr">
        <is>
          <t>../test/components/avatar.test.tsx</t>
        </is>
      </c>
      <c r="H12" s="38" t="inlineStr">
        <is>
          <t>tested</t>
        </is>
      </c>
      <c r="I12" s="38" t="inlineStr">
        <is>
          <t>no</t>
        </is>
      </c>
      <c r="J12" s="42" t="n">
        <v>46221</v>
      </c>
      <c r="K12" s="38" t="n"/>
      <c r="L12" s="41" t="n">
        <v>1</v>
      </c>
      <c r="M12" s="41">
        <f>IF(H12="not applicable",IF(K12&lt;&gt;"",1,0),IF(I12="yes",IF(H12="verified",1,0),IF(OR(H12="tested",H12="verified"),1,0)))</f>
        <v/>
      </c>
    </row>
    <row r="13" ht="42" customHeight="1" s="21">
      <c r="A13" s="38" t="inlineStr">
        <is>
          <t>AVA-05</t>
        </is>
      </c>
      <c r="B13" s="38" t="inlineStr">
        <is>
          <t>Anatomy</t>
        </is>
      </c>
      <c r="C13" s="38" t="inlineStr">
        <is>
          <t>Image</t>
        </is>
      </c>
      <c r="D13" s="38" t="inlineStr">
        <is>
          <t>One source reaches Atom Root and Image; loaded native image preserves src, required alt, crop hook, and mutual exclusion with fallback</t>
        </is>
      </c>
      <c r="E13" s="38" t="inlineStr">
        <is>
          <t>package</t>
        </is>
      </c>
      <c r="F13" s="38" t="inlineStr">
        <is>
          <t>test</t>
        </is>
      </c>
      <c r="G13" s="39" t="inlineStr">
        <is>
          <t>../test/components/avatar.test.tsx</t>
        </is>
      </c>
      <c r="H13" s="38" t="inlineStr">
        <is>
          <t>tested</t>
        </is>
      </c>
      <c r="I13" s="38" t="inlineStr">
        <is>
          <t>no</t>
        </is>
      </c>
      <c r="J13" s="42" t="n">
        <v>46221</v>
      </c>
      <c r="K13" s="38" t="n"/>
      <c r="L13" s="41" t="n">
        <v>1</v>
      </c>
      <c r="M13" s="41">
        <f>IF(H13="not applicable",IF(K13&lt;&gt;"",1,0),IF(I13="yes",IF(H13="verified",1,0),IF(OR(H13="tested",H13="verified"),1,0)))</f>
        <v/>
      </c>
    </row>
    <row r="14" ht="42" customHeight="1" s="21">
      <c r="A14" s="38" t="inlineStr">
        <is>
          <t>AVA-06</t>
        </is>
      </c>
      <c r="B14" s="38" t="inlineStr">
        <is>
          <t>Anatomy</t>
        </is>
      </c>
      <c r="C14" s="38" t="inlineStr">
        <is>
          <t>Fallback</t>
        </is>
      </c>
      <c r="D14" s="38" t="inlineStr">
        <is>
          <t>Informative fallback exposes role img and the full alt label; deliberate empty alt makes loaded and fallback imagery decorative</t>
        </is>
      </c>
      <c r="E14" s="38" t="inlineStr">
        <is>
          <t>package</t>
        </is>
      </c>
      <c r="F14" s="38" t="inlineStr">
        <is>
          <t>test</t>
        </is>
      </c>
      <c r="G14" s="39" t="inlineStr">
        <is>
          <t>../test/components/avatar.test.tsx</t>
        </is>
      </c>
      <c r="H14" s="38" t="inlineStr">
        <is>
          <t>tested</t>
        </is>
      </c>
      <c r="I14" s="38" t="inlineStr">
        <is>
          <t>no</t>
        </is>
      </c>
      <c r="J14" s="42" t="n">
        <v>46221</v>
      </c>
      <c r="K14" s="38" t="n"/>
      <c r="L14" s="41" t="n">
        <v>1</v>
      </c>
      <c r="M14" s="41">
        <f>IF(H14="not applicable",IF(K14&lt;&gt;"",1,0),IF(I14="yes",IF(H14="verified",1,0),IF(OR(H14="tested",H14="verified"),1,0)))</f>
        <v/>
      </c>
    </row>
    <row r="15" ht="42" customHeight="1" s="21">
      <c r="A15" s="38" t="inlineStr">
        <is>
          <t>AVA-07</t>
        </is>
      </c>
      <c r="B15" s="38" t="inlineStr">
        <is>
          <t>Loading</t>
        </is>
      </c>
      <c r="C15" s="38" t="inlineStr">
        <is>
          <t>Avatar</t>
        </is>
      </c>
      <c r="D15" s="38" t="inlineStr">
        <is>
          <t>Successful and failed deterministic sources switch between Image and explicit fallback while preserving the frame and accessible identity</t>
        </is>
      </c>
      <c r="E15" s="38" t="inlineStr">
        <is>
          <t>package</t>
        </is>
      </c>
      <c r="F15" s="38" t="inlineStr">
        <is>
          <t>test</t>
        </is>
      </c>
      <c r="G15" s="39" t="inlineStr">
        <is>
          <t>../test/components/avatar.test.tsx</t>
        </is>
      </c>
      <c r="H15" s="38" t="inlineStr">
        <is>
          <t>tested</t>
        </is>
      </c>
      <c r="I15" s="38" t="inlineStr">
        <is>
          <t>no</t>
        </is>
      </c>
      <c r="J15" s="42" t="n">
        <v>46221</v>
      </c>
      <c r="K15" s="38" t="n"/>
      <c r="L15" s="41" t="n">
        <v>1</v>
      </c>
      <c r="M15" s="41">
        <f>IF(H15="not applicable",IF(K15&lt;&gt;"",1,0),IF(I15="yes",IF(H15="verified",1,0),IF(OR(H15="tested",H15="verified"),1,0)))</f>
        <v/>
      </c>
    </row>
    <row r="16" ht="42" customHeight="1" s="21">
      <c r="A16" s="38" t="inlineStr">
        <is>
          <t>AVA-08</t>
        </is>
      </c>
      <c r="B16" s="38" t="inlineStr">
        <is>
          <t>Loading</t>
        </is>
      </c>
      <c r="C16" s="38" t="inlineStr">
        <is>
          <t>Avatar</t>
        </is>
      </c>
      <c r="D16" s="38" t="inlineStr">
        <is>
          <t>fallbackDelayMs and onLoadingStatusChange remain public Atom-owned inputs; loading and loaded callback states pass through Brick</t>
        </is>
      </c>
      <c r="E16" s="38" t="inlineStr">
        <is>
          <t>package</t>
        </is>
      </c>
      <c r="F16" s="38" t="inlineStr">
        <is>
          <t>test</t>
        </is>
      </c>
      <c r="G16" s="39" t="inlineStr">
        <is>
          <t>../test/components/avatar.test.tsx</t>
        </is>
      </c>
      <c r="H16" s="38" t="inlineStr">
        <is>
          <t>tested</t>
        </is>
      </c>
      <c r="I16" s="38" t="inlineStr">
        <is>
          <t>no</t>
        </is>
      </c>
      <c r="J16" s="42" t="n">
        <v>46221</v>
      </c>
      <c r="K16" s="38" t="n"/>
      <c r="L16" s="41" t="n">
        <v>1</v>
      </c>
      <c r="M16" s="41">
        <f>IF(H16="not applicable",IF(K16&lt;&gt;"",1,0),IF(I16="yes",IF(H16="verified",1,0),IF(OR(H16="tested",H16="verified"),1,0)))</f>
        <v/>
      </c>
    </row>
    <row r="17" ht="42" customHeight="1" s="21">
      <c r="A17" s="38" t="inlineStr">
        <is>
          <t>AVA-09</t>
        </is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Native span attributes, ARIA/data attributes, event, class, style, overridable slot, ReactNode fallback, and HTMLSpanElement ref are preserved</t>
        </is>
      </c>
      <c r="E17" s="38" t="inlineStr">
        <is>
          <t>package</t>
        </is>
      </c>
      <c r="F17" s="38" t="inlineStr">
        <is>
          <t>test</t>
        </is>
      </c>
      <c r="G17" s="39" t="inlineStr">
        <is>
          <t>../test/components/avatar.test.tsx</t>
        </is>
      </c>
      <c r="H17" s="38" t="inlineStr">
        <is>
          <t>tested</t>
        </is>
      </c>
      <c r="I17" s="38" t="inlineStr">
        <is>
          <t>no</t>
        </is>
      </c>
      <c r="J17" s="42" t="n">
        <v>46221</v>
      </c>
      <c r="K17" s="38" t="n"/>
      <c r="L17" s="41" t="n">
        <v>1</v>
      </c>
      <c r="M17" s="41">
        <f>IF(H17="not applicable",IF(K17&lt;&gt;"",1,0),IF(I17="yes",IF(H17="verified",1,0),IF(OR(H17="tested",H17="verified"),1,0)))</f>
        <v/>
      </c>
    </row>
    <row r="18" ht="42" customHeight="1" s="21">
      <c r="A18" s="38" t="inlineStr">
        <is>
          <t>AVA-10</t>
        </is>
      </c>
      <c r="B18" s="38" t="inlineStr">
        <is>
          <t>Visual system</t>
        </is>
      </c>
      <c r="C18" s="38" t="inlineStr">
        <is>
          <t>Avatar</t>
        </is>
      </c>
      <c r="D18" s="38" t="inlineStr">
        <is>
          <t>Five exact square sizes map to 24, 32, 40, 48, and 64 CSS pixels without responsive mutation</t>
        </is>
      </c>
      <c r="E18" s="38" t="inlineStr">
        <is>
          <t>package</t>
        </is>
      </c>
      <c r="F18" s="38" t="inlineStr">
        <is>
          <t>test</t>
        </is>
      </c>
      <c r="G18" s="39" t="inlineStr">
        <is>
          <t>tests/avatar.spec.ts</t>
        </is>
      </c>
      <c r="H18" s="38" t="inlineStr">
        <is>
          <t>tested</t>
        </is>
      </c>
      <c r="I18" s="38" t="inlineStr">
        <is>
          <t>no</t>
        </is>
      </c>
      <c r="J18" s="42" t="n">
        <v>46221</v>
      </c>
      <c r="K18" s="38" t="n"/>
      <c r="L18" s="41" t="n">
        <v>1</v>
      </c>
      <c r="M18" s="41">
        <f>IF(H18="not applicable",IF(K18&lt;&gt;"",1,0),IF(I18="yes",IF(H18="verified",1,0),IF(OR(H18="tested",H18="verified"),1,0)))</f>
        <v/>
      </c>
    </row>
    <row r="19" ht="42" customHeight="1" s="21">
      <c r="A19" s="38" t="inlineStr">
        <is>
          <t>AVA-11</t>
        </is>
      </c>
      <c r="B19" s="38" t="inlineStr">
        <is>
          <t>Visual system</t>
        </is>
      </c>
      <c r="C19" s="38" t="inlineStr">
        <is>
          <t>Avatar</t>
        </is>
      </c>
      <c r="D19" s="38" t="inlineStr">
        <is>
          <t>Circle and rounded shapes are closed recipes; image/fallback clipping and external ring inherit the selected radius</t>
        </is>
      </c>
      <c r="E19" s="38" t="inlineStr">
        <is>
          <t>package</t>
        </is>
      </c>
      <c r="F19" s="38" t="inlineStr">
        <is>
          <t>test</t>
        </is>
      </c>
      <c r="G19" s="39" t="inlineStr">
        <is>
          <t>tests/avatar.spec.ts</t>
        </is>
      </c>
      <c r="H19" s="38" t="inlineStr">
        <is>
          <t>tested</t>
        </is>
      </c>
      <c r="I19" s="38" t="inlineStr">
        <is>
          <t>no</t>
        </is>
      </c>
      <c r="J19" s="42" t="n">
        <v>46221</v>
      </c>
      <c r="K19" s="38" t="n"/>
      <c r="L19" s="41" t="n">
        <v>1</v>
      </c>
      <c r="M19" s="41">
        <f>IF(H19="not applicable",IF(K19&lt;&gt;"",1,0),IF(I19="yes",IF(H19="verified",1,0),IF(OR(H19="tested",H19="verified"),1,0)))</f>
        <v/>
      </c>
    </row>
    <row r="20" ht="42" customHeight="1" s="21">
      <c r="A20" s="38" t="inlineStr">
        <is>
          <t>AVA-12</t>
        </is>
      </c>
      <c r="B20" s="38" t="inlineStr">
        <is>
          <t>Status</t>
        </is>
      </c>
      <c r="C20" s="38" t="inlineStr">
        <is>
          <t>Avatar</t>
        </is>
      </c>
      <c r="D20" s="38" t="inlineStr">
        <is>
          <t>Online, away, busy, and offline map to success, warning, danger, and neutral semantic rings; absent status has no status metadata</t>
        </is>
      </c>
      <c r="E20" s="38" t="inlineStr">
        <is>
          <t>package</t>
        </is>
      </c>
      <c r="F20" s="38" t="inlineStr">
        <is>
          <t>test</t>
        </is>
      </c>
      <c r="G20" s="39" t="inlineStr">
        <is>
          <t>tests/avatar.spec.ts</t>
        </is>
      </c>
      <c r="H20" s="38" t="inlineStr">
        <is>
          <t>tested</t>
        </is>
      </c>
      <c r="I20" s="38" t="inlineStr">
        <is>
          <t>no</t>
        </is>
      </c>
      <c r="J20" s="42" t="n">
        <v>46221</v>
      </c>
      <c r="K20" s="38" t="n"/>
      <c r="L20" s="41" t="n">
        <v>1</v>
      </c>
      <c r="M20" s="41">
        <f>IF(H20="not applicable",IF(K20&lt;&gt;"",1,0),IF(I20="yes",IF(H20="verified",1,0),IF(OR(H20="tested",H20="verified"),1,0)))</f>
        <v/>
      </c>
    </row>
    <row r="21" ht="42" customHeight="1" s="21">
      <c r="A21" s="38" t="inlineStr">
        <is>
          <t>AVA-13</t>
        </is>
      </c>
      <c r="B21" s="38" t="inlineStr">
        <is>
          <t>Status</t>
        </is>
      </c>
      <c r="C21" s="38" t="inlineStr">
        <is>
          <t>Avatar</t>
        </is>
      </c>
      <c r="D21" s="38" t="inlineStr">
        <is>
          <t>Layered external ring follows both shapes without changing 48px test dimensions, adding semantic DOM, or intercepting input</t>
        </is>
      </c>
      <c r="E21" s="38" t="inlineStr">
        <is>
          <t>package</t>
        </is>
      </c>
      <c r="F21" s="38" t="inlineStr">
        <is>
          <t>test</t>
        </is>
      </c>
      <c r="G21" s="39" t="inlineStr">
        <is>
          <t>tests/avatar.spec.ts</t>
        </is>
      </c>
      <c r="H21" s="38" t="inlineStr">
        <is>
          <t>tested</t>
        </is>
      </c>
      <c r="I21" s="38" t="inlineStr">
        <is>
          <t>no</t>
        </is>
      </c>
      <c r="J21" s="42" t="n">
        <v>46221</v>
      </c>
      <c r="K21" s="38" t="n"/>
      <c r="L21" s="41" t="n">
        <v>1</v>
      </c>
      <c r="M21" s="41">
        <f>IF(H21="not applicable",IF(K21&lt;&gt;"",1,0),IF(I21="yes",IF(H21="verified",1,0),IF(OR(H21="tested",H21="verified"),1,0)))</f>
        <v/>
      </c>
    </row>
    <row r="22" ht="42" customHeight="1" s="21">
      <c r="A22" s="38" t="inlineStr">
        <is>
          <t>AVA-14</t>
        </is>
      </c>
      <c r="B22" s="38" t="inlineStr">
        <is>
          <t>Accessibility</t>
        </is>
      </c>
      <c r="C22" s="38" t="inlineStr">
        <is>
          <t>Avatar</t>
        </is>
      </c>
      <c r="D22" s="38" t="inlineStr">
        <is>
          <t>Avatar stays passive; informative/decorative contexts and Avatar inside a named control avoid duplicate focus and speech</t>
        </is>
      </c>
      <c r="E22" s="38" t="inlineStr">
        <is>
          <t>package</t>
        </is>
      </c>
      <c r="F22" s="38" t="inlineStr">
        <is>
          <t>test</t>
        </is>
      </c>
      <c r="G22" s="39" t="inlineStr">
        <is>
          <t>tests/avatar.spec.ts</t>
        </is>
      </c>
      <c r="H22" s="38" t="inlineStr">
        <is>
          <t>tested</t>
        </is>
      </c>
      <c r="I22" s="38" t="inlineStr">
        <is>
          <t>no</t>
        </is>
      </c>
      <c r="J22" s="42" t="n">
        <v>46221</v>
      </c>
      <c r="K22" s="38" t="n"/>
      <c r="L22" s="41" t="n">
        <v>1</v>
      </c>
      <c r="M22" s="41">
        <f>IF(H22="not applicable",IF(K22&lt;&gt;"",1,0),IF(I22="yes",IF(H22="verified",1,0),IF(OR(H22="tested",H22="verified"),1,0)))</f>
        <v/>
      </c>
    </row>
    <row r="23" ht="42" customHeight="1" s="21">
      <c r="A23" s="38" t="inlineStr">
        <is>
          <t>AVA-15</t>
        </is>
      </c>
      <c r="B23" s="38" t="inlineStr">
        <is>
          <t>Accessibility</t>
        </is>
      </c>
      <c r="C23" s="38" t="inlineStr">
        <is>
          <t>Status</t>
        </is>
      </c>
      <c r="D23" s="38" t="inlineStr">
        <is>
          <t>Visible localized text communicates each status; ring color is reinforcement and no automatic live announcement is added</t>
        </is>
      </c>
      <c r="E23" s="38" t="inlineStr">
        <is>
          <t>package</t>
        </is>
      </c>
      <c r="F23" s="38" t="inlineStr">
        <is>
          <t>playground</t>
        </is>
      </c>
      <c r="G23" s="39" t="inlineStr">
        <is>
          <t>../playground/src/main.tsx</t>
        </is>
      </c>
      <c r="H23" s="38" t="inlineStr">
        <is>
          <t>tested</t>
        </is>
      </c>
      <c r="I23" s="38" t="inlineStr">
        <is>
          <t>no</t>
        </is>
      </c>
      <c r="J23" s="42" t="n">
        <v>46221</v>
      </c>
      <c r="K23" s="38" t="n"/>
      <c r="L23" s="41" t="n">
        <v>1</v>
      </c>
      <c r="M23" s="41">
        <f>IF(H23="not applicable",IF(K23&lt;&gt;"",1,0),IF(I23="yes",IF(H23="verified",1,0),IF(OR(H23="tested",H23="verified"),1,0)))</f>
        <v/>
      </c>
    </row>
    <row r="24" ht="42" customHeight="1" s="21">
      <c r="A24" s="38" t="inlineStr">
        <is>
          <t>AVA-16</t>
        </is>
      </c>
      <c r="B24" s="38" t="inlineStr">
        <is>
          <t>Composition</t>
        </is>
      </c>
      <c r="C24" s="38" t="inlineStr">
        <is>
          <t>NotificationBadge</t>
        </is>
      </c>
      <c r="D24" s="38" t="inlineStr">
        <is>
          <t>NotificationBadge wraps Avatar and a native image; a distinct count/dot coexists without obscuring Avatar status geometry</t>
        </is>
      </c>
      <c r="E24" s="38" t="inlineStr">
        <is>
          <t>package</t>
        </is>
      </c>
      <c r="F24" s="38" t="inlineStr">
        <is>
          <t>test</t>
        </is>
      </c>
      <c r="G24" s="39" t="inlineStr">
        <is>
          <t>tests/avatar.spec.ts</t>
        </is>
      </c>
      <c r="H24" s="38" t="inlineStr">
        <is>
          <t>tested</t>
        </is>
      </c>
      <c r="I24" s="38" t="inlineStr">
        <is>
          <t>no</t>
        </is>
      </c>
      <c r="J24" s="42" t="n">
        <v>46221</v>
      </c>
      <c r="K24" s="38" t="n"/>
      <c r="L24" s="41" t="n">
        <v>1</v>
      </c>
      <c r="M24" s="41">
        <f>IF(H24="not applicable",IF(K24&lt;&gt;"",1,0),IF(I24="yes",IF(H24="verified",1,0),IF(OR(H24="tested",H24="verified"),1,0)))</f>
        <v/>
      </c>
    </row>
    <row r="25" ht="42" customHeight="1" s="21">
      <c r="A25" s="38" t="inlineStr">
        <is>
          <t>AVA-17</t>
        </is>
      </c>
      <c r="B25" s="38" t="inlineStr">
        <is>
          <t>Visual system</t>
        </is>
      </c>
      <c r="C25" s="38" t="inlineStr">
        <is>
          <t>Avatar</t>
        </is>
      </c>
      <c r="D25" s="38" t="inlineStr">
        <is>
          <t>Compiled layered CSS uses Brick classes, semantic tokens, fixed logical geometry, and documented component variables without global leakage</t>
        </is>
      </c>
      <c r="E25" s="38" t="inlineStr">
        <is>
          <t>package</t>
        </is>
      </c>
      <c r="F25" s="38" t="inlineStr">
        <is>
          <t>source</t>
        </is>
      </c>
      <c r="G25" s="39" t="inlineStr">
        <is>
          <t>../src/components/avatar/avatar.css</t>
        </is>
      </c>
      <c r="H25" s="38" t="inlineStr">
        <is>
          <t>tested</t>
        </is>
      </c>
      <c r="I25" s="38" t="inlineStr">
        <is>
          <t>no</t>
        </is>
      </c>
      <c r="J25" s="42" t="n">
        <v>46221</v>
      </c>
      <c r="K25" s="38" t="n"/>
      <c r="L25" s="41" t="n">
        <v>1</v>
      </c>
      <c r="M25" s="41">
        <f>IF(H25="not applicable",IF(K25&lt;&gt;"",1,0),IF(I25="yes",IF(H25="verified",1,0),IF(OR(H25="tested",H25="verified"),1,0)))</f>
        <v/>
      </c>
    </row>
    <row r="26" ht="42" customHeight="1" s="21">
      <c r="A26" s="38" t="inlineStr">
        <is>
          <t>AVA-18</t>
        </is>
      </c>
      <c r="B26" s="38" t="inlineStr">
        <is>
          <t>Visual system</t>
        </is>
      </c>
      <c r="C26" s="38" t="inlineStr">
        <is>
          <t>Avatar</t>
        </is>
      </c>
      <c r="D26" s="38" t="inlineStr">
        <is>
          <t>Reviewed light/dark fallback, loaded image, shape, status, and NotificationBadge compositions preserve hierarchy</t>
        </is>
      </c>
      <c r="E26" s="38" t="inlineStr">
        <is>
          <t>package</t>
        </is>
      </c>
      <c r="F26" s="38" t="inlineStr">
        <is>
          <t>visual</t>
        </is>
      </c>
      <c r="G26" s="39" t="inlineStr">
        <is>
          <t>tests/visual.spec.ts</t>
        </is>
      </c>
      <c r="H26" s="38" t="inlineStr">
        <is>
          <t>verified</t>
        </is>
      </c>
      <c r="I26" s="38" t="inlineStr">
        <is>
          <t>yes</t>
        </is>
      </c>
      <c r="J26" s="42" t="n">
        <v>46221</v>
      </c>
      <c r="K26" s="38" t="n"/>
      <c r="L26" s="41" t="n">
        <v>1</v>
      </c>
      <c r="M26" s="41">
        <f>IF(H26="not applicable",IF(K26&lt;&gt;"",1,0),IF(I26="yes",IF(H26="verified",1,0),IF(OR(H26="tested",H26="verified"),1,0)))</f>
        <v/>
      </c>
    </row>
    <row r="27" ht="42" customHeight="1" s="21">
      <c r="A27" s="38" t="inlineStr">
        <is>
          <t>AVA-19</t>
        </is>
      </c>
      <c r="B27" s="38" t="inlineStr">
        <is>
          <t>Visual system</t>
        </is>
      </c>
      <c r="C27" s="38" t="inlineStr">
        <is>
          <t>Avatar</t>
        </is>
      </c>
      <c r="D27" s="38" t="inlineStr">
        <is>
          <t>Forced-colors emulation preserves an explicit system frame and shape-following status outline while visible text keeps exact meaning</t>
        </is>
      </c>
      <c r="E27" s="38" t="inlineStr">
        <is>
          <t>package</t>
        </is>
      </c>
      <c r="F27" s="38" t="inlineStr">
        <is>
          <t>test</t>
        </is>
      </c>
      <c r="G27" s="39" t="inlineStr">
        <is>
          <t>tests/avatar.spec.ts</t>
        </is>
      </c>
      <c r="H27" s="38" t="inlineStr">
        <is>
          <t>tested</t>
        </is>
      </c>
      <c r="I27" s="38" t="inlineStr">
        <is>
          <t>no</t>
        </is>
      </c>
      <c r="J27" s="42" t="n">
        <v>46221</v>
      </c>
      <c r="K27" s="38" t="n"/>
      <c r="L27" s="41" t="n">
        <v>1</v>
      </c>
      <c r="M27" s="41">
        <f>IF(H27="not applicable",IF(K27&lt;&gt;"",1,0),IF(I27="yes",IF(H27="verified",1,0),IF(OR(H27="tested",H27="verified"),1,0)))</f>
        <v/>
      </c>
    </row>
    <row r="28" ht="42" customHeight="1" s="21">
      <c r="A28" s="38" t="inlineStr">
        <is>
          <t>AVA-20</t>
        </is>
      </c>
      <c r="B28" s="38" t="inlineStr">
        <is>
          <t>Visual system</t>
        </is>
      </c>
      <c r="C28" s="38" t="inlineStr">
        <is>
          <t>Avatar</t>
        </is>
      </c>
      <c r="D28" s="38" t="inlineStr">
        <is>
          <t>Constrained mobile, RTL, non-Latin fallback, and long localized status scenarios remain contained without document overflow</t>
        </is>
      </c>
      <c r="E28" s="38" t="inlineStr">
        <is>
          <t>package</t>
        </is>
      </c>
      <c r="F28" s="38" t="inlineStr">
        <is>
          <t>test</t>
        </is>
      </c>
      <c r="G28" s="39" t="inlineStr">
        <is>
          <t>tests/avatar.spec.ts</t>
        </is>
      </c>
      <c r="H28" s="38" t="inlineStr">
        <is>
          <t>tested</t>
        </is>
      </c>
      <c r="I28" s="38" t="inlineStr">
        <is>
          <t>no</t>
        </is>
      </c>
      <c r="J28" s="42" t="n">
        <v>46221</v>
      </c>
      <c r="K28" s="38" t="n"/>
      <c r="L28" s="41" t="n">
        <v>1</v>
      </c>
      <c r="M28" s="41">
        <f>IF(H28="not applicable",IF(K28&lt;&gt;"",1,0),IF(I28="yes",IF(H28="verified",1,0),IF(OR(H28="tested",H28="verified"),1,0)))</f>
        <v/>
      </c>
    </row>
    <row r="29" ht="42" customHeight="1" s="21">
      <c r="A29" s="38" t="inlineStr">
        <is>
          <t>AVA-21</t>
        </is>
      </c>
      <c r="B29" s="38" t="inlineStr">
        <is>
          <t>Customization</t>
        </is>
      </c>
      <c r="C29" s="38" t="inlineStr">
        <is>
          <t>Avatar</t>
        </is>
      </c>
      <c r="D29" s="38" t="inlineStr">
        <is>
          <t>Root class, style, slot, scoped appearance, and public component-token overrides remain local and inspectable</t>
        </is>
      </c>
      <c r="E29" s="38" t="inlineStr">
        <is>
          <t>package</t>
        </is>
      </c>
      <c r="F29" s="38" t="inlineStr">
        <is>
          <t>playground</t>
        </is>
      </c>
      <c r="G29" s="39" t="inlineStr">
        <is>
          <t>../playground/src/main.tsx</t>
        </is>
      </c>
      <c r="H29" s="38" t="inlineStr">
        <is>
          <t>tested</t>
        </is>
      </c>
      <c r="I29" s="38" t="inlineStr">
        <is>
          <t>no</t>
        </is>
      </c>
      <c r="J29" s="42" t="n">
        <v>46221</v>
      </c>
      <c r="K29" s="38" t="n"/>
      <c r="L29" s="41" t="n">
        <v>1</v>
      </c>
      <c r="M29" s="41">
        <f>IF(H29="not applicable",IF(K29&lt;&gt;"",1,0),IF(I29="yes",IF(H29="verified",1,0),IF(OR(H29="tested",H29="verified"),1,0)))</f>
        <v/>
      </c>
    </row>
    <row r="30" ht="42" customHeight="1" s="21">
      <c r="A30" s="38" t="inlineStr">
        <is>
          <t>AVA-22</t>
        </is>
      </c>
      <c r="B30" s="38" t="inlineStr">
        <is>
          <t>Playground</t>
        </is>
      </c>
      <c r="C30" s="38" t="inlineStr">
        <is>
          <t>Avatar</t>
        </is>
      </c>
      <c r="D30" s="38" t="inlineStr">
        <is>
          <t>The /avatar workbench exposes overview, all sizes, both shapes, all statuses, and loaded/broken/missing source states</t>
        </is>
      </c>
      <c r="E30" s="38" t="inlineStr">
        <is>
          <t>package</t>
        </is>
      </c>
      <c r="F30" s="38" t="inlineStr">
        <is>
          <t>playground</t>
        </is>
      </c>
      <c r="G30" s="39" t="inlineStr">
        <is>
          <t>../playground/src/main.tsx</t>
        </is>
      </c>
      <c r="H30" s="38" t="inlineStr">
        <is>
          <t>tested</t>
        </is>
      </c>
      <c r="I30" s="38" t="inlineStr">
        <is>
          <t>no</t>
        </is>
      </c>
      <c r="J30" s="42" t="n">
        <v>46221</v>
      </c>
      <c r="K30" s="38" t="n"/>
      <c r="L30" s="41" t="n">
        <v>1</v>
      </c>
      <c r="M30" s="41">
        <f>IF(H30="not applicable",IF(K30&lt;&gt;"",1,0),IF(I30="yes",IF(H30="verified",1,0),IF(OR(H30="tested",H30="verified"),1,0)))</f>
        <v/>
      </c>
    </row>
    <row r="31" ht="42" customHeight="1" s="21">
      <c r="A31" s="38" t="inlineStr">
        <is>
          <t>AVA-23</t>
        </is>
      </c>
      <c r="B31" s="38" t="inlineStr">
        <is>
          <t>Playground</t>
        </is>
      </c>
      <c r="C31" s="38" t="inlineStr">
        <is>
          <t>Avatar</t>
        </is>
      </c>
      <c r="D31" s="38" t="inlineStr">
        <is>
          <t>Informative/decorative/control contexts, NotificationBadge/native-image targets, appearance, customization, mobile stress, and RTL are deterministic</t>
        </is>
      </c>
      <c r="E31" s="38" t="inlineStr">
        <is>
          <t>package</t>
        </is>
      </c>
      <c r="F31" s="38" t="inlineStr">
        <is>
          <t>playground</t>
        </is>
      </c>
      <c r="G31" s="39" t="inlineStr">
        <is>
          <t>../playground/src/main.tsx</t>
        </is>
      </c>
      <c r="H31" s="38" t="inlineStr">
        <is>
          <t>tested</t>
        </is>
      </c>
      <c r="I31" s="38" t="inlineStr">
        <is>
          <t>no</t>
        </is>
      </c>
      <c r="J31" s="42" t="n">
        <v>46221</v>
      </c>
      <c r="K31" s="38" t="n"/>
      <c r="L31" s="41" t="n">
        <v>1</v>
      </c>
      <c r="M31" s="41">
        <f>IF(H31="not applicable",IF(K31&lt;&gt;"",1,0),IF(I31="yes",IF(H31="verified",1,0),IF(OR(H31="tested",H31="verified"),1,0)))</f>
        <v/>
      </c>
    </row>
    <row r="32" ht="42" customHeight="1" s="21">
      <c r="A32" s="38" t="inlineStr">
        <is>
          <t>AVA-24</t>
        </is>
      </c>
      <c r="B32" s="38" t="inlineStr">
        <is>
          <t>Automated tests</t>
        </is>
      </c>
      <c r="C32" s="38" t="inlineStr">
        <is>
          <t>Avatar</t>
        </is>
      </c>
      <c r="D32" s="38" t="inlineStr">
        <is>
          <t>Vitest and Testing Library cover defaults, informative/decorative fallback, loaded/error paths, closed metadata, native props, event, ref, and ReactNode</t>
        </is>
      </c>
      <c r="E32" s="38" t="inlineStr">
        <is>
          <t>package</t>
        </is>
      </c>
      <c r="F32" s="38" t="inlineStr">
        <is>
          <t>test</t>
        </is>
      </c>
      <c r="G32" s="39" t="inlineStr">
        <is>
          <t>../test/components/avatar.test.tsx</t>
        </is>
      </c>
      <c r="H32" s="38" t="inlineStr">
        <is>
          <t>tested</t>
        </is>
      </c>
      <c r="I32" s="38" t="inlineStr">
        <is>
          <t>no</t>
        </is>
      </c>
      <c r="J32" s="42" t="n">
        <v>46221</v>
      </c>
      <c r="K32" s="38" t="n"/>
      <c r="L32" s="41" t="n">
        <v>1</v>
      </c>
      <c r="M32" s="41">
        <f>IF(H32="not applicable",IF(K32&lt;&gt;"",1,0),IF(I32="yes",IF(H32="verified",1,0),IF(OR(H32="tested",H32="verified"),1,0)))</f>
        <v/>
      </c>
    </row>
    <row r="33" ht="42" customHeight="1" s="21">
      <c r="A33" s="38" t="inlineStr">
        <is>
          <t>AVA-25</t>
        </is>
      </c>
      <c r="B33" s="38" t="inlineStr">
        <is>
          <t>Automated tests</t>
        </is>
      </c>
      <c r="C33" s="38" t="inlineStr">
        <is>
          <t>Avatar</t>
        </is>
      </c>
      <c r="D33" s="38" t="inlineStr">
        <is>
          <t>Public root/subpath types require alt/fallback, accept native/loading props, and reject invalid size, shape, status, color, badge, parts, and Group</t>
        </is>
      </c>
      <c r="E33" s="38" t="inlineStr">
        <is>
          <t>package</t>
        </is>
      </c>
      <c r="F33" s="38" t="inlineStr">
        <is>
          <t>types</t>
        </is>
      </c>
      <c r="G33" s="39" t="inlineStr">
        <is>
          <t>../test/types/public-api.test.ts</t>
        </is>
      </c>
      <c r="H33" s="38" t="inlineStr">
        <is>
          <t>tested</t>
        </is>
      </c>
      <c r="I33" s="38" t="inlineStr">
        <is>
          <t>no</t>
        </is>
      </c>
      <c r="J33" s="42" t="n">
        <v>46221</v>
      </c>
      <c r="K33" s="38" t="n"/>
      <c r="L33" s="41" t="n">
        <v>1</v>
      </c>
      <c r="M33" s="41">
        <f>IF(H33="not applicable",IF(K33&lt;&gt;"",1,0),IF(I33="yes",IF(H33="verified",1,0),IF(OR(H33="tested",H33="verified"),1,0)))</f>
        <v/>
      </c>
    </row>
    <row r="34" ht="42" customHeight="1" s="21">
      <c r="A34" s="38" t="inlineStr">
        <is>
          <t>AVA-26</t>
        </is>
      </c>
      <c r="B34" s="38" t="inlineStr">
        <is>
          <t>Automated tests</t>
        </is>
      </c>
      <c r="C34" s="38" t="inlineStr">
        <is>
          <t>Avatar</t>
        </is>
      </c>
      <c r="D34" s="38" t="inlineStr">
        <is>
          <t>Node boundary/export/CSS/declaration/SSR checks and dry-pack verification include the Avatar subpath and compiled styles</t>
        </is>
      </c>
      <c r="E34" s="38" t="inlineStr">
        <is>
          <t>package</t>
        </is>
      </c>
      <c r="F34" s="38" t="inlineStr">
        <is>
          <t>test</t>
        </is>
      </c>
      <c r="G34" s="39" t="inlineStr">
        <is>
          <t>../test/package/package.test.mjs</t>
        </is>
      </c>
      <c r="H34" s="38" t="inlineStr">
        <is>
          <t>tested</t>
        </is>
      </c>
      <c r="I34" s="38" t="inlineStr">
        <is>
          <t>no</t>
        </is>
      </c>
      <c r="J34" s="42" t="n">
        <v>46221</v>
      </c>
      <c r="K34" s="38" t="n"/>
      <c r="L34" s="41" t="n">
        <v>1</v>
      </c>
      <c r="M34" s="41">
        <f>IF(H34="not applicable",IF(K34&lt;&gt;"",1,0),IF(I34="yes",IF(H34="verified",1,0),IF(OR(H34="tested",H34="verified"),1,0)))</f>
        <v/>
      </c>
    </row>
    <row r="35" ht="42" customHeight="1" s="21">
      <c r="A35" s="38" t="inlineStr">
        <is>
          <t>AVA-27</t>
        </is>
      </c>
      <c r="B35" s="38" t="inlineStr">
        <is>
          <t>Automated tests</t>
        </is>
      </c>
      <c r="C35" s="38" t="inlineStr">
        <is>
          <t>Avatar</t>
        </is>
      </c>
      <c r="D35" s="38" t="inlineStr">
        <is>
          <t>Clean React 18/19 packed consumers import root/subpath identity, render informative/decorative SSR fallback, typecheck, and load CSS</t>
        </is>
      </c>
      <c r="E35" s="38" t="inlineStr">
        <is>
          <t>package</t>
        </is>
      </c>
      <c r="F35" s="38" t="inlineStr">
        <is>
          <t>package</t>
        </is>
      </c>
      <c r="G35" s="39" t="inlineStr">
        <is>
          <t>../scripts/verify-consumers.mjs</t>
        </is>
      </c>
      <c r="H35" s="38" t="inlineStr">
        <is>
          <t>tested</t>
        </is>
      </c>
      <c r="I35" s="38" t="inlineStr">
        <is>
          <t>no</t>
        </is>
      </c>
      <c r="J35" s="42" t="n">
        <v>46221</v>
      </c>
      <c r="K35" s="38" t="n"/>
      <c r="L35" s="41" t="n">
        <v>1</v>
      </c>
      <c r="M35" s="41">
        <f>IF(H35="not applicable",IF(K35&lt;&gt;"",1,0),IF(I35="yes",IF(H35="verified",1,0),IF(OR(H35="tested",H35="verified"),1,0)))</f>
        <v/>
      </c>
    </row>
    <row r="36" ht="42" customHeight="1" s="21">
      <c r="A36" s="38" t="inlineStr">
        <is>
          <t>AVA-28</t>
        </is>
      </c>
      <c r="B36" s="38" t="inlineStr">
        <is>
          <t>Automated tests</t>
        </is>
      </c>
      <c r="C36" s="38" t="inlineStr">
        <is>
          <t>Avatar</t>
        </is>
      </c>
      <c r="D36" s="38" t="inlineStr">
        <is>
          <t>Strict typecheck, build, CSS report, and 100% Brick component-source coverage pass</t>
        </is>
      </c>
      <c r="E36" s="38" t="inlineStr">
        <is>
          <t>package</t>
        </is>
      </c>
      <c r="F36" s="38" t="inlineStr">
        <is>
          <t>test</t>
        </is>
      </c>
      <c r="G36" s="39" t="inlineStr">
        <is>
          <t>../test/components/avatar.test.tsx</t>
        </is>
      </c>
      <c r="H36" s="38" t="inlineStr">
        <is>
          <t>tested</t>
        </is>
      </c>
      <c r="I36" s="38" t="inlineStr">
        <is>
          <t>no</t>
        </is>
      </c>
      <c r="J36" s="42" t="n">
        <v>46221</v>
      </c>
      <c r="K36" s="38" t="n"/>
      <c r="L36" s="41" t="n">
        <v>1</v>
      </c>
      <c r="M36" s="41">
        <f>IF(H36="not applicable",IF(K36&lt;&gt;"",1,0),IF(I36="yes",IF(H36="verified",1,0),IF(OR(H36="tested",H36="verified"),1,0)))</f>
        <v/>
      </c>
    </row>
    <row r="37" ht="42" customHeight="1" s="21">
      <c r="A37" s="38" t="inlineStr">
        <is>
          <t>AVA-29</t>
        </is>
      </c>
      <c r="B37" s="38" t="inlineStr">
        <is>
          <t>Automated tests</t>
        </is>
      </c>
      <c r="C37" s="38" t="inlineStr">
        <is>
          <t>Avatar</t>
        </is>
      </c>
      <c r="D37" s="38" t="inlineStr">
        <is>
          <t>Nine focused browser checks cover default/load, dimensions/shapes, status geometry, source states, semantics, composition, mobile/RTL, axe, and forced colors</t>
        </is>
      </c>
      <c r="E37" s="38" t="inlineStr">
        <is>
          <t>package</t>
        </is>
      </c>
      <c r="F37" s="38" t="inlineStr">
        <is>
          <t>test</t>
        </is>
      </c>
      <c r="G37" s="39" t="inlineStr">
        <is>
          <t>tests/avatar.spec.ts</t>
        </is>
      </c>
      <c r="H37" s="38" t="inlineStr">
        <is>
          <t>tested</t>
        </is>
      </c>
      <c r="I37" s="38" t="inlineStr">
        <is>
          <t>no</t>
        </is>
      </c>
      <c r="J37" s="42" t="n">
        <v>46221</v>
      </c>
      <c r="K37" s="38" t="n"/>
      <c r="L37" s="41" t="n">
        <v>1</v>
      </c>
      <c r="M37" s="41">
        <f>IF(H37="not applicable",IF(K37&lt;&gt;"",1,0),IF(I37="yes",IF(H37="verified",1,0),IF(OR(H37="tested",H37="verified"),1,0)))</f>
        <v/>
      </c>
    </row>
    <row r="38" ht="42" customHeight="1" s="21">
      <c r="A38" s="38" t="inlineStr">
        <is>
          <t>AVA-30</t>
        </is>
      </c>
      <c r="B38" s="38" t="inlineStr">
        <is>
          <t>Automated tests</t>
        </is>
      </c>
      <c r="C38" s="38" t="inlineStr">
        <is>
          <t>Avatar</t>
        </is>
      </c>
      <c r="D38" s="38" t="inlineStr">
        <is>
          <t>Canonical Avatar route has no automatically detectable axe violations</t>
        </is>
      </c>
      <c r="E38" s="38" t="inlineStr">
        <is>
          <t>package</t>
        </is>
      </c>
      <c r="F38" s="38" t="inlineStr">
        <is>
          <t>test</t>
        </is>
      </c>
      <c r="G38" s="39" t="inlineStr">
        <is>
          <t>tests/avatar.spec.ts</t>
        </is>
      </c>
      <c r="H38" s="38" t="inlineStr">
        <is>
          <t>tested</t>
        </is>
      </c>
      <c r="I38" s="38" t="inlineStr">
        <is>
          <t>no</t>
        </is>
      </c>
      <c r="J38" s="42" t="n">
        <v>46221</v>
      </c>
      <c r="K38" s="38" t="n"/>
      <c r="L38" s="41" t="n">
        <v>1</v>
      </c>
      <c r="M38" s="41">
        <f>IF(H38="not applicable",IF(K38&lt;&gt;"",1,0),IF(I38="yes",IF(H38="verified",1,0),IF(OR(H38="tested",H38="verified"),1,0)))</f>
        <v/>
      </c>
    </row>
    <row r="39" ht="42" customHeight="1" s="21">
      <c r="A39" s="38" t="inlineStr">
        <is>
          <t>AVA-31</t>
        </is>
      </c>
      <c r="B39" s="38" t="inlineStr">
        <is>
          <t>Automated tests</t>
        </is>
      </c>
      <c r="C39" s="38" t="inlineStr">
        <is>
          <t>Avatar</t>
        </is>
      </c>
      <c r="D39" s="38" t="inlineStr">
        <is>
          <t>Seven reviewed Chromium baselines cover sizes, shapes, statuses, dark overview/composition, mobile stress/RTL, and forced colors</t>
        </is>
      </c>
      <c r="E39" s="38" t="inlineStr">
        <is>
          <t>package</t>
        </is>
      </c>
      <c r="F39" s="38" t="inlineStr">
        <is>
          <t>visual</t>
        </is>
      </c>
      <c r="G39" s="39" t="inlineStr">
        <is>
          <t>tests/visual.spec.ts</t>
        </is>
      </c>
      <c r="H39" s="38" t="inlineStr">
        <is>
          <t>verified</t>
        </is>
      </c>
      <c r="I39" s="38" t="inlineStr">
        <is>
          <t>yes</t>
        </is>
      </c>
      <c r="J39" s="42" t="n">
        <v>46221</v>
      </c>
      <c r="K39" s="38" t="n"/>
      <c r="L39" s="41" t="n">
        <v>1</v>
      </c>
      <c r="M39" s="41">
        <f>IF(H39="not applicable",IF(K39&lt;&gt;"",1,0),IF(I39="yes",IF(H39="verified",1,0),IF(OR(H39="tested",H39="verified"),1,0)))</f>
        <v/>
      </c>
    </row>
    <row r="40" ht="42" customHeight="1" s="21">
      <c r="A40" s="38" t="inlineStr">
        <is>
          <t>AVA-32</t>
        </is>
      </c>
      <c r="B40" s="38" t="inlineStr">
        <is>
          <t>Automated tests</t>
        </is>
      </c>
      <c r="C40" s="38" t="inlineStr">
        <is>
          <t>Avatar</t>
        </is>
      </c>
      <c r="D40" s="38" t="inlineStr">
        <is>
          <t>Chromium, Firefox, WebKit, Pixel, and iPhone Avatar release-matrix checks pass where applicable</t>
        </is>
      </c>
      <c r="E40" s="38" t="inlineStr">
        <is>
          <t>package</t>
        </is>
      </c>
      <c r="F40" s="38" t="inlineStr">
        <is>
          <t>test</t>
        </is>
      </c>
      <c r="G40" s="39" t="inlineStr">
        <is>
          <t>../playwright.config.ts</t>
        </is>
      </c>
      <c r="H40" s="38" t="inlineStr">
        <is>
          <t>tested</t>
        </is>
      </c>
      <c r="I40" s="38" t="inlineStr">
        <is>
          <t>no</t>
        </is>
      </c>
      <c r="J40" s="42" t="n">
        <v>46221</v>
      </c>
      <c r="K40" s="38" t="n"/>
      <c r="L40" s="41" t="n">
        <v>1</v>
      </c>
      <c r="M40" s="41">
        <f>IF(H40="not applicable",IF(K40&lt;&gt;"",1,0),IF(I40="yes",IF(H40="verified",1,0),IF(OR(H40="tested",H40="verified"),1,0)))</f>
        <v/>
      </c>
    </row>
    <row r="41" ht="42" customHeight="1" s="21">
      <c r="A41" s="38" t="inlineStr">
        <is>
          <t>AVA-33</t>
        </is>
      </c>
      <c r="B41" s="38" t="inlineStr">
        <is>
          <t>Manual evidence</t>
        </is>
      </c>
      <c r="C41" s="38" t="inlineStr">
        <is>
          <t>Avatar</t>
        </is>
      </c>
      <c r="D41" s="38" t="inlineStr">
        <is>
          <t>Numbered Avatar protocol covers crop, loading, statuses, composition, keyboard/touch context, zoom/mobile/RTL, VoiceOver, preferences, and customization</t>
        </is>
      </c>
      <c r="E41" s="38" t="inlineStr">
        <is>
          <t>package</t>
        </is>
      </c>
      <c r="F41" s="38" t="inlineStr">
        <is>
          <t>manual</t>
        </is>
      </c>
      <c r="G41" s="39" t="inlineStr">
        <is>
          <t>manual-tests/avatar.md</t>
        </is>
      </c>
      <c r="H41" s="38" t="inlineStr">
        <is>
          <t>tested</t>
        </is>
      </c>
      <c r="I41" s="38" t="inlineStr">
        <is>
          <t>no</t>
        </is>
      </c>
      <c r="J41" s="42" t="n">
        <v>46221</v>
      </c>
      <c r="K41" s="38" t="n"/>
      <c r="L41" s="41" t="n">
        <v>1</v>
      </c>
      <c r="M41" s="41">
        <f>IF(H41="not applicable",IF(K41&lt;&gt;"",1,0),IF(I41="yes",IF(H41="verified",1,0),IF(OR(H41="tested",H41="verified"),1,0)))</f>
        <v/>
      </c>
    </row>
    <row r="42" ht="42" customHeight="1" s="21">
      <c r="A42" s="38" t="inlineStr">
        <is>
          <t>AVA-34</t>
        </is>
      </c>
      <c r="B42" s="38" t="inlineStr">
        <is>
          <t>Manual evidence</t>
        </is>
      </c>
      <c r="C42" s="38" t="inlineStr">
        <is>
          <t>Avatar</t>
        </is>
      </c>
      <c r="D42" s="38" t="inlineStr">
        <is>
          <t>Latest owner run records every numbered result and corrects any finding before package completion</t>
        </is>
      </c>
      <c r="E42" s="38" t="inlineStr">
        <is>
          <t>package</t>
        </is>
      </c>
      <c r="F42" s="38" t="inlineStr">
        <is>
          <t>manual</t>
        </is>
      </c>
      <c r="G42" s="39" t="inlineStr">
        <is>
          <t>manual-tests/avatar.md</t>
        </is>
      </c>
      <c r="H42" s="38" t="inlineStr">
        <is>
          <t>partial</t>
        </is>
      </c>
      <c r="I42" s="38" t="inlineStr">
        <is>
          <t>yes</t>
        </is>
      </c>
      <c r="J42" s="42" t="n"/>
      <c r="K42" s="38" t="inlineStr">
        <is>
          <t>Owner manual review intentionally deferred</t>
        </is>
      </c>
      <c r="L42" s="41" t="n">
        <v>1</v>
      </c>
      <c r="M42" s="41">
        <f>IF(H42="not applicable",IF(K42&lt;&gt;"",1,0),IF(I42="yes",IF(H42="verified",1,0),IF(OR(H42="tested",H42="verified"),1,0)))</f>
        <v/>
      </c>
    </row>
    <row r="43" ht="42" customHeight="1" s="21">
      <c r="A43" s="38" t="inlineStr">
        <is>
          <t>AVA-35</t>
        </is>
      </c>
      <c r="B43" s="38" t="inlineStr">
        <is>
          <t>Documentation</t>
        </is>
      </c>
      <c r="C43" s="38" t="inlineStr">
        <is>
          <t>Avatar</t>
        </is>
      </c>
      <c r="D43" s="38" t="inlineStr">
        <is>
          <t>Public guide covers use boundaries, explicit alt/fallback, sizes, shapes, status meaning, composition, loading, accessibility, native/ref, and CSS hooks</t>
        </is>
      </c>
      <c r="E43" s="38" t="inlineStr">
        <is>
          <t>package</t>
        </is>
      </c>
      <c r="F43" s="38" t="inlineStr">
        <is>
          <t>docs</t>
        </is>
      </c>
      <c r="G43" s="39" t="inlineStr">
        <is>
          <t>../docs/components/avatar/README.md</t>
        </is>
      </c>
      <c r="H43" s="38" t="inlineStr">
        <is>
          <t>tested</t>
        </is>
      </c>
      <c r="I43" s="38" t="inlineStr">
        <is>
          <t>no</t>
        </is>
      </c>
      <c r="J43" s="42" t="n">
        <v>46221</v>
      </c>
      <c r="K43" s="38" t="n"/>
      <c r="L43" s="41" t="n">
        <v>1</v>
      </c>
      <c r="M43" s="41">
        <f>IF(H43="not applicable",IF(K43&lt;&gt;"",1,0),IF(I43="yes",IF(H43="verified",1,0),IF(OR(H43="tested",H43="verified"),1,0)))</f>
        <v/>
      </c>
    </row>
    <row r="44" ht="42" customHeight="1" s="21">
      <c r="A44" s="38" t="inlineStr">
        <is>
          <t>AVA-36</t>
        </is>
      </c>
      <c r="B44" s="38" t="inlineStr">
        <is>
          <t>Documentation</t>
        </is>
      </c>
      <c r="C44" s="38" t="inlineStr">
        <is>
          <t>Avatar</t>
        </is>
      </c>
      <c r="D44" s="38" t="inlineStr">
        <is>
          <t>Avatar component changelog records the initial direct contract, status rings, evidence, and deferred AvatarGroup</t>
        </is>
      </c>
      <c r="E44" s="38" t="inlineStr">
        <is>
          <t>package</t>
        </is>
      </c>
      <c r="F44" s="38" t="inlineStr">
        <is>
          <t>docs</t>
        </is>
      </c>
      <c r="G44" s="39" t="inlineStr">
        <is>
          <t>../docs/components/avatar/CHANGELOG.md</t>
        </is>
      </c>
      <c r="H44" s="38" t="inlineStr">
        <is>
          <t>tested</t>
        </is>
      </c>
      <c r="I44" s="38" t="inlineStr">
        <is>
          <t>no</t>
        </is>
      </c>
      <c r="J44" s="42" t="n">
        <v>46221</v>
      </c>
      <c r="K44" s="38" t="n"/>
      <c r="L44" s="41" t="n">
        <v>1</v>
      </c>
      <c r="M44" s="41">
        <f>IF(H44="not applicable",IF(K44&lt;&gt;"",1,0),IF(I44="yes",IF(H44="verified",1,0),IF(OR(H44="tested",H44="verified"),1,0)))</f>
        <v/>
      </c>
    </row>
    <row r="45" ht="42" customHeight="1" s="21">
      <c r="A45" s="38" t="inlineStr">
        <is>
          <t>AVA-37</t>
        </is>
      </c>
      <c r="B45" s="38" t="inlineStr">
        <is>
          <t>Consumer</t>
        </is>
      </c>
      <c r="C45" s="38" t="inlineStr">
        <is>
          <t>Avatar</t>
        </is>
      </c>
      <c r="D45" s="38" t="inlineStr">
        <is>
          <t>Independent Consumer uses the public Avatar subpath for loaded and fallback collaborators, visible statuses, and NotificationBadge composition across desktop/mobile and axe</t>
        </is>
      </c>
      <c r="E45" s="38" t="inlineStr">
        <is>
          <t>consumer</t>
        </is>
      </c>
      <c r="F45" s="38" t="inlineStr">
        <is>
          <t>consumer</t>
        </is>
      </c>
      <c r="G45" s="39" t="inlineStr">
        <is>
          <t>../../../../apps/brick-consumer/tests/consumer.spec.ts</t>
        </is>
      </c>
      <c r="H45" s="38" t="inlineStr">
        <is>
          <t>tested</t>
        </is>
      </c>
      <c r="I45" s="38" t="inlineStr">
        <is>
          <t>no</t>
        </is>
      </c>
      <c r="J45" s="42" t="n">
        <v>46221</v>
      </c>
      <c r="K45" s="38" t="n"/>
      <c r="L45" s="41" t="n">
        <v>1</v>
      </c>
      <c r="M45" s="41">
        <f>IF(H45="not applicable",IF(K45&lt;&gt;"",1,0),IF(I45="yes",IF(H45="verified",1,0),IF(OR(H45="tested",H45="verified"),1,0)))</f>
        <v/>
      </c>
    </row>
    <row r="46" ht="42" customHeight="1" s="21">
      <c r="A46" s="38" t="inlineStr">
        <is>
          <t>AVA-38</t>
        </is>
      </c>
      <c r="B46" s="38" t="inlineStr">
        <is>
          <t>Retirement</t>
        </is>
      </c>
      <c r="C46" s="38" t="inlineStr">
        <is>
          <t>Legacy Avatar</t>
        </is>
      </c>
      <c r="D46" s="38" t="inlineStr">
        <is>
          <t>Fresh searches found no Core consumers; Avatar/AvatarGroup source, aliases, barrel export, and obsolete live examples are removed and Core builds</t>
        </is>
      </c>
      <c r="E46" s="38" t="inlineStr">
        <is>
          <t>retirement</t>
        </is>
      </c>
      <c r="F46" s="38" t="inlineStr">
        <is>
          <t>removal</t>
        </is>
      </c>
      <c r="G46" s="39" t="inlineStr">
        <is>
          <t>../../docs/core-dependency-ledger.md</t>
        </is>
      </c>
      <c r="H46" s="38" t="inlineStr">
        <is>
          <t>tested</t>
        </is>
      </c>
      <c r="I46" s="38" t="inlineStr">
        <is>
          <t>no</t>
        </is>
      </c>
      <c r="J46" s="42" t="n">
        <v>46221</v>
      </c>
      <c r="K46" s="38" t="n"/>
      <c r="L46" s="41" t="n">
        <v>1</v>
      </c>
      <c r="M46" s="41">
        <f>IF(H46="not applicable",IF(K46&lt;&gt;"",1,0),IF(I46="yes",IF(H46="verified",1,0),IF(OR(H46="tested",H46="verified"),1,0)))</f>
        <v/>
      </c>
    </row>
    <row r="47" ht="42" customHeight="1" s="21">
      <c r="A47" s="38" t="inlineStr">
        <is>
          <t>AVA-39</t>
        </is>
      </c>
      <c r="B47" s="38" t="inlineStr">
        <is>
          <t>Scope</t>
        </is>
      </c>
      <c r="C47" s="38" t="inlineStr">
        <is>
          <t>AvatarGroup</t>
        </is>
      </c>
      <c r="D47" s="38" t="inlineStr">
        <is>
          <t>AvatarGroup remains deliberately excluded until a real grouped-identity workflow defines semantics, order, overflow, hidden members, and Consumer proof</t>
        </is>
      </c>
      <c r="E47" s="38" t="inlineStr">
        <is>
          <t>package</t>
        </is>
      </c>
      <c r="F47" s="38" t="inlineStr">
        <is>
          <t>decision</t>
        </is>
      </c>
      <c r="G47" s="39" t="inlineStr">
        <is>
          <t>../../docs/avatar-component-brief.md</t>
        </is>
      </c>
      <c r="H47" s="38" t="inlineStr">
        <is>
          <t>verified</t>
        </is>
      </c>
      <c r="I47" s="38" t="inlineStr">
        <is>
          <t>yes</t>
        </is>
      </c>
      <c r="J47" s="42" t="n">
        <v>46221</v>
      </c>
      <c r="K47" s="38" t="n"/>
      <c r="L47" s="41" t="n">
        <v>1</v>
      </c>
      <c r="M47" s="41">
        <f>IF(H47="not applicable",IF(K47&lt;&gt;"",1,0),IF(I47="yes",IF(H47="verified",1,0),IF(OR(H47="tested",H47="verified"),1,0)))</f>
        <v/>
      </c>
    </row>
  </sheetData>
  <autoFilter ref="A8:M47"/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avatar/Avatar.tsx" r:id="rId1"/>
    <hyperlink xmlns:r="http://schemas.openxmlformats.org/officeDocument/2006/relationships" ref="G10" display="../../docs/avatar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avatar.test.tsx" r:id="rId4"/>
    <hyperlink xmlns:r="http://schemas.openxmlformats.org/officeDocument/2006/relationships" ref="G13" display="../test/components/avatar.test.tsx" r:id="rId5"/>
    <hyperlink xmlns:r="http://schemas.openxmlformats.org/officeDocument/2006/relationships" ref="G14" display="../test/components/avatar.test.tsx" r:id="rId6"/>
    <hyperlink xmlns:r="http://schemas.openxmlformats.org/officeDocument/2006/relationships" ref="G15" display="../test/components/avatar.test.tsx" r:id="rId7"/>
    <hyperlink xmlns:r="http://schemas.openxmlformats.org/officeDocument/2006/relationships" ref="G16" display="../test/components/avatar.test.tsx" r:id="rId8"/>
    <hyperlink xmlns:r="http://schemas.openxmlformats.org/officeDocument/2006/relationships" ref="G17" display="../test/components/avatar.test.tsx" r:id="rId9"/>
    <hyperlink xmlns:r="http://schemas.openxmlformats.org/officeDocument/2006/relationships" ref="G18" display="tests/avatar.spec.ts" r:id="rId10"/>
    <hyperlink xmlns:r="http://schemas.openxmlformats.org/officeDocument/2006/relationships" ref="G19" display="tests/avatar.spec.ts" r:id="rId11"/>
    <hyperlink xmlns:r="http://schemas.openxmlformats.org/officeDocument/2006/relationships" ref="G20" display="tests/avatar.spec.ts" r:id="rId12"/>
    <hyperlink xmlns:r="http://schemas.openxmlformats.org/officeDocument/2006/relationships" ref="G21" display="tests/avatar.spec.ts" r:id="rId13"/>
    <hyperlink xmlns:r="http://schemas.openxmlformats.org/officeDocument/2006/relationships" ref="G22" display="tests/avatar.spec.ts" r:id="rId14"/>
    <hyperlink xmlns:r="http://schemas.openxmlformats.org/officeDocument/2006/relationships" ref="G23" display="../playground/src/main.tsx" r:id="rId15"/>
    <hyperlink xmlns:r="http://schemas.openxmlformats.org/officeDocument/2006/relationships" ref="G24" display="tests/avatar.spec.ts" r:id="rId16"/>
    <hyperlink xmlns:r="http://schemas.openxmlformats.org/officeDocument/2006/relationships" ref="G25" display="../src/components/avatar/avatar.css" r:id="rId17"/>
    <hyperlink xmlns:r="http://schemas.openxmlformats.org/officeDocument/2006/relationships" ref="G26" display="tests/visual.spec.ts" r:id="rId18"/>
    <hyperlink xmlns:r="http://schemas.openxmlformats.org/officeDocument/2006/relationships" ref="G27" display="tests/avatar.spec.ts" r:id="rId19"/>
    <hyperlink xmlns:r="http://schemas.openxmlformats.org/officeDocument/2006/relationships" ref="G28" display="tests/avatar.spec.ts" r:id="rId20"/>
    <hyperlink xmlns:r="http://schemas.openxmlformats.org/officeDocument/2006/relationships" ref="G29" display="../playground/src/main.tsx" r:id="rId21"/>
    <hyperlink xmlns:r="http://schemas.openxmlformats.org/officeDocument/2006/relationships" ref="G30" display="../playground/src/main.tsx" r:id="rId22"/>
    <hyperlink xmlns:r="http://schemas.openxmlformats.org/officeDocument/2006/relationships" ref="G31" display="../playground/src/main.tsx" r:id="rId23"/>
    <hyperlink xmlns:r="http://schemas.openxmlformats.org/officeDocument/2006/relationships" ref="G32" display="../test/components/avatar.test.tsx" r:id="rId24"/>
    <hyperlink xmlns:r="http://schemas.openxmlformats.org/officeDocument/2006/relationships" ref="G33" display="../test/types/public-api.test.ts" r:id="rId25"/>
    <hyperlink xmlns:r="http://schemas.openxmlformats.org/officeDocument/2006/relationships" ref="G34" display="../test/package/package.test.mjs" r:id="rId26"/>
    <hyperlink xmlns:r="http://schemas.openxmlformats.org/officeDocument/2006/relationships" ref="G35" display="../scripts/verify-consumers.mjs" r:id="rId27"/>
    <hyperlink xmlns:r="http://schemas.openxmlformats.org/officeDocument/2006/relationships" ref="G36" display="../test/components/avatar.test.tsx" r:id="rId28"/>
    <hyperlink xmlns:r="http://schemas.openxmlformats.org/officeDocument/2006/relationships" ref="G37" display="tests/avatar.spec.ts" r:id="rId29"/>
    <hyperlink xmlns:r="http://schemas.openxmlformats.org/officeDocument/2006/relationships" ref="G38" display="tests/avatar.spec.ts" r:id="rId30"/>
    <hyperlink xmlns:r="http://schemas.openxmlformats.org/officeDocument/2006/relationships" ref="G39" display="tests/visual.spec.ts" r:id="rId31"/>
    <hyperlink xmlns:r="http://schemas.openxmlformats.org/officeDocument/2006/relationships" ref="G40" display="../playwright.config.ts" r:id="rId32"/>
    <hyperlink xmlns:r="http://schemas.openxmlformats.org/officeDocument/2006/relationships" ref="G41" display="manual-tests/avatar.md" r:id="rId33"/>
    <hyperlink xmlns:r="http://schemas.openxmlformats.org/officeDocument/2006/relationships" ref="G42" display="manual-tests/avatar.md" r:id="rId34"/>
    <hyperlink xmlns:r="http://schemas.openxmlformats.org/officeDocument/2006/relationships" ref="G43" display="../docs/components/avatar/README.md" r:id="rId35"/>
    <hyperlink xmlns:r="http://schemas.openxmlformats.org/officeDocument/2006/relationships" ref="G44" display="../docs/components/avatar/CHANGELOG.md" r:id="rId36"/>
    <hyperlink xmlns:r="http://schemas.openxmlformats.org/officeDocument/2006/relationships" ref="G45" display="../../../../apps/brick-consumer/tests/consumer.spec.ts" r:id="rId37"/>
    <hyperlink xmlns:r="http://schemas.openxmlformats.org/officeDocument/2006/relationships" ref="G46" display="../../docs/core-dependency-ledger.md" r:id="rId38"/>
    <hyperlink xmlns:r="http://schemas.openxmlformats.org/officeDocument/2006/relationships" ref="G47" display="../../docs/avatar-component-brief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GridLines="1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ColWidth="8.8046875" defaultRowHeight="15" customHeight="0" zeroHeight="0" outlineLevelRow="0"/>
  <cols>
    <col width="12" customWidth="1" style="32" min="1" max="1"/>
    <col width="18" customWidth="1" style="32" min="2" max="2"/>
    <col width="16" customWidth="1" style="32" min="3" max="3"/>
    <col width="54" customWidth="1" style="32" min="4" max="4"/>
    <col width="12" customWidth="1" style="32" min="5" max="5"/>
    <col width="16" customWidth="1" style="32" min="6" max="6"/>
    <col width="30" customWidth="1" style="32" min="7" max="7"/>
    <col width="18" customWidth="1" style="32" min="8" max="8"/>
    <col width="14" customWidth="1" style="32" min="9" max="9"/>
    <col width="15" customWidth="1" style="32" min="10" max="10"/>
    <col width="32" customWidth="1" style="32" min="11" max="11"/>
    <col width="9" customWidth="1" style="32" min="12" max="12"/>
    <col width="10" customWidth="1" style="32" min="13" max="13"/>
  </cols>
  <sheetData>
    <row r="1" ht="33.75" customHeight="1" s="21">
      <c r="A1" s="22" t="inlineStr">
        <is>
          <t>Toggle Family Evidence Matrix</t>
        </is>
      </c>
    </row>
    <row r="2" ht="33.75" customHeight="1" s="21">
      <c r="A2" s="23" t="inlineStr">
        <is>
          <t>Evidence gates for adopted Toggle and ToggleGroup APIs, Atom-owned interaction, package proof, Consumer cutover, and completed Core retirement.</t>
        </is>
      </c>
    </row>
    <row r="4" ht="15" customHeight="1" s="21">
      <c r="A4" s="24" t="inlineStr">
        <is>
          <t>Requirements</t>
        </is>
      </c>
      <c r="B4" s="25">
        <f>COUNTA(A9:A47)</f>
        <v/>
      </c>
      <c r="C4" s="24" t="inlineStr">
        <is>
          <t>Resolved</t>
        </is>
      </c>
      <c r="D4" s="25">
        <f>SUM(M9:M47)</f>
        <v/>
      </c>
      <c r="E4" s="24" t="inlineStr">
        <is>
          <t>Completion</t>
        </is>
      </c>
      <c r="F4" s="26">
        <f>IFERROR(D4/SUM(L9:L47),0)</f>
        <v/>
      </c>
      <c r="G4" s="24" t="inlineStr">
        <is>
          <t>Blocked</t>
        </is>
      </c>
      <c r="H4" s="25">
        <f>COUNTIF(H9:H47,"blocked")</f>
        <v/>
      </c>
      <c r="I4" s="24" t="inlineStr">
        <is>
          <t>Package gate</t>
        </is>
      </c>
      <c r="J4" s="25">
        <f>IF(COUNTIFS(E9:E47,"package",M9:M47,"&lt;1")=0,"complete","open")</f>
        <v/>
      </c>
      <c r="K4" s="24" t="inlineStr">
        <is>
          <t>Retirement gate</t>
        </is>
      </c>
      <c r="L4" s="25">
        <f>IF(COUNTIFS(E9:E47,"retirement",M9:M47,"&lt;1")=0,"complete","open")</f>
        <v/>
      </c>
    </row>
    <row r="6" ht="15" customHeight="1" s="21">
      <c r="A6" s="37" t="inlineStr">
        <is>
          <t>Completion is formula-driven. Human-review rows require verified; other rows require tested or verified. Not applicable requires a reason.</t>
        </is>
      </c>
    </row>
    <row r="8" ht="33.75" customHeight="1" s="21">
      <c r="A8" s="27" t="inlineStr">
        <is>
          <t>ID</t>
        </is>
      </c>
      <c r="B8" s="27" t="inlineStr">
        <is>
          <t>Area</t>
        </is>
      </c>
      <c r="C8" s="27" t="inlineStr">
        <is>
          <t>Part</t>
        </is>
      </c>
      <c r="D8" s="27" t="inlineStr">
        <is>
          <t>Requirement</t>
        </is>
      </c>
      <c r="E8" s="27" t="inlineStr">
        <is>
          <t>Gate</t>
        </is>
      </c>
      <c r="F8" s="27" t="inlineStr">
        <is>
          <t>Evidence type</t>
        </is>
      </c>
      <c r="G8" s="27" t="inlineStr">
        <is>
          <t>Evidence / link</t>
        </is>
      </c>
      <c r="H8" s="27" t="inlineStr">
        <is>
          <t>Status</t>
        </is>
      </c>
      <c r="I8" s="27" t="inlineStr">
        <is>
          <t>Human review?</t>
        </is>
      </c>
      <c r="J8" s="27" t="inlineStr">
        <is>
          <t>Last verified</t>
        </is>
      </c>
      <c r="K8" s="27" t="inlineStr">
        <is>
          <t>Blocker / N/A reason</t>
        </is>
      </c>
      <c r="L8" s="27" t="inlineStr">
        <is>
          <t>Weight</t>
        </is>
      </c>
      <c r="M8" s="27" t="inlineStr">
        <is>
          <t>Resolved</t>
        </is>
      </c>
    </row>
    <row r="9" ht="42" customHeight="1" s="21">
      <c r="A9" s="38" t="inlineStr">
        <is>
          <t>TOG-01</t>
        </is>
      </c>
      <c r="B9" s="38" t="inlineStr">
        <is>
          <t>Public API</t>
        </is>
      </c>
      <c r="C9" s="38" t="inlineStr">
        <is>
          <t>Toggle</t>
        </is>
      </c>
      <c r="D9" s="38" t="inlineStr">
        <is>
          <t>Toggle directly composes public Atom 0.3.3 Toggle.Root without Core, framework, or local behavior state</t>
        </is>
      </c>
      <c r="E9" s="38" t="inlineStr">
        <is>
          <t>package</t>
        </is>
      </c>
      <c r="F9" s="38" t="inlineStr">
        <is>
          <t>source</t>
        </is>
      </c>
      <c r="G9" s="39" t="inlineStr">
        <is>
          <t>../src/components/toggle/Toggle.tsx</t>
        </is>
      </c>
      <c r="H9" s="38" t="inlineStr">
        <is>
          <t>tested</t>
        </is>
      </c>
      <c r="I9" s="38" t="inlineStr">
        <is>
          <t>no</t>
        </is>
      </c>
      <c r="J9" s="42" t="n">
        <v>46221</v>
      </c>
      <c r="K9" s="38" t="n"/>
      <c r="L9" s="41" t="n">
        <v>1</v>
      </c>
      <c r="M9" s="41">
        <f>IF(H9="not applicable",IF(K9&lt;&gt;"",1,0),IF(I9="yes",IF(H9="verified",1,0),IF(OR(H9="tested",H9="verified"),1,0)))</f>
        <v/>
      </c>
    </row>
    <row r="10" ht="42" customHeight="1" s="21">
      <c r="A10" s="38" t="inlineStr">
        <is>
          <t>TOG-02</t>
        </is>
      </c>
      <c r="B10" s="38" t="inlineStr">
        <is>
          <t>Boundary</t>
        </is>
      </c>
      <c r="C10" s="38" t="inlineStr">
        <is>
          <t>Family</t>
        </is>
      </c>
      <c r="D10" s="38" t="inlineStr">
        <is>
          <t>Owner-approved capability audit confirms Atom owns pressed/value state, activation, disabled semantics, roving focus, orientation, looping, RTL, composition, slots, and refs</t>
        </is>
      </c>
      <c r="E10" s="38" t="inlineStr">
        <is>
          <t>package</t>
        </is>
      </c>
      <c r="F10" s="38" t="inlineStr">
        <is>
          <t>decision</t>
        </is>
      </c>
      <c r="G10" s="39" t="inlineStr">
        <is>
          <t>../../docs/toggle-component-brief.md</t>
        </is>
      </c>
      <c r="H10" s="38" t="inlineStr">
        <is>
          <t>verified</t>
        </is>
      </c>
      <c r="I10" s="38" t="inlineStr">
        <is>
          <t>yes</t>
        </is>
      </c>
      <c r="J10" s="42" t="n">
        <v>46221</v>
      </c>
      <c r="K10" s="38" t="n"/>
      <c r="L10" s="41" t="n">
        <v>1</v>
      </c>
      <c r="M10" s="41">
        <f>IF(H10="not applicable",IF(K10&lt;&gt;"",1,0),IF(I10="yes",IF(H10="verified",1,0),IF(OR(H10="tested",H10="verified"),1,0)))</f>
        <v/>
      </c>
    </row>
    <row r="11" ht="42" customHeight="1" s="21">
      <c r="A11" s="38" t="inlineStr">
        <is>
          <t>TOG-03</t>
        </is>
      </c>
      <c r="B11" s="38" t="inlineStr">
        <is>
          <t>Public API</t>
        </is>
      </c>
      <c r="C11" s="38" t="inlineStr">
        <is>
          <t>Family</t>
        </is>
      </c>
      <c r="D11" s="38" t="inlineStr">
        <is>
          <t>Root and toggle/toggle-group subpath exports, declarations, direct Toggle, compound Group namespace, named parts, and closed unions match the adopted brief</t>
        </is>
      </c>
      <c r="E11" s="38" t="inlineStr">
        <is>
          <t>package</t>
        </is>
      </c>
      <c r="F11" s="38" t="inlineStr">
        <is>
          <t>types</t>
        </is>
      </c>
      <c r="G11" s="39" t="inlineStr">
        <is>
          <t>../test/types/public-api.test.ts</t>
        </is>
      </c>
      <c r="H11" s="38" t="inlineStr">
        <is>
          <t>tested</t>
        </is>
      </c>
      <c r="I11" s="38" t="inlineStr">
        <is>
          <t>no</t>
        </is>
      </c>
      <c r="J11" s="42" t="n">
        <v>46221</v>
      </c>
      <c r="K11" s="38" t="n"/>
      <c r="L11" s="41" t="n">
        <v>1</v>
      </c>
      <c r="M11" s="41">
        <f>IF(H11="not applicable",IF(K11&lt;&gt;"",1,0),IF(I11="yes",IF(H11="verified",1,0),IF(OR(H11="tested",H11="verified"),1,0)))</f>
        <v/>
      </c>
    </row>
    <row r="12" ht="42" customHeight="1" s="21">
      <c r="A12" s="38" t="inlineStr">
        <is>
          <t>TOG-04</t>
        </is>
      </c>
      <c r="B12" s="38" t="inlineStr">
        <is>
          <t>Anatomy</t>
        </is>
      </c>
      <c r="C12" s="38" t="inlineStr">
        <is>
          <t>Toggle</t>
        </is>
      </c>
      <c r="D12" s="38" t="inlineStr">
        <is>
          <t>Shortest Toggle emits a native type=button with stable class/slot, false aria-pressed, off state, and soft/md/rounded defaults</t>
        </is>
      </c>
      <c r="E12" s="38" t="inlineStr">
        <is>
          <t>package</t>
        </is>
      </c>
      <c r="F12" s="38" t="inlineStr">
        <is>
          <t>test</t>
        </is>
      </c>
      <c r="G12" s="39" t="inlineStr">
        <is>
          <t>../test/components/toggle.test.tsx</t>
        </is>
      </c>
      <c r="H12" s="38" t="inlineStr">
        <is>
          <t>tested</t>
        </is>
      </c>
      <c r="I12" s="38" t="inlineStr">
        <is>
          <t>no</t>
        </is>
      </c>
      <c r="J12" s="42" t="n">
        <v>46221</v>
      </c>
      <c r="K12" s="38" t="n"/>
      <c r="L12" s="41" t="n">
        <v>1</v>
      </c>
      <c r="M12" s="41">
        <f>IF(H12="not applicable",IF(K12&lt;&gt;"",1,0),IF(I12="yes",IF(H12="verified",1,0),IF(OR(H12="tested",H12="verified"),1,0)))</f>
        <v/>
      </c>
    </row>
    <row r="13" ht="42" customHeight="1" s="21">
      <c r="A13" s="38" t="inlineStr">
        <is>
          <t>TOG-05</t>
        </is>
      </c>
      <c r="B13" s="38" t="inlineStr">
        <is>
          <t>Behavior</t>
        </is>
      </c>
      <c r="C13" s="38" t="inlineStr">
        <is>
          <t>Toggle</t>
        </is>
      </c>
      <c r="D13" s="38" t="inlineStr">
        <is>
          <t>Atom-owned uncontrolled pointer, Space, and controlled pressed paths update aria-pressed and onPressedChange without Brick state duplication</t>
        </is>
      </c>
      <c r="E13" s="38" t="inlineStr">
        <is>
          <t>package</t>
        </is>
      </c>
      <c r="F13" s="38" t="inlineStr">
        <is>
          <t>test</t>
        </is>
      </c>
      <c r="G13" s="39" t="inlineStr">
        <is>
          <t>../test/components/toggle.test.tsx</t>
        </is>
      </c>
      <c r="H13" s="38" t="inlineStr">
        <is>
          <t>tested</t>
        </is>
      </c>
      <c r="I13" s="38" t="inlineStr">
        <is>
          <t>no</t>
        </is>
      </c>
      <c r="J13" s="42" t="n">
        <v>46221</v>
      </c>
      <c r="K13" s="38" t="n"/>
      <c r="L13" s="41" t="n">
        <v>1</v>
      </c>
      <c r="M13" s="41">
        <f>IF(H13="not applicable",IF(K13&lt;&gt;"",1,0),IF(I13="yes",IF(H13="verified",1,0),IF(OR(H13="tested",H13="verified"),1,0)))</f>
        <v/>
      </c>
    </row>
    <row r="14" ht="42" customHeight="1" s="21">
      <c r="A14" s="38" t="inlineStr">
        <is>
          <t>TOG-06</t>
        </is>
      </c>
      <c r="B14" s="38" t="inlineStr">
        <is>
          <t>Public API</t>
        </is>
      </c>
      <c r="C14" s="38" t="inlineStr">
        <is>
          <t>Toggle</t>
        </is>
      </c>
      <c r="D14" s="38" t="inlineStr">
        <is>
          <t>Native/ARIA/data props, class, style, slot, icon-only metadata, ref, asChild, and render composition are preserved</t>
        </is>
      </c>
      <c r="E14" s="38" t="inlineStr">
        <is>
          <t>package</t>
        </is>
      </c>
      <c r="F14" s="38" t="inlineStr">
        <is>
          <t>test</t>
        </is>
      </c>
      <c r="G14" s="39" t="inlineStr">
        <is>
          <t>../test/components/toggle.test.tsx</t>
        </is>
      </c>
      <c r="H14" s="38" t="inlineStr">
        <is>
          <t>tested</t>
        </is>
      </c>
      <c r="I14" s="38" t="inlineStr">
        <is>
          <t>no</t>
        </is>
      </c>
      <c r="J14" s="42" t="n">
        <v>46221</v>
      </c>
      <c r="K14" s="38" t="n"/>
      <c r="L14" s="41" t="n">
        <v>1</v>
      </c>
      <c r="M14" s="41">
        <f>IF(H14="not applicable",IF(K14&lt;&gt;"",1,0),IF(I14="yes",IF(H14="verified",1,0),IF(OR(H14="tested",H14="verified"),1,0)))</f>
        <v/>
      </c>
    </row>
    <row r="15" ht="42" customHeight="1" s="21">
      <c r="A15" s="38" t="inlineStr">
        <is>
          <t>TOG-07</t>
        </is>
      </c>
      <c r="B15" s="38" t="inlineStr">
        <is>
          <t>Visual system</t>
        </is>
      </c>
      <c r="C15" s="38" t="inlineStr">
        <is>
          <t>Toggle</t>
        </is>
      </c>
      <c r="D15" s="38" t="inlineStr">
        <is>
          <t>Soft, outline, and ghost variants; sm/md/lg sizes; rounded/pill shapes; and icon-only geometry form closed recipes without tone or arbitrary radius</t>
        </is>
      </c>
      <c r="E15" s="38" t="inlineStr">
        <is>
          <t>package</t>
        </is>
      </c>
      <c r="F15" s="38" t="inlineStr">
        <is>
          <t>test</t>
        </is>
      </c>
      <c r="G15" s="39" t="inlineStr">
        <is>
          <t>../test/components/toggle.test.tsx</t>
        </is>
      </c>
      <c r="H15" s="38" t="inlineStr">
        <is>
          <t>tested</t>
        </is>
      </c>
      <c r="I15" s="38" t="inlineStr">
        <is>
          <t>no</t>
        </is>
      </c>
      <c r="J15" s="42" t="n">
        <v>46221</v>
      </c>
      <c r="K15" s="38" t="n"/>
      <c r="L15" s="41" t="n">
        <v>1</v>
      </c>
      <c r="M15" s="41">
        <f>IF(H15="not applicable",IF(K15&lt;&gt;"",1,0),IF(I15="yes",IF(H15="verified",1,0),IF(OR(H15="tested",H15="verified"),1,0)))</f>
        <v/>
      </c>
    </row>
    <row r="16" ht="42" customHeight="1" s="21">
      <c r="A16" s="38" t="inlineStr">
        <is>
          <t>TOG-08</t>
        </is>
      </c>
      <c r="B16" s="38" t="inlineStr">
        <is>
          <t>States</t>
        </is>
      </c>
      <c r="C16" s="38" t="inlineStr">
        <is>
          <t>Toggle</t>
        </is>
      </c>
      <c r="D16" s="38" t="inlineStr">
        <is>
          <t>Rest, hover, active, focus-visible, selected, disabled, and selected-disabled recipes use semantic tokens and preserve native disabled behavior</t>
        </is>
      </c>
      <c r="E16" s="38" t="inlineStr">
        <is>
          <t>package</t>
        </is>
      </c>
      <c r="F16" s="38" t="inlineStr">
        <is>
          <t>test</t>
        </is>
      </c>
      <c r="G16" s="39" t="inlineStr">
        <is>
          <t>tests/toggle.spec.ts</t>
        </is>
      </c>
      <c r="H16" s="38" t="inlineStr">
        <is>
          <t>tested</t>
        </is>
      </c>
      <c r="I16" s="38" t="inlineStr">
        <is>
          <t>no</t>
        </is>
      </c>
      <c r="J16" s="42" t="n">
        <v>46221</v>
      </c>
      <c r="K16" s="38" t="n"/>
      <c r="L16" s="41" t="n">
        <v>1</v>
      </c>
      <c r="M16" s="41">
        <f>IF(H16="not applicable",IF(K16&lt;&gt;"",1,0),IF(I16="yes",IF(H16="verified",1,0),IF(OR(H16="tested",H16="verified"),1,0)))</f>
        <v/>
      </c>
    </row>
    <row r="17" ht="42" customHeight="1" s="21">
      <c r="A17" s="38" t="inlineStr">
        <is>
          <t>TOG-09</t>
        </is>
      </c>
      <c r="B17" s="38" t="inlineStr">
        <is>
          <t>Anatomy</t>
        </is>
      </c>
      <c r="C17" s="38" t="inlineStr">
        <is>
          <t>ToggleGroup.Root</t>
        </is>
      </c>
      <c r="D17" s="38" t="inlineStr">
        <is>
          <t>Root emits a named role=group with stable class/slot, separated horizontal layout, soft/md/rounded defaults, and no extra behavior layer</t>
        </is>
      </c>
      <c r="E17" s="38" t="inlineStr">
        <is>
          <t>package</t>
        </is>
      </c>
      <c r="F17" s="38" t="inlineStr">
        <is>
          <t>test</t>
        </is>
      </c>
      <c r="G17" s="39" t="inlineStr">
        <is>
          <t>../test/components/toggle.test.tsx</t>
        </is>
      </c>
      <c r="H17" s="38" t="inlineStr">
        <is>
          <t>tested</t>
        </is>
      </c>
      <c r="I17" s="38" t="inlineStr">
        <is>
          <t>no</t>
        </is>
      </c>
      <c r="J17" s="42" t="n">
        <v>46221</v>
      </c>
      <c r="K17" s="38" t="n"/>
      <c r="L17" s="41" t="n">
        <v>1</v>
      </c>
      <c r="M17" s="41">
        <f>IF(H17="not applicable",IF(K17&lt;&gt;"",1,0),IF(I17="yes",IF(H17="verified",1,0),IF(OR(H17="tested",H17="verified"),1,0)))</f>
        <v/>
      </c>
    </row>
    <row r="18" ht="42" customHeight="1" s="21">
      <c r="A18" s="38" t="inlineStr">
        <is>
          <t>TOG-10</t>
        </is>
      </c>
      <c r="B18" s="38" t="inlineStr">
        <is>
          <t>Selection</t>
        </is>
      </c>
      <c r="C18" s="38" t="inlineStr">
        <is>
          <t>ToggleGroup.Root</t>
        </is>
      </c>
      <c r="D18" s="38" t="inlineStr">
        <is>
          <t>Discriminated single string and multiple string-array contracts forward controlled/uncontrolled values and narrowed callbacks without a second store</t>
        </is>
      </c>
      <c r="E18" s="38" t="inlineStr">
        <is>
          <t>package</t>
        </is>
      </c>
      <c r="F18" s="38" t="inlineStr">
        <is>
          <t>types</t>
        </is>
      </c>
      <c r="G18" s="39" t="inlineStr">
        <is>
          <t>../test/types/public-api.test.ts</t>
        </is>
      </c>
      <c r="H18" s="38" t="inlineStr">
        <is>
          <t>tested</t>
        </is>
      </c>
      <c r="I18" s="38" t="inlineStr">
        <is>
          <t>no</t>
        </is>
      </c>
      <c r="J18" s="42" t="n">
        <v>46221</v>
      </c>
      <c r="K18" s="38" t="n"/>
      <c r="L18" s="41" t="n">
        <v>1</v>
      </c>
      <c r="M18" s="41">
        <f>IF(H18="not applicable",IF(K18&lt;&gt;"",1,0),IF(I18="yes",IF(H18="verified",1,0),IF(OR(H18="tested",H18="verified"),1,0)))</f>
        <v/>
      </c>
    </row>
    <row r="19" ht="42" customHeight="1" s="21">
      <c r="A19" s="38" t="inlineStr">
        <is>
          <t>TOG-11</t>
        </is>
      </c>
      <c r="B19" s="38" t="inlineStr">
        <is>
          <t>Anatomy</t>
        </is>
      </c>
      <c r="C19" s="38" t="inlineStr">
        <is>
          <t>ToggleGroup.Item</t>
        </is>
      </c>
      <c r="D19" s="38" t="inlineStr">
        <is>
          <t>Item requires value, emits native pressed button metadata, preserves disabled/native/composition/ref paths, and exposes only item iconOnly presentation</t>
        </is>
      </c>
      <c r="E19" s="38" t="inlineStr">
        <is>
          <t>package</t>
        </is>
      </c>
      <c r="F19" s="38" t="inlineStr">
        <is>
          <t>test</t>
        </is>
      </c>
      <c r="G19" s="39" t="inlineStr">
        <is>
          <t>../test/components/toggle.test.tsx</t>
        </is>
      </c>
      <c r="H19" s="38" t="inlineStr">
        <is>
          <t>tested</t>
        </is>
      </c>
      <c r="I19" s="38" t="inlineStr">
        <is>
          <t>no</t>
        </is>
      </c>
      <c r="J19" s="42" t="n">
        <v>46221</v>
      </c>
      <c r="K19" s="38" t="n"/>
      <c r="L19" s="41" t="n">
        <v>1</v>
      </c>
      <c r="M19" s="41">
        <f>IF(H19="not applicable",IF(K19&lt;&gt;"",1,0),IF(I19="yes",IF(H19="verified",1,0),IF(OR(H19="tested",H19="verified"),1,0)))</f>
        <v/>
      </c>
    </row>
    <row r="20" ht="42" customHeight="1" s="21">
      <c r="A20" s="38" t="inlineStr">
        <is>
          <t>TOG-12</t>
        </is>
      </c>
      <c r="B20" s="38" t="inlineStr">
        <is>
          <t>Keyboard</t>
        </is>
      </c>
      <c r="C20" s="38" t="inlineStr">
        <is>
          <t>ToggleGroup</t>
        </is>
      </c>
      <c r="D20" s="38" t="inlineStr">
        <is>
          <t>One roving Tab stop plus Arrow, Home, End, looping, activation, and disabled-item skipping remain Atom-owned and pass in real browsers</t>
        </is>
      </c>
      <c r="E20" s="38" t="inlineStr">
        <is>
          <t>package</t>
        </is>
      </c>
      <c r="F20" s="38" t="inlineStr">
        <is>
          <t>test</t>
        </is>
      </c>
      <c r="G20" s="39" t="inlineStr">
        <is>
          <t>tests/toggle.spec.ts</t>
        </is>
      </c>
      <c r="H20" s="38" t="inlineStr">
        <is>
          <t>tested</t>
        </is>
      </c>
      <c r="I20" s="38" t="inlineStr">
        <is>
          <t>no</t>
        </is>
      </c>
      <c r="J20" s="42" t="n">
        <v>46221</v>
      </c>
      <c r="K20" s="38" t="n"/>
      <c r="L20" s="41" t="n">
        <v>1</v>
      </c>
      <c r="M20" s="41">
        <f>IF(H20="not applicable",IF(K20&lt;&gt;"",1,0),IF(I20="yes",IF(H20="verified",1,0),IF(OR(H20="tested",H20="verified"),1,0)))</f>
        <v/>
      </c>
    </row>
    <row r="21" ht="42" customHeight="1" s="21">
      <c r="A21" s="38" t="inlineStr">
        <is>
          <t>TOG-13</t>
        </is>
      </c>
      <c r="B21" s="38" t="inlineStr">
        <is>
          <t>Direction</t>
        </is>
      </c>
      <c r="C21" s="38" t="inlineStr">
        <is>
          <t>ToggleGroup</t>
        </is>
      </c>
      <c r="D21" s="38" t="inlineStr">
        <is>
          <t>Horizontal/vertical orientation metadata drives layout and Atom mirrors horizontal Arrow navigation in RTL</t>
        </is>
      </c>
      <c r="E21" s="38" t="inlineStr">
        <is>
          <t>package</t>
        </is>
      </c>
      <c r="F21" s="38" t="inlineStr">
        <is>
          <t>test</t>
        </is>
      </c>
      <c r="G21" s="39" t="inlineStr">
        <is>
          <t>tests/toggle.spec.ts</t>
        </is>
      </c>
      <c r="H21" s="38" t="inlineStr">
        <is>
          <t>tested</t>
        </is>
      </c>
      <c r="I21" s="38" t="inlineStr">
        <is>
          <t>no</t>
        </is>
      </c>
      <c r="J21" s="42" t="n">
        <v>46221</v>
      </c>
      <c r="K21" s="38" t="n"/>
      <c r="L21" s="41" t="n">
        <v>1</v>
      </c>
      <c r="M21" s="41">
        <f>IF(H21="not applicable",IF(K21&lt;&gt;"",1,0),IF(I21="yes",IF(H21="verified",1,0),IF(OR(H21="tested",H21="verified"),1,0)))</f>
        <v/>
      </c>
    </row>
    <row r="22" ht="42" customHeight="1" s="21">
      <c r="A22" s="38" t="inlineStr">
        <is>
          <t>TOG-14</t>
        </is>
      </c>
      <c r="B22" s="38" t="inlineStr">
        <is>
          <t>Geometry</t>
        </is>
      </c>
      <c r="C22" s="38" t="inlineStr">
        <is>
          <t>ToggleGroup</t>
        </is>
      </c>
      <c r="D22" s="38" t="inlineStr">
        <is>
          <t>Separated default preserves inter-item gap and natural wrapping for localized multiple filter pills</t>
        </is>
      </c>
      <c r="E22" s="38" t="inlineStr">
        <is>
          <t>package</t>
        </is>
      </c>
      <c r="F22" s="38" t="inlineStr">
        <is>
          <t>visual</t>
        </is>
      </c>
      <c r="G22" s="39" t="inlineStr">
        <is>
          <t>tests/visual.spec.ts</t>
        </is>
      </c>
      <c r="H22" s="38" t="inlineStr">
        <is>
          <t>verified</t>
        </is>
      </c>
      <c r="I22" s="38" t="inlineStr">
        <is>
          <t>yes</t>
        </is>
      </c>
      <c r="J22" s="42" t="n">
        <v>46221</v>
      </c>
      <c r="K22" s="38" t="n"/>
      <c r="L22" s="41" t="n">
        <v>1</v>
      </c>
      <c r="M22" s="41">
        <f>IF(H22="not applicable",IF(K22&lt;&gt;"",1,0),IF(I22="yes",IF(H22="verified",1,0),IF(OR(H22="tested",H22="verified"),1,0)))</f>
        <v/>
      </c>
    </row>
    <row r="23" ht="42" customHeight="1" s="21">
      <c r="A23" s="38" t="inlineStr">
        <is>
          <t>TOG-15</t>
        </is>
      </c>
      <c r="B23" s="38" t="inlineStr">
        <is>
          <t>Geometry</t>
        </is>
      </c>
      <c r="C23" s="38" t="inlineStr">
        <is>
          <t>ToggleGroup</t>
        </is>
      </c>
      <c r="D23" s="38" t="inlineStr">
        <is>
          <t>Attached horizontal and vertical groups collapse adjacent borders and apply logical outer radii for rounded and pill shapes</t>
        </is>
      </c>
      <c r="E23" s="38" t="inlineStr">
        <is>
          <t>package</t>
        </is>
      </c>
      <c r="F23" s="38" t="inlineStr">
        <is>
          <t>visual</t>
        </is>
      </c>
      <c r="G23" s="39" t="inlineStr">
        <is>
          <t>tests/visual.spec.ts</t>
        </is>
      </c>
      <c r="H23" s="38" t="inlineStr">
        <is>
          <t>verified</t>
        </is>
      </c>
      <c r="I23" s="38" t="inlineStr">
        <is>
          <t>yes</t>
        </is>
      </c>
      <c r="J23" s="42" t="n">
        <v>46221</v>
      </c>
      <c r="K23" s="38" t="n"/>
      <c r="L23" s="41" t="n">
        <v>1</v>
      </c>
      <c r="M23" s="41">
        <f>IF(H23="not applicable",IF(K23&lt;&gt;"",1,0),IF(I23="yes",IF(H23="verified",1,0),IF(OR(H23="tested",H23="verified"),1,0)))</f>
        <v/>
      </c>
    </row>
    <row r="24" ht="42" customHeight="1" s="21">
      <c r="A24" s="38" t="inlineStr">
        <is>
          <t>TOG-16</t>
        </is>
      </c>
      <c r="B24" s="38" t="inlineStr">
        <is>
          <t>Layout</t>
        </is>
      </c>
      <c r="C24" s="38" t="inlineStr">
        <is>
          <t>ToggleGroup</t>
        </is>
      </c>
      <c r="D24" s="38" t="inlineStr">
        <is>
          <t>fullWidth fills available inline size and distributes items without changing Atom selection behavior</t>
        </is>
      </c>
      <c r="E24" s="38" t="inlineStr">
        <is>
          <t>package</t>
        </is>
      </c>
      <c r="F24" s="38" t="inlineStr">
        <is>
          <t>test</t>
        </is>
      </c>
      <c r="G24" s="39" t="inlineStr">
        <is>
          <t>tests/toggle.spec.ts</t>
        </is>
      </c>
      <c r="H24" s="38" t="inlineStr">
        <is>
          <t>tested</t>
        </is>
      </c>
      <c r="I24" s="38" t="inlineStr">
        <is>
          <t>no</t>
        </is>
      </c>
      <c r="J24" s="42" t="n">
        <v>46221</v>
      </c>
      <c r="K24" s="38" t="n"/>
      <c r="L24" s="41" t="n">
        <v>1</v>
      </c>
      <c r="M24" s="41">
        <f>IF(H24="not applicable",IF(K24&lt;&gt;"",1,0),IF(I24="yes",IF(H24="verified",1,0),IF(OR(H24="tested",H24="verified"),1,0)))</f>
        <v/>
      </c>
    </row>
    <row r="25" ht="42" customHeight="1" s="21">
      <c r="A25" s="38" t="inlineStr">
        <is>
          <t>TOG-17</t>
        </is>
      </c>
      <c r="B25" s="38" t="inlineStr">
        <is>
          <t>Accessibility</t>
        </is>
      </c>
      <c r="C25" s="38" t="inlineStr">
        <is>
          <t>Family</t>
        </is>
      </c>
      <c r="D25" s="38" t="inlineStr">
        <is>
          <t>Stable visible or explicit icon labels, group naming, aria-pressed, disabled state, and controlled required-view handling preserve understandable semantics</t>
        </is>
      </c>
      <c r="E25" s="38" t="inlineStr">
        <is>
          <t>package</t>
        </is>
      </c>
      <c r="F25" s="38" t="inlineStr">
        <is>
          <t>test</t>
        </is>
      </c>
      <c r="G25" s="39" t="inlineStr">
        <is>
          <t>tests/toggle.spec.ts</t>
        </is>
      </c>
      <c r="H25" s="38" t="inlineStr">
        <is>
          <t>tested</t>
        </is>
      </c>
      <c r="I25" s="38" t="inlineStr">
        <is>
          <t>no</t>
        </is>
      </c>
      <c r="J25" s="42" t="n">
        <v>46221</v>
      </c>
      <c r="K25" s="38" t="n"/>
      <c r="L25" s="41" t="n">
        <v>1</v>
      </c>
      <c r="M25" s="41">
        <f>IF(H25="not applicable",IF(K25&lt;&gt;"",1,0),IF(I25="yes",IF(H25="verified",1,0),IF(OR(H25="tested",H25="verified"),1,0)))</f>
        <v/>
      </c>
    </row>
    <row r="26" ht="42" customHeight="1" s="21">
      <c r="A26" s="38" t="inlineStr">
        <is>
          <t>TOG-18</t>
        </is>
      </c>
      <c r="B26" s="38" t="inlineStr">
        <is>
          <t>Visual system</t>
        </is>
      </c>
      <c r="C26" s="38" t="inlineStr">
        <is>
          <t>Family</t>
        </is>
      </c>
      <c r="D26" s="38" t="inlineStr">
        <is>
          <t>Compiled layered CSS uses Brick classes, logical properties, semantic tokens, and documented --brick-toggle variables without global leakage</t>
        </is>
      </c>
      <c r="E26" s="38" t="inlineStr">
        <is>
          <t>package</t>
        </is>
      </c>
      <c r="F26" s="38" t="inlineStr">
        <is>
          <t>source</t>
        </is>
      </c>
      <c r="G26" s="39" t="inlineStr">
        <is>
          <t>../src/components/toggle/toggle.css</t>
        </is>
      </c>
      <c r="H26" s="38" t="inlineStr">
        <is>
          <t>tested</t>
        </is>
      </c>
      <c r="I26" s="38" t="inlineStr">
        <is>
          <t>no</t>
        </is>
      </c>
      <c r="J26" s="42" t="n">
        <v>46221</v>
      </c>
      <c r="K26" s="38" t="n"/>
      <c r="L26" s="41" t="n">
        <v>1</v>
      </c>
      <c r="M26" s="41">
        <f>IF(H26="not applicable",IF(K26&lt;&gt;"",1,0),IF(I26="yes",IF(H26="verified",1,0),IF(OR(H26="tested",H26="verified"),1,0)))</f>
        <v/>
      </c>
    </row>
    <row r="27" ht="42" customHeight="1" s="21">
      <c r="A27" s="38" t="inlineStr">
        <is>
          <t>TOG-19</t>
        </is>
      </c>
      <c r="B27" s="38" t="inlineStr">
        <is>
          <t>Visual system</t>
        </is>
      </c>
      <c r="C27" s="38" t="inlineStr">
        <is>
          <t>Family</t>
        </is>
      </c>
      <c r="D27" s="38" t="inlineStr">
        <is>
          <t>Reviewed light/dark baselines preserve neutral rest, accent selected hierarchy, sizes, shapes, and attached/separated group geometry</t>
        </is>
      </c>
      <c r="E27" s="38" t="inlineStr">
        <is>
          <t>package</t>
        </is>
      </c>
      <c r="F27" s="38" t="inlineStr">
        <is>
          <t>visual</t>
        </is>
      </c>
      <c r="G27" s="39" t="inlineStr">
        <is>
          <t>tests/visual.spec.ts</t>
        </is>
      </c>
      <c r="H27" s="38" t="inlineStr">
        <is>
          <t>verified</t>
        </is>
      </c>
      <c r="I27" s="38" t="inlineStr">
        <is>
          <t>yes</t>
        </is>
      </c>
      <c r="J27" s="42" t="n">
        <v>46221</v>
      </c>
      <c r="K27" s="38" t="n"/>
      <c r="L27" s="41" t="n">
        <v>1</v>
      </c>
      <c r="M27" s="41">
        <f>IF(H27="not applicable",IF(K27&lt;&gt;"",1,0),IF(I27="yes",IF(H27="verified",1,0),IF(OR(H27="tested",H27="verified"),1,0)))</f>
        <v/>
      </c>
    </row>
    <row r="28" ht="42" customHeight="1" s="21">
      <c r="A28" s="38" t="inlineStr">
        <is>
          <t>TOG-20</t>
        </is>
      </c>
      <c r="B28" s="38" t="inlineStr">
        <is>
          <t>Visual system</t>
        </is>
      </c>
      <c r="C28" s="38" t="inlineStr">
        <is>
          <t>Family</t>
        </is>
      </c>
      <c r="D28" s="38" t="inlineStr">
        <is>
          <t>Forced-colors emulation preserves explicit selected, disabled, border, and focus boundaries without color-only state</t>
        </is>
      </c>
      <c r="E28" s="38" t="inlineStr">
        <is>
          <t>package</t>
        </is>
      </c>
      <c r="F28" s="38" t="inlineStr">
        <is>
          <t>test</t>
        </is>
      </c>
      <c r="G28" s="39" t="inlineStr">
        <is>
          <t>tests/toggle.spec.ts</t>
        </is>
      </c>
      <c r="H28" s="38" t="inlineStr">
        <is>
          <t>tested</t>
        </is>
      </c>
      <c r="I28" s="38" t="inlineStr">
        <is>
          <t>no</t>
        </is>
      </c>
      <c r="J28" s="42" t="n">
        <v>46221</v>
      </c>
      <c r="K28" s="38" t="n"/>
      <c r="L28" s="41" t="n">
        <v>1</v>
      </c>
      <c r="M28" s="41">
        <f>IF(H28="not applicable",IF(K28&lt;&gt;"",1,0),IF(I28="yes",IF(H28="verified",1,0),IF(OR(H28="tested",H28="verified"),1,0)))</f>
        <v/>
      </c>
    </row>
    <row r="29" ht="42" customHeight="1" s="21">
      <c r="A29" s="38" t="inlineStr">
        <is>
          <t>TOG-21</t>
        </is>
      </c>
      <c r="B29" s="38" t="inlineStr">
        <is>
          <t>Responsive</t>
        </is>
      </c>
      <c r="C29" s="38" t="inlineStr">
        <is>
          <t>Family</t>
        </is>
      </c>
      <c r="D29" s="38" t="inlineStr">
        <is>
          <t>Constrained mobile, long unbroken/localized labels, wrapping, mixed direction, and RTL remain contained without document overflow</t>
        </is>
      </c>
      <c r="E29" s="38" t="inlineStr">
        <is>
          <t>package</t>
        </is>
      </c>
      <c r="F29" s="38" t="inlineStr">
        <is>
          <t>test</t>
        </is>
      </c>
      <c r="G29" s="39" t="inlineStr">
        <is>
          <t>tests/toggle.spec.ts</t>
        </is>
      </c>
      <c r="H29" s="38" t="inlineStr">
        <is>
          <t>tested</t>
        </is>
      </c>
      <c r="I29" s="38" t="inlineStr">
        <is>
          <t>no</t>
        </is>
      </c>
      <c r="J29" s="42" t="n">
        <v>46221</v>
      </c>
      <c r="K29" s="38" t="n"/>
      <c r="L29" s="41" t="n">
        <v>1</v>
      </c>
      <c r="M29" s="41">
        <f>IF(H29="not applicable",IF(K29&lt;&gt;"",1,0),IF(I29="yes",IF(H29="verified",1,0),IF(OR(H29="tested",H29="verified"),1,0)))</f>
        <v/>
      </c>
    </row>
    <row r="30" ht="42" customHeight="1" s="21">
      <c r="A30" s="38" t="inlineStr">
        <is>
          <t>TOG-22</t>
        </is>
      </c>
      <c r="B30" s="38" t="inlineStr">
        <is>
          <t>Customization</t>
        </is>
      </c>
      <c r="C30" s="38" t="inlineStr">
        <is>
          <t>Family</t>
        </is>
      </c>
      <c r="D30" s="38" t="inlineStr">
        <is>
          <t>Root class, style, slot, scoped appearance, group variables, and component-token overrides remain local and inspectable</t>
        </is>
      </c>
      <c r="E30" s="38" t="inlineStr">
        <is>
          <t>package</t>
        </is>
      </c>
      <c r="F30" s="38" t="inlineStr">
        <is>
          <t>playground</t>
        </is>
      </c>
      <c r="G30" s="39" t="inlineStr">
        <is>
          <t>../playground/src/main.tsx</t>
        </is>
      </c>
      <c r="H30" s="38" t="inlineStr">
        <is>
          <t>tested</t>
        </is>
      </c>
      <c r="I30" s="38" t="inlineStr">
        <is>
          <t>no</t>
        </is>
      </c>
      <c r="J30" s="42" t="n">
        <v>46221</v>
      </c>
      <c r="K30" s="38" t="n"/>
      <c r="L30" s="41" t="n">
        <v>1</v>
      </c>
      <c r="M30" s="41">
        <f>IF(H30="not applicable",IF(K30&lt;&gt;"",1,0),IF(I30="yes",IF(H30="verified",1,0),IF(OR(H30="tested",H30="verified"),1,0)))</f>
        <v/>
      </c>
    </row>
    <row r="31" ht="42" customHeight="1" s="21">
      <c r="A31" s="38" t="inlineStr">
        <is>
          <t>TOG-23</t>
        </is>
      </c>
      <c r="B31" s="38" t="inlineStr">
        <is>
          <t>Playground</t>
        </is>
      </c>
      <c r="C31" s="38" t="inlineStr">
        <is>
          <t>Family</t>
        </is>
      </c>
      <c r="D31" s="38" t="inlineStr">
        <is>
          <t>The /toggle workbench exposes overview, complete standalone recipes, sizes/shapes/icons, attached single, separated multiple, vertical/disabled, customization, mobile stress, and RTL</t>
        </is>
      </c>
      <c r="E31" s="38" t="inlineStr">
        <is>
          <t>package</t>
        </is>
      </c>
      <c r="F31" s="38" t="inlineStr">
        <is>
          <t>playground</t>
        </is>
      </c>
      <c r="G31" s="39" t="inlineStr">
        <is>
          <t>../playground/src/main.tsx</t>
        </is>
      </c>
      <c r="H31" s="38" t="inlineStr">
        <is>
          <t>tested</t>
        </is>
      </c>
      <c r="I31" s="38" t="inlineStr">
        <is>
          <t>no</t>
        </is>
      </c>
      <c r="J31" s="42" t="n">
        <v>46221</v>
      </c>
      <c r="K31" s="38" t="n"/>
      <c r="L31" s="41" t="n">
        <v>1</v>
      </c>
      <c r="M31" s="41">
        <f>IF(H31="not applicable",IF(K31&lt;&gt;"",1,0),IF(I31="yes",IF(H31="verified",1,0),IF(OR(H31="tested",H31="verified"),1,0)))</f>
        <v/>
      </c>
    </row>
    <row r="32" ht="42" customHeight="1" s="21">
      <c r="A32" s="38" t="inlineStr">
        <is>
          <t>TOG-24</t>
        </is>
      </c>
      <c r="B32" s="38" t="inlineStr">
        <is>
          <t>Automated tests</t>
        </is>
      </c>
      <c r="C32" s="38" t="inlineStr">
        <is>
          <t>Family</t>
        </is>
      </c>
      <c r="D32" s="38" t="inlineStr">
        <is>
          <t>Vitest and Testing Library cover defaults, recipes, activation, callbacks, native props, refs, disabled paths, composition, and discriminated values</t>
        </is>
      </c>
      <c r="E32" s="38" t="inlineStr">
        <is>
          <t>package</t>
        </is>
      </c>
      <c r="F32" s="38" t="inlineStr">
        <is>
          <t>test</t>
        </is>
      </c>
      <c r="G32" s="39" t="inlineStr">
        <is>
          <t>../test/components/toggle.test.tsx</t>
        </is>
      </c>
      <c r="H32" s="38" t="inlineStr">
        <is>
          <t>tested</t>
        </is>
      </c>
      <c r="I32" s="38" t="inlineStr">
        <is>
          <t>no</t>
        </is>
      </c>
      <c r="J32" s="42" t="n">
        <v>46221</v>
      </c>
      <c r="K32" s="38" t="n"/>
      <c r="L32" s="41" t="n">
        <v>1</v>
      </c>
      <c r="M32" s="41">
        <f>IF(H32="not applicable",IF(K32&lt;&gt;"",1,0),IF(I32="yes",IF(H32="verified",1,0),IF(OR(H32="tested",H32="verified"),1,0)))</f>
        <v/>
      </c>
    </row>
    <row r="33" ht="42" customHeight="1" s="21">
      <c r="A33" s="38" t="inlineStr">
        <is>
          <t>TOG-25</t>
        </is>
      </c>
      <c r="B33" s="38" t="inlineStr">
        <is>
          <t>Automated tests</t>
        </is>
      </c>
      <c r="C33" s="38" t="inlineStr">
        <is>
          <t>Family</t>
        </is>
      </c>
      <c r="D33" s="38" t="inlineStr">
        <is>
          <t>Public root/subpath types accept supported contracts and reject standalone value, tone, invalid recipes, mismatched multiple values, item recipe overrides, and callable Group</t>
        </is>
      </c>
      <c r="E33" s="38" t="inlineStr">
        <is>
          <t>package</t>
        </is>
      </c>
      <c r="F33" s="38" t="inlineStr">
        <is>
          <t>types</t>
        </is>
      </c>
      <c r="G33" s="39" t="inlineStr">
        <is>
          <t>../test/types/public-api.test.ts</t>
        </is>
      </c>
      <c r="H33" s="38" t="inlineStr">
        <is>
          <t>tested</t>
        </is>
      </c>
      <c r="I33" s="38" t="inlineStr">
        <is>
          <t>no</t>
        </is>
      </c>
      <c r="J33" s="42" t="n">
        <v>46221</v>
      </c>
      <c r="K33" s="38" t="n"/>
      <c r="L33" s="41" t="n">
        <v>1</v>
      </c>
      <c r="M33" s="41">
        <f>IF(H33="not applicable",IF(K33&lt;&gt;"",1,0),IF(I33="yes",IF(H33="verified",1,0),IF(OR(H33="tested",H33="verified"),1,0)))</f>
        <v/>
      </c>
    </row>
    <row r="34" ht="42" customHeight="1" s="21">
      <c r="A34" s="38" t="inlineStr">
        <is>
          <t>TOG-26</t>
        </is>
      </c>
      <c r="B34" s="38" t="inlineStr">
        <is>
          <t>Automated tests</t>
        </is>
      </c>
      <c r="C34" s="38" t="inlineStr">
        <is>
          <t>Family</t>
        </is>
      </c>
      <c r="D34" s="38" t="inlineStr">
        <is>
          <t>Node package boundary, export identity, stylesheet, declarations, deterministic SSR, and dry-pack checks include both public subpaths</t>
        </is>
      </c>
      <c r="E34" s="38" t="inlineStr">
        <is>
          <t>package</t>
        </is>
      </c>
      <c r="F34" s="38" t="inlineStr">
        <is>
          <t>test</t>
        </is>
      </c>
      <c r="G34" s="39" t="inlineStr">
        <is>
          <t>../test/package/package.test.mjs</t>
        </is>
      </c>
      <c r="H34" s="38" t="inlineStr">
        <is>
          <t>tested</t>
        </is>
      </c>
      <c r="I34" s="38" t="inlineStr">
        <is>
          <t>no</t>
        </is>
      </c>
      <c r="J34" s="42" t="n">
        <v>46221</v>
      </c>
      <c r="K34" s="38" t="n"/>
      <c r="L34" s="41" t="n">
        <v>1</v>
      </c>
      <c r="M34" s="41">
        <f>IF(H34="not applicable",IF(K34&lt;&gt;"",1,0),IF(I34="yes",IF(H34="verified",1,0),IF(OR(H34="tested",H34="verified"),1,0)))</f>
        <v/>
      </c>
    </row>
    <row r="35" ht="42" customHeight="1" s="21">
      <c r="A35" s="38" t="inlineStr">
        <is>
          <t>TOG-27</t>
        </is>
      </c>
      <c r="B35" s="38" t="inlineStr">
        <is>
          <t>Automated tests</t>
        </is>
      </c>
      <c r="C35" s="38" t="inlineStr">
        <is>
          <t>Family</t>
        </is>
      </c>
      <c r="D35" s="38" t="inlineStr">
        <is>
          <t>Clean packed React 18/19 consumers import root/subpath identities, SSR-render Toggle and ToggleGroup, typecheck, and load compiled CSS</t>
        </is>
      </c>
      <c r="E35" s="38" t="inlineStr">
        <is>
          <t>package</t>
        </is>
      </c>
      <c r="F35" s="38" t="inlineStr">
        <is>
          <t>package</t>
        </is>
      </c>
      <c r="G35" s="39" t="inlineStr">
        <is>
          <t>../scripts/verify-consumers.mjs</t>
        </is>
      </c>
      <c r="H35" s="38" t="inlineStr">
        <is>
          <t>tested</t>
        </is>
      </c>
      <c r="I35" s="38" t="inlineStr">
        <is>
          <t>no</t>
        </is>
      </c>
      <c r="J35" s="42" t="n">
        <v>46221</v>
      </c>
      <c r="K35" s="38" t="n"/>
      <c r="L35" s="41" t="n">
        <v>1</v>
      </c>
      <c r="M35" s="41">
        <f>IF(H35="not applicable",IF(K35&lt;&gt;"",1,0),IF(I35="yes",IF(H35="verified",1,0),IF(OR(H35="tested",H35="verified"),1,0)))</f>
        <v/>
      </c>
    </row>
    <row r="36" ht="42" customHeight="1" s="21">
      <c r="A36" s="38" t="inlineStr">
        <is>
          <t>TOG-28</t>
        </is>
      </c>
      <c r="B36" s="38" t="inlineStr">
        <is>
          <t>Automated tests</t>
        </is>
      </c>
      <c r="C36" s="38" t="inlineStr">
        <is>
          <t>Family</t>
        </is>
      </c>
      <c r="D36" s="38" t="inlineStr">
        <is>
          <t>Strict typecheck, production build, CSS report, and 100% Brick component-source line coverage pass</t>
        </is>
      </c>
      <c r="E36" s="38" t="inlineStr">
        <is>
          <t>package</t>
        </is>
      </c>
      <c r="F36" s="38" t="inlineStr">
        <is>
          <t>test</t>
        </is>
      </c>
      <c r="G36" s="39" t="inlineStr">
        <is>
          <t>../test/components/toggle.test.tsx</t>
        </is>
      </c>
      <c r="H36" s="38" t="inlineStr">
        <is>
          <t>tested</t>
        </is>
      </c>
      <c r="I36" s="38" t="inlineStr">
        <is>
          <t>no</t>
        </is>
      </c>
      <c r="J36" s="42" t="n">
        <v>46221</v>
      </c>
      <c r="K36" s="38" t="n"/>
      <c r="L36" s="41" t="n">
        <v>1</v>
      </c>
      <c r="M36" s="41">
        <f>IF(H36="not applicable",IF(K36&lt;&gt;"",1,0),IF(I36="yes",IF(H36="verified",1,0),IF(OR(H36="tested",H36="verified"),1,0)))</f>
        <v/>
      </c>
    </row>
    <row r="37" ht="42" customHeight="1" s="21">
      <c r="A37" s="38" t="inlineStr">
        <is>
          <t>TOG-29</t>
        </is>
      </c>
      <c r="B37" s="38" t="inlineStr">
        <is>
          <t>Automated tests</t>
        </is>
      </c>
      <c r="C37" s="38" t="inlineStr">
        <is>
          <t>Family</t>
        </is>
      </c>
      <c r="D37" s="38" t="inlineStr">
        <is>
          <t>Seven focused browser checks cover standalone activation, recipes, single/multiple state, roving focus, disabled behavior, mobile/RTL, axe, and forced colors</t>
        </is>
      </c>
      <c r="E37" s="38" t="inlineStr">
        <is>
          <t>package</t>
        </is>
      </c>
      <c r="F37" s="38" t="inlineStr">
        <is>
          <t>test</t>
        </is>
      </c>
      <c r="G37" s="39" t="inlineStr">
        <is>
          <t>tests/toggle.spec.ts</t>
        </is>
      </c>
      <c r="H37" s="38" t="inlineStr">
        <is>
          <t>tested</t>
        </is>
      </c>
      <c r="I37" s="38" t="inlineStr">
        <is>
          <t>no</t>
        </is>
      </c>
      <c r="J37" s="42" t="n">
        <v>46221</v>
      </c>
      <c r="K37" s="38" t="n"/>
      <c r="L37" s="41" t="n">
        <v>1</v>
      </c>
      <c r="M37" s="41">
        <f>IF(H37="not applicable",IF(K37&lt;&gt;"",1,0),IF(I37="yes",IF(H37="verified",1,0),IF(OR(H37="tested",H37="verified"),1,0)))</f>
        <v/>
      </c>
    </row>
    <row r="38" ht="42" customHeight="1" s="21">
      <c r="A38" s="38" t="inlineStr">
        <is>
          <t>TOG-30</t>
        </is>
      </c>
      <c r="B38" s="38" t="inlineStr">
        <is>
          <t>Automated tests</t>
        </is>
      </c>
      <c r="C38" s="38" t="inlineStr">
        <is>
          <t>Family</t>
        </is>
      </c>
      <c r="D38" s="38" t="inlineStr">
        <is>
          <t>Canonical Toggle route has no automatically detectable axe violations</t>
        </is>
      </c>
      <c r="E38" s="38" t="inlineStr">
        <is>
          <t>package</t>
        </is>
      </c>
      <c r="F38" s="38" t="inlineStr">
        <is>
          <t>test</t>
        </is>
      </c>
      <c r="G38" s="39" t="inlineStr">
        <is>
          <t>tests/toggle.spec.ts</t>
        </is>
      </c>
      <c r="H38" s="38" t="inlineStr">
        <is>
          <t>tested</t>
        </is>
      </c>
      <c r="I38" s="38" t="inlineStr">
        <is>
          <t>no</t>
        </is>
      </c>
      <c r="J38" s="42" t="n">
        <v>46221</v>
      </c>
      <c r="K38" s="38" t="n"/>
      <c r="L38" s="41" t="n">
        <v>1</v>
      </c>
      <c r="M38" s="41">
        <f>IF(H38="not applicable",IF(K38&lt;&gt;"",1,0),IF(I38="yes",IF(H38="verified",1,0),IF(OR(H38="tested",H38="verified"),1,0)))</f>
        <v/>
      </c>
    </row>
    <row r="39" ht="42" customHeight="1" s="21">
      <c r="A39" s="38" t="inlineStr">
        <is>
          <t>TOG-31</t>
        </is>
      </c>
      <c r="B39" s="38" t="inlineStr">
        <is>
          <t>Automated tests</t>
        </is>
      </c>
      <c r="C39" s="38" t="inlineStr">
        <is>
          <t>Family</t>
        </is>
      </c>
      <c r="D39" s="38" t="inlineStr">
        <is>
          <t>Seven reviewed Chromium baselines cover recipes, sizes/shapes, attached single, dark standalone/multiple, mobile RTL stress, and forced colors</t>
        </is>
      </c>
      <c r="E39" s="38" t="inlineStr">
        <is>
          <t>package</t>
        </is>
      </c>
      <c r="F39" s="38" t="inlineStr">
        <is>
          <t>visual</t>
        </is>
      </c>
      <c r="G39" s="39" t="inlineStr">
        <is>
          <t>tests/visual.spec.ts</t>
        </is>
      </c>
      <c r="H39" s="38" t="inlineStr">
        <is>
          <t>verified</t>
        </is>
      </c>
      <c r="I39" s="38" t="inlineStr">
        <is>
          <t>yes</t>
        </is>
      </c>
      <c r="J39" s="42" t="n">
        <v>46221</v>
      </c>
      <c r="K39" s="38" t="n"/>
      <c r="L39" s="41" t="n">
        <v>1</v>
      </c>
      <c r="M39" s="41">
        <f>IF(H39="not applicable",IF(K39&lt;&gt;"",1,0),IF(I39="yes",IF(H39="verified",1,0),IF(OR(H39="tested",H39="verified"),1,0)))</f>
        <v/>
      </c>
    </row>
    <row r="40" ht="42" customHeight="1" s="21">
      <c r="A40" s="38" t="inlineStr">
        <is>
          <t>TOG-32</t>
        </is>
      </c>
      <c r="B40" s="38" t="inlineStr">
        <is>
          <t>Automated tests</t>
        </is>
      </c>
      <c r="C40" s="38" t="inlineStr">
        <is>
          <t>Family</t>
        </is>
      </c>
      <c r="D40" s="38" t="inlineStr">
        <is>
          <t>Chromium, Firefox, WebKit, Pixel, and iPhone focused release-matrix checks pass where applicable</t>
        </is>
      </c>
      <c r="E40" s="38" t="inlineStr">
        <is>
          <t>package</t>
        </is>
      </c>
      <c r="F40" s="38" t="inlineStr">
        <is>
          <t>test</t>
        </is>
      </c>
      <c r="G40" s="39" t="inlineStr">
        <is>
          <t>../playwright.config.ts</t>
        </is>
      </c>
      <c r="H40" s="38" t="inlineStr">
        <is>
          <t>tested</t>
        </is>
      </c>
      <c r="I40" s="38" t="inlineStr">
        <is>
          <t>no</t>
        </is>
      </c>
      <c r="J40" s="42" t="n">
        <v>46221</v>
      </c>
      <c r="K40" s="38" t="n"/>
      <c r="L40" s="41" t="n">
        <v>1</v>
      </c>
      <c r="M40" s="41">
        <f>IF(H40="not applicable",IF(K40&lt;&gt;"",1,0),IF(I40="yes",IF(H40="verified",1,0),IF(OR(H40="tested",H40="verified"),1,0)))</f>
        <v/>
      </c>
    </row>
    <row r="41" ht="42" customHeight="1" s="21">
      <c r="A41" s="38" t="inlineStr">
        <is>
          <t>TOG-33</t>
        </is>
      </c>
      <c r="B41" s="38" t="inlineStr">
        <is>
          <t>Manual evidence</t>
        </is>
      </c>
      <c r="C41" s="38" t="inlineStr">
        <is>
          <t>Family</t>
        </is>
      </c>
      <c r="D41" s="38" t="inlineStr">
        <is>
          <t>Numbered Toggle protocol covers hierarchy, activation, keyboard/roving focus, selection modes, geometry, zoom/mobile/RTL, VoiceOver, preferences, and customization</t>
        </is>
      </c>
      <c r="E41" s="38" t="inlineStr">
        <is>
          <t>package</t>
        </is>
      </c>
      <c r="F41" s="38" t="inlineStr">
        <is>
          <t>manual</t>
        </is>
      </c>
      <c r="G41" s="39" t="inlineStr">
        <is>
          <t>manual-tests/toggle.md</t>
        </is>
      </c>
      <c r="H41" s="38" t="inlineStr">
        <is>
          <t>tested</t>
        </is>
      </c>
      <c r="I41" s="38" t="inlineStr">
        <is>
          <t>no</t>
        </is>
      </c>
      <c r="J41" s="42" t="n">
        <v>46221</v>
      </c>
      <c r="K41" s="38" t="n"/>
      <c r="L41" s="41" t="n">
        <v>1</v>
      </c>
      <c r="M41" s="41">
        <f>IF(H41="not applicable",IF(K41&lt;&gt;"",1,0),IF(I41="yes",IF(H41="verified",1,0),IF(OR(H41="tested",H41="verified"),1,0)))</f>
        <v/>
      </c>
    </row>
    <row r="42" ht="42" customHeight="1" s="21">
      <c r="A42" s="38" t="inlineStr">
        <is>
          <t>TOG-34</t>
        </is>
      </c>
      <c r="B42" s="38" t="inlineStr">
        <is>
          <t>Manual evidence</t>
        </is>
      </c>
      <c r="C42" s="38" t="inlineStr">
        <is>
          <t>Family</t>
        </is>
      </c>
      <c r="D42" s="38" t="inlineStr">
        <is>
          <t>Latest owner run records every numbered Toggle and ToggleGroup result and corrects any finding before package completion</t>
        </is>
      </c>
      <c r="E42" s="38" t="inlineStr">
        <is>
          <t>package</t>
        </is>
      </c>
      <c r="F42" s="38" t="inlineStr">
        <is>
          <t>manual</t>
        </is>
      </c>
      <c r="G42" s="39" t="inlineStr">
        <is>
          <t>manual-tests/toggle.md</t>
        </is>
      </c>
      <c r="H42" s="38" t="inlineStr">
        <is>
          <t>partial</t>
        </is>
      </c>
      <c r="I42" s="38" t="inlineStr">
        <is>
          <t>yes</t>
        </is>
      </c>
      <c r="J42" s="42" t="n"/>
      <c r="K42" s="38" t="inlineStr">
        <is>
          <t>Owner manual review intentionally deferred</t>
        </is>
      </c>
      <c r="L42" s="41" t="n">
        <v>1</v>
      </c>
      <c r="M42" s="41">
        <f>IF(H42="not applicable",IF(K42&lt;&gt;"",1,0),IF(I42="yes",IF(H42="verified",1,0),IF(OR(H42="tested",H42="verified"),1,0)))</f>
        <v/>
      </c>
    </row>
    <row r="43" ht="42" customHeight="1" s="21">
      <c r="A43" s="38" t="inlineStr">
        <is>
          <t>TOG-35</t>
        </is>
      </c>
      <c r="B43" s="38" t="inlineStr">
        <is>
          <t>Documentation</t>
        </is>
      </c>
      <c r="C43" s="38" t="inlineStr">
        <is>
          <t>Toggle</t>
        </is>
      </c>
      <c r="D43" s="38" t="inlineStr">
        <is>
          <t>Public Toggle guide covers role boundaries, stable labels, behavior/native/ref contract, visual API, accessibility, CSS hooks, and preferences</t>
        </is>
      </c>
      <c r="E43" s="38" t="inlineStr">
        <is>
          <t>package</t>
        </is>
      </c>
      <c r="F43" s="38" t="inlineStr">
        <is>
          <t>docs</t>
        </is>
      </c>
      <c r="G43" s="39" t="inlineStr">
        <is>
          <t>../docs/components/toggle/README.md</t>
        </is>
      </c>
      <c r="H43" s="38" t="inlineStr">
        <is>
          <t>tested</t>
        </is>
      </c>
      <c r="I43" s="38" t="inlineStr">
        <is>
          <t>no</t>
        </is>
      </c>
      <c r="J43" s="42" t="n">
        <v>46221</v>
      </c>
      <c r="K43" s="38" t="n"/>
      <c r="L43" s="41" t="n">
        <v>1</v>
      </c>
      <c r="M43" s="41">
        <f>IF(H43="not applicable",IF(K43&lt;&gt;"",1,0),IF(I43="yes",IF(H43="verified",1,0),IF(OR(H43="tested",H43="verified"),1,0)))</f>
        <v/>
      </c>
    </row>
    <row r="44" ht="42" customHeight="1" s="21">
      <c r="A44" s="38" t="inlineStr">
        <is>
          <t>TOG-36</t>
        </is>
      </c>
      <c r="B44" s="38" t="inlineStr">
        <is>
          <t>Documentation</t>
        </is>
      </c>
      <c r="C44" s="38" t="inlineStr">
        <is>
          <t>ToggleGroup</t>
        </is>
      </c>
      <c r="D44" s="38" t="inlineStr">
        <is>
          <t>Public ToggleGroup guide and both changelogs cover discriminated selection, naming, keyboard, separated/attached/full-width geometry, ownership, and evidence</t>
        </is>
      </c>
      <c r="E44" s="38" t="inlineStr">
        <is>
          <t>package</t>
        </is>
      </c>
      <c r="F44" s="38" t="inlineStr">
        <is>
          <t>docs</t>
        </is>
      </c>
      <c r="G44" s="39" t="inlineStr">
        <is>
          <t>../docs/components/toggle-group/README.md</t>
        </is>
      </c>
      <c r="H44" s="38" t="inlineStr">
        <is>
          <t>tested</t>
        </is>
      </c>
      <c r="I44" s="38" t="inlineStr">
        <is>
          <t>no</t>
        </is>
      </c>
      <c r="J44" s="42" t="n">
        <v>46221</v>
      </c>
      <c r="K44" s="38" t="n"/>
      <c r="L44" s="41" t="n">
        <v>1</v>
      </c>
      <c r="M44" s="41">
        <f>IF(H44="not applicable",IF(K44&lt;&gt;"",1,0),IF(I44="yes",IF(H44="verified",1,0),IF(OR(H44="tested",H44="verified"),1,0)))</f>
        <v/>
      </c>
    </row>
    <row r="45" ht="42" customHeight="1" s="21">
      <c r="A45" s="38" t="inlineStr">
        <is>
          <t>TOG-37</t>
        </is>
      </c>
      <c r="B45" s="38" t="inlineStr">
        <is>
          <t>Consumer</t>
        </is>
      </c>
      <c r="C45" s="38" t="inlineStr">
        <is>
          <t>Family</t>
        </is>
      </c>
      <c r="D45" s="38" t="inlineStr">
        <is>
          <t>Independent Consumer uses public Toggle and ToggleGroup subpaths for appearance and Cards/List view and passes production, boundary, desktop/mobile, state, layout, and axe checks</t>
        </is>
      </c>
      <c r="E45" s="38" t="inlineStr">
        <is>
          <t>consumer</t>
        </is>
      </c>
      <c r="F45" s="38" t="inlineStr">
        <is>
          <t>consumer</t>
        </is>
      </c>
      <c r="G45" s="39" t="inlineStr">
        <is>
          <t>../../../../apps/brick-consumer/tests/consumer.spec.ts</t>
        </is>
      </c>
      <c r="H45" s="38" t="inlineStr">
        <is>
          <t>tested</t>
        </is>
      </c>
      <c r="I45" s="38" t="inlineStr">
        <is>
          <t>no</t>
        </is>
      </c>
      <c r="J45" s="42" t="n">
        <v>46221</v>
      </c>
      <c r="K45" s="38" t="n"/>
      <c r="L45" s="41" t="n">
        <v>1</v>
      </c>
      <c r="M45" s="41">
        <f>IF(H45="not applicable",IF(K45&lt;&gt;"",1,0),IF(I45="yes",IF(H45="verified",1,0),IF(OR(H45="tested",H45="verified"),1,0)))</f>
        <v/>
      </c>
    </row>
    <row r="46" ht="42" customHeight="1" s="21">
      <c r="A46" s="38" t="inlineStr">
        <is>
          <t>TOG-38</t>
        </is>
      </c>
      <c r="B46" s="38" t="inlineStr">
        <is>
          <t>Retirement</t>
        </is>
      </c>
      <c r="C46" s="38" t="inlineStr">
        <is>
          <t>Legacy Toggle family</t>
        </is>
      </c>
      <c r="D46" s="38" t="inlineStr">
        <is>
          <t>Fresh searches found no live dependents; Core Toggle/ToggleGroup sources and input-barrel exports are removed and Core builds</t>
        </is>
      </c>
      <c r="E46" s="38" t="inlineStr">
        <is>
          <t>retirement</t>
        </is>
      </c>
      <c r="F46" s="38" t="inlineStr">
        <is>
          <t>removal</t>
        </is>
      </c>
      <c r="G46" s="39" t="inlineStr">
        <is>
          <t>../../docs/core-dependency-ledger.md</t>
        </is>
      </c>
      <c r="H46" s="38" t="inlineStr">
        <is>
          <t>tested</t>
        </is>
      </c>
      <c r="I46" s="38" t="inlineStr">
        <is>
          <t>no</t>
        </is>
      </c>
      <c r="J46" s="42" t="n">
        <v>46221</v>
      </c>
      <c r="K46" s="38" t="n"/>
      <c r="L46" s="41" t="n">
        <v>1</v>
      </c>
      <c r="M46" s="41">
        <f>IF(H46="not applicable",IF(K46&lt;&gt;"",1,0),IF(I46="yes",IF(H46="verified",1,0),IF(OR(H46="tested",H46="verified"),1,0)))</f>
        <v/>
      </c>
    </row>
    <row r="47" ht="42" customHeight="1" s="21">
      <c r="A47" s="38" t="inlineStr">
        <is>
          <t>TOG-39</t>
        </is>
      </c>
      <c r="B47" s="38" t="inlineStr">
        <is>
          <t>Scope</t>
        </is>
      </c>
      <c r="C47" s="38" t="inlineStr">
        <is>
          <t>Family</t>
        </is>
      </c>
      <c r="D47" s="38" t="inlineStr">
        <is>
          <t>Tone, generic Chip/Tag, required single-selection behavior, item-level recipe overrides, navigation, disclosure, and form-setting semantics remain deliberately excluded</t>
        </is>
      </c>
      <c r="E47" s="38" t="inlineStr">
        <is>
          <t>package</t>
        </is>
      </c>
      <c r="F47" s="38" t="inlineStr">
        <is>
          <t>decision</t>
        </is>
      </c>
      <c r="G47" s="39" t="inlineStr">
        <is>
          <t>../../docs/toggle-component-brief.md</t>
        </is>
      </c>
      <c r="H47" s="38" t="inlineStr">
        <is>
          <t>verified</t>
        </is>
      </c>
      <c r="I47" s="38" t="inlineStr">
        <is>
          <t>yes</t>
        </is>
      </c>
      <c r="J47" s="42" t="n">
        <v>46221</v>
      </c>
      <c r="K47" s="38" t="n"/>
      <c r="L47" s="41" t="n">
        <v>1</v>
      </c>
      <c r="M47" s="41">
        <f>IF(H47="not applicable",IF(K47&lt;&gt;"",1,0),IF(I47="yes",IF(H47="verified",1,0),IF(OR(H47="tested",H47="verified"),1,0)))</f>
        <v/>
      </c>
    </row>
  </sheetData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avatar/Avatar.tsx" r:id="rId1"/>
    <hyperlink xmlns:r="http://schemas.openxmlformats.org/officeDocument/2006/relationships" ref="G10" display="../../docs/avatar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avatar.test.tsx" r:id="rId4"/>
    <hyperlink xmlns:r="http://schemas.openxmlformats.org/officeDocument/2006/relationships" ref="G13" display="../test/components/avatar.test.tsx" r:id="rId5"/>
    <hyperlink xmlns:r="http://schemas.openxmlformats.org/officeDocument/2006/relationships" ref="G14" display="../test/components/avatar.test.tsx" r:id="rId6"/>
    <hyperlink xmlns:r="http://schemas.openxmlformats.org/officeDocument/2006/relationships" ref="G15" display="../test/components/avatar.test.tsx" r:id="rId7"/>
    <hyperlink xmlns:r="http://schemas.openxmlformats.org/officeDocument/2006/relationships" ref="G16" display="../test/components/avatar.test.tsx" r:id="rId8"/>
    <hyperlink xmlns:r="http://schemas.openxmlformats.org/officeDocument/2006/relationships" ref="G17" display="../test/components/avatar.test.tsx" r:id="rId9"/>
    <hyperlink xmlns:r="http://schemas.openxmlformats.org/officeDocument/2006/relationships" ref="G18" display="tests/avatar.spec.ts" r:id="rId10"/>
    <hyperlink xmlns:r="http://schemas.openxmlformats.org/officeDocument/2006/relationships" ref="G19" display="tests/avatar.spec.ts" r:id="rId11"/>
    <hyperlink xmlns:r="http://schemas.openxmlformats.org/officeDocument/2006/relationships" ref="G20" display="tests/avatar.spec.ts" r:id="rId12"/>
    <hyperlink xmlns:r="http://schemas.openxmlformats.org/officeDocument/2006/relationships" ref="G21" display="tests/avatar.spec.ts" r:id="rId13"/>
    <hyperlink xmlns:r="http://schemas.openxmlformats.org/officeDocument/2006/relationships" ref="G22" display="tests/avatar.spec.ts" r:id="rId14"/>
    <hyperlink xmlns:r="http://schemas.openxmlformats.org/officeDocument/2006/relationships" ref="G23" display="../playground/src/main.tsx" r:id="rId15"/>
    <hyperlink xmlns:r="http://schemas.openxmlformats.org/officeDocument/2006/relationships" ref="G24" display="tests/avatar.spec.ts" r:id="rId16"/>
    <hyperlink xmlns:r="http://schemas.openxmlformats.org/officeDocument/2006/relationships" ref="G25" display="../src/components/avatar/avatar.css" r:id="rId17"/>
    <hyperlink xmlns:r="http://schemas.openxmlformats.org/officeDocument/2006/relationships" ref="G26" display="tests/visual.spec.ts" r:id="rId18"/>
    <hyperlink xmlns:r="http://schemas.openxmlformats.org/officeDocument/2006/relationships" ref="G27" display="tests/avatar.spec.ts" r:id="rId19"/>
    <hyperlink xmlns:r="http://schemas.openxmlformats.org/officeDocument/2006/relationships" ref="G28" display="tests/avatar.spec.ts" r:id="rId20"/>
    <hyperlink xmlns:r="http://schemas.openxmlformats.org/officeDocument/2006/relationships" ref="G29" display="../playground/src/main.tsx" r:id="rId21"/>
    <hyperlink xmlns:r="http://schemas.openxmlformats.org/officeDocument/2006/relationships" ref="G30" display="../playground/src/main.tsx" r:id="rId22"/>
    <hyperlink xmlns:r="http://schemas.openxmlformats.org/officeDocument/2006/relationships" ref="G31" display="../playground/src/main.tsx" r:id="rId23"/>
    <hyperlink xmlns:r="http://schemas.openxmlformats.org/officeDocument/2006/relationships" ref="G32" display="../test/components/avatar.test.tsx" r:id="rId24"/>
    <hyperlink xmlns:r="http://schemas.openxmlformats.org/officeDocument/2006/relationships" ref="G33" display="../test/types/public-api.test.ts" r:id="rId25"/>
    <hyperlink xmlns:r="http://schemas.openxmlformats.org/officeDocument/2006/relationships" ref="G34" display="../test/package/package.test.mjs" r:id="rId26"/>
    <hyperlink xmlns:r="http://schemas.openxmlformats.org/officeDocument/2006/relationships" ref="G35" display="../scripts/verify-consumers.mjs" r:id="rId27"/>
    <hyperlink xmlns:r="http://schemas.openxmlformats.org/officeDocument/2006/relationships" ref="G36" display="../test/components/avatar.test.tsx" r:id="rId28"/>
    <hyperlink xmlns:r="http://schemas.openxmlformats.org/officeDocument/2006/relationships" ref="G37" display="tests/avatar.spec.ts" r:id="rId29"/>
    <hyperlink xmlns:r="http://schemas.openxmlformats.org/officeDocument/2006/relationships" ref="G38" display="tests/avatar.spec.ts" r:id="rId30"/>
    <hyperlink xmlns:r="http://schemas.openxmlformats.org/officeDocument/2006/relationships" ref="G39" display="tests/visual.spec.ts" r:id="rId31"/>
    <hyperlink xmlns:r="http://schemas.openxmlformats.org/officeDocument/2006/relationships" ref="G40" display="../playwright.config.ts" r:id="rId32"/>
    <hyperlink xmlns:r="http://schemas.openxmlformats.org/officeDocument/2006/relationships" ref="G41" display="manual-tests/avatar.md" r:id="rId33"/>
    <hyperlink xmlns:r="http://schemas.openxmlformats.org/officeDocument/2006/relationships" ref="G42" display="manual-tests/avatar.md" r:id="rId34"/>
    <hyperlink xmlns:r="http://schemas.openxmlformats.org/officeDocument/2006/relationships" ref="G43" display="../docs/components/avatar/README.md" r:id="rId35"/>
    <hyperlink xmlns:r="http://schemas.openxmlformats.org/officeDocument/2006/relationships" ref="G44" display="../docs/components/avatar/CHANGELOG.md" r:id="rId36"/>
    <hyperlink xmlns:r="http://schemas.openxmlformats.org/officeDocument/2006/relationships" ref="G45" display="../../../../apps/brick-consumer/tests/consumer.spec.ts" r:id="rId37"/>
    <hyperlink xmlns:r="http://schemas.openxmlformats.org/officeDocument/2006/relationships" ref="G46" display="../../docs/core-dependency-ledger.md" r:id="rId38"/>
    <hyperlink xmlns:r="http://schemas.openxmlformats.org/officeDocument/2006/relationships" ref="G47" display="../../docs/avatar-component-brief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 UI</dc:creator>
  <dc:title xmlns:dc="http://purl.org/dc/elements/1.1/">Brick Component Coverage</dc:title>
  <dc:subject xmlns:dc="http://purl.org/dc/elements/1.1/">Reference component quality and retirement evidence</dc:subject>
  <dc:language xmlns:dc="http://purl.org/dc/elements/1.1/">en-US</dc:language>
  <dcterms:created xmlns:dcterms="http://purl.org/dc/terms/" xmlns:xsi="http://www.w3.org/2001/XMLSchema-instance" xsi:type="dcterms:W3CDTF">2026-07-16T17:42:40Z</dcterms:created>
  <dcterms:modified xmlns:dcterms="http://purl.org/dc/terms/" xmlns:xsi="http://www.w3.org/2001/XMLSchema-instance" xsi:type="dcterms:W3CDTF">2026-07-19T01:00:50Z</dcterms:modified>
  <cp:revision>0</cp:revision>
</cp:coreProperties>
</file>