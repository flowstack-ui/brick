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2" activeTab="2"/>
  </bookViews>
  <sheets>
    <sheet name="Index" sheetId="1" state="hidden" r:id="rId3"/>
    <sheet name="Instructions" sheetId="2" state="hidden" r:id="rId4"/>
    <sheet name="Button" sheetId="3" state="visible" r:id="rId5"/>
    <sheet name="Card" sheetId="4" state="hidden" r:id="rId6"/>
    <sheet name="Dialog" sheetId="5" state="hidden" r:id="rId7"/>
    <sheet name="_Lists" sheetId="6" state="hidden" r:id="rId8"/>
  </sheets>
  <definedNames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Card!$A$1:$M$34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4" name="_xlnm.Print_Area" vbProcedure="false">Dialog!$A$1:$M$34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Dialog!$A$8:$M$34</definedName>
    <definedName function="false" hidden="false" localSheetId="0" name="_xlnm.Print_Area" vbProcedure="false">Index!$A$1:$N$10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<sst xmlns="http://schemas.openxmlformats.org/spreadsheetml/2006/main" count="779" uniqueCount="221">
  <si>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</si>
  <si>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</si>
  <si>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</si>
  <si>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</si>
  <si>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</si>
  <si>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</si>
  <si>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</si>
  <si>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</si>
  <si>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</si>
  <si>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</si>
  <si>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</si>
  <si>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</si>
  <si>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</si>
  <si>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</si>
  <si>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</si>
  <si>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</si>
  <si>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</si>
  <si>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</si>
  <si>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</si>
  <si>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</si>
  <si>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</si>
  <si>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</si>
  <si>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</si>
  <si>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</si>
  <si>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</si>
  <si>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</si>
  <si>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</si>
  <si>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</si>
  <si>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</si>
  <si>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</si>
  <si>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</si>
  <si>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</si>
  <si>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</si>
  <si>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</si>
  <si>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</si>
  <si>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</si>
  <si>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</si>
  <si>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</si>
  <si>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</si>
  <si>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</si>
  <si>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</si>
  <si>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</si>
  <si>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values, keep evidence links short, record blocker and not-applicable reasons, recalculate,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</si>
  <si>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</si>
  <si>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</si>
  <si>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</si>
  <si>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</si>
  <si>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</si>
  <si>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</si>
  <si>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</si>
  <si>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</si>
  <si>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</si>
  <si>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</si>
  <si>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</si>
  <si>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</si>
  <si>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</si>
  <si>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</si>
  <si>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</si>
  <si>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</si>
  <si>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</si>
  <si>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</si>
  <si>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</si>
  <si>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</si>
  <si>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</si>
  <si>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</si>
  <si>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</si>
  <si>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</si>
  <si>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</si>
  <si>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</si>
  <si>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</si>
  <si>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</si>
  <si>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</si>
  <si>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</si>
  <si>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</si>
  <si>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</si>
  <si>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</si>
  <si>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</si>
  <si>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</si>
  <si>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</si>
  <si>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</si>
  <si>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</si>
  <si>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</si>
  <si>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</si>
  <si>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</si>
  <si>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</si>
  <si>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</si>
  <si>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</si>
  <si>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</si>
  <si>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</si>
  <si>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</si>
  <si>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</si>
  <si>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</si>
  <si>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</si>
  <si>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</si>
  <si>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</si>
  <si>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</si>
  <si>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</si>
  <si>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</si>
  <si>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</si>
  <si>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</si>
  <si>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</si>
  <si>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</si>
  <si>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</si>
  <si>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</si>
  <si>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</si>
  <si>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</si>
  <si>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</si>
  <si>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</si>
  <si>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</si>
  <si>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</si>
  <si>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</si>
  <si>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</si>
  <si>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</si>
  <si>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</si>
  <si>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</si>
  <si>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</si>
  <si>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</si>
  <si>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</si>
  <si>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</si>
  <si>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</si>
  <si>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</si>
  <si>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</si>
  <si>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</si>
  <si>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</si>
  <si>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</si>
  <si>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</si>
  <si>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</si>
  <si>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</si>
  <si>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</si>
  <si>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</si>
  <si>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</si>
  <si>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</si>
  <si>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</si>
  <si>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</si>
  <si>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</si>
  <si>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</si>
  <si>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</si>
  <si>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</si>
  <si>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</si>
  <si>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</si>
  <si>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</si>
  <si>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</si>
  <si>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</si>
  <si>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</si>
  <si>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</si>
  <si>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</si>
  <si>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</si>
  <si>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</si>
  <si>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</si>
  <si>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</si>
  <si>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</si>
  <si>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</si>
  <si>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</si>
  <si>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Common requirements from Brick's adopted quality contract. Add approved anatomy and component-specific rows after the component brief lands.</t>
  </si>
  <si>
    <t xml:space="preserve">CAR-01</t>
  </si>
  <si>
    <t xml:space="preserve">Implementation uses public Atom behavior without Core or local headless wrappers</t>
  </si>
  <si>
    <t xml:space="preserve">CAR-02</t>
  </si>
  <si>
    <t xml:space="preserve">Atom capability audit covers mobile behavior and every Atom-owned gap is resolved through a released dependency</t>
  </si>
  <si>
    <t xml:space="preserve">CAR-03</t>
  </si>
  <si>
    <t xml:space="preserve">Public export and declaration surface match the approved brief</t>
  </si>
  <si>
    <t xml:space="preserve">CAR-04</t>
  </si>
  <si>
    <t xml:space="preserve">Native props, refs, composition, and public slots follow the adopted API contract</t>
  </si>
  <si>
    <t xml:space="preserve">CAR-05</t>
  </si>
  <si>
    <t xml:space="preserve">CAR-06</t>
  </si>
  <si>
    <t xml:space="preserve">Default recipe and every approved visual option are implemented</t>
  </si>
  <si>
    <t xml:space="preserve">CAR-07</t>
  </si>
  <si>
    <t xml:space="preserve">CAR-08</t>
  </si>
  <si>
    <t xml:space="preserve">Every public recipe, size, and important state</t>
  </si>
  <si>
    <t xml:space="preserve">CAR-09</t>
  </si>
  <si>
    <t xml:space="preserve">CAR-10</t>
  </si>
  <si>
    <t xml:space="preserve">Light, dark, and relevant preference modes</t>
  </si>
  <si>
    <t xml:space="preserve">CAR-11</t>
  </si>
  <si>
    <t xml:space="preserve">CAR-12</t>
  </si>
  <si>
    <t xml:space="preserve">Token, className, style, slot, and documented part customization</t>
  </si>
  <si>
    <t xml:space="preserve">CAR-13</t>
  </si>
  <si>
    <t xml:space="preserve">CAR-14</t>
  </si>
  <si>
    <t xml:space="preserve">CAR-15</t>
  </si>
  <si>
    <t xml:space="preserve">Public type and declaration fixtures</t>
  </si>
  <si>
    <t xml:space="preserve">CAR-16</t>
  </si>
  <si>
    <t xml:space="preserve">CAR-17</t>
  </si>
  <si>
    <t xml:space="preserve">CAR-18</t>
  </si>
  <si>
    <t xml:space="preserve">CAR-19</t>
  </si>
  <si>
    <t xml:space="preserve">CAR-20</t>
  </si>
  <si>
    <t xml:space="preserve">SSR or server-safe consumer behavior where applicable</t>
  </si>
  <si>
    <t xml:space="preserve">CAR-21</t>
  </si>
  <si>
    <t xml:space="preserve">CAR-22</t>
  </si>
  <si>
    <t xml:space="preserve">CAR-23</t>
  </si>
  <si>
    <t xml:space="preserve">CAR-24</t>
  </si>
  <si>
    <t xml:space="preserve">CAR-25</t>
  </si>
  <si>
    <t xml:space="preserve">CAR-26</t>
  </si>
  <si>
    <t xml:space="preserve">Dialog Evidence Matrix</t>
  </si>
  <si>
    <t xml:space="preserve">DIA-01</t>
  </si>
  <si>
    <t xml:space="preserve">DIA-02</t>
  </si>
  <si>
    <t xml:space="preserve">DIA-03</t>
  </si>
  <si>
    <t xml:space="preserve">DIA-04</t>
  </si>
  <si>
    <t xml:space="preserve">DIA-05</t>
  </si>
  <si>
    <t xml:space="preserve">DIA-06</t>
  </si>
  <si>
    <t xml:space="preserve">DIA-07</t>
  </si>
  <si>
    <t xml:space="preserve">DIA-08</t>
  </si>
  <si>
    <t xml:space="preserve">DIA-09</t>
  </si>
  <si>
    <t xml:space="preserve">DIA-10</t>
  </si>
  <si>
    <t xml:space="preserve">DIA-11</t>
  </si>
  <si>
    <t xml:space="preserve">DIA-12</t>
  </si>
  <si>
    <t xml:space="preserve">DIA-13</t>
  </si>
  <si>
    <t xml:space="preserve">DIA-14</t>
  </si>
  <si>
    <t xml:space="preserve">DIA-15</t>
  </si>
  <si>
    <t xml:space="preserve">DIA-16</t>
  </si>
  <si>
    <t xml:space="preserve">DIA-17</t>
  </si>
  <si>
    <t xml:space="preserve">DIA-18</t>
  </si>
  <si>
    <t xml:space="preserve">DIA-19</t>
  </si>
  <si>
    <t xml:space="preserve">DIA-20</t>
  </si>
  <si>
    <t xml:space="preserve">DIA-21</t>
  </si>
  <si>
    <t xml:space="preserve">DIA-22</t>
  </si>
  <si>
    <t xml:space="preserve">DIA-23</t>
  </si>
  <si>
    <t xml:space="preserve">DIA-24</t>
  </si>
  <si>
    <t xml:space="preserve">DIA-25</t>
  </si>
  <si>
    <t xml:space="preserve">DIA-26</t>
  </si>
  <si>
    <t xml:space="preserve">partial</t>
  </si>
  <si>
    <t xml:space="preserve">implemented</t>
  </si>
  <si>
    <t xml:space="preserve">blocked</t>
  </si>
  <si>
    <t xml:space="preserve">not applicable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</si>
</sst>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  <font>
      <sz val="12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6D28D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CardEvidence" displayName="Card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CoverageIndex" displayName="CoverageIndex" ref="A7:N10" headerRowCount="1" totalsRowCount="0" totalsRowShown="0">
  <autoFilter ref="A7:N10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4.xml><?xml version="1.0" encoding="utf-8"?>
<table xmlns="http://schemas.openxmlformats.org/spreadsheetml/2006/main" id="4" name="DialogEvidence" displayName="Dialog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../../../Users/willdonin/Library/Mobile%20Documents/com~apple~CloudDocs/DEVELOPER/FLOWSTACK/templateflow/packages/Users/willdonin/Library/Mobile%20Documents/com~apple~CloudDocs/DEVELOPER/FLOWSTACK/templateflow/packages/brick-ui/package/playground/component-coverag" TargetMode="External"/><Relationship Id="rId2" Type="http://schemas.openxmlformats.org/officeDocument/2006/relationships/hyperlink" Target="../../../Users/willdonin/Library/Mobile%20Documents/com~apple~CloudDocs/DEVELOPER/FLOWSTACK/templateflow/packages/Users/willdonin/Library/Mobile%20Documents/com~apple~CloudDocs/DEVELOPER/FLOWSTACK/templateflow/packages/brick-ui/package/playground/component-coverag" TargetMode="External"/><Relationship Id="rId3" Type="http://schemas.openxmlformats.org/officeDocument/2006/relationships/hyperlink" Target="../../../Users/willdonin/Library/Mobile%20Documents/com~apple~CloudDocs/DEVELOPER/FLOWSTACK/templateflow/packages/Users/willdonin/Library/Mobile%20Documents/com~apple~CloudDocs/DEVELOPER/FLOWSTACK/templateflow/packages/brick-ui/package/playground/component-coverag" TargetMode="External"/><Relationship Id="rId4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Users/willdonin/Library/Mobile%20Documents/com~apple~CloudDocs/DEVELOPER/FLOWSTACK/templateflow/packages/brick-ui/package/src/components/button/Button.tsx" TargetMode="External"/><Relationship Id="rId2" Type="http://schemas.openxmlformats.org/officeDocument/2006/relationships/hyperlink" Target="../../../Users/willdonin/Library/Mobile%20Documents/com~apple~CloudDocs/DEVELOPER/FLOWSTACK/templateflow/packages/brick-ui/docs/button-component-brief.md" TargetMode="External"/><Relationship Id="rId3" Type="http://schemas.openxmlformats.org/officeDocument/2006/relationships/hyperlink" Target="../../../Users/willdonin/Library/Mobile%20Documents/com~apple~CloudDocs/DEVELOPER/FLOWSTACK/templateflow/packages/brick-ui/package/src/button.ts" TargetMode="External"/><Relationship Id="rId4" Type="http://schemas.openxmlformats.org/officeDocument/2006/relationships/hyperlink" Target="../../../Users/willdonin/Library/Mobile%20Documents/com~apple~CloudDocs/DEVELOPER/FLOWSTACK/templateflow/packages/brick-ui/package/test/components/button.test.tsx" TargetMode="External"/><Relationship Id="rId5" Type="http://schemas.openxmlformats.org/officeDocument/2006/relationships/hyperlink" Target="../../../Users/willdonin/Library/Mobile%20Documents/com~apple~CloudDocs/DEVELOPER/FLOWSTACK/templateflow/packages/brick-ui/package/src/components/button/button.css" TargetMode="External"/><Relationship Id="rId6" Type="http://schemas.openxmlformats.org/officeDocument/2006/relationships/hyperlink" Target="../../../Users/willdonin/Library/Mobile%20Documents/com~apple~CloudDocs/DEVELOPER/FLOWSTACK/templateflow/packages/brick-ui/package/playground/tests/button.spec.ts" TargetMode="External"/><Relationship Id="rId7" Type="http://schemas.openxmlformats.org/officeDocument/2006/relationships/hyperlink" Target="../../../Users/willdonin/Library/Mobile%20Documents/com~apple~CloudDocs/DEVELOPER/FLOWSTACK/templateflow/packages/brick-ui/package/playground/src/main.tsx" TargetMode="External"/><Relationship Id="rId8" Type="http://schemas.openxmlformats.org/officeDocument/2006/relationships/hyperlink" Target="../../../Users/willdonin/Library/Mobile%20Documents/com~apple~CloudDocs/DEVELOPER/FLOWSTACK/templateflow/packages/brick-ui/package/playground/src/main.tsx" TargetMode="External"/><Relationship Id="rId9" Type="http://schemas.openxmlformats.org/officeDocument/2006/relationships/hyperlink" Target="../../../Users/willdonin/Library/Mobile%20Documents/com~apple~CloudDocs/DEVELOPER/FLOWSTACK/templateflow/packages/brick-ui/package/playground/tests/button.spec.ts" TargetMode="External"/><Relationship Id="rId10" Type="http://schemas.openxmlformats.org/officeDocument/2006/relationships/hyperlink" Target="../../../Users/willdonin/Library/Mobile%20Documents/com~apple~CloudDocs/DEVELOPER/FLOWSTACK/templateflow/packages/brick-ui/package/src/components/button/button.css" TargetMode="External"/><Relationship Id="rId11" Type="http://schemas.openxmlformats.org/officeDocument/2006/relationships/hyperlink" Target="../../../Users/willdonin/Library/Mobile%20Documents/com~apple~CloudDocs/DEVELOPER/FLOWSTACK/templateflow/packages/brick-ui/package/playground/src/main.tsx" TargetMode="External"/><Relationship Id="rId12" Type="http://schemas.openxmlformats.org/officeDocument/2006/relationships/hyperlink" Target="../../../Users/willdonin/Library/Mobile%20Documents/com~apple~CloudDocs/DEVELOPER/FLOWSTACK/templateflow/packages/brick-ui/package/playground/src/main.tsx" TargetMode="External"/><Relationship Id="rId13" Type="http://schemas.openxmlformats.org/officeDocument/2006/relationships/hyperlink" Target="../../../Users/willdonin/Library/Mobile%20Documents/com~apple~CloudDocs/DEVELOPER/FLOWSTACK/templateflow/packages/brick-ui/package/playground/tests/button.spec.ts" TargetMode="External"/><Relationship Id="rId14" Type="http://schemas.openxmlformats.org/officeDocument/2006/relationships/hyperlink" Target="../../../Users/willdonin/Library/Mobile%20Documents/com~apple~CloudDocs/DEVELOPER/FLOWSTACK/templateflow/packages/brick-ui/package/test/components/button.test.tsx" TargetMode="External"/><Relationship Id="rId15" Type="http://schemas.openxmlformats.org/officeDocument/2006/relationships/hyperlink" Target="../../../Users/willdonin/Library/Mobile%20Documents/com~apple~CloudDocs/DEVELOPER/FLOWSTACK/templateflow/packages/brick-ui/package/test/types/public-api.test.ts" TargetMode="External"/><Relationship Id="rId16" Type="http://schemas.openxmlformats.org/officeDocument/2006/relationships/hyperlink" Target="../../../Users/willdonin/Library/Mobile%20Documents/com~apple~CloudDocs/DEVELOPER/FLOWSTACK/templateflow/packages/brick-ui/package/playground/tests/button.spec.ts" TargetMode="External"/><Relationship Id="rId17" Type="http://schemas.openxmlformats.org/officeDocument/2006/relationships/hyperlink" Target="../../../Users/willdonin/Library/Mobile%20Documents/com~apple~CloudDocs/DEVELOPER/FLOWSTACK/templateflow/packages/brick-ui/package/playground/tests/foundation.spec.ts" TargetMode="External"/><Relationship Id="rId18" Type="http://schemas.openxmlformats.org/officeDocument/2006/relationships/hyperlink" Target="../../../Users/willdonin/Library/Mobile%20Documents/com~apple~CloudDocs/DEVELOPER/FLOWSTACK/templateflow/packages/brick-ui/package/playground/tests/button.spec.ts" TargetMode="External"/><Relationship Id="rId19" Type="http://schemas.openxmlformats.org/officeDocument/2006/relationships/hyperlink" Target="../../../Users/willdonin/Library/Mobile%20Documents/com~apple~CloudDocs/DEVELOPER/FLOWSTACK/templateflow/packages/brick-ui/package/scripts/verify-consumers.mjs" TargetMode="External"/><Relationship Id="rId20" Type="http://schemas.openxmlformats.org/officeDocument/2006/relationships/hyperlink" Target="../../../Users/willdonin/Library/Mobile%20Documents/com~apple~CloudDocs/DEVELOPER/FLOWSTACK/templateflow/packages/brick-ui/package/playground/manual-tests/button.md" TargetMode="External"/><Relationship Id="rId21" Type="http://schemas.openxmlformats.org/officeDocument/2006/relationships/hyperlink" Target="../../../Users/willdonin/Library/Mobile%20Documents/com~apple~CloudDocs/DEVELOPER/FLOWSTACK/templateflow/packages/brick-ui/package/docs/components/button/README.md" TargetMode="External"/><Relationship Id="rId22" Type="http://schemas.openxmlformats.org/officeDocument/2006/relationships/hyperlink" Target="../../../Users/willdonin/Library/Mobile%20Documents/com~apple~CloudDocs/DEVELOPER/FLOWSTACK/templateflow/packages/brick-ui/package/docs/components/button/CHANGELOG.md" TargetMode="External"/><Relationship Id="rId23" Type="http://schemas.openxmlformats.org/officeDocument/2006/relationships/drawing" Target="../drawings/drawing2.xml"/><Relationship Id="rId24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COUNTA(A8:A10)</f>
        <v>3</v>
      </c>
      <c r="C4" s="4" t="s">
        <v>3</v>
      </c>
      <c r="D4" s="5" t="n">
        <f aca="false">COUNTIF(M8:M10,"complete")</f>
        <v>0</v>
      </c>
      <c r="E4" s="4" t="s">
        <v>4</v>
      </c>
      <c r="F4" s="5" t="n">
        <f aca="false">SUM(H8:H10)</f>
        <v>0</v>
      </c>
      <c r="G4" s="4" t="s">
        <v>5</v>
      </c>
      <c r="H4" s="6" t="n">
        <f aca="false">IFERROR(SUMPRODUCT(B8:B10,J8:J10)/SUM(B8:B10),0)</f>
        <v>0.320512820512821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COUNTA(Card!A9:A34)</f>
        <v>26</v>
      </c>
      <c r="C9" s="8" t="n">
        <f aca="false">COUNTIF(Card!H9:H34,"not started")</f>
        <v>26</v>
      </c>
      <c r="D9" s="8" t="n">
        <f aca="false">COUNTIF(Card!H9:H34,"partial")</f>
        <v>0</v>
      </c>
      <c r="E9" s="8" t="n">
        <f aca="false">COUNTIF(Card!H9:H34,"implemented")</f>
        <v>0</v>
      </c>
      <c r="F9" s="8" t="n">
        <f aca="false">COUNTIF(Card!H9:H34,"tested")</f>
        <v>0</v>
      </c>
      <c r="G9" s="8" t="n">
        <f aca="false">COUNTIF(Card!H9:H34,"verified")</f>
        <v>0</v>
      </c>
      <c r="H9" s="8" t="n">
        <f aca="false">COUNTIF(Card!H9:H34,"blocked")</f>
        <v>0</v>
      </c>
      <c r="I9" s="8" t="n">
        <f aca="false">COUNTIF(Card!H9:H34,"not applicable")</f>
        <v>0</v>
      </c>
      <c r="J9" s="9" t="n">
        <f aca="false">IFERROR(SUM(Card!M9:M34)/SUM(Card!L9:L34),0)</f>
        <v>0</v>
      </c>
      <c r="K9" s="8" t="str">
        <f aca="false">IF(COUNTIFS(Card!E9:E34,"package",Card!M9:M34,"&lt;1")=0,"complete","open")</f>
        <v>open</v>
      </c>
      <c r="L9" s="8" t="str">
        <f aca="false">IF(COUNTIFS(Card!E9:E34,"consumer",Card!M9:M34,"&lt;1")=0,"complete","open")</f>
        <v>open</v>
      </c>
      <c r="M9" s="8" t="str">
        <f aca="false">IF(COUNTIFS(Card!E9:E34,"retirement",Card!M9:M34,"&lt;1")=0,"complete","open")</f>
        <v>open</v>
      </c>
      <c r="N9" s="8" t="str">
        <f aca="false">IF(H9&gt;0,"blocked",IF(AND(J9=1,K9="complete",L9="complete",M9="complete"),"complete",IF(J9=0,"not started","in progress")))</f>
        <v>not started</v>
      </c>
    </row>
    <row r="10" customFormat="false" ht="27.75" hidden="false" customHeight="true" outlineLevel="0" collapsed="false">
      <c r="A10" s="8" t="s">
        <v>21</v>
      </c>
      <c r="B10" s="8" t="n">
        <f aca="false">COUNTA(Dialog!A9:A34)</f>
        <v>26</v>
      </c>
      <c r="C10" s="8" t="n">
        <f aca="false">COUNTIF(Dialog!H9:H34,"not started")</f>
        <v>26</v>
      </c>
      <c r="D10" s="8" t="n">
        <f aca="false">COUNTIF(Dialog!H9:H34,"partial")</f>
        <v>0</v>
      </c>
      <c r="E10" s="8" t="n">
        <f aca="false">COUNTIF(Dialog!H9:H34,"implemented")</f>
        <v>0</v>
      </c>
      <c r="F10" s="8" t="n">
        <f aca="false">COUNTIF(Dialog!H9:H34,"tested")</f>
        <v>0</v>
      </c>
      <c r="G10" s="8" t="n">
        <f aca="false">COUNTIF(Dialog!H9:H34,"verified")</f>
        <v>0</v>
      </c>
      <c r="H10" s="8" t="n">
        <f aca="false">COUNTIF(Dialog!H9:H34,"blocked")</f>
        <v>0</v>
      </c>
      <c r="I10" s="8" t="n">
        <f aca="false">COUNTIF(Dialog!H9:H34,"not applicable")</f>
        <v>0</v>
      </c>
      <c r="J10" s="9" t="n">
        <f aca="false">IFERROR(SUM(Dialog!M9:M34)/SUM(Dialog!L9:L34),0)</f>
        <v>0</v>
      </c>
      <c r="K10" s="8" t="str">
        <f aca="false">IF(COUNTIFS(Dialog!E9:E34,"package",Dialog!M9:M34,"&lt;1")=0,"complete","open")</f>
        <v>open</v>
      </c>
      <c r="L10" s="8" t="str">
        <f aca="false">IF(COUNTIFS(Dialog!E9:E34,"consumer",Dialog!M9:M34,"&lt;1")=0,"complete","open")</f>
        <v>open</v>
      </c>
      <c r="M10" s="8" t="str">
        <f aca="false">IF(COUNTIFS(Dialog!E9:E34,"retirement",Dialog!M9:M34,"&lt;1")=0,"complete","open")</f>
        <v>open</v>
      </c>
      <c r="N10" s="8" t="str">
        <f aca="false">IF(H10&gt;0,"blocked",IF(AND(J10=1,K10="complete",L10="complete",M10="complete"),"complete",IF(J10=0,"not started","in progress")))</f>
        <v>not started</v>
      </c>
    </row>
  </sheetData>
  <mergeCells count="2">
    <mergeCell ref="A1:N1"/>
    <mergeCell ref="A2:N2"/>
  </mergeCells>
  <conditionalFormatting sqref="N8:N10">
    <cfRule type="expression" priority="2" aboveAverage="0" equalAverage="0" bottom="0" percent="0" rank="0" text="" dxfId="6">
      <formula>$N8="not started"</formula>
    </cfRule>
    <cfRule type="expression" priority="3" aboveAverage="0" equalAverage="0" bottom="0" percent="0" rank="0" text="" dxfId="7">
      <formula>$N8="partial"</formula>
    </cfRule>
    <cfRule type="expression" priority="4" aboveAverage="0" equalAverage="0" bottom="0" percent="0" rank="0" text="" dxfId="8">
      <formula>$N8="implemented"</formula>
    </cfRule>
    <cfRule type="expression" priority="5" aboveAverage="0" equalAverage="0" bottom="0" percent="0" rank="0" text="" dxfId="9">
      <formula>$N8="tested"</formula>
    </cfRule>
    <cfRule type="expression" priority="6" aboveAverage="0" equalAverage="0" bottom="0" percent="0" rank="0" text="" dxfId="10">
      <formula>$N8="verified"</formula>
    </cfRule>
    <cfRule type="expression" priority="7" aboveAverage="0" equalAverage="0" bottom="0" percent="0" rank="0" text="" dxfId="11">
      <formula>$N8="blocked"</formula>
    </cfRule>
    <cfRule type="expression" priority="8" aboveAverage="0" equalAverage="0" bottom="0" percent="0" rank="0" text="" dxfId="12">
      <formula>$N8="not applicable"</formula>
    </cfRule>
  </conditionalFormatting>
  <hyperlinks>
    <hyperlink ref="A8" r:id="rId1" location="'Button'!A1" display="Button"/>
    <hyperlink ref="A9" r:id="rId2" location="'Card'!A1" display="Card"/>
    <hyperlink ref="A10" r:id="rId3" location="'Dialog'!A1" display="Dialo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22</v>
      </c>
      <c r="B1" s="2"/>
      <c r="C1" s="2"/>
      <c r="D1" s="2"/>
    </row>
    <row r="2" customFormat="false" ht="33.75" hidden="false" customHeight="true" outlineLevel="0" collapsed="false">
      <c r="A2" s="3" t="s">
        <v>23</v>
      </c>
      <c r="B2" s="3"/>
      <c r="C2" s="3"/>
      <c r="D2" s="3"/>
    </row>
    <row r="4" customFormat="false" ht="15" hidden="false" customHeight="true" outlineLevel="0" collapsed="false">
      <c r="A4" s="7" t="s">
        <v>24</v>
      </c>
      <c r="B4" s="7" t="s">
        <v>25</v>
      </c>
    </row>
    <row r="5" customFormat="false" ht="30" hidden="false" customHeight="true" outlineLevel="0" collapsed="false">
      <c r="A5" s="10" t="s">
        <v>26</v>
      </c>
      <c r="B5" s="11" t="s">
        <v>27</v>
      </c>
    </row>
    <row r="6" customFormat="false" ht="30" hidden="false" customHeight="true" outlineLevel="0" collapsed="false">
      <c r="A6" s="12" t="s">
        <v>18</v>
      </c>
      <c r="B6" s="13" t="s">
        <v>28</v>
      </c>
    </row>
    <row r="7" customFormat="false" ht="30" hidden="false" customHeight="true" outlineLevel="0" collapsed="false">
      <c r="A7" s="10" t="s">
        <v>18</v>
      </c>
      <c r="B7" s="11" t="s">
        <v>29</v>
      </c>
    </row>
    <row r="8" customFormat="false" ht="30" hidden="false" customHeight="true" outlineLevel="0" collapsed="false">
      <c r="A8" s="12" t="s">
        <v>18</v>
      </c>
      <c r="B8" s="13" t="s">
        <v>30</v>
      </c>
    </row>
    <row r="9" customFormat="false" ht="30" hidden="false" customHeight="true" outlineLevel="0" collapsed="false">
      <c r="A9" s="10" t="s">
        <v>18</v>
      </c>
      <c r="B9" s="11" t="s">
        <v>31</v>
      </c>
    </row>
    <row r="10" customFormat="false" ht="30" hidden="false" customHeight="true" outlineLevel="0" collapsed="false">
      <c r="A10" s="12" t="s">
        <v>18</v>
      </c>
      <c r="B10" s="13" t="s">
        <v>32</v>
      </c>
    </row>
    <row r="11" customFormat="false" ht="30" hidden="false" customHeight="true" outlineLevel="0" collapsed="false">
      <c r="A11" s="10" t="s">
        <v>18</v>
      </c>
      <c r="B11" s="11" t="s">
        <v>33</v>
      </c>
    </row>
    <row r="12" customFormat="false" ht="30" hidden="false" customHeight="true" outlineLevel="0" collapsed="false">
      <c r="A12" s="12" t="s">
        <v>18</v>
      </c>
      <c r="B12" s="13" t="s">
        <v>34</v>
      </c>
    </row>
    <row r="13" customFormat="false" ht="30" hidden="false" customHeight="true" outlineLevel="0" collapsed="false">
      <c r="A13" s="10" t="s">
        <v>14</v>
      </c>
      <c r="B13" s="11" t="s">
        <v>35</v>
      </c>
    </row>
    <row r="14" customFormat="false" ht="30" hidden="false" customHeight="true" outlineLevel="0" collapsed="false">
      <c r="A14" s="12" t="s">
        <v>15</v>
      </c>
      <c r="B14" s="13" t="s">
        <v>36</v>
      </c>
    </row>
    <row r="15" customFormat="false" ht="30" hidden="false" customHeight="true" outlineLevel="0" collapsed="false">
      <c r="A15" s="10" t="s">
        <v>16</v>
      </c>
      <c r="B15" s="11" t="s">
        <v>37</v>
      </c>
    </row>
    <row r="16" customFormat="false" ht="30" hidden="false" customHeight="true" outlineLevel="0" collapsed="false">
      <c r="A16" s="12" t="s">
        <v>17</v>
      </c>
      <c r="B16" s="13" t="s">
        <v>38</v>
      </c>
    </row>
    <row r="17" customFormat="false" ht="30" hidden="false" customHeight="true" outlineLevel="0" collapsed="false">
      <c r="A17" s="10" t="s">
        <v>39</v>
      </c>
      <c r="B17" s="11" t="s">
        <v>40</v>
      </c>
    </row>
    <row r="18" customFormat="false" ht="30" hidden="false" customHeight="true" outlineLevel="0" collapsed="false">
      <c r="A18" s="12" t="s">
        <v>41</v>
      </c>
      <c r="B18" s="13" t="s">
        <v>42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45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46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47</v>
      </c>
      <c r="B8" s="7" t="s">
        <v>48</v>
      </c>
      <c r="C8" s="7" t="s">
        <v>49</v>
      </c>
      <c r="D8" s="7" t="s">
        <v>50</v>
      </c>
      <c r="E8" s="7" t="s">
        <v>51</v>
      </c>
      <c r="F8" s="7" t="s">
        <v>52</v>
      </c>
      <c r="G8" s="7" t="s">
        <v>53</v>
      </c>
      <c r="H8" s="7" t="s">
        <v>18</v>
      </c>
      <c r="I8" s="7" t="s">
        <v>54</v>
      </c>
      <c r="J8" s="7" t="s">
        <v>55</v>
      </c>
      <c r="K8" s="7" t="s">
        <v>56</v>
      </c>
      <c r="L8" s="7" t="s">
        <v>57</v>
      </c>
      <c r="M8" s="7" t="s">
        <v>45</v>
      </c>
    </row>
    <row r="9" customFormat="false" ht="42.75" hidden="false" customHeight="true" outlineLevel="0" collapsed="false">
      <c r="A9" s="15" t="s">
        <v>58</v>
      </c>
      <c r="B9" s="15" t="s">
        <v>59</v>
      </c>
      <c r="C9" s="15" t="s">
        <v>6</v>
      </c>
      <c r="D9" s="15" t="s">
        <v>60</v>
      </c>
      <c r="E9" s="15" t="s">
        <v>61</v>
      </c>
      <c r="F9" s="15" t="s">
        <v>62</v>
      </c>
      <c r="G9" s="16" t="s">
        <v>63</v>
      </c>
      <c r="H9" s="15" t="s">
        <v>64</v>
      </c>
      <c r="I9" s="15" t="s">
        <v>65</v>
      </c>
      <c r="J9" s="17" t="n">
        <v>46219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66</v>
      </c>
      <c r="B10" s="15" t="s">
        <v>67</v>
      </c>
      <c r="C10" s="15" t="s">
        <v>6</v>
      </c>
      <c r="D10" s="15" t="s">
        <v>68</v>
      </c>
      <c r="E10" s="15" t="s">
        <v>61</v>
      </c>
      <c r="F10" s="15" t="s">
        <v>69</v>
      </c>
      <c r="G10" s="16" t="s">
        <v>70</v>
      </c>
      <c r="H10" s="15" t="s">
        <v>71</v>
      </c>
      <c r="I10" s="15" t="s">
        <v>72</v>
      </c>
      <c r="J10" s="17" t="n">
        <v>46219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73</v>
      </c>
      <c r="B11" s="15" t="s">
        <v>59</v>
      </c>
      <c r="C11" s="15" t="s">
        <v>6</v>
      </c>
      <c r="D11" s="15" t="s">
        <v>74</v>
      </c>
      <c r="E11" s="15" t="s">
        <v>61</v>
      </c>
      <c r="F11" s="15" t="s">
        <v>75</v>
      </c>
      <c r="G11" s="16" t="s">
        <v>76</v>
      </c>
      <c r="H11" s="15" t="s">
        <v>64</v>
      </c>
      <c r="I11" s="15" t="s">
        <v>65</v>
      </c>
      <c r="J11" s="17" t="n">
        <v>46219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77</v>
      </c>
      <c r="B12" s="15" t="s">
        <v>59</v>
      </c>
      <c r="C12" s="15" t="s">
        <v>6</v>
      </c>
      <c r="D12" s="15" t="s">
        <v>78</v>
      </c>
      <c r="E12" s="15" t="s">
        <v>61</v>
      </c>
      <c r="F12" s="15" t="s">
        <v>75</v>
      </c>
      <c r="G12" s="16" t="s">
        <v>79</v>
      </c>
      <c r="H12" s="15" t="s">
        <v>64</v>
      </c>
      <c r="I12" s="15" t="s">
        <v>65</v>
      </c>
      <c r="J12" s="17" t="n">
        <v>46219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80</v>
      </c>
      <c r="B13" s="15" t="s">
        <v>81</v>
      </c>
      <c r="C13" s="15" t="s">
        <v>6</v>
      </c>
      <c r="D13" s="15" t="s">
        <v>82</v>
      </c>
      <c r="E13" s="15" t="s">
        <v>61</v>
      </c>
      <c r="F13" s="15" t="s">
        <v>62</v>
      </c>
      <c r="G13" s="16" t="s">
        <v>83</v>
      </c>
      <c r="H13" s="15" t="s">
        <v>64</v>
      </c>
      <c r="I13" s="15" t="s">
        <v>65</v>
      </c>
      <c r="J13" s="17" t="n">
        <v>46219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84</v>
      </c>
      <c r="B14" s="15" t="s">
        <v>81</v>
      </c>
      <c r="C14" s="15" t="s">
        <v>6</v>
      </c>
      <c r="D14" s="15" t="s">
        <v>85</v>
      </c>
      <c r="E14" s="15" t="s">
        <v>61</v>
      </c>
      <c r="F14" s="15" t="s">
        <v>62</v>
      </c>
      <c r="G14" s="16" t="s">
        <v>86</v>
      </c>
      <c r="H14" s="15" t="s">
        <v>71</v>
      </c>
      <c r="I14" s="15" t="s">
        <v>72</v>
      </c>
      <c r="J14" s="17" t="n">
        <v>46219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87</v>
      </c>
      <c r="B15" s="15" t="s">
        <v>88</v>
      </c>
      <c r="C15" s="15" t="s">
        <v>6</v>
      </c>
      <c r="D15" s="15" t="s">
        <v>89</v>
      </c>
      <c r="E15" s="15" t="s">
        <v>61</v>
      </c>
      <c r="F15" s="15" t="s">
        <v>90</v>
      </c>
      <c r="G15" s="16" t="s">
        <v>91</v>
      </c>
      <c r="H15" s="15" t="s">
        <v>71</v>
      </c>
      <c r="I15" s="15" t="s">
        <v>72</v>
      </c>
      <c r="J15" s="17" t="n">
        <v>46219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92</v>
      </c>
      <c r="B16" s="15" t="s">
        <v>88</v>
      </c>
      <c r="C16" s="15" t="s">
        <v>6</v>
      </c>
      <c r="D16" s="15" t="s">
        <v>93</v>
      </c>
      <c r="E16" s="15" t="s">
        <v>61</v>
      </c>
      <c r="F16" s="15" t="s">
        <v>90</v>
      </c>
      <c r="G16" s="16" t="s">
        <v>91</v>
      </c>
      <c r="H16" s="15" t="s">
        <v>71</v>
      </c>
      <c r="I16" s="15" t="s">
        <v>72</v>
      </c>
      <c r="J16" s="17" t="n">
        <v>46219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94</v>
      </c>
      <c r="B17" s="15" t="s">
        <v>88</v>
      </c>
      <c r="C17" s="15" t="s">
        <v>6</v>
      </c>
      <c r="D17" s="15" t="s">
        <v>95</v>
      </c>
      <c r="E17" s="15" t="s">
        <v>61</v>
      </c>
      <c r="F17" s="15" t="s">
        <v>90</v>
      </c>
      <c r="G17" s="16" t="s">
        <v>91</v>
      </c>
      <c r="H17" s="15" t="s">
        <v>71</v>
      </c>
      <c r="I17" s="15" t="s">
        <v>72</v>
      </c>
      <c r="J17" s="17" t="n">
        <v>46219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96</v>
      </c>
      <c r="B18" s="15" t="s">
        <v>88</v>
      </c>
      <c r="C18" s="15" t="s">
        <v>6</v>
      </c>
      <c r="D18" s="15" t="s">
        <v>97</v>
      </c>
      <c r="E18" s="15" t="s">
        <v>61</v>
      </c>
      <c r="F18" s="15" t="s">
        <v>90</v>
      </c>
      <c r="G18" s="16" t="s">
        <v>98</v>
      </c>
      <c r="H18" s="15" t="s">
        <v>71</v>
      </c>
      <c r="I18" s="15" t="s">
        <v>72</v>
      </c>
      <c r="J18" s="17" t="n">
        <v>46219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99</v>
      </c>
      <c r="B19" s="15" t="s">
        <v>88</v>
      </c>
      <c r="C19" s="15" t="s">
        <v>6</v>
      </c>
      <c r="D19" s="15" t="s">
        <v>100</v>
      </c>
      <c r="E19" s="15" t="s">
        <v>61</v>
      </c>
      <c r="F19" s="15" t="s">
        <v>90</v>
      </c>
      <c r="G19" s="16" t="s">
        <v>91</v>
      </c>
      <c r="H19" s="15" t="s">
        <v>71</v>
      </c>
      <c r="I19" s="15" t="s">
        <v>72</v>
      </c>
      <c r="J19" s="17" t="n">
        <v>46219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101</v>
      </c>
      <c r="B20" s="15" t="s">
        <v>88</v>
      </c>
      <c r="C20" s="15" t="s">
        <v>6</v>
      </c>
      <c r="D20" s="15" t="s">
        <v>102</v>
      </c>
      <c r="E20" s="15" t="s">
        <v>61</v>
      </c>
      <c r="F20" s="15" t="s">
        <v>90</v>
      </c>
      <c r="G20" s="16" t="s">
        <v>91</v>
      </c>
      <c r="H20" s="15" t="s">
        <v>71</v>
      </c>
      <c r="I20" s="15" t="s">
        <v>72</v>
      </c>
      <c r="J20" s="17" t="n">
        <v>46219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103</v>
      </c>
      <c r="B21" s="15" t="s">
        <v>88</v>
      </c>
      <c r="C21" s="15" t="s">
        <v>6</v>
      </c>
      <c r="D21" s="15" t="s">
        <v>104</v>
      </c>
      <c r="E21" s="15" t="s">
        <v>61</v>
      </c>
      <c r="F21" s="15" t="s">
        <v>90</v>
      </c>
      <c r="G21" s="16" t="s">
        <v>105</v>
      </c>
      <c r="H21" s="15" t="s">
        <v>64</v>
      </c>
      <c r="I21" s="15" t="s">
        <v>65</v>
      </c>
      <c r="J21" s="17" t="n">
        <v>46219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106</v>
      </c>
      <c r="B22" s="15" t="s">
        <v>107</v>
      </c>
      <c r="C22" s="15" t="s">
        <v>6</v>
      </c>
      <c r="D22" s="15" t="s">
        <v>108</v>
      </c>
      <c r="E22" s="15" t="s">
        <v>61</v>
      </c>
      <c r="F22" s="15" t="s">
        <v>109</v>
      </c>
      <c r="G22" s="16" t="s">
        <v>79</v>
      </c>
      <c r="H22" s="15" t="s">
        <v>64</v>
      </c>
      <c r="I22" s="15" t="s">
        <v>65</v>
      </c>
      <c r="J22" s="17" t="n">
        <v>46219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110</v>
      </c>
      <c r="B23" s="15" t="s">
        <v>107</v>
      </c>
      <c r="C23" s="15" t="s">
        <v>6</v>
      </c>
      <c r="D23" s="15" t="s">
        <v>111</v>
      </c>
      <c r="E23" s="15" t="s">
        <v>61</v>
      </c>
      <c r="F23" s="15" t="s">
        <v>109</v>
      </c>
      <c r="G23" s="16" t="s">
        <v>112</v>
      </c>
      <c r="H23" s="15" t="s">
        <v>64</v>
      </c>
      <c r="I23" s="15" t="s">
        <v>65</v>
      </c>
      <c r="J23" s="17" t="n">
        <v>46219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113</v>
      </c>
      <c r="B24" s="15" t="s">
        <v>107</v>
      </c>
      <c r="C24" s="15" t="s">
        <v>6</v>
      </c>
      <c r="D24" s="15" t="s">
        <v>114</v>
      </c>
      <c r="E24" s="15" t="s">
        <v>61</v>
      </c>
      <c r="F24" s="15" t="s">
        <v>109</v>
      </c>
      <c r="G24" s="16" t="s">
        <v>105</v>
      </c>
      <c r="H24" s="15" t="s">
        <v>64</v>
      </c>
      <c r="I24" s="15" t="s">
        <v>65</v>
      </c>
      <c r="J24" s="17" t="n">
        <v>46219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115</v>
      </c>
      <c r="B25" s="15" t="s">
        <v>107</v>
      </c>
      <c r="C25" s="15" t="s">
        <v>6</v>
      </c>
      <c r="D25" s="15" t="s">
        <v>116</v>
      </c>
      <c r="E25" s="15" t="s">
        <v>61</v>
      </c>
      <c r="F25" s="15" t="s">
        <v>109</v>
      </c>
      <c r="G25" s="16" t="s">
        <v>117</v>
      </c>
      <c r="H25" s="15" t="s">
        <v>64</v>
      </c>
      <c r="I25" s="15" t="s">
        <v>65</v>
      </c>
      <c r="J25" s="17" t="n">
        <v>46219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118</v>
      </c>
      <c r="B26" s="15" t="s">
        <v>107</v>
      </c>
      <c r="C26" s="15" t="s">
        <v>6</v>
      </c>
      <c r="D26" s="15" t="s">
        <v>119</v>
      </c>
      <c r="E26" s="15" t="s">
        <v>61</v>
      </c>
      <c r="F26" s="15" t="s">
        <v>109</v>
      </c>
      <c r="G26" s="15" t="s">
        <v>120</v>
      </c>
      <c r="H26" s="15" t="s">
        <v>71</v>
      </c>
      <c r="I26" s="15" t="s">
        <v>72</v>
      </c>
      <c r="J26" s="19" t="n">
        <v>46219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121</v>
      </c>
      <c r="B27" s="15" t="s">
        <v>107</v>
      </c>
      <c r="C27" s="15" t="s">
        <v>6</v>
      </c>
      <c r="D27" s="15" t="s">
        <v>122</v>
      </c>
      <c r="E27" s="15" t="s">
        <v>61</v>
      </c>
      <c r="F27" s="15" t="s">
        <v>109</v>
      </c>
      <c r="G27" s="16" t="s">
        <v>123</v>
      </c>
      <c r="H27" s="15" t="s">
        <v>64</v>
      </c>
      <c r="I27" s="15" t="s">
        <v>65</v>
      </c>
      <c r="J27" s="17" t="n">
        <v>46219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124</v>
      </c>
      <c r="B28" s="15" t="s">
        <v>107</v>
      </c>
      <c r="C28" s="15" t="s">
        <v>6</v>
      </c>
      <c r="D28" s="15" t="s">
        <v>125</v>
      </c>
      <c r="E28" s="15" t="s">
        <v>61</v>
      </c>
      <c r="F28" s="15" t="s">
        <v>109</v>
      </c>
      <c r="G28" s="16" t="s">
        <v>126</v>
      </c>
      <c r="H28" s="15" t="s">
        <v>64</v>
      </c>
      <c r="I28" s="15" t="s">
        <v>65</v>
      </c>
      <c r="J28" s="17" t="n">
        <v>46219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127</v>
      </c>
      <c r="B29" s="15" t="s">
        <v>128</v>
      </c>
      <c r="C29" s="15" t="s">
        <v>6</v>
      </c>
      <c r="D29" s="15" t="s">
        <v>129</v>
      </c>
      <c r="E29" s="15" t="s">
        <v>61</v>
      </c>
      <c r="F29" s="15" t="s">
        <v>130</v>
      </c>
      <c r="G29" s="16" t="s">
        <v>91</v>
      </c>
      <c r="H29" s="15" t="s">
        <v>64</v>
      </c>
      <c r="I29" s="15" t="s">
        <v>65</v>
      </c>
      <c r="J29" s="17" t="n">
        <v>46219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131</v>
      </c>
      <c r="B30" s="15" t="s">
        <v>128</v>
      </c>
      <c r="C30" s="15" t="s">
        <v>6</v>
      </c>
      <c r="D30" s="15" t="s">
        <v>132</v>
      </c>
      <c r="E30" s="15" t="s">
        <v>61</v>
      </c>
      <c r="F30" s="15" t="s">
        <v>130</v>
      </c>
      <c r="G30" s="15" t="s">
        <v>91</v>
      </c>
      <c r="H30" s="15" t="s">
        <v>71</v>
      </c>
      <c r="I30" s="15" t="s">
        <v>72</v>
      </c>
      <c r="J30" s="19" t="n">
        <v>46219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133</v>
      </c>
      <c r="B31" s="15" t="s">
        <v>134</v>
      </c>
      <c r="C31" s="15" t="s">
        <v>6</v>
      </c>
      <c r="D31" s="15" t="s">
        <v>135</v>
      </c>
      <c r="E31" s="15" t="s">
        <v>61</v>
      </c>
      <c r="F31" s="15" t="s">
        <v>136</v>
      </c>
      <c r="G31" s="16" t="s">
        <v>137</v>
      </c>
      <c r="H31" s="15" t="s">
        <v>71</v>
      </c>
      <c r="I31" s="15" t="s">
        <v>72</v>
      </c>
      <c r="J31" s="17" t="n">
        <v>46219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138</v>
      </c>
      <c r="B32" s="15" t="s">
        <v>134</v>
      </c>
      <c r="C32" s="15" t="s">
        <v>6</v>
      </c>
      <c r="D32" s="15" t="s">
        <v>139</v>
      </c>
      <c r="E32" s="15" t="s">
        <v>61</v>
      </c>
      <c r="F32" s="15" t="s">
        <v>136</v>
      </c>
      <c r="G32" s="16" t="s">
        <v>140</v>
      </c>
      <c r="H32" s="15" t="s">
        <v>64</v>
      </c>
      <c r="I32" s="15" t="s">
        <v>65</v>
      </c>
      <c r="J32" s="17" t="n">
        <v>46219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141</v>
      </c>
      <c r="B33" s="15" t="s">
        <v>142</v>
      </c>
      <c r="C33" s="15" t="s">
        <v>6</v>
      </c>
      <c r="D33" s="15" t="s">
        <v>143</v>
      </c>
      <c r="E33" s="15" t="s">
        <v>144</v>
      </c>
      <c r="F33" s="15" t="s">
        <v>144</v>
      </c>
      <c r="G33" s="15" t="s">
        <v>145</v>
      </c>
      <c r="H33" s="15" t="s">
        <v>71</v>
      </c>
      <c r="I33" s="15" t="s">
        <v>72</v>
      </c>
      <c r="J33" s="19" t="n">
        <v>46219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146</v>
      </c>
      <c r="B34" s="15" t="s">
        <v>147</v>
      </c>
      <c r="C34" s="15" t="s">
        <v>6</v>
      </c>
      <c r="D34" s="15" t="s">
        <v>148</v>
      </c>
      <c r="E34" s="15" t="s">
        <v>149</v>
      </c>
      <c r="F34" s="15" t="s">
        <v>150</v>
      </c>
      <c r="G34" s="15"/>
      <c r="H34" s="15" t="s">
        <v>151</v>
      </c>
      <c r="I34" s="15" t="s">
        <v>72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7" r:id="rId18" display="../../playwright.config.ts"/>
    <hyperlink ref="G28" r:id="rId19" display="../scripts/verify-consumers.mjs"/>
    <hyperlink ref="G29" r:id="rId20" display="manual-tests/button.md"/>
    <hyperlink ref="G31" r:id="rId21" display="../docs/components/button/README.md"/>
    <hyperlink ref="G32" r:id="rId22" display="../docs/components/button/CHANGELOG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3"/>
  <tableParts>
    <tablePart r:id="rId2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153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45</v>
      </c>
      <c r="D4" s="5" t="n">
        <f aca="false">SUM(M9:M34)</f>
        <v>0</v>
      </c>
      <c r="E4" s="4" t="s">
        <v>14</v>
      </c>
      <c r="F4" s="6" t="n">
        <f aca="false">IFERROR(D4/SUM(L9:L34),0)</f>
        <v>0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open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46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47</v>
      </c>
      <c r="B8" s="7" t="s">
        <v>48</v>
      </c>
      <c r="C8" s="7" t="s">
        <v>49</v>
      </c>
      <c r="D8" s="7" t="s">
        <v>50</v>
      </c>
      <c r="E8" s="7" t="s">
        <v>51</v>
      </c>
      <c r="F8" s="7" t="s">
        <v>52</v>
      </c>
      <c r="G8" s="7" t="s">
        <v>53</v>
      </c>
      <c r="H8" s="7" t="s">
        <v>18</v>
      </c>
      <c r="I8" s="7" t="s">
        <v>54</v>
      </c>
      <c r="J8" s="7" t="s">
        <v>55</v>
      </c>
      <c r="K8" s="7" t="s">
        <v>56</v>
      </c>
      <c r="L8" s="7" t="s">
        <v>57</v>
      </c>
      <c r="M8" s="7" t="s">
        <v>45</v>
      </c>
    </row>
    <row r="9" customFormat="false" ht="42.75" hidden="false" customHeight="true" outlineLevel="0" collapsed="false">
      <c r="A9" s="15" t="s">
        <v>154</v>
      </c>
      <c r="B9" s="15" t="s">
        <v>59</v>
      </c>
      <c r="C9" s="15" t="s">
        <v>6</v>
      </c>
      <c r="D9" s="15" t="s">
        <v>155</v>
      </c>
      <c r="E9" s="15" t="s">
        <v>61</v>
      </c>
      <c r="F9" s="15" t="s">
        <v>62</v>
      </c>
      <c r="G9" s="15"/>
      <c r="H9" s="15" t="s">
        <v>151</v>
      </c>
      <c r="I9" s="15" t="s">
        <v>65</v>
      </c>
      <c r="J9" s="15"/>
      <c r="K9" s="15"/>
      <c r="L9" s="18" t="n">
        <v>1</v>
      </c>
      <c r="M9" s="18" t="n">
        <f aca="false">IF(H9="not applicable",IF(K9&lt;&gt;"",1,0),IF(I9="yes",IF(H9="verified",1,0),IF(OR(H9="tested",H9="verified"),1,0)))</f>
        <v>0</v>
      </c>
    </row>
    <row r="10" customFormat="false" ht="42.75" hidden="false" customHeight="true" outlineLevel="0" collapsed="false">
      <c r="A10" s="15" t="s">
        <v>156</v>
      </c>
      <c r="B10" s="15" t="s">
        <v>67</v>
      </c>
      <c r="C10" s="15" t="s">
        <v>6</v>
      </c>
      <c r="D10" s="15" t="s">
        <v>157</v>
      </c>
      <c r="E10" s="15" t="s">
        <v>61</v>
      </c>
      <c r="F10" s="15" t="s">
        <v>69</v>
      </c>
      <c r="G10" s="15"/>
      <c r="H10" s="15" t="s">
        <v>151</v>
      </c>
      <c r="I10" s="15" t="s">
        <v>72</v>
      </c>
      <c r="J10" s="15"/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0</v>
      </c>
    </row>
    <row r="11" customFormat="false" ht="42.75" hidden="false" customHeight="true" outlineLevel="0" collapsed="false">
      <c r="A11" s="15" t="s">
        <v>158</v>
      </c>
      <c r="B11" s="15" t="s">
        <v>59</v>
      </c>
      <c r="C11" s="15" t="s">
        <v>6</v>
      </c>
      <c r="D11" s="15" t="s">
        <v>159</v>
      </c>
      <c r="E11" s="15" t="s">
        <v>61</v>
      </c>
      <c r="F11" s="15" t="s">
        <v>75</v>
      </c>
      <c r="G11" s="15"/>
      <c r="H11" s="15" t="s">
        <v>151</v>
      </c>
      <c r="I11" s="15" t="s">
        <v>65</v>
      </c>
      <c r="J11" s="15"/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0</v>
      </c>
    </row>
    <row r="12" customFormat="false" ht="42.75" hidden="false" customHeight="true" outlineLevel="0" collapsed="false">
      <c r="A12" s="15" t="s">
        <v>160</v>
      </c>
      <c r="B12" s="15" t="s">
        <v>59</v>
      </c>
      <c r="C12" s="15" t="s">
        <v>6</v>
      </c>
      <c r="D12" s="15" t="s">
        <v>161</v>
      </c>
      <c r="E12" s="15" t="s">
        <v>61</v>
      </c>
      <c r="F12" s="15" t="s">
        <v>75</v>
      </c>
      <c r="G12" s="15"/>
      <c r="H12" s="15" t="s">
        <v>151</v>
      </c>
      <c r="I12" s="15" t="s">
        <v>65</v>
      </c>
      <c r="J12" s="15"/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0</v>
      </c>
    </row>
    <row r="13" customFormat="false" ht="42.75" hidden="false" customHeight="true" outlineLevel="0" collapsed="false">
      <c r="A13" s="15" t="s">
        <v>162</v>
      </c>
      <c r="B13" s="15" t="s">
        <v>81</v>
      </c>
      <c r="C13" s="15" t="s">
        <v>6</v>
      </c>
      <c r="D13" s="15" t="s">
        <v>82</v>
      </c>
      <c r="E13" s="15" t="s">
        <v>61</v>
      </c>
      <c r="F13" s="15" t="s">
        <v>62</v>
      </c>
      <c r="G13" s="15"/>
      <c r="H13" s="15" t="s">
        <v>151</v>
      </c>
      <c r="I13" s="15" t="s">
        <v>65</v>
      </c>
      <c r="J13" s="15"/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0</v>
      </c>
    </row>
    <row r="14" customFormat="false" ht="42.75" hidden="false" customHeight="true" outlineLevel="0" collapsed="false">
      <c r="A14" s="15" t="s">
        <v>163</v>
      </c>
      <c r="B14" s="15" t="s">
        <v>81</v>
      </c>
      <c r="C14" s="15" t="s">
        <v>6</v>
      </c>
      <c r="D14" s="15" t="s">
        <v>164</v>
      </c>
      <c r="E14" s="15" t="s">
        <v>61</v>
      </c>
      <c r="F14" s="15" t="s">
        <v>62</v>
      </c>
      <c r="G14" s="15"/>
      <c r="H14" s="15" t="s">
        <v>151</v>
      </c>
      <c r="I14" s="15" t="s">
        <v>72</v>
      </c>
      <c r="J14" s="15"/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0</v>
      </c>
    </row>
    <row r="15" customFormat="false" ht="42.75" hidden="false" customHeight="true" outlineLevel="0" collapsed="false">
      <c r="A15" s="15" t="s">
        <v>165</v>
      </c>
      <c r="B15" s="15" t="s">
        <v>88</v>
      </c>
      <c r="C15" s="15" t="s">
        <v>6</v>
      </c>
      <c r="D15" s="15" t="s">
        <v>89</v>
      </c>
      <c r="E15" s="15" t="s">
        <v>61</v>
      </c>
      <c r="F15" s="15" t="s">
        <v>90</v>
      </c>
      <c r="G15" s="15"/>
      <c r="H15" s="15" t="s">
        <v>151</v>
      </c>
      <c r="I15" s="15" t="s">
        <v>72</v>
      </c>
      <c r="J15" s="15"/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0</v>
      </c>
    </row>
    <row r="16" customFormat="false" ht="42.75" hidden="false" customHeight="true" outlineLevel="0" collapsed="false">
      <c r="A16" s="15" t="s">
        <v>166</v>
      </c>
      <c r="B16" s="15" t="s">
        <v>88</v>
      </c>
      <c r="C16" s="15" t="s">
        <v>6</v>
      </c>
      <c r="D16" s="15" t="s">
        <v>167</v>
      </c>
      <c r="E16" s="15" t="s">
        <v>61</v>
      </c>
      <c r="F16" s="15" t="s">
        <v>90</v>
      </c>
      <c r="G16" s="15"/>
      <c r="H16" s="15" t="s">
        <v>151</v>
      </c>
      <c r="I16" s="15" t="s">
        <v>72</v>
      </c>
      <c r="J16" s="15"/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0</v>
      </c>
    </row>
    <row r="17" customFormat="false" ht="42.75" hidden="false" customHeight="true" outlineLevel="0" collapsed="false">
      <c r="A17" s="15" t="s">
        <v>168</v>
      </c>
      <c r="B17" s="15" t="s">
        <v>88</v>
      </c>
      <c r="C17" s="15" t="s">
        <v>6</v>
      </c>
      <c r="D17" s="15" t="s">
        <v>95</v>
      </c>
      <c r="E17" s="15" t="s">
        <v>61</v>
      </c>
      <c r="F17" s="15" t="s">
        <v>90</v>
      </c>
      <c r="G17" s="15"/>
      <c r="H17" s="15" t="s">
        <v>151</v>
      </c>
      <c r="I17" s="15" t="s">
        <v>72</v>
      </c>
      <c r="J17" s="15"/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0</v>
      </c>
    </row>
    <row r="18" customFormat="false" ht="42.75" hidden="false" customHeight="true" outlineLevel="0" collapsed="false">
      <c r="A18" s="15" t="s">
        <v>169</v>
      </c>
      <c r="B18" s="15" t="s">
        <v>88</v>
      </c>
      <c r="C18" s="15" t="s">
        <v>6</v>
      </c>
      <c r="D18" s="15" t="s">
        <v>170</v>
      </c>
      <c r="E18" s="15" t="s">
        <v>61</v>
      </c>
      <c r="F18" s="15" t="s">
        <v>90</v>
      </c>
      <c r="G18" s="15"/>
      <c r="H18" s="15" t="s">
        <v>151</v>
      </c>
      <c r="I18" s="15" t="s">
        <v>72</v>
      </c>
      <c r="J18" s="15"/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0</v>
      </c>
    </row>
    <row r="19" customFormat="false" ht="42.75" hidden="false" customHeight="true" outlineLevel="0" collapsed="false">
      <c r="A19" s="15" t="s">
        <v>171</v>
      </c>
      <c r="B19" s="15" t="s">
        <v>88</v>
      </c>
      <c r="C19" s="15" t="s">
        <v>6</v>
      </c>
      <c r="D19" s="15" t="s">
        <v>100</v>
      </c>
      <c r="E19" s="15" t="s">
        <v>61</v>
      </c>
      <c r="F19" s="15" t="s">
        <v>90</v>
      </c>
      <c r="G19" s="15"/>
      <c r="H19" s="15" t="s">
        <v>151</v>
      </c>
      <c r="I19" s="15" t="s">
        <v>72</v>
      </c>
      <c r="J19" s="15"/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0</v>
      </c>
    </row>
    <row r="20" customFormat="false" ht="42.75" hidden="false" customHeight="true" outlineLevel="0" collapsed="false">
      <c r="A20" s="15" t="s">
        <v>172</v>
      </c>
      <c r="B20" s="15" t="s">
        <v>88</v>
      </c>
      <c r="C20" s="15" t="s">
        <v>6</v>
      </c>
      <c r="D20" s="15" t="s">
        <v>173</v>
      </c>
      <c r="E20" s="15" t="s">
        <v>61</v>
      </c>
      <c r="F20" s="15" t="s">
        <v>90</v>
      </c>
      <c r="G20" s="15"/>
      <c r="H20" s="15" t="s">
        <v>151</v>
      </c>
      <c r="I20" s="15" t="s">
        <v>72</v>
      </c>
      <c r="J20" s="15"/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0</v>
      </c>
    </row>
    <row r="21" customFormat="false" ht="42.75" hidden="false" customHeight="true" outlineLevel="0" collapsed="false">
      <c r="A21" s="15" t="s">
        <v>174</v>
      </c>
      <c r="B21" s="15" t="s">
        <v>88</v>
      </c>
      <c r="C21" s="15" t="s">
        <v>6</v>
      </c>
      <c r="D21" s="15" t="s">
        <v>104</v>
      </c>
      <c r="E21" s="15" t="s">
        <v>61</v>
      </c>
      <c r="F21" s="15" t="s">
        <v>90</v>
      </c>
      <c r="G21" s="15"/>
      <c r="H21" s="15" t="s">
        <v>151</v>
      </c>
      <c r="I21" s="15" t="s">
        <v>65</v>
      </c>
      <c r="J21" s="15"/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0</v>
      </c>
    </row>
    <row r="22" customFormat="false" ht="42.75" hidden="false" customHeight="true" outlineLevel="0" collapsed="false">
      <c r="A22" s="15" t="s">
        <v>175</v>
      </c>
      <c r="B22" s="15" t="s">
        <v>107</v>
      </c>
      <c r="C22" s="15" t="s">
        <v>6</v>
      </c>
      <c r="D22" s="15" t="s">
        <v>108</v>
      </c>
      <c r="E22" s="15" t="s">
        <v>61</v>
      </c>
      <c r="F22" s="15" t="s">
        <v>109</v>
      </c>
      <c r="G22" s="15"/>
      <c r="H22" s="15" t="s">
        <v>151</v>
      </c>
      <c r="I22" s="15" t="s">
        <v>65</v>
      </c>
      <c r="J22" s="15"/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0</v>
      </c>
    </row>
    <row r="23" customFormat="false" ht="42.75" hidden="false" customHeight="true" outlineLevel="0" collapsed="false">
      <c r="A23" s="15" t="s">
        <v>176</v>
      </c>
      <c r="B23" s="15" t="s">
        <v>107</v>
      </c>
      <c r="C23" s="15" t="s">
        <v>6</v>
      </c>
      <c r="D23" s="15" t="s">
        <v>177</v>
      </c>
      <c r="E23" s="15" t="s">
        <v>61</v>
      </c>
      <c r="F23" s="15" t="s">
        <v>109</v>
      </c>
      <c r="G23" s="15"/>
      <c r="H23" s="15" t="s">
        <v>151</v>
      </c>
      <c r="I23" s="15" t="s">
        <v>65</v>
      </c>
      <c r="J23" s="15"/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0</v>
      </c>
    </row>
    <row r="24" customFormat="false" ht="42.75" hidden="false" customHeight="true" outlineLevel="0" collapsed="false">
      <c r="A24" s="15" t="s">
        <v>178</v>
      </c>
      <c r="B24" s="15" t="s">
        <v>107</v>
      </c>
      <c r="C24" s="15" t="s">
        <v>6</v>
      </c>
      <c r="D24" s="15" t="s">
        <v>114</v>
      </c>
      <c r="E24" s="15" t="s">
        <v>61</v>
      </c>
      <c r="F24" s="15" t="s">
        <v>109</v>
      </c>
      <c r="G24" s="15"/>
      <c r="H24" s="15" t="s">
        <v>151</v>
      </c>
      <c r="I24" s="15" t="s">
        <v>65</v>
      </c>
      <c r="J24" s="15"/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0</v>
      </c>
    </row>
    <row r="25" customFormat="false" ht="42.75" hidden="false" customHeight="true" outlineLevel="0" collapsed="false">
      <c r="A25" s="15" t="s">
        <v>179</v>
      </c>
      <c r="B25" s="15" t="s">
        <v>107</v>
      </c>
      <c r="C25" s="15" t="s">
        <v>6</v>
      </c>
      <c r="D25" s="15" t="s">
        <v>116</v>
      </c>
      <c r="E25" s="15" t="s">
        <v>61</v>
      </c>
      <c r="F25" s="15" t="s">
        <v>109</v>
      </c>
      <c r="G25" s="15"/>
      <c r="H25" s="15" t="s">
        <v>151</v>
      </c>
      <c r="I25" s="15" t="s">
        <v>65</v>
      </c>
      <c r="J25" s="15"/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.75" hidden="false" customHeight="true" outlineLevel="0" collapsed="false">
      <c r="A26" s="15" t="s">
        <v>180</v>
      </c>
      <c r="B26" s="15" t="s">
        <v>107</v>
      </c>
      <c r="C26" s="15" t="s">
        <v>6</v>
      </c>
      <c r="D26" s="15" t="s">
        <v>119</v>
      </c>
      <c r="E26" s="15" t="s">
        <v>61</v>
      </c>
      <c r="F26" s="15" t="s">
        <v>109</v>
      </c>
      <c r="G26" s="15"/>
      <c r="H26" s="15" t="s">
        <v>151</v>
      </c>
      <c r="I26" s="15" t="s">
        <v>72</v>
      </c>
      <c r="J26" s="15"/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0</v>
      </c>
    </row>
    <row r="27" customFormat="false" ht="42.75" hidden="false" customHeight="true" outlineLevel="0" collapsed="false">
      <c r="A27" s="15" t="s">
        <v>181</v>
      </c>
      <c r="B27" s="15" t="s">
        <v>107</v>
      </c>
      <c r="C27" s="15" t="s">
        <v>6</v>
      </c>
      <c r="D27" s="15" t="s">
        <v>122</v>
      </c>
      <c r="E27" s="15" t="s">
        <v>61</v>
      </c>
      <c r="F27" s="15" t="s">
        <v>109</v>
      </c>
      <c r="G27" s="15"/>
      <c r="H27" s="15" t="s">
        <v>151</v>
      </c>
      <c r="I27" s="15" t="s">
        <v>65</v>
      </c>
      <c r="J27" s="15"/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0</v>
      </c>
    </row>
    <row r="28" customFormat="false" ht="42.75" hidden="false" customHeight="true" outlineLevel="0" collapsed="false">
      <c r="A28" s="15" t="s">
        <v>182</v>
      </c>
      <c r="B28" s="15" t="s">
        <v>107</v>
      </c>
      <c r="C28" s="15" t="s">
        <v>6</v>
      </c>
      <c r="D28" s="15" t="s">
        <v>183</v>
      </c>
      <c r="E28" s="15" t="s">
        <v>61</v>
      </c>
      <c r="F28" s="15" t="s">
        <v>109</v>
      </c>
      <c r="G28" s="15"/>
      <c r="H28" s="15" t="s">
        <v>151</v>
      </c>
      <c r="I28" s="15" t="s">
        <v>65</v>
      </c>
      <c r="J28" s="15"/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0</v>
      </c>
    </row>
    <row r="29" customFormat="false" ht="42.75" hidden="false" customHeight="true" outlineLevel="0" collapsed="false">
      <c r="A29" s="15" t="s">
        <v>184</v>
      </c>
      <c r="B29" s="15" t="s">
        <v>128</v>
      </c>
      <c r="C29" s="15" t="s">
        <v>6</v>
      </c>
      <c r="D29" s="15" t="s">
        <v>129</v>
      </c>
      <c r="E29" s="15" t="s">
        <v>61</v>
      </c>
      <c r="F29" s="15" t="s">
        <v>130</v>
      </c>
      <c r="G29" s="15"/>
      <c r="H29" s="15" t="s">
        <v>151</v>
      </c>
      <c r="I29" s="15" t="s">
        <v>65</v>
      </c>
      <c r="J29" s="15"/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.75" hidden="false" customHeight="true" outlineLevel="0" collapsed="false">
      <c r="A30" s="15" t="s">
        <v>185</v>
      </c>
      <c r="B30" s="15" t="s">
        <v>128</v>
      </c>
      <c r="C30" s="15" t="s">
        <v>6</v>
      </c>
      <c r="D30" s="15" t="s">
        <v>132</v>
      </c>
      <c r="E30" s="15" t="s">
        <v>61</v>
      </c>
      <c r="F30" s="15" t="s">
        <v>130</v>
      </c>
      <c r="G30" s="15"/>
      <c r="H30" s="15" t="s">
        <v>151</v>
      </c>
      <c r="I30" s="15" t="s">
        <v>72</v>
      </c>
      <c r="J30" s="15"/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0</v>
      </c>
    </row>
    <row r="31" customFormat="false" ht="42.75" hidden="false" customHeight="true" outlineLevel="0" collapsed="false">
      <c r="A31" s="15" t="s">
        <v>186</v>
      </c>
      <c r="B31" s="15" t="s">
        <v>134</v>
      </c>
      <c r="C31" s="15" t="s">
        <v>6</v>
      </c>
      <c r="D31" s="15" t="s">
        <v>135</v>
      </c>
      <c r="E31" s="15" t="s">
        <v>61</v>
      </c>
      <c r="F31" s="15" t="s">
        <v>136</v>
      </c>
      <c r="G31" s="15"/>
      <c r="H31" s="15" t="s">
        <v>151</v>
      </c>
      <c r="I31" s="15" t="s">
        <v>72</v>
      </c>
      <c r="J31" s="15"/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0</v>
      </c>
    </row>
    <row r="32" customFormat="false" ht="42.75" hidden="false" customHeight="true" outlineLevel="0" collapsed="false">
      <c r="A32" s="15" t="s">
        <v>187</v>
      </c>
      <c r="B32" s="15" t="s">
        <v>134</v>
      </c>
      <c r="C32" s="15" t="s">
        <v>6</v>
      </c>
      <c r="D32" s="15" t="s">
        <v>139</v>
      </c>
      <c r="E32" s="15" t="s">
        <v>61</v>
      </c>
      <c r="F32" s="15" t="s">
        <v>136</v>
      </c>
      <c r="G32" s="15"/>
      <c r="H32" s="15" t="s">
        <v>151</v>
      </c>
      <c r="I32" s="15" t="s">
        <v>65</v>
      </c>
      <c r="J32" s="15"/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0</v>
      </c>
    </row>
    <row r="33" customFormat="false" ht="42.75" hidden="false" customHeight="true" outlineLevel="0" collapsed="false">
      <c r="A33" s="15" t="s">
        <v>188</v>
      </c>
      <c r="B33" s="15" t="s">
        <v>142</v>
      </c>
      <c r="C33" s="15" t="s">
        <v>6</v>
      </c>
      <c r="D33" s="15" t="s">
        <v>143</v>
      </c>
      <c r="E33" s="15" t="s">
        <v>144</v>
      </c>
      <c r="F33" s="15" t="s">
        <v>144</v>
      </c>
      <c r="G33" s="15"/>
      <c r="H33" s="15" t="s">
        <v>151</v>
      </c>
      <c r="I33" s="15" t="s">
        <v>72</v>
      </c>
      <c r="J33" s="15"/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0</v>
      </c>
    </row>
    <row r="34" customFormat="false" ht="42.75" hidden="false" customHeight="true" outlineLevel="0" collapsed="false">
      <c r="A34" s="15" t="s">
        <v>189</v>
      </c>
      <c r="B34" s="15" t="s">
        <v>147</v>
      </c>
      <c r="C34" s="15" t="s">
        <v>6</v>
      </c>
      <c r="D34" s="15" t="s">
        <v>148</v>
      </c>
      <c r="E34" s="15" t="s">
        <v>149</v>
      </c>
      <c r="F34" s="15" t="s">
        <v>150</v>
      </c>
      <c r="G34" s="15"/>
      <c r="H34" s="15" t="s">
        <v>151</v>
      </c>
      <c r="I34" s="15" t="s">
        <v>72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190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153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45</v>
      </c>
      <c r="D4" s="5" t="n">
        <f aca="false">SUM(M9:M34)</f>
        <v>0</v>
      </c>
      <c r="E4" s="4" t="s">
        <v>14</v>
      </c>
      <c r="F4" s="6" t="n">
        <f aca="false">IFERROR(D4/SUM(L9:L34),0)</f>
        <v>0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open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46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47</v>
      </c>
      <c r="B8" s="7" t="s">
        <v>48</v>
      </c>
      <c r="C8" s="7" t="s">
        <v>49</v>
      </c>
      <c r="D8" s="7" t="s">
        <v>50</v>
      </c>
      <c r="E8" s="7" t="s">
        <v>51</v>
      </c>
      <c r="F8" s="7" t="s">
        <v>52</v>
      </c>
      <c r="G8" s="7" t="s">
        <v>53</v>
      </c>
      <c r="H8" s="7" t="s">
        <v>18</v>
      </c>
      <c r="I8" s="7" t="s">
        <v>54</v>
      </c>
      <c r="J8" s="7" t="s">
        <v>55</v>
      </c>
      <c r="K8" s="7" t="s">
        <v>56</v>
      </c>
      <c r="L8" s="7" t="s">
        <v>57</v>
      </c>
      <c r="M8" s="7" t="s">
        <v>45</v>
      </c>
    </row>
    <row r="9" customFormat="false" ht="42.75" hidden="false" customHeight="true" outlineLevel="0" collapsed="false">
      <c r="A9" s="15" t="s">
        <v>191</v>
      </c>
      <c r="B9" s="15" t="s">
        <v>59</v>
      </c>
      <c r="C9" s="15" t="s">
        <v>6</v>
      </c>
      <c r="D9" s="15" t="s">
        <v>155</v>
      </c>
      <c r="E9" s="15" t="s">
        <v>61</v>
      </c>
      <c r="F9" s="15" t="s">
        <v>62</v>
      </c>
      <c r="G9" s="15"/>
      <c r="H9" s="15" t="s">
        <v>151</v>
      </c>
      <c r="I9" s="15" t="s">
        <v>65</v>
      </c>
      <c r="J9" s="15"/>
      <c r="K9" s="15"/>
      <c r="L9" s="18" t="n">
        <v>1</v>
      </c>
      <c r="M9" s="18" t="n">
        <f aca="false">IF(H9="not applicable",IF(K9&lt;&gt;"",1,0),IF(I9="yes",IF(H9="verified",1,0),IF(OR(H9="tested",H9="verified"),1,0)))</f>
        <v>0</v>
      </c>
    </row>
    <row r="10" customFormat="false" ht="42.75" hidden="false" customHeight="true" outlineLevel="0" collapsed="false">
      <c r="A10" s="15" t="s">
        <v>192</v>
      </c>
      <c r="B10" s="15" t="s">
        <v>67</v>
      </c>
      <c r="C10" s="15" t="s">
        <v>6</v>
      </c>
      <c r="D10" s="15" t="s">
        <v>157</v>
      </c>
      <c r="E10" s="15" t="s">
        <v>61</v>
      </c>
      <c r="F10" s="15" t="s">
        <v>69</v>
      </c>
      <c r="G10" s="15"/>
      <c r="H10" s="15" t="s">
        <v>151</v>
      </c>
      <c r="I10" s="15" t="s">
        <v>72</v>
      </c>
      <c r="J10" s="15"/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0</v>
      </c>
    </row>
    <row r="11" customFormat="false" ht="42.75" hidden="false" customHeight="true" outlineLevel="0" collapsed="false">
      <c r="A11" s="15" t="s">
        <v>193</v>
      </c>
      <c r="B11" s="15" t="s">
        <v>59</v>
      </c>
      <c r="C11" s="15" t="s">
        <v>6</v>
      </c>
      <c r="D11" s="15" t="s">
        <v>159</v>
      </c>
      <c r="E11" s="15" t="s">
        <v>61</v>
      </c>
      <c r="F11" s="15" t="s">
        <v>75</v>
      </c>
      <c r="G11" s="15"/>
      <c r="H11" s="15" t="s">
        <v>151</v>
      </c>
      <c r="I11" s="15" t="s">
        <v>65</v>
      </c>
      <c r="J11" s="15"/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0</v>
      </c>
    </row>
    <row r="12" customFormat="false" ht="42.75" hidden="false" customHeight="true" outlineLevel="0" collapsed="false">
      <c r="A12" s="15" t="s">
        <v>194</v>
      </c>
      <c r="B12" s="15" t="s">
        <v>59</v>
      </c>
      <c r="C12" s="15" t="s">
        <v>6</v>
      </c>
      <c r="D12" s="15" t="s">
        <v>161</v>
      </c>
      <c r="E12" s="15" t="s">
        <v>61</v>
      </c>
      <c r="F12" s="15" t="s">
        <v>75</v>
      </c>
      <c r="G12" s="15"/>
      <c r="H12" s="15" t="s">
        <v>151</v>
      </c>
      <c r="I12" s="15" t="s">
        <v>65</v>
      </c>
      <c r="J12" s="15"/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0</v>
      </c>
    </row>
    <row r="13" customFormat="false" ht="42.75" hidden="false" customHeight="true" outlineLevel="0" collapsed="false">
      <c r="A13" s="15" t="s">
        <v>195</v>
      </c>
      <c r="B13" s="15" t="s">
        <v>81</v>
      </c>
      <c r="C13" s="15" t="s">
        <v>6</v>
      </c>
      <c r="D13" s="15" t="s">
        <v>82</v>
      </c>
      <c r="E13" s="15" t="s">
        <v>61</v>
      </c>
      <c r="F13" s="15" t="s">
        <v>62</v>
      </c>
      <c r="G13" s="15"/>
      <c r="H13" s="15" t="s">
        <v>151</v>
      </c>
      <c r="I13" s="15" t="s">
        <v>65</v>
      </c>
      <c r="J13" s="15"/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0</v>
      </c>
    </row>
    <row r="14" customFormat="false" ht="42.75" hidden="false" customHeight="true" outlineLevel="0" collapsed="false">
      <c r="A14" s="15" t="s">
        <v>196</v>
      </c>
      <c r="B14" s="15" t="s">
        <v>81</v>
      </c>
      <c r="C14" s="15" t="s">
        <v>6</v>
      </c>
      <c r="D14" s="15" t="s">
        <v>164</v>
      </c>
      <c r="E14" s="15" t="s">
        <v>61</v>
      </c>
      <c r="F14" s="15" t="s">
        <v>62</v>
      </c>
      <c r="G14" s="15"/>
      <c r="H14" s="15" t="s">
        <v>151</v>
      </c>
      <c r="I14" s="15" t="s">
        <v>72</v>
      </c>
      <c r="J14" s="15"/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0</v>
      </c>
    </row>
    <row r="15" customFormat="false" ht="42.75" hidden="false" customHeight="true" outlineLevel="0" collapsed="false">
      <c r="A15" s="15" t="s">
        <v>197</v>
      </c>
      <c r="B15" s="15" t="s">
        <v>88</v>
      </c>
      <c r="C15" s="15" t="s">
        <v>6</v>
      </c>
      <c r="D15" s="15" t="s">
        <v>89</v>
      </c>
      <c r="E15" s="15" t="s">
        <v>61</v>
      </c>
      <c r="F15" s="15" t="s">
        <v>90</v>
      </c>
      <c r="G15" s="15"/>
      <c r="H15" s="15" t="s">
        <v>151</v>
      </c>
      <c r="I15" s="15" t="s">
        <v>72</v>
      </c>
      <c r="J15" s="15"/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0</v>
      </c>
    </row>
    <row r="16" customFormat="false" ht="42.75" hidden="false" customHeight="true" outlineLevel="0" collapsed="false">
      <c r="A16" s="15" t="s">
        <v>198</v>
      </c>
      <c r="B16" s="15" t="s">
        <v>88</v>
      </c>
      <c r="C16" s="15" t="s">
        <v>6</v>
      </c>
      <c r="D16" s="15" t="s">
        <v>167</v>
      </c>
      <c r="E16" s="15" t="s">
        <v>61</v>
      </c>
      <c r="F16" s="15" t="s">
        <v>90</v>
      </c>
      <c r="G16" s="15"/>
      <c r="H16" s="15" t="s">
        <v>151</v>
      </c>
      <c r="I16" s="15" t="s">
        <v>72</v>
      </c>
      <c r="J16" s="15"/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0</v>
      </c>
    </row>
    <row r="17" customFormat="false" ht="42.75" hidden="false" customHeight="true" outlineLevel="0" collapsed="false">
      <c r="A17" s="15" t="s">
        <v>199</v>
      </c>
      <c r="B17" s="15" t="s">
        <v>88</v>
      </c>
      <c r="C17" s="15" t="s">
        <v>6</v>
      </c>
      <c r="D17" s="15" t="s">
        <v>95</v>
      </c>
      <c r="E17" s="15" t="s">
        <v>61</v>
      </c>
      <c r="F17" s="15" t="s">
        <v>90</v>
      </c>
      <c r="G17" s="15"/>
      <c r="H17" s="15" t="s">
        <v>151</v>
      </c>
      <c r="I17" s="15" t="s">
        <v>72</v>
      </c>
      <c r="J17" s="15"/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0</v>
      </c>
    </row>
    <row r="18" customFormat="false" ht="42.75" hidden="false" customHeight="true" outlineLevel="0" collapsed="false">
      <c r="A18" s="15" t="s">
        <v>200</v>
      </c>
      <c r="B18" s="15" t="s">
        <v>88</v>
      </c>
      <c r="C18" s="15" t="s">
        <v>6</v>
      </c>
      <c r="D18" s="15" t="s">
        <v>170</v>
      </c>
      <c r="E18" s="15" t="s">
        <v>61</v>
      </c>
      <c r="F18" s="15" t="s">
        <v>90</v>
      </c>
      <c r="G18" s="15"/>
      <c r="H18" s="15" t="s">
        <v>151</v>
      </c>
      <c r="I18" s="15" t="s">
        <v>72</v>
      </c>
      <c r="J18" s="15"/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0</v>
      </c>
    </row>
    <row r="19" customFormat="false" ht="42.75" hidden="false" customHeight="true" outlineLevel="0" collapsed="false">
      <c r="A19" s="15" t="s">
        <v>201</v>
      </c>
      <c r="B19" s="15" t="s">
        <v>88</v>
      </c>
      <c r="C19" s="15" t="s">
        <v>6</v>
      </c>
      <c r="D19" s="15" t="s">
        <v>100</v>
      </c>
      <c r="E19" s="15" t="s">
        <v>61</v>
      </c>
      <c r="F19" s="15" t="s">
        <v>90</v>
      </c>
      <c r="G19" s="15"/>
      <c r="H19" s="15" t="s">
        <v>151</v>
      </c>
      <c r="I19" s="15" t="s">
        <v>72</v>
      </c>
      <c r="J19" s="15"/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0</v>
      </c>
    </row>
    <row r="20" customFormat="false" ht="42.75" hidden="false" customHeight="true" outlineLevel="0" collapsed="false">
      <c r="A20" s="15" t="s">
        <v>202</v>
      </c>
      <c r="B20" s="15" t="s">
        <v>88</v>
      </c>
      <c r="C20" s="15" t="s">
        <v>6</v>
      </c>
      <c r="D20" s="15" t="s">
        <v>173</v>
      </c>
      <c r="E20" s="15" t="s">
        <v>61</v>
      </c>
      <c r="F20" s="15" t="s">
        <v>90</v>
      </c>
      <c r="G20" s="15"/>
      <c r="H20" s="15" t="s">
        <v>151</v>
      </c>
      <c r="I20" s="15" t="s">
        <v>72</v>
      </c>
      <c r="J20" s="15"/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0</v>
      </c>
    </row>
    <row r="21" customFormat="false" ht="42.75" hidden="false" customHeight="true" outlineLevel="0" collapsed="false">
      <c r="A21" s="15" t="s">
        <v>203</v>
      </c>
      <c r="B21" s="15" t="s">
        <v>88</v>
      </c>
      <c r="C21" s="15" t="s">
        <v>6</v>
      </c>
      <c r="D21" s="15" t="s">
        <v>104</v>
      </c>
      <c r="E21" s="15" t="s">
        <v>61</v>
      </c>
      <c r="F21" s="15" t="s">
        <v>90</v>
      </c>
      <c r="G21" s="15"/>
      <c r="H21" s="15" t="s">
        <v>151</v>
      </c>
      <c r="I21" s="15" t="s">
        <v>65</v>
      </c>
      <c r="J21" s="15"/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0</v>
      </c>
    </row>
    <row r="22" customFormat="false" ht="42.75" hidden="false" customHeight="true" outlineLevel="0" collapsed="false">
      <c r="A22" s="15" t="s">
        <v>204</v>
      </c>
      <c r="B22" s="15" t="s">
        <v>107</v>
      </c>
      <c r="C22" s="15" t="s">
        <v>6</v>
      </c>
      <c r="D22" s="15" t="s">
        <v>108</v>
      </c>
      <c r="E22" s="15" t="s">
        <v>61</v>
      </c>
      <c r="F22" s="15" t="s">
        <v>109</v>
      </c>
      <c r="G22" s="15"/>
      <c r="H22" s="15" t="s">
        <v>151</v>
      </c>
      <c r="I22" s="15" t="s">
        <v>65</v>
      </c>
      <c r="J22" s="15"/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0</v>
      </c>
    </row>
    <row r="23" customFormat="false" ht="42.75" hidden="false" customHeight="true" outlineLevel="0" collapsed="false">
      <c r="A23" s="15" t="s">
        <v>205</v>
      </c>
      <c r="B23" s="15" t="s">
        <v>107</v>
      </c>
      <c r="C23" s="15" t="s">
        <v>6</v>
      </c>
      <c r="D23" s="15" t="s">
        <v>177</v>
      </c>
      <c r="E23" s="15" t="s">
        <v>61</v>
      </c>
      <c r="F23" s="15" t="s">
        <v>109</v>
      </c>
      <c r="G23" s="15"/>
      <c r="H23" s="15" t="s">
        <v>151</v>
      </c>
      <c r="I23" s="15" t="s">
        <v>65</v>
      </c>
      <c r="J23" s="15"/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0</v>
      </c>
    </row>
    <row r="24" customFormat="false" ht="42.75" hidden="false" customHeight="true" outlineLevel="0" collapsed="false">
      <c r="A24" s="15" t="s">
        <v>206</v>
      </c>
      <c r="B24" s="15" t="s">
        <v>107</v>
      </c>
      <c r="C24" s="15" t="s">
        <v>6</v>
      </c>
      <c r="D24" s="15" t="s">
        <v>114</v>
      </c>
      <c r="E24" s="15" t="s">
        <v>61</v>
      </c>
      <c r="F24" s="15" t="s">
        <v>109</v>
      </c>
      <c r="G24" s="15"/>
      <c r="H24" s="15" t="s">
        <v>151</v>
      </c>
      <c r="I24" s="15" t="s">
        <v>65</v>
      </c>
      <c r="J24" s="15"/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0</v>
      </c>
    </row>
    <row r="25" customFormat="false" ht="42.75" hidden="false" customHeight="true" outlineLevel="0" collapsed="false">
      <c r="A25" s="15" t="s">
        <v>207</v>
      </c>
      <c r="B25" s="15" t="s">
        <v>107</v>
      </c>
      <c r="C25" s="15" t="s">
        <v>6</v>
      </c>
      <c r="D25" s="15" t="s">
        <v>116</v>
      </c>
      <c r="E25" s="15" t="s">
        <v>61</v>
      </c>
      <c r="F25" s="15" t="s">
        <v>109</v>
      </c>
      <c r="G25" s="15"/>
      <c r="H25" s="15" t="s">
        <v>151</v>
      </c>
      <c r="I25" s="15" t="s">
        <v>65</v>
      </c>
      <c r="J25" s="15"/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.75" hidden="false" customHeight="true" outlineLevel="0" collapsed="false">
      <c r="A26" s="15" t="s">
        <v>208</v>
      </c>
      <c r="B26" s="15" t="s">
        <v>107</v>
      </c>
      <c r="C26" s="15" t="s">
        <v>6</v>
      </c>
      <c r="D26" s="15" t="s">
        <v>119</v>
      </c>
      <c r="E26" s="15" t="s">
        <v>61</v>
      </c>
      <c r="F26" s="15" t="s">
        <v>109</v>
      </c>
      <c r="G26" s="15"/>
      <c r="H26" s="15" t="s">
        <v>151</v>
      </c>
      <c r="I26" s="15" t="s">
        <v>72</v>
      </c>
      <c r="J26" s="15"/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0</v>
      </c>
    </row>
    <row r="27" customFormat="false" ht="42.75" hidden="false" customHeight="true" outlineLevel="0" collapsed="false">
      <c r="A27" s="15" t="s">
        <v>209</v>
      </c>
      <c r="B27" s="15" t="s">
        <v>107</v>
      </c>
      <c r="C27" s="15" t="s">
        <v>6</v>
      </c>
      <c r="D27" s="15" t="s">
        <v>122</v>
      </c>
      <c r="E27" s="15" t="s">
        <v>61</v>
      </c>
      <c r="F27" s="15" t="s">
        <v>109</v>
      </c>
      <c r="G27" s="15"/>
      <c r="H27" s="15" t="s">
        <v>151</v>
      </c>
      <c r="I27" s="15" t="s">
        <v>65</v>
      </c>
      <c r="J27" s="15"/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0</v>
      </c>
    </row>
    <row r="28" customFormat="false" ht="42.75" hidden="false" customHeight="true" outlineLevel="0" collapsed="false">
      <c r="A28" s="15" t="s">
        <v>210</v>
      </c>
      <c r="B28" s="15" t="s">
        <v>107</v>
      </c>
      <c r="C28" s="15" t="s">
        <v>6</v>
      </c>
      <c r="D28" s="15" t="s">
        <v>183</v>
      </c>
      <c r="E28" s="15" t="s">
        <v>61</v>
      </c>
      <c r="F28" s="15" t="s">
        <v>109</v>
      </c>
      <c r="G28" s="15"/>
      <c r="H28" s="15" t="s">
        <v>151</v>
      </c>
      <c r="I28" s="15" t="s">
        <v>65</v>
      </c>
      <c r="J28" s="15"/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0</v>
      </c>
    </row>
    <row r="29" customFormat="false" ht="42.75" hidden="false" customHeight="true" outlineLevel="0" collapsed="false">
      <c r="A29" s="15" t="s">
        <v>211</v>
      </c>
      <c r="B29" s="15" t="s">
        <v>128</v>
      </c>
      <c r="C29" s="15" t="s">
        <v>6</v>
      </c>
      <c r="D29" s="15" t="s">
        <v>129</v>
      </c>
      <c r="E29" s="15" t="s">
        <v>61</v>
      </c>
      <c r="F29" s="15" t="s">
        <v>130</v>
      </c>
      <c r="G29" s="15"/>
      <c r="H29" s="15" t="s">
        <v>151</v>
      </c>
      <c r="I29" s="15" t="s">
        <v>65</v>
      </c>
      <c r="J29" s="15"/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.75" hidden="false" customHeight="true" outlineLevel="0" collapsed="false">
      <c r="A30" s="15" t="s">
        <v>212</v>
      </c>
      <c r="B30" s="15" t="s">
        <v>128</v>
      </c>
      <c r="C30" s="15" t="s">
        <v>6</v>
      </c>
      <c r="D30" s="15" t="s">
        <v>132</v>
      </c>
      <c r="E30" s="15" t="s">
        <v>61</v>
      </c>
      <c r="F30" s="15" t="s">
        <v>130</v>
      </c>
      <c r="G30" s="15"/>
      <c r="H30" s="15" t="s">
        <v>151</v>
      </c>
      <c r="I30" s="15" t="s">
        <v>72</v>
      </c>
      <c r="J30" s="15"/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0</v>
      </c>
    </row>
    <row r="31" customFormat="false" ht="42.75" hidden="false" customHeight="true" outlineLevel="0" collapsed="false">
      <c r="A31" s="15" t="s">
        <v>213</v>
      </c>
      <c r="B31" s="15" t="s">
        <v>134</v>
      </c>
      <c r="C31" s="15" t="s">
        <v>6</v>
      </c>
      <c r="D31" s="15" t="s">
        <v>135</v>
      </c>
      <c r="E31" s="15" t="s">
        <v>61</v>
      </c>
      <c r="F31" s="15" t="s">
        <v>136</v>
      </c>
      <c r="G31" s="15"/>
      <c r="H31" s="15" t="s">
        <v>151</v>
      </c>
      <c r="I31" s="15" t="s">
        <v>72</v>
      </c>
      <c r="J31" s="15"/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0</v>
      </c>
    </row>
    <row r="32" customFormat="false" ht="42.75" hidden="false" customHeight="true" outlineLevel="0" collapsed="false">
      <c r="A32" s="15" t="s">
        <v>214</v>
      </c>
      <c r="B32" s="15" t="s">
        <v>134</v>
      </c>
      <c r="C32" s="15" t="s">
        <v>6</v>
      </c>
      <c r="D32" s="15" t="s">
        <v>139</v>
      </c>
      <c r="E32" s="15" t="s">
        <v>61</v>
      </c>
      <c r="F32" s="15" t="s">
        <v>136</v>
      </c>
      <c r="G32" s="15"/>
      <c r="H32" s="15" t="s">
        <v>151</v>
      </c>
      <c r="I32" s="15" t="s">
        <v>65</v>
      </c>
      <c r="J32" s="15"/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0</v>
      </c>
    </row>
    <row r="33" customFormat="false" ht="42.75" hidden="false" customHeight="true" outlineLevel="0" collapsed="false">
      <c r="A33" s="15" t="s">
        <v>215</v>
      </c>
      <c r="B33" s="15" t="s">
        <v>142</v>
      </c>
      <c r="C33" s="15" t="s">
        <v>6</v>
      </c>
      <c r="D33" s="15" t="s">
        <v>143</v>
      </c>
      <c r="E33" s="15" t="s">
        <v>144</v>
      </c>
      <c r="F33" s="15" t="s">
        <v>144</v>
      </c>
      <c r="G33" s="15"/>
      <c r="H33" s="15" t="s">
        <v>151</v>
      </c>
      <c r="I33" s="15" t="s">
        <v>72</v>
      </c>
      <c r="J33" s="15"/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0</v>
      </c>
    </row>
    <row r="34" customFormat="false" ht="42.75" hidden="false" customHeight="true" outlineLevel="0" collapsed="false">
      <c r="A34" s="15" t="s">
        <v>216</v>
      </c>
      <c r="B34" s="15" t="s">
        <v>147</v>
      </c>
      <c r="C34" s="15" t="s">
        <v>6</v>
      </c>
      <c r="D34" s="15" t="s">
        <v>148</v>
      </c>
      <c r="E34" s="15" t="s">
        <v>149</v>
      </c>
      <c r="F34" s="15" t="s">
        <v>150</v>
      </c>
      <c r="G34" s="15"/>
      <c r="H34" s="15" t="s">
        <v>151</v>
      </c>
      <c r="I34" s="15" t="s">
        <v>72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6">
      <formula>$H9="not started"</formula>
    </cfRule>
    <cfRule type="expression" priority="3" aboveAverage="0" equalAverage="0" bottom="0" percent="0" rank="0" text="" dxfId="7">
      <formula>$H9="partial"</formula>
    </cfRule>
    <cfRule type="expression" priority="4" aboveAverage="0" equalAverage="0" bottom="0" percent="0" rank="0" text="" dxfId="8">
      <formula>$H9="implemented"</formula>
    </cfRule>
    <cfRule type="expression" priority="5" aboveAverage="0" equalAverage="0" bottom="0" percent="0" rank="0" text="" dxfId="9">
      <formula>$H9="tested"</formula>
    </cfRule>
    <cfRule type="expression" priority="6" aboveAverage="0" equalAverage="0" bottom="0" percent="0" rank="0" text="" dxfId="10">
      <formula>$H9="verified"</formula>
    </cfRule>
    <cfRule type="expression" priority="7" aboveAverage="0" equalAverage="0" bottom="0" percent="0" rank="0" text="" dxfId="11">
      <formula>$H9="blocked"</formula>
    </cfRule>
    <cfRule type="expression" priority="8" aboveAverage="0" equalAverage="0" bottom="0" percent="0" rank="0" text="" dxfId="12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151</v>
      </c>
      <c r="B1" s="1" t="s">
        <v>72</v>
      </c>
    </row>
    <row r="2" customFormat="false" ht="15" hidden="false" customHeight="true" outlineLevel="0" collapsed="false">
      <c r="A2" s="1" t="s">
        <v>217</v>
      </c>
      <c r="B2" s="1" t="s">
        <v>65</v>
      </c>
    </row>
    <row r="3" customFormat="false" ht="15" hidden="false" customHeight="true" outlineLevel="0" collapsed="false">
      <c r="A3" s="1" t="s">
        <v>218</v>
      </c>
    </row>
    <row r="4" customFormat="false" ht="15" hidden="false" customHeight="true" outlineLevel="0" collapsed="false">
      <c r="A4" s="1" t="s">
        <v>64</v>
      </c>
    </row>
    <row r="5" customFormat="false" ht="15" hidden="false" customHeight="true" outlineLevel="0" collapsed="false">
      <c r="A5" s="1" t="s">
        <v>71</v>
      </c>
    </row>
    <row r="6" customFormat="false" ht="15" hidden="false" customHeight="true" outlineLevel="0" collapsed="false">
      <c r="A6" s="1" t="s">
        <v>219</v>
      </c>
    </row>
    <row r="7" customFormat="false" ht="15" hidden="false" customHeight="true" outlineLevel="0" collapsed="false">
      <c r="A7" s="1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2026-07-17T00:15:30Z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