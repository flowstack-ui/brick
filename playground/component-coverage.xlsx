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xl/tables/table5.xml" ContentType="application/vnd.openxmlformats-officedocument.spreadsheetml.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5.xml" ContentType="application/vnd.openxmlformats-officedocument.spreadsheetml.worksheet+xml"/>
  <Override PartName="/xl/worksheets/sheet3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Index" sheetId="1" state="visible" r:id="rId3"/>
    <sheet name="Instructions" sheetId="2" state="visible" r:id="rId4"/>
    <sheet name="Button" sheetId="3" state="visible" r:id="rId5"/>
    <sheet name="Card" sheetId="4" state="visible" r:id="rId6"/>
    <sheet name="Dialog" sheetId="5" state="visible" r:id="rId7"/>
    <sheet name="_Lists" sheetId="6" state="hidden" r:id="rId8"/>
    <sheet name="AlertDialog" sheetId="7" state="visible" r:id="rId9"/>
  </sheets>
  <definedNames>
    <definedName function="false" hidden="false" localSheetId="6" name="_xlnm.Print_Area" vbProcedure="false">AlertDialog!$A$1:$M$47</definedName>
    <definedName function="false" hidden="true" localSheetId="6" name="_xlnm._FilterDatabase" vbProcedure="false">AlertDialog!$A$8:$M$47</definedName>
    <definedName function="false" hidden="false" localSheetId="2" name="_xlnm.Print_Area" vbProcedure="false">Button!$A$1:$M$34</definedName>
    <definedName function="false" hidden="false" localSheetId="2" name="_xlnm.Print_Titles" vbProcedure="false">Button!$1:$8</definedName>
    <definedName function="false" hidden="true" localSheetId="2" name="_xlnm._FilterDatabase" vbProcedure="false">Button!$A$8:$M$34</definedName>
    <definedName function="false" hidden="false" localSheetId="3" name="_xlnm.Print_Area" vbProcedure="false">Card!$A$1:$M$41</definedName>
    <definedName function="false" hidden="false" localSheetId="3" name="_xlnm.Print_Titles" vbProcedure="false">Card!$1:$8</definedName>
    <definedName function="false" hidden="true" localSheetId="3" name="_xlnm._FilterDatabase" vbProcedure="false">Card!$A$8:$M$34</definedName>
    <definedName function="false" hidden="false" localSheetId="4" name="_xlnm.Print_Area" vbProcedure="false">Dialog!$A$1:$M$45</definedName>
    <definedName function="false" hidden="false" localSheetId="4" name="_xlnm.Print_Titles" vbProcedure="false">Dialog!$1:$8</definedName>
    <definedName function="false" hidden="true" localSheetId="4" name="_xlnm._FilterDatabase" vbProcedure="false">Dialog!$A$8:$M$45</definedName>
    <definedName function="false" hidden="false" localSheetId="0" name="_xlnm.Print_Area" vbProcedure="false">Index!$A$1:$N$11</definedName>
    <definedName function="false" hidden="false" localSheetId="1" name="_xlnm.Print_Area" vbProcedure="false">Instructions!$A$1:$B$18</definedName>
    <definedName function="false" hidden="true" localSheetId="1" name="_xlnm._FilterDatabase" vbProcedure="false">Instructions!$A$4:$B$18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<sst xmlns="http://schemas.openxmlformats.org/spreadsheetml/2006/main" count="1377" uniqueCount="429">
  <si>
    <t xml:space="preserve">Brick Component Coverage Index</t>
  </si>
  <si>
    <t xml:space="preserve">Formula-driven foundation tracker. Package completion, live-consumer cutover, and legacy retirement remain separate gates.</t>
  </si>
  <si>
    <t xml:space="preserve">Reference components</t>
  </si>
  <si>
    <t xml:space="preserve">Complete</t>
  </si>
  <si>
    <t xml:space="preserve">Blocked</t>
  </si>
  <si>
    <t xml:space="preserve">Overall</t>
  </si>
  <si>
    <t xml:space="preserve">Component</t>
  </si>
  <si>
    <t xml:space="preserve">Requirements</t>
  </si>
  <si>
    <t xml:space="preserve">Not started</t>
  </si>
  <si>
    <t xml:space="preserve">Partial</t>
  </si>
  <si>
    <t xml:space="preserve">Implemented</t>
  </si>
  <si>
    <t xml:space="preserve">Tested</t>
  </si>
  <si>
    <t xml:space="preserve">Verified</t>
  </si>
  <si>
    <t xml:space="preserve">Not applicable</t>
  </si>
  <si>
    <t xml:space="preserve">Completion</t>
  </si>
  <si>
    <t xml:space="preserve">Package gate</t>
  </si>
  <si>
    <t xml:space="preserve">Consumer gate</t>
  </si>
  <si>
    <t xml:space="preserve">Retirement gate</t>
  </si>
  <si>
    <t xml:space="preserve">Status</t>
  </si>
  <si>
    <t xml:space="preserve">Button</t>
  </si>
  <si>
    <t xml:space="preserve">Card</t>
  </si>
  <si>
    <t xml:space="preserve">Dialog</t>
  </si>
  <si>
    <t xml:space="preserve">AlertDialog</t>
  </si>
  <si>
    <t xml:space="preserve">Brick Component Coverage</t>
  </si>
  <si>
    <t xml:space="preserve">A review index for implementation, automated evidence, human verification, consumer cutover, and Core retirement.</t>
  </si>
  <si>
    <t xml:space="preserve">Topic</t>
  </si>
  <si>
    <t xml:space="preserve">Rule</t>
  </si>
  <si>
    <t xml:space="preserve">Purpose</t>
  </si>
  <si>
    <t xml:space="preserve">The workbook makes missing component evidence visible. Source, tests, protocols, docs, and the Core ledger remain authoritative.</t>
  </si>
  <si>
    <t xml:space="preserve">not started — required evidence does not exist yet</t>
  </si>
  <si>
    <t xml:space="preserve">partial — some evidence exists but the requirement is incomplete</t>
  </si>
  <si>
    <t xml:space="preserve">implemented — the required implementation or evidence exists</t>
  </si>
  <si>
    <t xml:space="preserve">tested — the automated or repeatable check passes</t>
  </si>
  <si>
    <t xml:space="preserve">verified — required human review also passed</t>
  </si>
  <si>
    <t xml:space="preserve">blocked — progress requires a documented decision, dependency, or fix</t>
  </si>
  <si>
    <t xml:space="preserve">not applicable — the approved brief excludes the requirement; record the reason</t>
  </si>
  <si>
    <t xml:space="preserve">Human-review rows resolve only at verified. Other rows resolve at tested or verified. A documented not-applicable row also resolves.</t>
  </si>
  <si>
    <t xml:space="preserve">Implementation, playground, automated tests, manual evidence, and documentation are complete; every tested or verified claim has been sampled against its exact assertion.</t>
  </si>
  <si>
    <t xml:space="preserve">A live consumer uses the finished Brick component and the cutover is verified.</t>
  </si>
  <si>
    <t xml:space="preserve">The authorized legacy Core slice and stale evidence are removed.</t>
  </si>
  <si>
    <t xml:space="preserve">Anatomy</t>
  </si>
  <si>
    <t xml:space="preserve">Replace generic Component parts and add part-specific rows after the component brief is adopted.</t>
  </si>
  <si>
    <t xml:space="preserve">Editing</t>
  </si>
  <si>
    <t xml:space="preserve">Use list values; classify Atom, Brick adapter, browser, and manual ownership; keep claims assertion-specific; record blocker and not-applicable reasons; recalculate; and visually inspect every changed sheet.</t>
  </si>
  <si>
    <t xml:space="preserve">Button Evidence Matrix</t>
  </si>
  <si>
    <t xml:space="preserve">Evidence gates for the adopted Button contract. Planning evidence may resolve an audit gate, but implementation, test, documentation, consumer, and retirement gates require their own completed evidence.</t>
  </si>
  <si>
    <t xml:space="preserve">Resolved</t>
  </si>
  <si>
    <t xml:space="preserve">Completion is formula-driven. Human-review rows require verified; other rows require tested or verified. Not applicable requires a reason.</t>
  </si>
  <si>
    <t xml:space="preserve">ID</t>
  </si>
  <si>
    <t xml:space="preserve">Area</t>
  </si>
  <si>
    <t xml:space="preserve">Part</t>
  </si>
  <si>
    <t xml:space="preserve">Requirement</t>
  </si>
  <si>
    <t xml:space="preserve">Gate</t>
  </si>
  <si>
    <t xml:space="preserve">Evidence type</t>
  </si>
  <si>
    <t xml:space="preserve">Evidence / link</t>
  </si>
  <si>
    <t xml:space="preserve">Human review?</t>
  </si>
  <si>
    <t xml:space="preserve">Last verified</t>
  </si>
  <si>
    <t xml:space="preserve">Blocker / N/A reason</t>
  </si>
  <si>
    <t xml:space="preserve">Weight</t>
  </si>
  <si>
    <t xml:space="preserve">BUT-01</t>
  </si>
  <si>
    <t xml:space="preserve">Public API</t>
  </si>
  <si>
    <t xml:space="preserve">Implementation uses public Atom 0.2.1 behavior without Core or local headless wrappers</t>
  </si>
  <si>
    <t xml:space="preserve">package</t>
  </si>
  <si>
    <t xml:space="preserve">source</t>
  </si>
  <si>
    <t xml:space="preserve">../src/components/button/Button.tsx</t>
  </si>
  <si>
    <t xml:space="preserve">tested</t>
  </si>
  <si>
    <t xml:space="preserve">no</t>
  </si>
  <si>
    <t xml:space="preserve">BUT-02</t>
  </si>
  <si>
    <t xml:space="preserve">Boundary</t>
  </si>
  <si>
    <t xml:space="preserve">Atom 0.2.1 capability audit covers pointer, keyboard, touch, constrained layouts, native links, asChild, and render; every Atom-owned gap is resolved in the released dependency</t>
  </si>
  <si>
    <t xml:space="preserve">decision</t>
  </si>
  <si>
    <t xml:space="preserve">../../docs/button-component-brief.md</t>
  </si>
  <si>
    <t xml:space="preserve">verified</t>
  </si>
  <si>
    <t xml:space="preserve">yes</t>
  </si>
  <si>
    <t xml:space="preserve">BUT-03</t>
  </si>
  <si>
    <t xml:space="preserve">Direct Button export, declarations, defaults, and closed prop unions match the approved brief</t>
  </si>
  <si>
    <t xml:space="preserve">types</t>
  </si>
  <si>
    <t xml:space="preserve">../src/button.ts</t>
  </si>
  <si>
    <t xml:space="preserve">BUT-04</t>
  </si>
  <si>
    <t xml:space="preserve">Native props, HTMLElement ref, Atom composition, icons, loading, and the public Button slot follow the adopted API contract</t>
  </si>
  <si>
    <t xml:space="preserve">../test/components/button.test.tsx</t>
  </si>
  <si>
    <t xml:space="preserve">BUT-05</t>
  </si>
  <si>
    <t xml:space="preserve">Visual system</t>
  </si>
  <si>
    <t xml:space="preserve">Compiled CSS uses public brick classes, variables, layers, and semantic tokens</t>
  </si>
  <si>
    <t xml:space="preserve">../src/components/button/button.css</t>
  </si>
  <si>
    <t xml:space="preserve">BUT-06</t>
  </si>
  <si>
    <t xml:space="preserve">Four variants, six tones, five sizes, three shapes, fullWidth, loading, and every required interaction state are implemented</t>
  </si>
  <si>
    <t xml:space="preserve">../playground/manual-tests/button.md</t>
  </si>
  <si>
    <t xml:space="preserve">BUT-07</t>
  </si>
  <si>
    <t xml:space="preserve">Playground</t>
  </si>
  <si>
    <t xml:space="preserve">Canonical overview and shortest finished state</t>
  </si>
  <si>
    <t xml:space="preserve">playground</t>
  </si>
  <si>
    <t xml:space="preserve">manual-tests/button.md</t>
  </si>
  <si>
    <t xml:space="preserve">BUT-08</t>
  </si>
  <si>
    <t xml:space="preserve">Every variant, tone, size, shape, width mode, composition path, and important state is shown</t>
  </si>
  <si>
    <t xml:space="preserve">BUT-09</t>
  </si>
  <si>
    <t xml:space="preserve">Mobile-first constrained viewport and intentional wide layout</t>
  </si>
  <si>
    <t xml:space="preserve">BUT-10</t>
  </si>
  <si>
    <t xml:space="preserve">Light, dark, forced-colors, reduced-motion, and relevant preference modes</t>
  </si>
  <si>
    <t xml:space="preserve">tests/preferences.spec.ts</t>
  </si>
  <si>
    <t xml:space="preserve">BUT-11</t>
  </si>
  <si>
    <t xml:space="preserve">Long content, localization, zoom, and RTL stress</t>
  </si>
  <si>
    <t xml:space="preserve">BUT-12</t>
  </si>
  <si>
    <t xml:space="preserve">Semantic tokens, public Button tokens, className, style, data attributes, and the Button slot customization contract</t>
  </si>
  <si>
    <t xml:space="preserve">BUT-13</t>
  </si>
  <si>
    <t xml:space="preserve">Stable route and deterministic state inputs for browser tests</t>
  </si>
  <si>
    <t xml:space="preserve">tests/button.spec.ts</t>
  </si>
  <si>
    <t xml:space="preserve">BUT-14</t>
  </si>
  <si>
    <t xml:space="preserve">Automated tests</t>
  </si>
  <si>
    <t xml:space="preserve">Vitest and Testing Library component contract tests</t>
  </si>
  <si>
    <t xml:space="preserve">test</t>
  </si>
  <si>
    <t xml:space="preserve">BUT-15</t>
  </si>
  <si>
    <t xml:space="preserve">Public prop unions, defaults, composition conflicts, native props, ref, and declaration fixtures</t>
  </si>
  <si>
    <t xml:space="preserve">../test/types/public-api.test.ts</t>
  </si>
  <si>
    <t xml:space="preserve">BUT-16</t>
  </si>
  <si>
    <t xml:space="preserve">Playwright keyboard, pointer, focus, and state interactions</t>
  </si>
  <si>
    <t xml:space="preserve">BUT-17</t>
  </si>
  <si>
    <t xml:space="preserve">Axe checks for canonical browser states</t>
  </si>
  <si>
    <t xml:space="preserve">tests/foundation.spec.ts</t>
  </si>
  <si>
    <t xml:space="preserve">BUT-18</t>
  </si>
  <si>
    <t xml:space="preserve">Risk-based Chromium visual baselines reviewed</t>
  </si>
  <si>
    <t xml:space="preserve">tests/visual.spec.ts</t>
  </si>
  <si>
    <t xml:space="preserve">BUT-19</t>
  </si>
  <si>
    <t xml:space="preserve">Relevant Chromium, Firefox, WebKit, and mobile-profile checks</t>
  </si>
  <si>
    <t xml:space="preserve">../../playwright.config.ts</t>
  </si>
  <si>
    <t xml:space="preserve">BUT-20</t>
  </si>
  <si>
    <t xml:space="preserve">Server-render boundary and server-safe consumer behavior are verified</t>
  </si>
  <si>
    <t xml:space="preserve">../scripts/verify-consumers.mjs</t>
  </si>
  <si>
    <t xml:space="preserve">BUT-21</t>
  </si>
  <si>
    <t xml:space="preserve">Manual evidence</t>
  </si>
  <si>
    <t xml:space="preserve">Numbered component manual-test protocol is complete</t>
  </si>
  <si>
    <t xml:space="preserve">manual</t>
  </si>
  <si>
    <t xml:space="preserve">BUT-22</t>
  </si>
  <si>
    <t xml:space="preserve">Latest required manual run is recorded and passes</t>
  </si>
  <si>
    <t xml:space="preserve">BUT-23</t>
  </si>
  <si>
    <t xml:space="preserve">Documentation</t>
  </si>
  <si>
    <t xml:space="preserve">Public component documentation follows the standard template</t>
  </si>
  <si>
    <t xml:space="preserve">docs</t>
  </si>
  <si>
    <t xml:space="preserve">../docs/components/button/README.md</t>
  </si>
  <si>
    <t xml:space="preserve">BUT-24</t>
  </si>
  <si>
    <t xml:space="preserve">Component changelog and applicable package release notes are updated</t>
  </si>
  <si>
    <t xml:space="preserve">../docs/components/button/CHANGELOG.md</t>
  </si>
  <si>
    <t xml:space="preserve">BUT-25</t>
  </si>
  <si>
    <t xml:space="preserve">Consumer</t>
  </si>
  <si>
    <t xml:space="preserve">Live consumer cutover is verified without adding new legacy Core coupling</t>
  </si>
  <si>
    <t xml:space="preserve">consumer</t>
  </si>
  <si>
    <t xml:space="preserve">../../../../apps/brick-consumer/tests/consumer.spec.ts</t>
  </si>
  <si>
    <t xml:space="preserve">BUT-26</t>
  </si>
  <si>
    <t xml:space="preserve">Retirement</t>
  </si>
  <si>
    <t xml:space="preserve">Legacy Core slice and authorized stale consumer evidence are removed</t>
  </si>
  <si>
    <t xml:space="preserve">retirement</t>
  </si>
  <si>
    <t xml:space="preserve">removal</t>
  </si>
  <si>
    <t xml:space="preserve">not started</t>
  </si>
  <si>
    <t xml:space="preserve">Card Evidence Matrix</t>
  </si>
  <si>
    <t xml:space="preserve">Evidence gates for the adopted static Card compound, its seven public parts, package proof, consumer cutover, and dependency-blocked legacy retirement.</t>
  </si>
  <si>
    <t xml:space="preserve">CAR-01</t>
  </si>
  <si>
    <t xml:space="preserve">Namespace</t>
  </si>
  <si>
    <t xml:space="preserve">Static Card namespace implementation has no Core, application, or local behavior wrapper</t>
  </si>
  <si>
    <t xml:space="preserve">../src/components/card/Card.tsx</t>
  </si>
  <si>
    <t xml:space="preserve">CAR-02</t>
  </si>
  <si>
    <t xml:space="preserve">Atom capability audit confirms Card owns no behavior and requires no Atom patch or local workaround</t>
  </si>
  <si>
    <t xml:space="preserve">../../docs/card-component-brief.md</t>
  </si>
  <si>
    <t xml:space="preserve">CAR-03</t>
  </si>
  <si>
    <t xml:space="preserve">Root and card subpath exports, declarations, defaults, and closed unions match the adopted brief</t>
  </si>
  <si>
    <t xml:space="preserve">../src/card.ts</t>
  </si>
  <si>
    <t xml:space="preserve">CAR-04</t>
  </si>
  <si>
    <t xml:space="preserve">All parts</t>
  </si>
  <si>
    <t xml:space="preserve">Native props, refs, className, style, events, children, and overridable slots forward on every public part</t>
  </si>
  <si>
    <t xml:space="preserve">../test/components/card.test.tsx</t>
  </si>
  <si>
    <t xml:space="preserve">CAR-05</t>
  </si>
  <si>
    <t xml:space="preserve">Root</t>
  </si>
  <si>
    <t xml:space="preserve">Neutral div default, restricted semantic elements, variant and size defaults, and no invented role or focus state</t>
  </si>
  <si>
    <t xml:space="preserve">CAR-06</t>
  </si>
  <si>
    <t xml:space="preserve">Header</t>
  </si>
  <si>
    <t xml:space="preserve">Title, description, and compact trailing action preserve source order and resilient narrow-screen layout</t>
  </si>
  <si>
    <t xml:space="preserve">manual-tests/card.md</t>
  </si>
  <si>
    <t xml:space="preserve">CAR-07</t>
  </si>
  <si>
    <t xml:space="preserve">Title</t>
  </si>
  <si>
    <t xml:space="preserve">Heading defaults to h3 and supports only h1 through h6 with native heading semantics</t>
  </si>
  <si>
    <t xml:space="preserve">CAR-08</t>
  </si>
  <si>
    <t xml:space="preserve">Description</t>
  </si>
  <si>
    <t xml:space="preserve">Supporting text renders as a native paragraph and forwards its complete public DOM contract</t>
  </si>
  <si>
    <t xml:space="preserve">CAR-09</t>
  </si>
  <si>
    <t xml:space="preserve">Action</t>
  </si>
  <si>
    <t xml:space="preserve">Compact trailing layout creates no role, focus, click, keyboard, or generated control behavior</t>
  </si>
  <si>
    <t xml:space="preserve">tests/card.spec.ts</t>
  </si>
  <si>
    <t xml:space="preserve">CAR-10</t>
  </si>
  <si>
    <t xml:space="preserve">Content</t>
  </si>
  <si>
    <t xml:space="preserve">Optional body region renders one native element and omitted anatomy creates no empty regions</t>
  </si>
  <si>
    <t xml:space="preserve">CAR-11</t>
  </si>
  <si>
    <t xml:space="preserve">Footer</t>
  </si>
  <si>
    <t xml:space="preserve">Optional footer preserves explicit controls, logical order, wrapping, and visible focus at narrow widths</t>
  </si>
  <si>
    <t xml:space="preserve">CAR-12</t>
  </si>
  <si>
    <t xml:space="preserve">Compiled CSS uses public brick classes, component tokens, layers, logical properties, and semantic roles</t>
  </si>
  <si>
    <t xml:space="preserve">../src/components/card/card.css</t>
  </si>
  <si>
    <t xml:space="preserve">CAR-13</t>
  </si>
  <si>
    <t xml:space="preserve">Outline, elevated, and subtle variants plus small, medium, and large density recipes remain distinct in light and dark</t>
  </si>
  <si>
    <t xml:space="preserve">CAR-14</t>
  </si>
  <si>
    <t xml:space="preserve">Canonical article and every partial anatomy are built from public Card parts and Brick Button</t>
  </si>
  <si>
    <t xml:space="preserve">CAR-15</t>
  </si>
  <si>
    <t xml:space="preserve">Every variant and size plus media and single-action-link composition are represented</t>
  </si>
  <si>
    <t xml:space="preserve">CAR-16</t>
  </si>
  <si>
    <t xml:space="preserve">Mobile-first constrained layouts and intentional wide layouts preserve natural Card height and containment</t>
  </si>
  <si>
    <t xml:space="preserve">CAR-17</t>
  </si>
  <si>
    <t xml:space="preserve">Light, dark, scoped appearance, forced colors, and reduced motion retain hierarchy and boundaries</t>
  </si>
  <si>
    <t xml:space="preserve">CAR-18</t>
  </si>
  <si>
    <t xml:space="preserve">Long content, unbroken text, localization, 400 percent zoom, and RTL remain contained and readable</t>
  </si>
  <si>
    <t xml:space="preserve">CAR-19</t>
  </si>
  <si>
    <t xml:space="preserve">Public Card tokens, stable classes, style, data attributes, and overridable part slots are inspectable</t>
  </si>
  <si>
    <t xml:space="preserve">CAR-20</t>
  </si>
  <si>
    <t xml:space="preserve">Stable Card route and deterministic scenario selectors support repeatable browser tests</t>
  </si>
  <si>
    <t xml:space="preserve">CAR-21</t>
  </si>
  <si>
    <t xml:space="preserve">Vitest and Testing Library cover the complete component and native DOM contract</t>
  </si>
  <si>
    <t xml:space="preserve">CAR-22</t>
  </si>
  <si>
    <t xml:space="preserve">Public type, declaration, invalid-prop, root export, and card-subpath fixtures pass</t>
  </si>
  <si>
    <t xml:space="preserve">CAR-23</t>
  </si>
  <si>
    <t xml:space="preserve">Playwright verifies static semantics, explicit-control focus, accessible link naming, reflow, and zoom</t>
  </si>
  <si>
    <t xml:space="preserve">CAR-24</t>
  </si>
  <si>
    <t xml:space="preserve">Axe reports no automatically detectable violations for canonical Card states</t>
  </si>
  <si>
    <t xml:space="preserve">CAR-25</t>
  </si>
  <si>
    <t xml:space="preserve">Six deterministic Chromium visual baselines are reviewed</t>
  </si>
  <si>
    <t xml:space="preserve">CAR-26</t>
  </si>
  <si>
    <t xml:space="preserve">Chromium, Firefox, WebKit, Pixel, and iPhone release matrix records 73 passes and 42 intentional skips</t>
  </si>
  <si>
    <t xml:space="preserve">../playwright.config.ts</t>
  </si>
  <si>
    <t xml:space="preserve">CAR-27</t>
  </si>
  <si>
    <t xml:space="preserve">SSR, package boundary, tarball, and clean React 18 and React 19 consumer verification pass</t>
  </si>
  <si>
    <t xml:space="preserve">../test/package/ssr.test.mjs</t>
  </si>
  <si>
    <t xml:space="preserve">CAR-28</t>
  </si>
  <si>
    <t xml:space="preserve">Numbered ten-step Card manual-test protocol is complete</t>
  </si>
  <si>
    <t xml:space="preserve">CAR-29</t>
  </si>
  <si>
    <t xml:space="preserve">Latest owner run is recorded and passes after every discovered finding was corrected and retested</t>
  </si>
  <si>
    <t xml:space="preserve">CAR-30</t>
  </si>
  <si>
    <t xml:space="preserve">Public Card documentation follows the standard template and documents whole-card accessibility</t>
  </si>
  <si>
    <t xml:space="preserve">../docs/components/card/README.md</t>
  </si>
  <si>
    <t xml:space="preserve">CAR-31</t>
  </si>
  <si>
    <t xml:space="preserve">Card changelog and package release notes record the initial contract and dark-elevation correction</t>
  </si>
  <si>
    <t xml:space="preserve">../docs/components/card/CHANGELOG.md</t>
  </si>
  <si>
    <t xml:space="preserve">CAR-32</t>
  </si>
  <si>
    <t xml:space="preserve">Independent consumer uses public Card for project, checklist, and invitation surfaces and passes ten browser checks</t>
  </si>
  <si>
    <t xml:space="preserve">CAR-33</t>
  </si>
  <si>
    <t xml:space="preserve">Legacy Card family</t>
  </si>
  <si>
    <t xml:space="preserve">Legacy Card source, exports, compatibility, and stale evidence are removed only after dependents are resolved</t>
  </si>
  <si>
    <t xml:space="preserve">../../docs/core-dependency-ledger.md</t>
  </si>
  <si>
    <t xml:space="preserve">blocked</t>
  </si>
  <si>
    <t xml:space="preserve">Dialog, Drawer, and AlertDialog still consume legacy Card parts or types.</t>
  </si>
  <si>
    <t xml:space="preserve">Dialog Evidence Matrix</t>
  </si>
  <si>
    <t xml:space="preserve">Evidence gates for the adopted modal Dialog compound, its twelve public parts, package proof, consumer cutover, and dependency-blocked legacy retirement.</t>
  </si>
  <si>
    <t xml:space="preserve">DIA-01</t>
  </si>
  <si>
    <t xml:space="preserve">Implementation directly composes public Atom 0.3.2 behavior without Core or local headless wrappers</t>
  </si>
  <si>
    <t xml:space="preserve">../src/components/dialog/Dialog.tsx</t>
  </si>
  <si>
    <t xml:space="preserve">DIA-02</t>
  </si>
  <si>
    <t xml:space="preserve">Adopted capability audit covers focus, nested layers, portals, isolation, scrolling, touch focus, presence, and dismissal; released Atom gaps are resolved</t>
  </si>
  <si>
    <t xml:space="preserve">../../docs/dialog-component-brief.md</t>
  </si>
  <si>
    <t xml:space="preserve">DIA-03</t>
  </si>
  <si>
    <t xml:space="preserve">Root and dialog-subpath namespaces, direct part exports, declarations, and closed prop unions match the adopted brief</t>
  </si>
  <si>
    <t xml:space="preserve">DIA-04</t>
  </si>
  <si>
    <t xml:space="preserve">Atom owns exhaustive controlled and uncontrolled state and modal policy; Brick verifies disabled Root forwarding and representative close-reason preservation</t>
  </si>
  <si>
    <t xml:space="preserve">../test/components/dialog.test.tsx</t>
  </si>
  <si>
    <t xml:space="preserve">DIA-05</t>
  </si>
  <si>
    <t xml:space="preserve">Trigger</t>
  </si>
  <si>
    <t xml:space="preserve">Trigger preserves disabled state, native props, ref, stable Brick hooks, and representative Atom asChild and render composition</t>
  </si>
  <si>
    <t xml:space="preserve">DIA-06</t>
  </si>
  <si>
    <t xml:space="preserve">Portal</t>
  </si>
  <si>
    <t xml:space="preserve">Portal preserves default body, inline disabled, and custom-container composition without copying behavior into Brick</t>
  </si>
  <si>
    <t xml:space="preserve">../test/components/dialog.test.tsx + tests/dialog.spec.ts</t>
  </si>
  <si>
    <t xml:space="preserve">DIA-07</t>
  </si>
  <si>
    <t xml:space="preserve">Overlay</t>
  </si>
  <si>
    <t xml:space="preserve">Overlay remains a sibling of Content, exposes the semantic scrim, and preserves exact-target and disabled dismissal behavior</t>
  </si>
  <si>
    <t xml:space="preserve">tests/dialog.spec.ts</t>
  </si>
  <si>
    <t xml:space="preserve">DIA-08</t>
  </si>
  <si>
    <t xml:space="preserve">Modal semantics, ARIA ownership, focus scope, native props, ref, stable hooks, and sm, md, and lg sizes follow the adopted contract</t>
  </si>
  <si>
    <t xml:space="preserve">DIA-09</t>
  </si>
  <si>
    <t xml:space="preserve">Header renders one native visual region for title, description, and optional explicit controls without generated behavior</t>
  </si>
  <si>
    <t xml:space="preserve">DIA-10</t>
  </si>
  <si>
    <t xml:space="preserve">Visible accessible naming, the default h2, and a representative h1 override preserve Atom ARIA relationships and heading forwarding</t>
  </si>
  <si>
    <t xml:space="preserve">DIA-11</t>
  </si>
  <si>
    <t xml:space="preserve">Optional paragraph content supplies the accessible description without inventing copy or empty relationships</t>
  </si>
  <si>
    <t xml:space="preserve">DIA-12</t>
  </si>
  <si>
    <t xml:space="preserve">Body</t>
  </si>
  <si>
    <t xml:space="preserve">Bounded body scrolling keeps long content readable without moving Header, Footer, or the background page</t>
  </si>
  <si>
    <t xml:space="preserve">manual-tests/dialog.md</t>
  </si>
  <si>
    <t xml:space="preserve">DIA-13</t>
  </si>
  <si>
    <t xml:space="preserve">Consumer-selected actions preserve source order, wrap logically, and remain reachable at narrow and keyboard-constrained heights</t>
  </si>
  <si>
    <t xml:space="preserve">DIA-14</t>
  </si>
  <si>
    <t xml:space="preserve">Close</t>
  </si>
  <si>
    <t xml:space="preserve">Close preserves native props, ref, stable Brick hooks, representative asChild and render composition, and the closeClick reason</t>
  </si>
  <si>
    <t xml:space="preserve">DIA-15</t>
  </si>
  <si>
    <t xml:space="preserve">Branch</t>
  </si>
  <si>
    <t xml:space="preserve">Branch preserves Atom registration ownership while Brick verifies render composition, native forwarding, ref wiring, and stable styling hooks</t>
  </si>
  <si>
    <t xml:space="preserve">DIA-16</t>
  </si>
  <si>
    <t xml:space="preserve">Compiled CSS uses public Brick classes, component tokens, layers, logical properties, semantic roles, and direction-neutral centering</t>
  </si>
  <si>
    <t xml:space="preserve">../src/components/dialog/dialog.css</t>
  </si>
  <si>
    <t xml:space="preserve">DIA-17</t>
  </si>
  <si>
    <t xml:space="preserve">The semantic overlay recipe, border, elevation, spacing, three sizes, and reduced-motion states remain distinct and coherent</t>
  </si>
  <si>
    <t xml:space="preserve">DIA-18</t>
  </si>
  <si>
    <t xml:space="preserve">The nine-section deterministic workbench uses public Dialog anatomy and Brick Button composition</t>
  </si>
  <si>
    <t xml:space="preserve">DIA-19</t>
  </si>
  <si>
    <t xml:space="preserve">Overview, sizes, anatomy, dismissal, nesting, scoped appearance, customization, long content, and RTL scenarios are represented</t>
  </si>
  <si>
    <t xml:space="preserve">DIA-20</t>
  </si>
  <si>
    <t xml:space="preserve">Mobile-first constrained and intentional wide layouts preserve viewport gaps, bounded height, body scrolling, and reachable actions</t>
  </si>
  <si>
    <t xml:space="preserve">DIA-21</t>
  </si>
  <si>
    <t xml:space="preserve">Light, dark, scoped appearance, forced colors, and reduced motion retain hierarchy, boundaries, and focus visibility</t>
  </si>
  <si>
    <t xml:space="preserve">DIA-22</t>
  </si>
  <si>
    <t xml:space="preserve">Long content, unbroken text, localization, 200 and 400 percent zoom, narrow widths, and RTL remain contained and readable</t>
  </si>
  <si>
    <t xml:space="preserve">DIA-23</t>
  </si>
  <si>
    <t xml:space="preserve">Public Dialog tokens, stable classes, style, data attributes, and overridable part slots remain local and inspectable</t>
  </si>
  <si>
    <t xml:space="preserve">DIA-24</t>
  </si>
  <si>
    <t xml:space="preserve">Stable Dialog route and deterministic selectors support repeatable browser and visual checks</t>
  </si>
  <si>
    <t xml:space="preserve">DIA-25</t>
  </si>
  <si>
    <t xml:space="preserve">Vitest and Testing Library cover default DOM, native contracts, disabled Root, asChild and render composition, portal container, heading override, sizes, ARIA, close reason, and namespace identity</t>
  </si>
  <si>
    <t xml:space="preserve">DIA-26</t>
  </si>
  <si>
    <t xml:space="preserve">Public types, declarations, invalid size and flat-call exclusions, root exports, and dialog-subpath fixtures pass</t>
  </si>
  <si>
    <t xml:space="preserve">DIA-27</t>
  </si>
  <si>
    <t xml:space="preserve">Playwright verifies modal anatomy, focus containment and restoration, dismissal, disabled Trigger and Overlay paths, nested cleanup, RTL, and mobile geometry</t>
  </si>
  <si>
    <t xml:space="preserve">DIA-28</t>
  </si>
  <si>
    <t xml:space="preserve">Axe reports no automatically detectable violations for the canonical open Dialog state</t>
  </si>
  <si>
    <t xml:space="preserve">DIA-29</t>
  </si>
  <si>
    <t xml:space="preserve">Four deterministic Chromium visual baselines covering light, dark, mobile RTL, and forced colors are reviewed</t>
  </si>
  <si>
    <t xml:space="preserve">DIA-30</t>
  </si>
  <si>
    <t xml:space="preserve">Chromium, Firefox, WebKit, Pixel, and iPhone Dialog release matrix records 40 passing Dialog checks</t>
  </si>
  <si>
    <t xml:space="preserve">DIA-31</t>
  </si>
  <si>
    <t xml:space="preserve">DIA-32</t>
  </si>
  <si>
    <t xml:space="preserve">Numbered nine-step Dialog manual-test protocol is complete</t>
  </si>
  <si>
    <t xml:space="preserve">DIA-33</t>
  </si>
  <si>
    <t xml:space="preserve">Latest owner run passes after nested isolation, portalled RTL direction, and direction-neutral centering findings were corrected and retested</t>
  </si>
  <si>
    <t xml:space="preserve">DIA-34</t>
  </si>
  <si>
    <t xml:space="preserve">Public Dialog documentation follows the standard template and covers use boundaries, anatomy, API, states, accessibility, responsive behavior, portals, Branch, tokens, composition, and customization</t>
  </si>
  <si>
    <t xml:space="preserve">../docs/components/dialog/README.md</t>
  </si>
  <si>
    <t xml:space="preserve">DIA-35</t>
  </si>
  <si>
    <t xml:space="preserve">Dialog component changelog records the initial contract and post-review evidence corrections</t>
  </si>
  <si>
    <t xml:space="preserve">../docs/components/dialog/CHANGELOG.md</t>
  </si>
  <si>
    <t xml:space="preserve">DIA-36</t>
  </si>
  <si>
    <t xml:space="preserve">Independent Brick Consumer uses Dialog through public package exports and passes production, interaction, layout, and axe gates</t>
  </si>
  <si>
    <t xml:space="preserve">DIA-37</t>
  </si>
  <si>
    <t xml:space="preserve">Legacy Dialog family</t>
  </si>
  <si>
    <t xml:space="preserve">Legacy Core Dialog source, exports, defaults, compatibility, and stale evidence are removed only after dependents are resolved</t>
  </si>
  <si>
    <t xml:space="preserve">AlertDialog still imports shared Dialog defaults and legacy structures.</t>
  </si>
  <si>
    <t xml:space="preserve">partial</t>
  </si>
  <si>
    <t xml:space="preserve">implemented</t>
  </si>
  <si>
    <t xml:space="preserve">not applicable</t>
  </si>
  <si>
    <t xml:space="preserve">AlertDialog Evidence Matrix</t>
  </si>
  <si>
    <t xml:space="preserve">Evidence gates for the adopted urgent-decision compound, its twelve public parts, package proof, consumer cutover, and dependency-led legacy retirement.</t>
  </si>
  <si>
    <t xml:space="preserve">ALD-01</t>
  </si>
  <si>
    <t xml:space="preserve">Implementation directly composes public Atom 0.3.2 AlertDialog behavior without Core or local headless wrappers</t>
  </si>
  <si>
    <t xml:space="preserve">../src/components/alert-dialog/AlertDialog.tsx</t>
  </si>
  <si>
    <t xml:space="preserve">ALD-02</t>
  </si>
  <si>
    <t xml:space="preserve">Adopted capability audit covers alert semantics, required message, safe Cancel focus, modal layers, portals, isolation, scrolling, presence, and dismissal</t>
  </si>
  <si>
    <t xml:space="preserve">../../docs/alert-dialog-component-brief.md</t>
  </si>
  <si>
    <t xml:space="preserve">ALD-03</t>
  </si>
  <si>
    <t xml:space="preserve">Root and alert-dialog-subpath namespaces, direct part exports, declarations, and closed prop unions match the adopted brief</t>
  </si>
  <si>
    <t xml:space="preserve">ALD-04</t>
  </si>
  <si>
    <t xml:space="preserve">Atom owns controlled and uncontrolled state, Escape policy, disabled state, close reasons, and modal ownership; Brick forwards the public contract</t>
  </si>
  <si>
    <t xml:space="preserve">../test/components/alert-dialog.test.tsx</t>
  </si>
  <si>
    <t xml:space="preserve">ALD-05</t>
  </si>
  <si>
    <t xml:space="preserve">ALD-06</t>
  </si>
  <si>
    <t xml:space="preserve">ALD-07</t>
  </si>
  <si>
    <t xml:space="preserve">Overlay remains a sibling of Content, exposes the semantic scrim, never dismisses, and exposes no redundant disabled prop</t>
  </si>
  <si>
    <t xml:space="preserve">tests/alert-dialog.spec.ts</t>
  </si>
  <si>
    <t xml:space="preserve">ALD-08</t>
  </si>
  <si>
    <t xml:space="preserve">Alertdialog semantics, ARIA ownership, focus scope, native props, ref, stable hooks, and sm/md sizes follow the adopted contract</t>
  </si>
  <si>
    <t xml:space="preserve">ALD-09</t>
  </si>
  <si>
    <t xml:space="preserve">Header renders one native visual region for Title and required alert message without generated behavior</t>
  </si>
  <si>
    <t xml:space="preserve">ALD-10</t>
  </si>
  <si>
    <t xml:space="preserve">ALD-11</t>
  </si>
  <si>
    <t xml:space="preserve">Description supplies the required alert message and generated accessible description without inventing copy</t>
  </si>
  <si>
    <t xml:space="preserve">ALD-12</t>
  </si>
  <si>
    <t xml:space="preserve">Optional supplemental detail uses a bounded scroll region while the alert message and responses remain reachable</t>
  </si>
  <si>
    <t xml:space="preserve">manual-tests/alert-dialog.md</t>
  </si>
  <si>
    <t xml:space="preserve">Owner manual review pending.</t>
  </si>
  <si>
    <t xml:space="preserve">ALD-13</t>
  </si>
  <si>
    <t xml:space="preserve">Consumer-selected responses preserve source order, wrap logically, and remain reachable at narrow and keyboard-constrained heights</t>
  </si>
  <si>
    <t xml:space="preserve">ALD-14</t>
  </si>
  <si>
    <t xml:space="preserve">Cancel</t>
  </si>
  <si>
    <t xml:space="preserve">Cancel preserves native props, ref, stable hooks, composition, cancel close reason, safe initial focus, and restoration</t>
  </si>
  <si>
    <t xml:space="preserve">../test/components/alert-dialog.test.tsx + tests/alert-dialog.spec.ts</t>
  </si>
  <si>
    <t xml:space="preserve">ALD-15</t>
  </si>
  <si>
    <t xml:space="preserve">Action preserves native props, ref, stable hooks, composition, action close reason, and preventDefault closure control without owning application work</t>
  </si>
  <si>
    <t xml:space="preserve">ALD-16</t>
  </si>
  <si>
    <t xml:space="preserve">Compiled CSS uses public Brick classes, component tokens, layers, logical properties, semantic colors, and direction-neutral centering</t>
  </si>
  <si>
    <t xml:space="preserve">../src/components/alert-dialog/alert-dialog.css</t>
  </si>
  <si>
    <t xml:space="preserve">ALD-17</t>
  </si>
  <si>
    <t xml:space="preserve">Overlay, surface, border, elevation, spacing, two sizes, focus, and reduced-motion treatment are visually coherent</t>
  </si>
  <si>
    <t xml:space="preserve">ALD-18</t>
  </si>
  <si>
    <t xml:space="preserve">The nine-section deterministic workbench uses public AlertDialog anatomy and explicit Brick Button composition</t>
  </si>
  <si>
    <t xml:space="preserve">../playground/src/main.tsx</t>
  </si>
  <si>
    <t xml:space="preserve">ALD-19</t>
  </si>
  <si>
    <t xml:space="preserve">Overview, sizes, anatomy, outcomes, disabled and pending state, nesting, scoped appearance, customization, long content, and RTL are represented</t>
  </si>
  <si>
    <t xml:space="preserve">ALD-20</t>
  </si>
  <si>
    <t xml:space="preserve">Mobile-first constrained and intentional wide layouts preserve viewport gaps, bounded height, Body scrolling, and reachable responses</t>
  </si>
  <si>
    <t xml:space="preserve">ALD-21</t>
  </si>
  <si>
    <t xml:space="preserve">ALD-22</t>
  </si>
  <si>
    <t xml:space="preserve">ALD-23</t>
  </si>
  <si>
    <t xml:space="preserve">Public tokens, stable classes, style, data attributes, and overridable part slots remain local and inspectable</t>
  </si>
  <si>
    <t xml:space="preserve">ALD-24</t>
  </si>
  <si>
    <t xml:space="preserve">Stable AlertDialog route and deterministic selectors support repeatable browser and visual checks</t>
  </si>
  <si>
    <t xml:space="preserve">ALD-25</t>
  </si>
  <si>
    <t xml:space="preserve">Vitest covers default DOM, ARIA, native contracts, disabled native and composed Triggers, sizes, close reasons, autofocus, composition, refs, portal container, heading override, prevention, and namespace identity</t>
  </si>
  <si>
    <t xml:space="preserve">ALD-26</t>
  </si>
  <si>
    <t xml:space="preserve">Public types, declarations, invalid size, callable API, backdrop prop, and Overlay-disabled exclusions plus root/subpath fixtures pass</t>
  </si>
  <si>
    <t xml:space="preserve">ALD-27</t>
  </si>
  <si>
    <t xml:space="preserve">Playwright verifies alert anatomy, Cancel focus, focus restoration, explicit outcomes, Escape policy, and blocked backdrop dismissal</t>
  </si>
  <si>
    <t xml:space="preserve">ALD-28</t>
  </si>
  <si>
    <t xml:space="preserve">Trigger and Action</t>
  </si>
  <si>
    <t xml:space="preserve">Playwright verifies disabled pointer/keyboard opening and prevented Action closure with application-owned pending feedback</t>
  </si>
  <si>
    <t xml:space="preserve">ALD-29</t>
  </si>
  <si>
    <t xml:space="preserve">Nested AlertDialog cleanup returns focus and control to its parent Dialog and leaves the application operable</t>
  </si>
  <si>
    <t xml:space="preserve">ALD-30</t>
  </si>
  <si>
    <t xml:space="preserve">Axe reports no automatically detectable violations for the canonical open AlertDialog state</t>
  </si>
  <si>
    <t xml:space="preserve">ALD-31</t>
  </si>
  <si>
    <t xml:space="preserve">ALD-32</t>
  </si>
  <si>
    <t xml:space="preserve">Chromium, Firefox, WebKit, Pixel, and iPhone AlertDialog release matrix passes</t>
  </si>
  <si>
    <t xml:space="preserve">ALD-33</t>
  </si>
  <si>
    <t xml:space="preserve">Package boundary, tarball, and clean React 18 and React 19 consumer verification include AlertDialog</t>
  </si>
  <si>
    <t xml:space="preserve">ALD-34</t>
  </si>
  <si>
    <t xml:space="preserve">Numbered nine-step AlertDialog manual-test protocol exists with assertion-specific owner checks</t>
  </si>
  <si>
    <t xml:space="preserve">ALD-35</t>
  </si>
  <si>
    <t xml:space="preserve">Latest owner run passes visual, keyboard, touch, nesting, real-phone, preference, reflow, RTL, screen-reader, and customization review</t>
  </si>
  <si>
    <t xml:space="preserve">ALD-36</t>
  </si>
  <si>
    <t xml:space="preserve">Public AlertDialog guide covers use boundaries, anatomy, API, required message, focus, dismissal, async prevention, nesting, responsiveness, tokens, composition, and customization</t>
  </si>
  <si>
    <t xml:space="preserve">../docs/components/alert-dialog/README.md</t>
  </si>
  <si>
    <t xml:space="preserve">ALD-37</t>
  </si>
  <si>
    <t xml:space="preserve">AlertDialog component and package changelogs record the initial contract and evidence</t>
  </si>
  <si>
    <t xml:space="preserve">../docs/components/alert-dialog/CHANGELOG.md</t>
  </si>
  <si>
    <t xml:space="preserve">ALD-38</t>
  </si>
  <si>
    <t xml:space="preserve">Independent Brick Consumer uses the public AlertDialog subpath and passes production, boundary, interaction, layout, desktop/mobile, and axe gates</t>
  </si>
  <si>
    <t xml:space="preserve">ALD-39</t>
  </si>
  <si>
    <t xml:space="preserve">Legacy AlertDialog</t>
  </si>
  <si>
    <t xml:space="preserve">Legacy Core AlertDialog source and feedback export are removed after the package and consumer gates pass</t>
  </si>
  <si>
    <t xml:space="preserve">Package owner-review gate remains open; legacy source is retained until it passes.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</si>
</sst>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%"/>
    <numFmt numFmtId="166" formatCode="yyyy\-mm\-dd"/>
    <numFmt numFmtId="167" formatCode="0"/>
    <numFmt numFmtId="168" formatCode="yyyy\-mm\-dd\ h:mm:ss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FFFFFF"/>
      <name val="Aptos Display"/>
      <family val="0"/>
      <charset val="1"/>
    </font>
    <font>
      <sz val="10"/>
      <color rgb="FF526072"/>
      <name val="Aptos"/>
      <family val="0"/>
      <charset val="1"/>
    </font>
    <font>
      <b val="true"/>
      <sz val="9"/>
      <color rgb="FF526072"/>
      <name val="Aptos"/>
      <family val="0"/>
      <charset val="1"/>
    </font>
    <font>
      <b val="true"/>
      <sz val="12"/>
      <color rgb="FF172033"/>
      <name val="Aptos Display"/>
      <family val="0"/>
      <charset val="1"/>
    </font>
    <font>
      <b val="true"/>
      <sz val="10"/>
      <color rgb="FFFFFFFF"/>
      <name val="Aptos"/>
      <family val="0"/>
      <charset val="1"/>
    </font>
    <font>
      <sz val="9"/>
      <color rgb="FF172033"/>
      <name val="Aptos"/>
      <family val="0"/>
      <charset val="1"/>
    </font>
    <font>
      <sz val="12"/>
      <color theme="10"/>
      <name val="Calibri"/>
      <family val="2"/>
      <charset val="1"/>
    </font>
    <font>
      <b val="true"/>
      <sz val="10"/>
      <color rgb="FF172033"/>
      <name val="Aptos"/>
      <family val="0"/>
      <charset val="1"/>
    </font>
    <font>
      <sz val="10"/>
      <color rgb="FF172033"/>
      <name val="Aptos"/>
      <family val="0"/>
      <charset val="1"/>
    </font>
    <font>
      <i val="true"/>
      <sz val="9"/>
      <color rgb="FF526072"/>
      <name val="Aptos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72033"/>
        <bgColor rgb="FF003366"/>
      </patternFill>
    </fill>
    <fill>
      <patternFill patternType="solid">
        <fgColor rgb="FF2563EB"/>
        <bgColor rgb="FF0066CC"/>
      </patternFill>
    </fill>
    <fill>
      <patternFill patternType="solid">
        <fgColor rgb="FFF8FAF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CBD5E1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9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4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3">
    <dxf>
      <fill>
        <patternFill patternType="solid">
          <fgColor rgb="FF2563EB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72033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EE2E2"/>
          <bgColor rgb="FF000000"/>
        </patternFill>
      </fill>
    </dxf>
    <dxf>
      <fill>
        <patternFill patternType="solid">
          <fgColor rgb="FF991B1B"/>
          <bgColor rgb="FF000000"/>
        </patternFill>
      </fill>
    </dxf>
    <dxf>
      <font>
        <color rgb="FF475569"/>
      </font>
      <fill>
        <patternFill>
          <bgColor rgb="FFE2E8F0"/>
        </patternFill>
      </fill>
    </dxf>
    <dxf>
      <font>
        <color rgb="FF92400E"/>
      </font>
      <fill>
        <patternFill>
          <bgColor rgb="FFFEF3C7"/>
        </patternFill>
      </fill>
    </dxf>
    <dxf>
      <font>
        <color rgb="FF2563EB"/>
      </font>
      <fill>
        <patternFill>
          <bgColor rgb="FFDBEAFE"/>
        </patternFill>
      </fill>
    </dxf>
    <dxf>
      <font>
        <color rgb="FF6D28D9"/>
      </font>
      <fill>
        <patternFill>
          <bgColor rgb="FFEDE9FE"/>
        </patternFill>
      </fill>
    </dxf>
    <dxf>
      <font>
        <color rgb="FF166534"/>
      </font>
      <fill>
        <patternFill>
          <bgColor rgb="FFDCFCE7"/>
        </patternFill>
      </fill>
    </dxf>
    <dxf>
      <font>
        <color rgb="FF991B1B"/>
      </font>
      <fill>
        <patternFill>
          <bgColor rgb="FFFEE2E2"/>
        </patternFill>
      </fill>
    </dxf>
    <dxf>
      <font>
        <color rgb="FF475569"/>
      </font>
      <fill>
        <patternFill>
          <bgColor rgb="FFF8FAFC"/>
        </patternFill>
      </fill>
    </dxf>
    <dxf>
      <fill>
        <patternFill patternType="solid">
          <fgColor rgb="FFF8FAFC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DCFCE7"/>
          <bgColor rgb="FF000000"/>
        </patternFill>
      </fill>
    </dxf>
    <dxf>
      <fill>
        <patternFill patternType="solid">
          <fgColor rgb="FFE2E8F0"/>
          <bgColor rgb="FF000000"/>
        </patternFill>
      </fill>
    </dxf>
    <dxf>
      <fill>
        <patternFill patternType="solid">
          <fgColor rgb="FFEDE9FE"/>
          <bgColor rgb="FF000000"/>
        </patternFill>
      </fill>
    </dxf>
    <dxf>
      <fill>
        <patternFill patternType="solid">
          <fgColor rgb="FF166534"/>
          <bgColor rgb="FF000000"/>
        </patternFill>
      </fill>
    </dxf>
    <dxf>
      <fill>
        <patternFill patternType="solid">
          <fgColor rgb="FF475569"/>
          <bgColor rgb="FF000000"/>
        </patternFill>
      </fill>
    </dxf>
    <dxf>
      <fill>
        <patternFill patternType="solid">
          <fgColor rgb="FF6D28D9"/>
          <bgColor rgb="FF000000"/>
        </patternFill>
      </fill>
    </dxf>
    <dxf>
      <fill>
        <patternFill patternType="solid">
          <fgColor rgb="FFFEF3C7"/>
          <bgColor rgb="FF000000"/>
        </patternFill>
      </fill>
    </dxf>
    <dxf>
      <fill>
        <patternFill patternType="solid">
          <fgColor rgb="FF92400E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91B1B"/>
      <rgbColor rgb="FF166534"/>
      <rgbColor rgb="FF000080"/>
      <rgbColor rgb="FF808000"/>
      <rgbColor rgb="FF6D28D9"/>
      <rgbColor rgb="FF008080"/>
      <rgbColor rgb="FFEDE9FE"/>
      <rgbColor rgb="FF808080"/>
      <rgbColor rgb="FF9999FF"/>
      <rgbColor rgb="FF993366"/>
      <rgbColor rgb="FFFEF3C7"/>
      <rgbColor rgb="FFDCFCE7"/>
      <rgbColor rgb="FF660066"/>
      <rgbColor rgb="FFFF8080"/>
      <rgbColor rgb="FF0066CC"/>
      <rgbColor rgb="FFCBD5E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BEAFE"/>
      <rgbColor rgb="FFE2E8F0"/>
      <rgbColor rgb="FFF8FAFC"/>
      <rgbColor rgb="FF99CCFF"/>
      <rgbColor rgb="FFFF99CC"/>
      <rgbColor rgb="FFCC99FF"/>
      <rgbColor rgb="FFFEE2E2"/>
      <rgbColor rgb="FF2563EB"/>
      <rgbColor rgb="FF33CCCC"/>
      <rgbColor rgb="FF99CC00"/>
      <rgbColor rgb="FFFFCC00"/>
      <rgbColor rgb="FFFF9900"/>
      <rgbColor rgb="FFFF6600"/>
      <rgbColor rgb="FF526072"/>
      <rgbColor rgb="FF969696"/>
      <rgbColor rgb="FF003366"/>
      <rgbColor rgb="FF339966"/>
      <rgbColor rgb="FF003300"/>
      <rgbColor rgb="FF333300"/>
      <rgbColor rgb="FF92400E"/>
      <rgbColor rgb="FF993366"/>
      <rgbColor rgb="FF475569"/>
      <rgbColor rgb="FF1720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ButtonEvidence" displayName="ButtonEvidence" ref="A8:M34" headerRowCount="1" totalsRowCount="0" totalsRowShown="0">
  <autoFilter ref="A8:M3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.xml><?xml version="1.0" encoding="utf-8"?>
<table xmlns="http://schemas.openxmlformats.org/spreadsheetml/2006/main" id="2" name="CardEvidence" displayName="CardEvidence" ref="A8:M41" headerRowCount="1" totalsRowCount="0" totalsRowShown="0">
  <autoFilter ref="A8:M41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3.xml><?xml version="1.0" encoding="utf-8"?>
<table xmlns="http://schemas.openxmlformats.org/spreadsheetml/2006/main" id="3" name="CoverageIndex" displayName="CoverageIndex" ref="A7:N10" headerRowCount="1" totalsRowCount="0" totalsRowShown="0">
  <autoFilter ref="A7:N10"/>
  <tableColumns count="14">
    <tableColumn id="1" name="Component"/>
    <tableColumn id="2" name="Requirements"/>
    <tableColumn id="3" name="Not started"/>
    <tableColumn id="4" name="Partial"/>
    <tableColumn id="5" name="Implemented"/>
    <tableColumn id="6" name="Tested"/>
    <tableColumn id="7" name="Verified"/>
    <tableColumn id="8" name="Blocked"/>
    <tableColumn id="9" name="Not applicable"/>
    <tableColumn id="10" name="Completion"/>
    <tableColumn id="11" name="Package gate"/>
    <tableColumn id="12" name="Consumer gate"/>
    <tableColumn id="13" name="Retirement gate"/>
    <tableColumn id="14" name="Status"/>
  </tableColumns>
</table>
</file>

<file path=xl/tables/table4.xml><?xml version="1.0" encoding="utf-8"?>
<table xmlns="http://schemas.openxmlformats.org/spreadsheetml/2006/main" id="4" name="DialogEvidence" displayName="DialogEvidence" ref="A8:M45" headerRowCount="1" totalsRowCount="0" totalsRowShown="0">
  <autoFilter ref="A8:M45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5.xml><?xml version="1.0" encoding="utf-8"?>
<table xmlns="http://schemas.openxmlformats.org/spreadsheetml/2006/main" id="5" name="InstructionsTable" displayName="InstructionsTable" ref="A4:B18" headerRowCount="1" totalsRowCount="0" totalsRowShown="0">
  <autoFilter ref="A4:B18"/>
  <tableColumns count="2">
    <tableColumn id="1" name="Topic"/>
    <tableColumn id="2" name="Rule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../../../Users/willdonin/Developer/Flowstack/templateflow/packages/Users/willdonin/Developer/Flowstack/templateflow/Users/willdonin/Developer/Flowstack/templateflow/packages/Users/willdonin/Library/Mobile%20Documents/com~apple~CloudDocs/DEVELOPER/FLOWSTACK/templat" TargetMode="External"/><Relationship Id="rId2" Type="http://schemas.openxmlformats.org/officeDocument/2006/relationships/hyperlink" Target="../../../Users/willdonin/Developer/Flowstack/templateflow/packages/Users/willdonin/Developer/Flowstack/templateflow/Users/willdonin/Developer/Flowstack/templateflow/packages/Users/willdonin/Library/Mobile%20Documents/com~apple~CloudDocs/DEVELOPER/FLOWSTACK/templat" TargetMode="External"/><Relationship Id="rId3" Type="http://schemas.openxmlformats.org/officeDocument/2006/relationships/hyperlink" Target="../../../Users/willdonin/Developer/Flowstack/templateflow/packages/Users/willdonin/Developer/Flowstack/templateflow/Users/willdonin/Developer/Flowstack/templateflow/packages/Users/willdonin/Library/Mobile%20Documents/com~apple~CloudDocs/DEVELOPER/FLOWSTACK/templat" TargetMode="External"/><Relationship Id="rId4" Type="http://schemas.openxmlformats.org/officeDocument/2006/relationships/hyperlink" Target="../../../Users/willdonin/Developer/Flowstack/templateflow/packages/Users/willdonin/Developer/Flowstack/templateflow/packages/brick-ui/package/playground/component-coverage.xlsx" TargetMode="External"/><Relationship Id="rId5" Type="http://schemas.openxmlformats.org/officeDocument/2006/relationships/table" Target="../tables/table3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5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../../../Users/willdonin/Developer/Flowstack/templateflow/packages/Users/willdonin/Developer/Flowstack/templateflow/Users/willdonin/Developer/Flowstack/templateflow/packages/brick-ui/package/src/components/button/Button.tsx" TargetMode="External"/><Relationship Id="rId2" Type="http://schemas.openxmlformats.org/officeDocument/2006/relationships/hyperlink" Target="../../../Users/willdonin/Developer/Flowstack/templateflow/packages/Users/willdonin/Developer/Flowstack/templateflow/Users/willdonin/Developer/Flowstack/templateflow/packages/brick-ui/docs/button-component-brief.md" TargetMode="External"/><Relationship Id="rId3" Type="http://schemas.openxmlformats.org/officeDocument/2006/relationships/hyperlink" Target="../../../Users/willdonin/Developer/Flowstack/templateflow/packages/Users/willdonin/Developer/Flowstack/templateflow/Users/willdonin/Developer/Flowstack/templateflow/packages/brick-ui/package/src/button.ts" TargetMode="External"/><Relationship Id="rId4" Type="http://schemas.openxmlformats.org/officeDocument/2006/relationships/hyperlink" Target="../../../Users/willdonin/Developer/Flowstack/templateflow/packages/Users/willdonin/Developer/Flowstack/templateflow/Users/willdonin/Developer/Flowstack/templateflow/packages/brick-ui/package/test/components/button.test.tsx" TargetMode="External"/><Relationship Id="rId5" Type="http://schemas.openxmlformats.org/officeDocument/2006/relationships/hyperlink" Target="../../../Users/willdonin/Developer/Flowstack/templateflow/packages/Users/willdonin/Developer/Flowstack/templateflow/Users/willdonin/Developer/Flowstack/templateflow/packages/brick-ui/package/src/components/button/button.css" TargetMode="External"/><Relationship Id="rId6" Type="http://schemas.openxmlformats.org/officeDocument/2006/relationships/hyperlink" Target="../../../Users/willdonin/Developer/Flowstack/templateflow/packages/Users/willdonin/Developer/Flowstack/templateflow/Users/willdonin/Developer/Flowstack/templateflow/packages/brick-ui/package/playground/manual-tests/button.md" TargetMode="External"/><Relationship Id="rId7" Type="http://schemas.openxmlformats.org/officeDocument/2006/relationships/hyperlink" Target="../../../Users/willdonin/Developer/Flowstack/templateflow/packages/Users/willdonin/Developer/Flowstack/templateflow/Users/willdonin/Developer/Flowstack/templateflow/packages/brick-ui/package/playground/manual-tests/button.md" TargetMode="External"/><Relationship Id="rId8" Type="http://schemas.openxmlformats.org/officeDocument/2006/relationships/hyperlink" Target="../../../Users/willdonin/Developer/Flowstack/templateflow/packages/Users/willdonin/Developer/Flowstack/templateflow/Users/willdonin/Developer/Flowstack/templateflow/packages/brick-ui/package/playground/manual-tests/button.md" TargetMode="External"/><Relationship Id="rId9" Type="http://schemas.openxmlformats.org/officeDocument/2006/relationships/hyperlink" Target="../../../Users/willdonin/Developer/Flowstack/templateflow/packages/Users/willdonin/Developer/Flowstack/templateflow/Users/willdonin/Developer/Flowstack/templateflow/packages/brick-ui/package/playground/manual-tests/button.md" TargetMode="External"/><Relationship Id="rId10" Type="http://schemas.openxmlformats.org/officeDocument/2006/relationships/hyperlink" Target="../../../Users/willdonin/Developer/Flowstack/templateflow/packages/Users/willdonin/Developer/Flowstack/templateflow/Users/willdonin/Developer/Flowstack/templateflow/packages/brick-ui/package/playground/tests/preferences.spec.ts" TargetMode="External"/><Relationship Id="rId11" Type="http://schemas.openxmlformats.org/officeDocument/2006/relationships/hyperlink" Target="../../../Users/willdonin/Developer/Flowstack/templateflow/packages/Users/willdonin/Developer/Flowstack/templateflow/Users/willdonin/Developer/Flowstack/templateflow/packages/brick-ui/package/playground/manual-tests/button.md" TargetMode="External"/><Relationship Id="rId12" Type="http://schemas.openxmlformats.org/officeDocument/2006/relationships/hyperlink" Target="../../../Users/willdonin/Developer/Flowstack/templateflow/packages/Users/willdonin/Developer/Flowstack/templateflow/Users/willdonin/Developer/Flowstack/templateflow/packages/brick-ui/package/playground/manual-tests/button.md" TargetMode="External"/><Relationship Id="rId13" Type="http://schemas.openxmlformats.org/officeDocument/2006/relationships/hyperlink" Target="../../../Users/willdonin/Developer/Flowstack/templateflow/packages/Users/willdonin/Developer/Flowstack/templateflow/Users/willdonin/Developer/Flowstack/templateflow/packages/brick-ui/package/playground/tests/button.spec.ts" TargetMode="External"/><Relationship Id="rId14" Type="http://schemas.openxmlformats.org/officeDocument/2006/relationships/hyperlink" Target="../../../Users/willdonin/Developer/Flowstack/templateflow/packages/Users/willdonin/Developer/Flowstack/templateflow/Users/willdonin/Developer/Flowstack/templateflow/packages/brick-ui/package/test/components/button.test.tsx" TargetMode="External"/><Relationship Id="rId15" Type="http://schemas.openxmlformats.org/officeDocument/2006/relationships/hyperlink" Target="../../../Users/willdonin/Developer/Flowstack/templateflow/packages/Users/willdonin/Developer/Flowstack/templateflow/Users/willdonin/Developer/Flowstack/templateflow/packages/brick-ui/package/test/types/public-api.test.ts" TargetMode="External"/><Relationship Id="rId16" Type="http://schemas.openxmlformats.org/officeDocument/2006/relationships/hyperlink" Target="../../../Users/willdonin/Developer/Flowstack/templateflow/packages/Users/willdonin/Developer/Flowstack/templateflow/Users/willdonin/Developer/Flowstack/templateflow/packages/brick-ui/package/playground/tests/button.spec.ts" TargetMode="External"/><Relationship Id="rId17" Type="http://schemas.openxmlformats.org/officeDocument/2006/relationships/hyperlink" Target="../../../Users/willdonin/Developer/Flowstack/templateflow/packages/Users/willdonin/Developer/Flowstack/templateflow/Users/willdonin/Developer/Flowstack/templateflow/packages/brick-ui/package/playground/tests/foundation.spec.ts" TargetMode="External"/><Relationship Id="rId18" Type="http://schemas.openxmlformats.org/officeDocument/2006/relationships/hyperlink" Target="../../../Users/willdonin/Developer/Flowstack/templateflow/packages/Users/willdonin/Developer/Flowstack/templateflow/Users/willdonin/Developer/Flowstack/templateflow/packages/brick-ui/package/playground/tests/visual.spec.ts" TargetMode="External"/><Relationship Id="rId19" Type="http://schemas.openxmlformats.org/officeDocument/2006/relationships/hyperlink" Target="../../../Users/willdonin/Developer/Flowstack/templateflow/packages/Users/willdonin/Developer/Flowstack/templateflow/Users/willdonin/Developer/Flowstack/templateflow/packages/brick-ui/playwright.config.ts" TargetMode="External"/><Relationship Id="rId20" Type="http://schemas.openxmlformats.org/officeDocument/2006/relationships/hyperlink" Target="../../../Users/willdonin/Developer/Flowstack/templateflow/packages/Users/willdonin/Developer/Flowstack/templateflow/Users/willdonin/Developer/Flowstack/templateflow/packages/brick-ui/package/scripts/verify-consumers.mjs" TargetMode="External"/><Relationship Id="rId21" Type="http://schemas.openxmlformats.org/officeDocument/2006/relationships/hyperlink" Target="../../../Users/willdonin/Developer/Flowstack/templateflow/packages/Users/willdonin/Developer/Flowstack/templateflow/Users/willdonin/Developer/Flowstack/templateflow/packages/brick-ui/package/playground/manual-tests/button.md" TargetMode="External"/><Relationship Id="rId22" Type="http://schemas.openxmlformats.org/officeDocument/2006/relationships/hyperlink" Target="../../../Users/willdonin/Developer/Flowstack/templateflow/packages/Users/willdonin/Developer/Flowstack/templateflow/Users/willdonin/Developer/Flowstack/templateflow/packages/brick-ui/package/playground/manual-tests/button.md" TargetMode="External"/><Relationship Id="rId23" Type="http://schemas.openxmlformats.org/officeDocument/2006/relationships/hyperlink" Target="../../../Users/willdonin/Developer/Flowstack/templateflow/packages/Users/willdonin/Developer/Flowstack/templateflow/Users/willdonin/Developer/Flowstack/templateflow/packages/brick-ui/package/docs/components/button/README.md" TargetMode="External"/><Relationship Id="rId24" Type="http://schemas.openxmlformats.org/officeDocument/2006/relationships/hyperlink" Target="../../../Users/willdonin/Developer/Flowstack/templateflow/packages/Users/willdonin/Developer/Flowstack/templateflow/Users/willdonin/Developer/Flowstack/templateflow/packages/brick-ui/package/docs/components/button/CHANGELOG.md" TargetMode="External"/><Relationship Id="rId25" Type="http://schemas.openxmlformats.org/officeDocument/2006/relationships/hyperlink" Target="../../../Users/willdonin/Developer/Flowstack/templateflow/packages/Users/willdonin/Developer/Flowstack/templateflow/Users/willdonin/Developer/Flowstack/templateflow/apps/brick-consumer/tests/consumer.spec.ts" TargetMode="External"/><Relationship Id="rId26" Type="http://schemas.openxmlformats.org/officeDocument/2006/relationships/drawing" Target="../drawings/drawing2.xml"/><Relationship Id="rId27" Type="http://schemas.openxmlformats.org/officeDocument/2006/relationships/table" Target="../tables/table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../../../Users/willdonin/Developer/Flowstack/templateflow/packages/Users/willdonin/Developer/Flowstack/templateflow/Users/willdonin/Developer/Flowstack/templateflow/packages/brick-ui/package/src/components/card/Card.tsx" TargetMode="External"/><Relationship Id="rId2" Type="http://schemas.openxmlformats.org/officeDocument/2006/relationships/hyperlink" Target="../../../Users/willdonin/Developer/Flowstack/templateflow/packages/Users/willdonin/Developer/Flowstack/templateflow/Users/willdonin/Developer/Flowstack/templateflow/packages/brick-ui/docs/card-component-brief.md" TargetMode="External"/><Relationship Id="rId3" Type="http://schemas.openxmlformats.org/officeDocument/2006/relationships/hyperlink" Target="../../../Users/willdonin/Developer/Flowstack/templateflow/packages/Users/willdonin/Developer/Flowstack/templateflow/Users/willdonin/Developer/Flowstack/templateflow/packages/brick-ui/package/src/card.ts" TargetMode="External"/><Relationship Id="rId4" Type="http://schemas.openxmlformats.org/officeDocument/2006/relationships/hyperlink" Target="../../../Users/willdonin/Developer/Flowstack/templateflow/packages/Users/willdonin/Developer/Flowstack/templateflow/Users/willdonin/Developer/Flowstack/templateflow/packages/brick-ui/package/test/components/card.test.tsx" TargetMode="External"/><Relationship Id="rId5" Type="http://schemas.openxmlformats.org/officeDocument/2006/relationships/hyperlink" Target="../../../Users/willdonin/Developer/Flowstack/templateflow/packages/Users/willdonin/Developer/Flowstack/templateflow/Users/willdonin/Developer/Flowstack/templateflow/packages/brick-ui/package/test/components/card.test.tsx" TargetMode="External"/><Relationship Id="rId6" Type="http://schemas.openxmlformats.org/officeDocument/2006/relationships/hyperlink" Target="../../../Users/willdonin/Developer/Flowstack/templateflow/packages/Users/willdonin/Developer/Flowstack/templateflow/Users/willdonin/Developer/Flowstack/templateflow/packages/brick-ui/package/playground/manual-tests/card.md" TargetMode="External"/><Relationship Id="rId7" Type="http://schemas.openxmlformats.org/officeDocument/2006/relationships/hyperlink" Target="../../../Users/willdonin/Developer/Flowstack/templateflow/packages/Users/willdonin/Developer/Flowstack/templateflow/Users/willdonin/Developer/Flowstack/templateflow/packages/brick-ui/package/test/components/card.test.tsx" TargetMode="External"/><Relationship Id="rId8" Type="http://schemas.openxmlformats.org/officeDocument/2006/relationships/hyperlink" Target="../../../Users/willdonin/Developer/Flowstack/templateflow/packages/Users/willdonin/Developer/Flowstack/templateflow/Users/willdonin/Developer/Flowstack/templateflow/packages/brick-ui/package/test/components/card.test.tsx" TargetMode="External"/><Relationship Id="rId9" Type="http://schemas.openxmlformats.org/officeDocument/2006/relationships/hyperlink" Target="../../../Users/willdonin/Developer/Flowstack/templateflow/packages/Users/willdonin/Developer/Flowstack/templateflow/Users/willdonin/Developer/Flowstack/templateflow/packages/brick-ui/package/playground/tests/card.spec.ts" TargetMode="External"/><Relationship Id="rId10" Type="http://schemas.openxmlformats.org/officeDocument/2006/relationships/hyperlink" Target="../../../Users/willdonin/Developer/Flowstack/templateflow/packages/Users/willdonin/Developer/Flowstack/templateflow/Users/willdonin/Developer/Flowstack/templateflow/packages/brick-ui/package/test/components/card.test.tsx" TargetMode="External"/><Relationship Id="rId11" Type="http://schemas.openxmlformats.org/officeDocument/2006/relationships/hyperlink" Target="../../../Users/willdonin/Developer/Flowstack/templateflow/packages/Users/willdonin/Developer/Flowstack/templateflow/Users/willdonin/Developer/Flowstack/templateflow/packages/brick-ui/package/playground/manual-tests/card.md" TargetMode="External"/><Relationship Id="rId12" Type="http://schemas.openxmlformats.org/officeDocument/2006/relationships/hyperlink" Target="../../../Users/willdonin/Developer/Flowstack/templateflow/packages/Users/willdonin/Developer/Flowstack/templateflow/Users/willdonin/Developer/Flowstack/templateflow/packages/brick-ui/package/src/components/card/card.css" TargetMode="External"/><Relationship Id="rId13" Type="http://schemas.openxmlformats.org/officeDocument/2006/relationships/hyperlink" Target="../../../Users/willdonin/Developer/Flowstack/templateflow/packages/Users/willdonin/Developer/Flowstack/templateflow/Users/willdonin/Developer/Flowstack/templateflow/packages/brick-ui/package/playground/manual-tests/card.md" TargetMode="External"/><Relationship Id="rId14" Type="http://schemas.openxmlformats.org/officeDocument/2006/relationships/hyperlink" Target="../../../Users/willdonin/Developer/Flowstack/templateflow/packages/Users/willdonin/Developer/Flowstack/templateflow/Users/willdonin/Developer/Flowstack/templateflow/packages/brick-ui/package/playground/manual-tests/card.md" TargetMode="External"/><Relationship Id="rId15" Type="http://schemas.openxmlformats.org/officeDocument/2006/relationships/hyperlink" Target="../../../Users/willdonin/Developer/Flowstack/templateflow/packages/Users/willdonin/Developer/Flowstack/templateflow/Users/willdonin/Developer/Flowstack/templateflow/packages/brick-ui/package/playground/tests/card.spec.ts" TargetMode="External"/><Relationship Id="rId16" Type="http://schemas.openxmlformats.org/officeDocument/2006/relationships/hyperlink" Target="../../../Users/willdonin/Developer/Flowstack/templateflow/packages/Users/willdonin/Developer/Flowstack/templateflow/Users/willdonin/Developer/Flowstack/templateflow/packages/brick-ui/package/playground/manual-tests/card.md" TargetMode="External"/><Relationship Id="rId17" Type="http://schemas.openxmlformats.org/officeDocument/2006/relationships/hyperlink" Target="../../../Users/willdonin/Developer/Flowstack/templateflow/packages/Users/willdonin/Developer/Flowstack/templateflow/Users/willdonin/Developer/Flowstack/templateflow/packages/brick-ui/package/playground/tests/preferences.spec.ts" TargetMode="External"/><Relationship Id="rId18" Type="http://schemas.openxmlformats.org/officeDocument/2006/relationships/hyperlink" Target="../../../Users/willdonin/Developer/Flowstack/templateflow/packages/Users/willdonin/Developer/Flowstack/templateflow/Users/willdonin/Developer/Flowstack/templateflow/packages/brick-ui/package/playground/manual-tests/card.md" TargetMode="External"/><Relationship Id="rId19" Type="http://schemas.openxmlformats.org/officeDocument/2006/relationships/hyperlink" Target="../../../Users/willdonin/Developer/Flowstack/templateflow/packages/Users/willdonin/Developer/Flowstack/templateflow/Users/willdonin/Developer/Flowstack/templateflow/packages/brick-ui/package/playground/manual-tests/card.md" TargetMode="External"/><Relationship Id="rId20" Type="http://schemas.openxmlformats.org/officeDocument/2006/relationships/hyperlink" Target="../../../Users/willdonin/Developer/Flowstack/templateflow/packages/Users/willdonin/Developer/Flowstack/templateflow/Users/willdonin/Developer/Flowstack/templateflow/packages/brick-ui/package/playground/tests/card.spec.ts" TargetMode="External"/><Relationship Id="rId21" Type="http://schemas.openxmlformats.org/officeDocument/2006/relationships/hyperlink" Target="../../../Users/willdonin/Developer/Flowstack/templateflow/packages/Users/willdonin/Developer/Flowstack/templateflow/Users/willdonin/Developer/Flowstack/templateflow/packages/brick-ui/package/test/components/card.test.tsx" TargetMode="External"/><Relationship Id="rId22" Type="http://schemas.openxmlformats.org/officeDocument/2006/relationships/hyperlink" Target="../../../Users/willdonin/Developer/Flowstack/templateflow/packages/Users/willdonin/Developer/Flowstack/templateflow/Users/willdonin/Developer/Flowstack/templateflow/packages/brick-ui/package/test/types/public-api.test.ts" TargetMode="External"/><Relationship Id="rId23" Type="http://schemas.openxmlformats.org/officeDocument/2006/relationships/hyperlink" Target="../../../Users/willdonin/Developer/Flowstack/templateflow/packages/Users/willdonin/Developer/Flowstack/templateflow/Users/willdonin/Developer/Flowstack/templateflow/packages/brick-ui/package/playground/tests/card.spec.ts" TargetMode="External"/><Relationship Id="rId24" Type="http://schemas.openxmlformats.org/officeDocument/2006/relationships/hyperlink" Target="../../../Users/willdonin/Developer/Flowstack/templateflow/packages/Users/willdonin/Developer/Flowstack/templateflow/Users/willdonin/Developer/Flowstack/templateflow/packages/brick-ui/package/playground/tests/foundation.spec.ts" TargetMode="External"/><Relationship Id="rId25" Type="http://schemas.openxmlformats.org/officeDocument/2006/relationships/hyperlink" Target="../../../Users/willdonin/Developer/Flowstack/templateflow/packages/Users/willdonin/Developer/Flowstack/templateflow/Users/willdonin/Developer/Flowstack/templateflow/packages/brick-ui/package/playground/tests/visual.spec.ts" TargetMode="External"/><Relationship Id="rId26" Type="http://schemas.openxmlformats.org/officeDocument/2006/relationships/hyperlink" Target="../../../Users/willdonin/Developer/Flowstack/templateflow/packages/Users/willdonin/Developer/Flowstack/templateflow/Users/willdonin/Developer/Flowstack/templateflow/packages/brick-ui/package/playwright.config.ts" TargetMode="External"/><Relationship Id="rId27" Type="http://schemas.openxmlformats.org/officeDocument/2006/relationships/hyperlink" Target="../../../Users/willdonin/Developer/Flowstack/templateflow/packages/Users/willdonin/Developer/Flowstack/templateflow/Users/willdonin/Developer/Flowstack/templateflow/packages/brick-ui/package/test/package/ssr.test.mjs" TargetMode="External"/><Relationship Id="rId28" Type="http://schemas.openxmlformats.org/officeDocument/2006/relationships/hyperlink" Target="../../../Users/willdonin/Developer/Flowstack/templateflow/packages/Users/willdonin/Developer/Flowstack/templateflow/Users/willdonin/Developer/Flowstack/templateflow/packages/brick-ui/package/playground/manual-tests/card.md" TargetMode="External"/><Relationship Id="rId29" Type="http://schemas.openxmlformats.org/officeDocument/2006/relationships/hyperlink" Target="../../../Users/willdonin/Developer/Flowstack/templateflow/packages/Users/willdonin/Developer/Flowstack/templateflow/Users/willdonin/Developer/Flowstack/templateflow/packages/brick-ui/package/playground/manual-tests/card.md" TargetMode="External"/><Relationship Id="rId30" Type="http://schemas.openxmlformats.org/officeDocument/2006/relationships/hyperlink" Target="../../../Users/willdonin/Developer/Flowstack/templateflow/packages/Users/willdonin/Developer/Flowstack/templateflow/Users/willdonin/Developer/Flowstack/templateflow/packages/brick-ui/package/docs/components/card/README.md" TargetMode="External"/><Relationship Id="rId31" Type="http://schemas.openxmlformats.org/officeDocument/2006/relationships/hyperlink" Target="../../../Users/willdonin/Developer/Flowstack/templateflow/packages/Users/willdonin/Developer/Flowstack/templateflow/Users/willdonin/Developer/Flowstack/templateflow/packages/brick-ui/package/docs/components/card/CHANGELOG.md" TargetMode="External"/><Relationship Id="rId32" Type="http://schemas.openxmlformats.org/officeDocument/2006/relationships/hyperlink" Target="../../../Users/willdonin/Developer/Flowstack/templateflow/packages/Users/willdonin/Developer/Flowstack/templateflow/Users/willdonin/Developer/Flowstack/templateflow/apps/brick-consumer/tests/consumer.spec.ts" TargetMode="External"/><Relationship Id="rId33" Type="http://schemas.openxmlformats.org/officeDocument/2006/relationships/hyperlink" Target="../../../Users/willdonin/Developer/Flowstack/templateflow/packages/Users/willdonin/Developer/Flowstack/templateflow/Users/willdonin/Developer/Flowstack/templateflow/packages/brick-ui/docs/core-dependency-ledger.md" TargetMode="External"/><Relationship Id="rId34" Type="http://schemas.openxmlformats.org/officeDocument/2006/relationships/drawing" Target="../drawings/drawing3.xml"/><Relationship Id="rId35" Type="http://schemas.openxmlformats.org/officeDocument/2006/relationships/table" Target="../tables/table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table" Target="../tables/table4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hyperlink" Target="../../../Users/willdonin/Developer/Flowstack/templateflow/packages/Users/willdonin/Developer/Flowstack/templateflow/packages/brick-ui/package/src/components/alert-dialog/AlertDialog.tsx" TargetMode="External"/><Relationship Id="rId2" Type="http://schemas.openxmlformats.org/officeDocument/2006/relationships/hyperlink" Target="../../../Users/willdonin/Developer/Flowstack/templateflow/packages/Users/willdonin/Developer/Flowstack/templateflow/packages/brick-ui/docs/alert-dialog-component-brief.md" TargetMode="External"/><Relationship Id="rId3" Type="http://schemas.openxmlformats.org/officeDocument/2006/relationships/hyperlink" Target="../../../Users/willdonin/Developer/Flowstack/templateflow/packages/Users/willdonin/Developer/Flowstack/templateflow/packages/brick-ui/package/test/types/public-api.test.ts" TargetMode="External"/><Relationship Id="rId4" Type="http://schemas.openxmlformats.org/officeDocument/2006/relationships/hyperlink" Target="../../../Users/willdonin/Developer/Flowstack/templateflow/packages/Users/willdonin/Developer/Flowstack/templateflow/packages/brick-ui/package/test/components/alert-dialog.test.tsx" TargetMode="External"/><Relationship Id="rId5" Type="http://schemas.openxmlformats.org/officeDocument/2006/relationships/hyperlink" Target="../../../Users/willdonin/Developer/Flowstack/templateflow/packages/Users/willdonin/Developer/Flowstack/templateflow/packages/brick-ui/package/test/components/alert-dialog.test.tsx" TargetMode="External"/><Relationship Id="rId6" Type="http://schemas.openxmlformats.org/officeDocument/2006/relationships/hyperlink" Target="../../../Users/willdonin/Developer/Flowstack/templateflow/packages/Users/willdonin/Developer/Flowstack/templateflow/packages/brick-ui/package/test/components/alert-dialog.test.tsx" TargetMode="External"/><Relationship Id="rId7" Type="http://schemas.openxmlformats.org/officeDocument/2006/relationships/hyperlink" Target="../../../Users/willdonin/Developer/Flowstack/templateflow/packages/Users/willdonin/Developer/Flowstack/templateflow/packages/brick-ui/package/playground/tests/alert-dialog.spec.ts" TargetMode="External"/><Relationship Id="rId8" Type="http://schemas.openxmlformats.org/officeDocument/2006/relationships/hyperlink" Target="../../../Users/willdonin/Developer/Flowstack/templateflow/packages/Users/willdonin/Developer/Flowstack/templateflow/packages/brick-ui/package/test/components/alert-dialog.test.tsx" TargetMode="External"/><Relationship Id="rId9" Type="http://schemas.openxmlformats.org/officeDocument/2006/relationships/hyperlink" Target="../../../Users/willdonin/Developer/Flowstack/templateflow/packages/Users/willdonin/Developer/Flowstack/templateflow/packages/brick-ui/package/test/components/alert-dialog.test.tsx" TargetMode="External"/><Relationship Id="rId10" Type="http://schemas.openxmlformats.org/officeDocument/2006/relationships/hyperlink" Target="../../../Users/willdonin/Developer/Flowstack/templateflow/packages/Users/willdonin/Developer/Flowstack/templateflow/packages/brick-ui/package/test/components/alert-dialog.test.tsx" TargetMode="External"/><Relationship Id="rId11" Type="http://schemas.openxmlformats.org/officeDocument/2006/relationships/hyperlink" Target="../../../Users/willdonin/Developer/Flowstack/templateflow/packages/Users/willdonin/Developer/Flowstack/templateflow/packages/brick-ui/package/test/components/alert-dialog.test.tsx" TargetMode="External"/><Relationship Id="rId12" Type="http://schemas.openxmlformats.org/officeDocument/2006/relationships/hyperlink" Target="../../../Users/willdonin/Developer/Flowstack/templateflow/packages/Users/willdonin/Developer/Flowstack/templateflow/packages/brick-ui/package/playground/manual-tests/alert-dialog.md" TargetMode="External"/><Relationship Id="rId13" Type="http://schemas.openxmlformats.org/officeDocument/2006/relationships/hyperlink" Target="../../../Users/willdonin/Developer/Flowstack/templateflow/packages/Users/willdonin/Developer/Flowstack/templateflow/packages/brick-ui/package/playground/manual-tests/alert-dialog.md" TargetMode="External"/><Relationship Id="rId14" Type="http://schemas.openxmlformats.org/officeDocument/2006/relationships/hyperlink" Target="../../../Users/willdonin/Developer/Flowstack/templateflow/packages/Users/willdonin/Developer/Flowstack/templateflow/packages/brick-ui/package/test/components/alert-dialog.test.tsx%20+%20tests/alert-dialog.spec.ts" TargetMode="External"/><Relationship Id="rId15" Type="http://schemas.openxmlformats.org/officeDocument/2006/relationships/hyperlink" Target="../../../Users/willdonin/Developer/Flowstack/templateflow/packages/Users/willdonin/Developer/Flowstack/templateflow/packages/brick-ui/package/test/components/alert-dialog.test.tsx%20+%20tests/alert-dialog.spec.ts" TargetMode="External"/><Relationship Id="rId16" Type="http://schemas.openxmlformats.org/officeDocument/2006/relationships/hyperlink" Target="../../../Users/willdonin/Developer/Flowstack/templateflow/packages/Users/willdonin/Developer/Flowstack/templateflow/packages/brick-ui/package/src/components/alert-dialog/alert-dialog.css" TargetMode="External"/><Relationship Id="rId17" Type="http://schemas.openxmlformats.org/officeDocument/2006/relationships/hyperlink" Target="../../../Users/willdonin/Developer/Flowstack/templateflow/packages/Users/willdonin/Developer/Flowstack/templateflow/packages/brick-ui/package/playground/manual-tests/alert-dialog.md" TargetMode="External"/><Relationship Id="rId18" Type="http://schemas.openxmlformats.org/officeDocument/2006/relationships/hyperlink" Target="../../../Users/willdonin/Developer/Flowstack/templateflow/packages/Users/willdonin/Developer/Flowstack/templateflow/packages/brick-ui/package/playground/src/main.tsx" TargetMode="External"/><Relationship Id="rId19" Type="http://schemas.openxmlformats.org/officeDocument/2006/relationships/hyperlink" Target="../../../Users/willdonin/Developer/Flowstack/templateflow/packages/Users/willdonin/Developer/Flowstack/templateflow/packages/brick-ui/package/playground/tests/alert-dialog.spec.ts" TargetMode="External"/><Relationship Id="rId20" Type="http://schemas.openxmlformats.org/officeDocument/2006/relationships/hyperlink" Target="../../../Users/willdonin/Developer/Flowstack/templateflow/packages/Users/willdonin/Developer/Flowstack/templateflow/packages/brick-ui/package/playground/tests/alert-dialog.spec.ts" TargetMode="External"/><Relationship Id="rId21" Type="http://schemas.openxmlformats.org/officeDocument/2006/relationships/hyperlink" Target="../../../Users/willdonin/Developer/Flowstack/templateflow/packages/Users/willdonin/Developer/Flowstack/templateflow/packages/brick-ui/package/playground/manual-tests/alert-dialog.md" TargetMode="External"/><Relationship Id="rId22" Type="http://schemas.openxmlformats.org/officeDocument/2006/relationships/hyperlink" Target="../../../Users/willdonin/Developer/Flowstack/templateflow/packages/Users/willdonin/Developer/Flowstack/templateflow/packages/brick-ui/package/playground/manual-tests/alert-dialog.md" TargetMode="External"/><Relationship Id="rId23" Type="http://schemas.openxmlformats.org/officeDocument/2006/relationships/hyperlink" Target="../../../Users/willdonin/Developer/Flowstack/templateflow/packages/Users/willdonin/Developer/Flowstack/templateflow/packages/brick-ui/package/playground/manual-tests/alert-dialog.md" TargetMode="External"/><Relationship Id="rId24" Type="http://schemas.openxmlformats.org/officeDocument/2006/relationships/hyperlink" Target="../../../Users/willdonin/Developer/Flowstack/templateflow/packages/Users/willdonin/Developer/Flowstack/templateflow/packages/brick-ui/package/playground/tests/alert-dialog.spec.ts" TargetMode="External"/><Relationship Id="rId25" Type="http://schemas.openxmlformats.org/officeDocument/2006/relationships/hyperlink" Target="../../../Users/willdonin/Developer/Flowstack/templateflow/packages/Users/willdonin/Developer/Flowstack/templateflow/packages/brick-ui/package/test/components/alert-dialog.test.tsx" TargetMode="External"/><Relationship Id="rId26" Type="http://schemas.openxmlformats.org/officeDocument/2006/relationships/hyperlink" Target="../../../Users/willdonin/Developer/Flowstack/templateflow/packages/Users/willdonin/Developer/Flowstack/templateflow/packages/brick-ui/package/test/types/public-api.test.ts" TargetMode="External"/><Relationship Id="rId27" Type="http://schemas.openxmlformats.org/officeDocument/2006/relationships/hyperlink" Target="../../../Users/willdonin/Developer/Flowstack/templateflow/packages/Users/willdonin/Developer/Flowstack/templateflow/packages/brick-ui/package/playground/tests/alert-dialog.spec.ts" TargetMode="External"/><Relationship Id="rId28" Type="http://schemas.openxmlformats.org/officeDocument/2006/relationships/hyperlink" Target="../../../Users/willdonin/Developer/Flowstack/templateflow/packages/Users/willdonin/Developer/Flowstack/templateflow/packages/brick-ui/package/playground/tests/alert-dialog.spec.ts" TargetMode="External"/><Relationship Id="rId29" Type="http://schemas.openxmlformats.org/officeDocument/2006/relationships/hyperlink" Target="../../../Users/willdonin/Developer/Flowstack/templateflow/packages/Users/willdonin/Developer/Flowstack/templateflow/packages/brick-ui/package/playground/tests/alert-dialog.spec.ts" TargetMode="External"/><Relationship Id="rId30" Type="http://schemas.openxmlformats.org/officeDocument/2006/relationships/hyperlink" Target="../../../Users/willdonin/Developer/Flowstack/templateflow/packages/Users/willdonin/Developer/Flowstack/templateflow/packages/brick-ui/package/playground/tests/alert-dialog.spec.ts" TargetMode="External"/><Relationship Id="rId31" Type="http://schemas.openxmlformats.org/officeDocument/2006/relationships/hyperlink" Target="../../../Users/willdonin/Developer/Flowstack/templateflow/packages/Users/willdonin/Developer/Flowstack/templateflow/packages/brick-ui/package/playground/tests/visual.spec.ts" TargetMode="External"/><Relationship Id="rId32" Type="http://schemas.openxmlformats.org/officeDocument/2006/relationships/hyperlink" Target="../../../Users/willdonin/Developer/Flowstack/templateflow/packages/Users/willdonin/Developer/Flowstack/templateflow/packages/brick-ui/package/playwright.config.ts" TargetMode="External"/><Relationship Id="rId33" Type="http://schemas.openxmlformats.org/officeDocument/2006/relationships/hyperlink" Target="../../../Users/willdonin/Developer/Flowstack/templateflow/packages/Users/willdonin/Developer/Flowstack/templateflow/packages/brick-ui/package/scripts/verify-consumers.mjs" TargetMode="External"/><Relationship Id="rId34" Type="http://schemas.openxmlformats.org/officeDocument/2006/relationships/hyperlink" Target="../../../Users/willdonin/Developer/Flowstack/templateflow/packages/Users/willdonin/Developer/Flowstack/templateflow/packages/brick-ui/package/playground/manual-tests/alert-dialog.md" TargetMode="External"/><Relationship Id="rId35" Type="http://schemas.openxmlformats.org/officeDocument/2006/relationships/hyperlink" Target="../../../Users/willdonin/Developer/Flowstack/templateflow/packages/Users/willdonin/Developer/Flowstack/templateflow/packages/brick-ui/package/playground/manual-tests/alert-dialog.md" TargetMode="External"/><Relationship Id="rId36" Type="http://schemas.openxmlformats.org/officeDocument/2006/relationships/hyperlink" Target="../../../Users/willdonin/Developer/Flowstack/templateflow/packages/Users/willdonin/Developer/Flowstack/templateflow/packages/brick-ui/package/docs/components/alert-dialog/README.md" TargetMode="External"/><Relationship Id="rId37" Type="http://schemas.openxmlformats.org/officeDocument/2006/relationships/hyperlink" Target="../../../Users/willdonin/Developer/Flowstack/templateflow/packages/Users/willdonin/Developer/Flowstack/templateflow/packages/brick-ui/package/docs/components/alert-dialog/CHANGELOG.md" TargetMode="External"/><Relationship Id="rId38" Type="http://schemas.openxmlformats.org/officeDocument/2006/relationships/hyperlink" Target="../../../Users/willdonin/Developer/Flowstack/templateflow/packages/Users/willdonin/Developer/Flowstack/templateflow/apps/brick-consumer/tests/consumer.spec.ts" TargetMode="External"/><Relationship Id="rId39" Type="http://schemas.openxmlformats.org/officeDocument/2006/relationships/hyperlink" Target="../../../Users/willdonin/Developer/Flowstack/templateflow/packages/Users/willdonin/Developer/Flowstack/templateflow/packages/brick-ui/docs/core-dependency-ledger.md" TargetMode="External"/><Relationship Id="rId40" Type="http://schemas.openxmlformats.org/officeDocument/2006/relationships/drawing" Target="../drawings/drawing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N1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7" topLeftCell="B8" activePane="bottomRight" state="frozen"/>
      <selection pane="topLeft" activeCell="A1" activeCellId="0" sqref="A1"/>
      <selection pane="topRight" activeCell="B1" activeCellId="0" sqref="B1"/>
      <selection pane="bottomLeft" activeCell="A8" activeCellId="0" sqref="A8"/>
      <selection pane="bottomRight" activeCell="A1" activeCellId="0" sqref="A1"/>
    </sheetView>
  </sheetViews>
  <sheetFormatPr defaultColWidth="8.8046875" defaultRowHeight="15" customHeight="false" zeroHeight="false" outlineLevelRow="0" outlineLevelCol="0"/>
  <cols>
    <col collapsed="false" customWidth="true" hidden="false" outlineLevel="0" max="1" min="1" style="1" width="18"/>
    <col collapsed="false" customWidth="true" hidden="false" outlineLevel="0" max="3" min="2" style="1" width="14"/>
    <col collapsed="false" customWidth="true" hidden="false" outlineLevel="0" max="4" min="4" style="1" width="10"/>
    <col collapsed="false" customWidth="true" hidden="false" outlineLevel="0" max="5" min="5" style="1" width="14"/>
    <col collapsed="false" customWidth="true" hidden="false" outlineLevel="0" max="8" min="6" style="1" width="10"/>
    <col collapsed="false" customWidth="true" hidden="false" outlineLevel="0" max="9" min="9" style="1" width="16"/>
    <col collapsed="false" customWidth="true" hidden="false" outlineLevel="0" max="10" min="10" style="1" width="13"/>
    <col collapsed="false" customWidth="true" hidden="false" outlineLevel="0" max="12" min="11" style="1" width="15"/>
    <col collapsed="false" customWidth="true" hidden="false" outlineLevel="0" max="13" min="13" style="1" width="16"/>
    <col collapsed="false" customWidth="true" hidden="false" outlineLevel="0" max="14" min="14" style="1" width="14"/>
  </cols>
  <sheetData>
    <row r="1" customFormat="false" ht="33.7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</row>
    <row r="2" customFormat="false" ht="33.75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4" customFormat="false" ht="15" hidden="false" customHeight="true" outlineLevel="0" collapsed="false">
      <c r="A4" s="4" t="s">
        <v>2</v>
      </c>
      <c r="B4" s="5" t="n">
        <f aca="false">COUNTA(A8:A11)</f>
        <v>4</v>
      </c>
      <c r="C4" s="4" t="s">
        <v>3</v>
      </c>
      <c r="D4" s="5" t="n">
        <f aca="false">COUNTIF(N8:N11,"complete")</f>
        <v>0</v>
      </c>
      <c r="E4" s="4" t="s">
        <v>4</v>
      </c>
      <c r="F4" s="5" t="n">
        <f aca="false">SUM(H8:H11)</f>
        <v>3</v>
      </c>
      <c r="G4" s="4" t="s">
        <v>5</v>
      </c>
      <c r="H4" s="6" t="n">
        <f aca="false">IFERROR(SUMPRODUCT(B8:B11,J8:J11)/SUM(B8:B11),0)</f>
        <v>0.918518518518519</v>
      </c>
    </row>
    <row r="7" customFormat="false" ht="33.75" hidden="false" customHeight="true" outlineLevel="0" collapsed="false">
      <c r="A7" s="7" t="s">
        <v>6</v>
      </c>
      <c r="B7" s="7" t="s">
        <v>7</v>
      </c>
      <c r="C7" s="7" t="s">
        <v>8</v>
      </c>
      <c r="D7" s="7" t="s">
        <v>9</v>
      </c>
      <c r="E7" s="7" t="s">
        <v>10</v>
      </c>
      <c r="F7" s="7" t="s">
        <v>11</v>
      </c>
      <c r="G7" s="7" t="s">
        <v>12</v>
      </c>
      <c r="H7" s="7" t="s">
        <v>4</v>
      </c>
      <c r="I7" s="7" t="s">
        <v>13</v>
      </c>
      <c r="J7" s="7" t="s">
        <v>14</v>
      </c>
      <c r="K7" s="7" t="s">
        <v>15</v>
      </c>
      <c r="L7" s="7" t="s">
        <v>16</v>
      </c>
      <c r="M7" s="7" t="s">
        <v>17</v>
      </c>
      <c r="N7" s="7" t="s">
        <v>18</v>
      </c>
    </row>
    <row r="8" customFormat="false" ht="27.75" hidden="false" customHeight="true" outlineLevel="0" collapsed="false">
      <c r="A8" s="8" t="s">
        <v>19</v>
      </c>
      <c r="B8" s="8" t="n">
        <f aca="false">COUNTA(Button!A9:A34)</f>
        <v>26</v>
      </c>
      <c r="C8" s="8" t="n">
        <f aca="false">COUNTIF(Button!H9:H34,"not started")</f>
        <v>1</v>
      </c>
      <c r="D8" s="8" t="n">
        <f aca="false">COUNTIF(Button!H9:H34,"partial")</f>
        <v>0</v>
      </c>
      <c r="E8" s="8" t="n">
        <f aca="false">COUNTIF(Button!H9:H34,"implemented")</f>
        <v>0</v>
      </c>
      <c r="F8" s="8" t="n">
        <f aca="false">COUNTIF(Button!H9:H34,"tested")</f>
        <v>13</v>
      </c>
      <c r="G8" s="8" t="n">
        <f aca="false">COUNTIF(Button!H9:H34,"verified")</f>
        <v>12</v>
      </c>
      <c r="H8" s="8" t="n">
        <f aca="false">COUNTIF(Button!H9:H34,"blocked")</f>
        <v>0</v>
      </c>
      <c r="I8" s="8" t="n">
        <f aca="false">COUNTIF(Button!H9:H34,"not applicable")</f>
        <v>0</v>
      </c>
      <c r="J8" s="9" t="n">
        <f aca="false">IFERROR(SUM(Button!M9:M34)/SUM(Button!L9:L34),0)</f>
        <v>0.961538461538462</v>
      </c>
      <c r="K8" s="8" t="str">
        <f aca="false">IF(COUNTIFS(Button!E9:E34,"package",Button!M9:M34,"&lt;1")=0,"complete","open")</f>
        <v>complete</v>
      </c>
      <c r="L8" s="8" t="str">
        <f aca="false">IF(COUNTIFS(Button!E9:E34,"consumer",Button!M9:M34,"&lt;1")=0,"complete","open")</f>
        <v>complete</v>
      </c>
      <c r="M8" s="8" t="str">
        <f aca="false">IF(COUNTIFS(Button!E9:E34,"retirement",Button!M9:M34,"&lt;1")=0,"complete","open")</f>
        <v>open</v>
      </c>
      <c r="N8" s="8" t="str">
        <f aca="false">IF(H8&gt;0,"blocked",IF(AND(J8=1,K8="complete",L8="complete",M8="complete"),"complete",IF(J8=0,"not started","in progress")))</f>
        <v>in progress</v>
      </c>
    </row>
    <row r="9" customFormat="false" ht="27.75" hidden="false" customHeight="true" outlineLevel="0" collapsed="false">
      <c r="A9" s="8" t="s">
        <v>20</v>
      </c>
      <c r="B9" s="8" t="n">
        <f aca="false">COUNTA(Card!A9:A41)</f>
        <v>33</v>
      </c>
      <c r="C9" s="8" t="n">
        <f aca="false">COUNTIF(Card!H9:H41,"not started")</f>
        <v>0</v>
      </c>
      <c r="D9" s="8" t="n">
        <f aca="false">COUNTIF(Card!H9:H41,"partial")</f>
        <v>0</v>
      </c>
      <c r="E9" s="8" t="n">
        <f aca="false">COUNTIF(Card!H9:H41,"implemented")</f>
        <v>0</v>
      </c>
      <c r="F9" s="8" t="n">
        <f aca="false">COUNTIF(Card!H9:H41,"tested")</f>
        <v>18</v>
      </c>
      <c r="G9" s="8" t="n">
        <f aca="false">COUNTIF(Card!H9:H41,"verified")</f>
        <v>14</v>
      </c>
      <c r="H9" s="8" t="n">
        <f aca="false">COUNTIF(Card!H9:H41,"blocked")</f>
        <v>1</v>
      </c>
      <c r="I9" s="8" t="n">
        <f aca="false">COUNTIF(Card!H9:H41,"not applicable")</f>
        <v>0</v>
      </c>
      <c r="J9" s="9" t="n">
        <f aca="false">IFERROR(SUM(Card!M9:M41)/SUM(Card!L9:L41),0)</f>
        <v>0.96969696969697</v>
      </c>
      <c r="K9" s="8" t="str">
        <f aca="false">IF(COUNTIFS(Card!E9:E41,"package",Card!M9:M41,"&lt;1")=0,"complete","open")</f>
        <v>complete</v>
      </c>
      <c r="L9" s="8" t="str">
        <f aca="false">IF(COUNTIFS(Card!E9:E41,"consumer",Card!M9:M41,"&lt;1")=0,"complete","open")</f>
        <v>complete</v>
      </c>
      <c r="M9" s="8" t="str">
        <f aca="false">IF(COUNTIFS(Card!E9:E41,"retirement",Card!M9:M41,"&lt;1")=0,"complete","open")</f>
        <v>open</v>
      </c>
      <c r="N9" s="8" t="str">
        <f aca="false">IF(H9&gt;0,"blocked",IF(AND(J9=1,K9="complete",L9="complete",M9="complete"),"complete",IF(J9=0,"not started","in progress")))</f>
        <v>blocked</v>
      </c>
    </row>
    <row r="10" customFormat="false" ht="27.75" hidden="false" customHeight="true" outlineLevel="0" collapsed="false">
      <c r="A10" s="8" t="s">
        <v>21</v>
      </c>
      <c r="B10" s="8" t="n">
        <f aca="false">COUNTA(Dialog!A9:A45)</f>
        <v>37</v>
      </c>
      <c r="C10" s="8" t="n">
        <f aca="false">COUNTIF(Dialog!H9:H45,"not started")</f>
        <v>0</v>
      </c>
      <c r="D10" s="8" t="n">
        <f aca="false">COUNTIF(Dialog!H9:H45,"partial")</f>
        <v>0</v>
      </c>
      <c r="E10" s="8" t="n">
        <f aca="false">COUNTIF(Dialog!H9:H45,"implemented")</f>
        <v>0</v>
      </c>
      <c r="F10" s="8" t="n">
        <f aca="false">COUNTIF(Dialog!H9:H45,"tested")</f>
        <v>22</v>
      </c>
      <c r="G10" s="8" t="n">
        <f aca="false">COUNTIF(Dialog!H9:H45,"verified")</f>
        <v>14</v>
      </c>
      <c r="H10" s="8" t="n">
        <f aca="false">COUNTIF(Dialog!H9:H45,"blocked")</f>
        <v>1</v>
      </c>
      <c r="I10" s="8" t="n">
        <f aca="false">COUNTIF(Dialog!H9:H45,"not applicable")</f>
        <v>0</v>
      </c>
      <c r="J10" s="9" t="n">
        <f aca="false">IFERROR(SUM(Dialog!M9:M45)/SUM(Dialog!L9:L45),0)</f>
        <v>0.972972972972973</v>
      </c>
      <c r="K10" s="8" t="str">
        <f aca="false">IF(COUNTIFS(Dialog!E9:E45,"package",Dialog!M9:M45,"&lt;1")=0,"complete","open")</f>
        <v>complete</v>
      </c>
      <c r="L10" s="8" t="str">
        <f aca="false">IF(COUNTIFS(Dialog!E9:E45,"consumer",Dialog!M9:M45,"&lt;1")=0,"complete","open")</f>
        <v>complete</v>
      </c>
      <c r="M10" s="8" t="str">
        <f aca="false">IF(COUNTIFS(Dialog!E9:E45,"retirement",Dialog!M9:M45,"&lt;1")=0,"complete","open")</f>
        <v>open</v>
      </c>
      <c r="N10" s="8" t="str">
        <f aca="false">IF(H10&gt;0,"blocked",IF(AND(J10=1,K10="complete",L10="complete",M10="complete"),"complete",IF(J10=0,"not started","in progress")))</f>
        <v>blocked</v>
      </c>
    </row>
    <row r="11" customFormat="false" ht="27.75" hidden="false" customHeight="true" outlineLevel="0" collapsed="false">
      <c r="A11" s="10" t="s">
        <v>22</v>
      </c>
      <c r="B11" s="8" t="n">
        <f aca="false">COUNTA(AlertDialog!A9:A47)</f>
        <v>39</v>
      </c>
      <c r="C11" s="8" t="n">
        <f aca="false">COUNTIF(AlertDialog!H9:H47,"not started")</f>
        <v>0</v>
      </c>
      <c r="D11" s="8" t="n">
        <f aca="false">COUNTIF(AlertDialog!H9:H47,"partial")</f>
        <v>7</v>
      </c>
      <c r="E11" s="8" t="n">
        <f aca="false">COUNTIF(AlertDialog!H9:H47,"implemented")</f>
        <v>0</v>
      </c>
      <c r="F11" s="8" t="n">
        <f aca="false">COUNTIF(AlertDialog!H9:H47,"tested")</f>
        <v>29</v>
      </c>
      <c r="G11" s="8" t="n">
        <f aca="false">COUNTIF(AlertDialog!H9:H47,"verified")</f>
        <v>2</v>
      </c>
      <c r="H11" s="8" t="n">
        <f aca="false">COUNTIF(AlertDialog!H9:H47,"blocked")</f>
        <v>1</v>
      </c>
      <c r="I11" s="8" t="n">
        <f aca="false">COUNTIF(AlertDialog!H9:H47,"not applicable")</f>
        <v>0</v>
      </c>
      <c r="J11" s="9" t="n">
        <f aca="false">IFERROR(SUM(AlertDialog!M9:M47)/SUM(AlertDialog!L9:L47),0)</f>
        <v>0.794871794871795</v>
      </c>
      <c r="K11" s="8" t="str">
        <f aca="false">IF(COUNTIFS(AlertDialog!E9:E47,"package",AlertDialog!M9:M47,"&lt;1")=0,"complete","open")</f>
        <v>open</v>
      </c>
      <c r="L11" s="8" t="str">
        <f aca="false">IF(COUNTIFS(AlertDialog!E9:E47,"consumer",AlertDialog!M9:M47,"&lt;1")=0,"complete","open")</f>
        <v>complete</v>
      </c>
      <c r="M11" s="8" t="str">
        <f aca="false">IF(COUNTIFS(AlertDialog!E9:E47,"retirement",AlertDialog!M9:M47,"&lt;1")=0,"complete","open")</f>
        <v>open</v>
      </c>
      <c r="N11" s="1" t="str">
        <f aca="false">IF(H11&gt;0,"blocked",IF(AND(J11=1,K11="complete",L11="complete",M11="complete"),"complete",IF(J11=0,"not started","in progress")))</f>
        <v>blocked</v>
      </c>
    </row>
  </sheetData>
  <mergeCells count="2">
    <mergeCell ref="A1:N1"/>
    <mergeCell ref="A2:N2"/>
  </mergeCells>
  <conditionalFormatting sqref="N8:N10">
    <cfRule type="expression" priority="2" aboveAverage="0" equalAverage="0" bottom="0" percent="0" rank="0" text="" dxfId="6">
      <formula>$N8="not started"</formula>
    </cfRule>
    <cfRule type="expression" priority="3" aboveAverage="0" equalAverage="0" bottom="0" percent="0" rank="0" text="" dxfId="7">
      <formula>$N8="partial"</formula>
    </cfRule>
    <cfRule type="expression" priority="4" aboveAverage="0" equalAverage="0" bottom="0" percent="0" rank="0" text="" dxfId="8">
      <formula>$N8="implemented"</formula>
    </cfRule>
    <cfRule type="expression" priority="5" aboveAverage="0" equalAverage="0" bottom="0" percent="0" rank="0" text="" dxfId="9">
      <formula>$N8="tested"</formula>
    </cfRule>
    <cfRule type="expression" priority="6" aboveAverage="0" equalAverage="0" bottom="0" percent="0" rank="0" text="" dxfId="10">
      <formula>$N8="verified"</formula>
    </cfRule>
    <cfRule type="expression" priority="7" aboveAverage="0" equalAverage="0" bottom="0" percent="0" rank="0" text="" dxfId="11">
      <formula>$N8="blocked"</formula>
    </cfRule>
    <cfRule type="expression" priority="8" aboveAverage="0" equalAverage="0" bottom="0" percent="0" rank="0" text="" dxfId="12">
      <formula>$N8="not applicable"</formula>
    </cfRule>
  </conditionalFormatting>
  <hyperlinks>
    <hyperlink ref="A8" r:id="rId1" location="'Button'!A1" display="Button"/>
    <hyperlink ref="A9" r:id="rId2" location="'Card'!A1" display="Card"/>
    <hyperlink ref="A10" r:id="rId3" location="'Dialog'!A1" display="Dialog"/>
    <hyperlink ref="A11" r:id="rId4" location="'AlertDialog'!A1" display="AlertDialog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8046875" defaultRowHeight="15" customHeight="false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95"/>
  </cols>
  <sheetData>
    <row r="1" customFormat="false" ht="33.75" hidden="false" customHeight="true" outlineLevel="0" collapsed="false">
      <c r="A1" s="2" t="s">
        <v>23</v>
      </c>
      <c r="B1" s="2"/>
      <c r="C1" s="2"/>
      <c r="D1" s="2"/>
    </row>
    <row r="2" customFormat="false" ht="33.75" hidden="false" customHeight="true" outlineLevel="0" collapsed="false">
      <c r="A2" s="3" t="s">
        <v>24</v>
      </c>
      <c r="B2" s="3"/>
      <c r="C2" s="3"/>
      <c r="D2" s="3"/>
    </row>
    <row r="4" customFormat="false" ht="15" hidden="false" customHeight="true" outlineLevel="0" collapsed="false">
      <c r="A4" s="7" t="s">
        <v>25</v>
      </c>
      <c r="B4" s="7" t="s">
        <v>26</v>
      </c>
    </row>
    <row r="5" customFormat="false" ht="30" hidden="false" customHeight="true" outlineLevel="0" collapsed="false">
      <c r="A5" s="11" t="s">
        <v>27</v>
      </c>
      <c r="B5" s="12" t="s">
        <v>28</v>
      </c>
    </row>
    <row r="6" customFormat="false" ht="30" hidden="false" customHeight="true" outlineLevel="0" collapsed="false">
      <c r="A6" s="13" t="s">
        <v>18</v>
      </c>
      <c r="B6" s="14" t="s">
        <v>29</v>
      </c>
    </row>
    <row r="7" customFormat="false" ht="30" hidden="false" customHeight="true" outlineLevel="0" collapsed="false">
      <c r="A7" s="11" t="s">
        <v>18</v>
      </c>
      <c r="B7" s="12" t="s">
        <v>30</v>
      </c>
    </row>
    <row r="8" customFormat="false" ht="30" hidden="false" customHeight="true" outlineLevel="0" collapsed="false">
      <c r="A8" s="13" t="s">
        <v>18</v>
      </c>
      <c r="B8" s="14" t="s">
        <v>31</v>
      </c>
    </row>
    <row r="9" customFormat="false" ht="30" hidden="false" customHeight="true" outlineLevel="0" collapsed="false">
      <c r="A9" s="11" t="s">
        <v>18</v>
      </c>
      <c r="B9" s="12" t="s">
        <v>32</v>
      </c>
    </row>
    <row r="10" customFormat="false" ht="30" hidden="false" customHeight="true" outlineLevel="0" collapsed="false">
      <c r="A10" s="13" t="s">
        <v>18</v>
      </c>
      <c r="B10" s="14" t="s">
        <v>33</v>
      </c>
    </row>
    <row r="11" customFormat="false" ht="30" hidden="false" customHeight="true" outlineLevel="0" collapsed="false">
      <c r="A11" s="11" t="s">
        <v>18</v>
      </c>
      <c r="B11" s="12" t="s">
        <v>34</v>
      </c>
    </row>
    <row r="12" customFormat="false" ht="30" hidden="false" customHeight="true" outlineLevel="0" collapsed="false">
      <c r="A12" s="13" t="s">
        <v>18</v>
      </c>
      <c r="B12" s="14" t="s">
        <v>35</v>
      </c>
    </row>
    <row r="13" customFormat="false" ht="30" hidden="false" customHeight="true" outlineLevel="0" collapsed="false">
      <c r="A13" s="11" t="s">
        <v>14</v>
      </c>
      <c r="B13" s="12" t="s">
        <v>36</v>
      </c>
    </row>
    <row r="14" customFormat="false" ht="30" hidden="false" customHeight="true" outlineLevel="0" collapsed="false">
      <c r="A14" s="13" t="s">
        <v>15</v>
      </c>
      <c r="B14" s="14" t="s">
        <v>37</v>
      </c>
    </row>
    <row r="15" customFormat="false" ht="30" hidden="false" customHeight="true" outlineLevel="0" collapsed="false">
      <c r="A15" s="11" t="s">
        <v>16</v>
      </c>
      <c r="B15" s="12" t="s">
        <v>38</v>
      </c>
    </row>
    <row r="16" customFormat="false" ht="30" hidden="false" customHeight="true" outlineLevel="0" collapsed="false">
      <c r="A16" s="13" t="s">
        <v>17</v>
      </c>
      <c r="B16" s="14" t="s">
        <v>39</v>
      </c>
    </row>
    <row r="17" customFormat="false" ht="30" hidden="false" customHeight="true" outlineLevel="0" collapsed="false">
      <c r="A17" s="11" t="s">
        <v>40</v>
      </c>
      <c r="B17" s="12" t="s">
        <v>41</v>
      </c>
    </row>
    <row r="18" customFormat="false" ht="30" hidden="false" customHeight="true" outlineLevel="0" collapsed="false">
      <c r="A18" s="13" t="s">
        <v>42</v>
      </c>
      <c r="B18" s="14" t="s">
        <v>43</v>
      </c>
    </row>
  </sheetData>
  <autoFilter ref="A4:B18"/>
  <mergeCells count="2">
    <mergeCell ref="A1:D1"/>
    <mergeCell ref="A2:D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804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54"/>
    <col collapsed="false" customWidth="true" hidden="false" outlineLevel="0" max="5" min="5" style="1" width="12"/>
    <col collapsed="false" customWidth="true" hidden="false" outlineLevel="0" max="6" min="6" style="1" width="16"/>
    <col collapsed="false" customWidth="true" hidden="false" outlineLevel="0" max="7" min="7" style="1" width="30"/>
    <col collapsed="false" customWidth="true" hidden="false" outlineLevel="0" max="8" min="8" style="1" width="18"/>
    <col collapsed="false" customWidth="true" hidden="false" outlineLevel="0" max="9" min="9" style="1" width="14"/>
    <col collapsed="false" customWidth="true" hidden="false" outlineLevel="0" max="10" min="10" style="1" width="15"/>
    <col collapsed="false" customWidth="true" hidden="false" outlineLevel="0" max="11" min="11" style="1" width="32"/>
    <col collapsed="false" customWidth="true" hidden="false" outlineLevel="0" max="12" min="12" style="1" width="9"/>
    <col collapsed="false" customWidth="true" hidden="false" outlineLevel="0" max="13" min="13" style="1" width="10"/>
  </cols>
  <sheetData>
    <row r="1" customFormat="false" ht="33.75" hidden="false" customHeight="true" outlineLevel="0" collapsed="false">
      <c r="A1" s="2" t="s">
        <v>44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33.75" hidden="false" customHeight="true" outlineLevel="0" collapsed="false">
      <c r="A2" s="3" t="s">
        <v>45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4" customFormat="false" ht="15" hidden="false" customHeight="true" outlineLevel="0" collapsed="false">
      <c r="A4" s="4" t="s">
        <v>7</v>
      </c>
      <c r="B4" s="5" t="n">
        <f aca="false">COUNTA(A9:A34)</f>
        <v>26</v>
      </c>
      <c r="C4" s="4" t="s">
        <v>46</v>
      </c>
      <c r="D4" s="5" t="n">
        <f aca="false">SUM(M9:M34)</f>
        <v>25</v>
      </c>
      <c r="E4" s="4" t="s">
        <v>14</v>
      </c>
      <c r="F4" s="6" t="n">
        <f aca="false">IFERROR(D4/SUM(L9:L34),0)</f>
        <v>0.961538461538462</v>
      </c>
      <c r="G4" s="4" t="s">
        <v>4</v>
      </c>
      <c r="H4" s="5" t="n">
        <f aca="false">COUNTIF(H9:H34,"blocked")</f>
        <v>0</v>
      </c>
      <c r="I4" s="4" t="s">
        <v>15</v>
      </c>
      <c r="J4" s="5" t="str">
        <f aca="false">IF(COUNTIFS(E9:E34,"package",M9:M34,"&lt;1")=0,"complete","open")</f>
        <v>complete</v>
      </c>
      <c r="K4" s="4" t="s">
        <v>17</v>
      </c>
      <c r="L4" s="5" t="str">
        <f aca="false">IF(COUNTIFS(E9:E34,"retirement",M9:M34,"&lt;1")=0,"complete","open")</f>
        <v>open</v>
      </c>
    </row>
    <row r="6" customFormat="false" ht="15" hidden="false" customHeight="true" outlineLevel="0" collapsed="false">
      <c r="A6" s="15" t="s">
        <v>47</v>
      </c>
      <c r="B6" s="15"/>
      <c r="C6" s="15"/>
      <c r="D6" s="15"/>
      <c r="E6" s="15"/>
      <c r="F6" s="15"/>
      <c r="G6" s="15"/>
      <c r="H6" s="15"/>
      <c r="I6" s="15"/>
      <c r="J6" s="15"/>
      <c r="K6" s="15"/>
      <c r="L6" s="15"/>
      <c r="M6" s="15"/>
    </row>
    <row r="8" customFormat="false" ht="33.75" hidden="false" customHeight="true" outlineLevel="0" collapsed="false">
      <c r="A8" s="7" t="s">
        <v>48</v>
      </c>
      <c r="B8" s="7" t="s">
        <v>49</v>
      </c>
      <c r="C8" s="7" t="s">
        <v>50</v>
      </c>
      <c r="D8" s="7" t="s">
        <v>51</v>
      </c>
      <c r="E8" s="7" t="s">
        <v>52</v>
      </c>
      <c r="F8" s="7" t="s">
        <v>53</v>
      </c>
      <c r="G8" s="7" t="s">
        <v>54</v>
      </c>
      <c r="H8" s="7" t="s">
        <v>18</v>
      </c>
      <c r="I8" s="7" t="s">
        <v>55</v>
      </c>
      <c r="J8" s="7" t="s">
        <v>56</v>
      </c>
      <c r="K8" s="7" t="s">
        <v>57</v>
      </c>
      <c r="L8" s="7" t="s">
        <v>58</v>
      </c>
      <c r="M8" s="7" t="s">
        <v>46</v>
      </c>
    </row>
    <row r="9" customFormat="false" ht="42.75" hidden="false" customHeight="true" outlineLevel="0" collapsed="false">
      <c r="A9" s="16" t="s">
        <v>59</v>
      </c>
      <c r="B9" s="16" t="s">
        <v>60</v>
      </c>
      <c r="C9" s="16" t="s">
        <v>6</v>
      </c>
      <c r="D9" s="16" t="s">
        <v>61</v>
      </c>
      <c r="E9" s="16" t="s">
        <v>62</v>
      </c>
      <c r="F9" s="16" t="s">
        <v>63</v>
      </c>
      <c r="G9" s="10" t="s">
        <v>64</v>
      </c>
      <c r="H9" s="16" t="s">
        <v>65</v>
      </c>
      <c r="I9" s="16" t="s">
        <v>66</v>
      </c>
      <c r="J9" s="17" t="n">
        <v>46219</v>
      </c>
      <c r="K9" s="16"/>
      <c r="L9" s="18" t="n">
        <v>1</v>
      </c>
      <c r="M9" s="18" t="n">
        <f aca="false">IF(H9="not applicable",IF(K9&lt;&gt;"",1,0),IF(I9="yes",IF(H9="verified",1,0),IF(OR(H9="tested",H9="verified"),1,0)))</f>
        <v>1</v>
      </c>
    </row>
    <row r="10" customFormat="false" ht="42.75" hidden="false" customHeight="true" outlineLevel="0" collapsed="false">
      <c r="A10" s="16" t="s">
        <v>67</v>
      </c>
      <c r="B10" s="16" t="s">
        <v>68</v>
      </c>
      <c r="C10" s="16" t="s">
        <v>6</v>
      </c>
      <c r="D10" s="16" t="s">
        <v>69</v>
      </c>
      <c r="E10" s="16" t="s">
        <v>62</v>
      </c>
      <c r="F10" s="16" t="s">
        <v>70</v>
      </c>
      <c r="G10" s="10" t="s">
        <v>71</v>
      </c>
      <c r="H10" s="16" t="s">
        <v>72</v>
      </c>
      <c r="I10" s="16" t="s">
        <v>73</v>
      </c>
      <c r="J10" s="17" t="n">
        <v>46219</v>
      </c>
      <c r="K10" s="16"/>
      <c r="L10" s="18" t="n">
        <v>1</v>
      </c>
      <c r="M10" s="18" t="n">
        <f aca="false">IF(H10="not applicable",IF(K10&lt;&gt;"",1,0),IF(I10="yes",IF(H10="verified",1,0),IF(OR(H10="tested",H10="verified"),1,0)))</f>
        <v>1</v>
      </c>
    </row>
    <row r="11" customFormat="false" ht="42.75" hidden="false" customHeight="true" outlineLevel="0" collapsed="false">
      <c r="A11" s="16" t="s">
        <v>74</v>
      </c>
      <c r="B11" s="16" t="s">
        <v>60</v>
      </c>
      <c r="C11" s="16" t="s">
        <v>6</v>
      </c>
      <c r="D11" s="16" t="s">
        <v>75</v>
      </c>
      <c r="E11" s="16" t="s">
        <v>62</v>
      </c>
      <c r="F11" s="16" t="s">
        <v>76</v>
      </c>
      <c r="G11" s="10" t="s">
        <v>77</v>
      </c>
      <c r="H11" s="16" t="s">
        <v>65</v>
      </c>
      <c r="I11" s="16" t="s">
        <v>66</v>
      </c>
      <c r="J11" s="17" t="n">
        <v>46219</v>
      </c>
      <c r="K11" s="16"/>
      <c r="L11" s="18" t="n">
        <v>1</v>
      </c>
      <c r="M11" s="18" t="n">
        <f aca="false">IF(H11="not applicable",IF(K11&lt;&gt;"",1,0),IF(I11="yes",IF(H11="verified",1,0),IF(OR(H11="tested",H11="verified"),1,0)))</f>
        <v>1</v>
      </c>
    </row>
    <row r="12" customFormat="false" ht="42.75" hidden="false" customHeight="true" outlineLevel="0" collapsed="false">
      <c r="A12" s="16" t="s">
        <v>78</v>
      </c>
      <c r="B12" s="16" t="s">
        <v>60</v>
      </c>
      <c r="C12" s="16" t="s">
        <v>6</v>
      </c>
      <c r="D12" s="16" t="s">
        <v>79</v>
      </c>
      <c r="E12" s="16" t="s">
        <v>62</v>
      </c>
      <c r="F12" s="16" t="s">
        <v>76</v>
      </c>
      <c r="G12" s="10" t="s">
        <v>80</v>
      </c>
      <c r="H12" s="16" t="s">
        <v>65</v>
      </c>
      <c r="I12" s="16" t="s">
        <v>66</v>
      </c>
      <c r="J12" s="17" t="n">
        <v>46219</v>
      </c>
      <c r="K12" s="16"/>
      <c r="L12" s="18" t="n">
        <v>1</v>
      </c>
      <c r="M12" s="18" t="n">
        <f aca="false">IF(H12="not applicable",IF(K12&lt;&gt;"",1,0),IF(I12="yes",IF(H12="verified",1,0),IF(OR(H12="tested",H12="verified"),1,0)))</f>
        <v>1</v>
      </c>
    </row>
    <row r="13" customFormat="false" ht="42.75" hidden="false" customHeight="true" outlineLevel="0" collapsed="false">
      <c r="A13" s="16" t="s">
        <v>81</v>
      </c>
      <c r="B13" s="16" t="s">
        <v>82</v>
      </c>
      <c r="C13" s="16" t="s">
        <v>6</v>
      </c>
      <c r="D13" s="16" t="s">
        <v>83</v>
      </c>
      <c r="E13" s="16" t="s">
        <v>62</v>
      </c>
      <c r="F13" s="16" t="s">
        <v>63</v>
      </c>
      <c r="G13" s="10" t="s">
        <v>84</v>
      </c>
      <c r="H13" s="16" t="s">
        <v>65</v>
      </c>
      <c r="I13" s="16" t="s">
        <v>66</v>
      </c>
      <c r="J13" s="17" t="n">
        <v>46219</v>
      </c>
      <c r="K13" s="16"/>
      <c r="L13" s="18" t="n">
        <v>1</v>
      </c>
      <c r="M13" s="18" t="n">
        <f aca="false">IF(H13="not applicable",IF(K13&lt;&gt;"",1,0),IF(I13="yes",IF(H13="verified",1,0),IF(OR(H13="tested",H13="verified"),1,0)))</f>
        <v>1</v>
      </c>
    </row>
    <row r="14" customFormat="false" ht="42.75" hidden="false" customHeight="true" outlineLevel="0" collapsed="false">
      <c r="A14" s="16" t="s">
        <v>85</v>
      </c>
      <c r="B14" s="16" t="s">
        <v>82</v>
      </c>
      <c r="C14" s="16" t="s">
        <v>6</v>
      </c>
      <c r="D14" s="16" t="s">
        <v>86</v>
      </c>
      <c r="E14" s="16" t="s">
        <v>62</v>
      </c>
      <c r="F14" s="16" t="s">
        <v>63</v>
      </c>
      <c r="G14" s="10" t="s">
        <v>87</v>
      </c>
      <c r="H14" s="16" t="s">
        <v>72</v>
      </c>
      <c r="I14" s="16" t="s">
        <v>73</v>
      </c>
      <c r="J14" s="17" t="n">
        <v>46219</v>
      </c>
      <c r="K14" s="16"/>
      <c r="L14" s="18" t="n">
        <v>1</v>
      </c>
      <c r="M14" s="18" t="n">
        <f aca="false">IF(H14="not applicable",IF(K14&lt;&gt;"",1,0),IF(I14="yes",IF(H14="verified",1,0),IF(OR(H14="tested",H14="verified"),1,0)))</f>
        <v>1</v>
      </c>
    </row>
    <row r="15" customFormat="false" ht="42.75" hidden="false" customHeight="true" outlineLevel="0" collapsed="false">
      <c r="A15" s="16" t="s">
        <v>88</v>
      </c>
      <c r="B15" s="16" t="s">
        <v>89</v>
      </c>
      <c r="C15" s="16" t="s">
        <v>6</v>
      </c>
      <c r="D15" s="16" t="s">
        <v>90</v>
      </c>
      <c r="E15" s="16" t="s">
        <v>62</v>
      </c>
      <c r="F15" s="16" t="s">
        <v>91</v>
      </c>
      <c r="G15" s="10" t="s">
        <v>92</v>
      </c>
      <c r="H15" s="16" t="s">
        <v>72</v>
      </c>
      <c r="I15" s="16" t="s">
        <v>73</v>
      </c>
      <c r="J15" s="17" t="n">
        <v>46219</v>
      </c>
      <c r="K15" s="16"/>
      <c r="L15" s="18" t="n">
        <v>1</v>
      </c>
      <c r="M15" s="18" t="n">
        <f aca="false">IF(H15="not applicable",IF(K15&lt;&gt;"",1,0),IF(I15="yes",IF(H15="verified",1,0),IF(OR(H15="tested",H15="verified"),1,0)))</f>
        <v>1</v>
      </c>
    </row>
    <row r="16" customFormat="false" ht="42.75" hidden="false" customHeight="true" outlineLevel="0" collapsed="false">
      <c r="A16" s="16" t="s">
        <v>93</v>
      </c>
      <c r="B16" s="16" t="s">
        <v>89</v>
      </c>
      <c r="C16" s="16" t="s">
        <v>6</v>
      </c>
      <c r="D16" s="16" t="s">
        <v>94</v>
      </c>
      <c r="E16" s="16" t="s">
        <v>62</v>
      </c>
      <c r="F16" s="16" t="s">
        <v>91</v>
      </c>
      <c r="G16" s="10" t="s">
        <v>92</v>
      </c>
      <c r="H16" s="16" t="s">
        <v>72</v>
      </c>
      <c r="I16" s="16" t="s">
        <v>73</v>
      </c>
      <c r="J16" s="17" t="n">
        <v>46219</v>
      </c>
      <c r="K16" s="16"/>
      <c r="L16" s="18" t="n">
        <v>1</v>
      </c>
      <c r="M16" s="18" t="n">
        <f aca="false">IF(H16="not applicable",IF(K16&lt;&gt;"",1,0),IF(I16="yes",IF(H16="verified",1,0),IF(OR(H16="tested",H16="verified"),1,0)))</f>
        <v>1</v>
      </c>
    </row>
    <row r="17" customFormat="false" ht="42.75" hidden="false" customHeight="true" outlineLevel="0" collapsed="false">
      <c r="A17" s="16" t="s">
        <v>95</v>
      </c>
      <c r="B17" s="16" t="s">
        <v>89</v>
      </c>
      <c r="C17" s="16" t="s">
        <v>6</v>
      </c>
      <c r="D17" s="16" t="s">
        <v>96</v>
      </c>
      <c r="E17" s="16" t="s">
        <v>62</v>
      </c>
      <c r="F17" s="16" t="s">
        <v>91</v>
      </c>
      <c r="G17" s="10" t="s">
        <v>92</v>
      </c>
      <c r="H17" s="16" t="s">
        <v>72</v>
      </c>
      <c r="I17" s="16" t="s">
        <v>73</v>
      </c>
      <c r="J17" s="17" t="n">
        <v>46219</v>
      </c>
      <c r="K17" s="16"/>
      <c r="L17" s="18" t="n">
        <v>1</v>
      </c>
      <c r="M17" s="18" t="n">
        <f aca="false">IF(H17="not applicable",IF(K17&lt;&gt;"",1,0),IF(I17="yes",IF(H17="verified",1,0),IF(OR(H17="tested",H17="verified"),1,0)))</f>
        <v>1</v>
      </c>
    </row>
    <row r="18" customFormat="false" ht="42.75" hidden="false" customHeight="true" outlineLevel="0" collapsed="false">
      <c r="A18" s="16" t="s">
        <v>97</v>
      </c>
      <c r="B18" s="16" t="s">
        <v>89</v>
      </c>
      <c r="C18" s="16" t="s">
        <v>6</v>
      </c>
      <c r="D18" s="16" t="s">
        <v>98</v>
      </c>
      <c r="E18" s="16" t="s">
        <v>62</v>
      </c>
      <c r="F18" s="16" t="s">
        <v>91</v>
      </c>
      <c r="G18" s="10" t="s">
        <v>99</v>
      </c>
      <c r="H18" s="16" t="s">
        <v>72</v>
      </c>
      <c r="I18" s="16" t="s">
        <v>73</v>
      </c>
      <c r="J18" s="17" t="n">
        <v>46219</v>
      </c>
      <c r="K18" s="16"/>
      <c r="L18" s="18" t="n">
        <v>1</v>
      </c>
      <c r="M18" s="18" t="n">
        <f aca="false">IF(H18="not applicable",IF(K18&lt;&gt;"",1,0),IF(I18="yes",IF(H18="verified",1,0),IF(OR(H18="tested",H18="verified"),1,0)))</f>
        <v>1</v>
      </c>
    </row>
    <row r="19" customFormat="false" ht="42.75" hidden="false" customHeight="true" outlineLevel="0" collapsed="false">
      <c r="A19" s="16" t="s">
        <v>100</v>
      </c>
      <c r="B19" s="16" t="s">
        <v>89</v>
      </c>
      <c r="C19" s="16" t="s">
        <v>6</v>
      </c>
      <c r="D19" s="16" t="s">
        <v>101</v>
      </c>
      <c r="E19" s="16" t="s">
        <v>62</v>
      </c>
      <c r="F19" s="16" t="s">
        <v>91</v>
      </c>
      <c r="G19" s="10" t="s">
        <v>92</v>
      </c>
      <c r="H19" s="16" t="s">
        <v>72</v>
      </c>
      <c r="I19" s="16" t="s">
        <v>73</v>
      </c>
      <c r="J19" s="17" t="n">
        <v>46219</v>
      </c>
      <c r="K19" s="16"/>
      <c r="L19" s="18" t="n">
        <v>1</v>
      </c>
      <c r="M19" s="18" t="n">
        <f aca="false">IF(H19="not applicable",IF(K19&lt;&gt;"",1,0),IF(I19="yes",IF(H19="verified",1,0),IF(OR(H19="tested",H19="verified"),1,0)))</f>
        <v>1</v>
      </c>
    </row>
    <row r="20" customFormat="false" ht="42.75" hidden="false" customHeight="true" outlineLevel="0" collapsed="false">
      <c r="A20" s="16" t="s">
        <v>102</v>
      </c>
      <c r="B20" s="16" t="s">
        <v>89</v>
      </c>
      <c r="C20" s="16" t="s">
        <v>6</v>
      </c>
      <c r="D20" s="16" t="s">
        <v>103</v>
      </c>
      <c r="E20" s="16" t="s">
        <v>62</v>
      </c>
      <c r="F20" s="16" t="s">
        <v>91</v>
      </c>
      <c r="G20" s="10" t="s">
        <v>92</v>
      </c>
      <c r="H20" s="16" t="s">
        <v>72</v>
      </c>
      <c r="I20" s="16" t="s">
        <v>73</v>
      </c>
      <c r="J20" s="17" t="n">
        <v>46219</v>
      </c>
      <c r="K20" s="16"/>
      <c r="L20" s="18" t="n">
        <v>1</v>
      </c>
      <c r="M20" s="18" t="n">
        <f aca="false">IF(H20="not applicable",IF(K20&lt;&gt;"",1,0),IF(I20="yes",IF(H20="verified",1,0),IF(OR(H20="tested",H20="verified"),1,0)))</f>
        <v>1</v>
      </c>
    </row>
    <row r="21" customFormat="false" ht="42.75" hidden="false" customHeight="true" outlineLevel="0" collapsed="false">
      <c r="A21" s="16" t="s">
        <v>104</v>
      </c>
      <c r="B21" s="16" t="s">
        <v>89</v>
      </c>
      <c r="C21" s="16" t="s">
        <v>6</v>
      </c>
      <c r="D21" s="16" t="s">
        <v>105</v>
      </c>
      <c r="E21" s="16" t="s">
        <v>62</v>
      </c>
      <c r="F21" s="16" t="s">
        <v>91</v>
      </c>
      <c r="G21" s="10" t="s">
        <v>106</v>
      </c>
      <c r="H21" s="16" t="s">
        <v>65</v>
      </c>
      <c r="I21" s="16" t="s">
        <v>66</v>
      </c>
      <c r="J21" s="17" t="n">
        <v>46219</v>
      </c>
      <c r="K21" s="16"/>
      <c r="L21" s="18" t="n">
        <v>1</v>
      </c>
      <c r="M21" s="18" t="n">
        <f aca="false">IF(H21="not applicable",IF(K21&lt;&gt;"",1,0),IF(I21="yes",IF(H21="verified",1,0),IF(OR(H21="tested",H21="verified"),1,0)))</f>
        <v>1</v>
      </c>
    </row>
    <row r="22" customFormat="false" ht="42.75" hidden="false" customHeight="true" outlineLevel="0" collapsed="false">
      <c r="A22" s="16" t="s">
        <v>107</v>
      </c>
      <c r="B22" s="16" t="s">
        <v>108</v>
      </c>
      <c r="C22" s="16" t="s">
        <v>6</v>
      </c>
      <c r="D22" s="16" t="s">
        <v>109</v>
      </c>
      <c r="E22" s="16" t="s">
        <v>62</v>
      </c>
      <c r="F22" s="16" t="s">
        <v>110</v>
      </c>
      <c r="G22" s="10" t="s">
        <v>80</v>
      </c>
      <c r="H22" s="16" t="s">
        <v>65</v>
      </c>
      <c r="I22" s="16" t="s">
        <v>66</v>
      </c>
      <c r="J22" s="17" t="n">
        <v>46219</v>
      </c>
      <c r="K22" s="16"/>
      <c r="L22" s="18" t="n">
        <v>1</v>
      </c>
      <c r="M22" s="18" t="n">
        <f aca="false">IF(H22="not applicable",IF(K22&lt;&gt;"",1,0),IF(I22="yes",IF(H22="verified",1,0),IF(OR(H22="tested",H22="verified"),1,0)))</f>
        <v>1</v>
      </c>
    </row>
    <row r="23" customFormat="false" ht="42.75" hidden="false" customHeight="true" outlineLevel="0" collapsed="false">
      <c r="A23" s="16" t="s">
        <v>111</v>
      </c>
      <c r="B23" s="16" t="s">
        <v>108</v>
      </c>
      <c r="C23" s="16" t="s">
        <v>6</v>
      </c>
      <c r="D23" s="16" t="s">
        <v>112</v>
      </c>
      <c r="E23" s="16" t="s">
        <v>62</v>
      </c>
      <c r="F23" s="16" t="s">
        <v>110</v>
      </c>
      <c r="G23" s="10" t="s">
        <v>113</v>
      </c>
      <c r="H23" s="16" t="s">
        <v>65</v>
      </c>
      <c r="I23" s="16" t="s">
        <v>66</v>
      </c>
      <c r="J23" s="17" t="n">
        <v>46219</v>
      </c>
      <c r="K23" s="16"/>
      <c r="L23" s="18" t="n">
        <v>1</v>
      </c>
      <c r="M23" s="18" t="n">
        <f aca="false">IF(H23="not applicable",IF(K23&lt;&gt;"",1,0),IF(I23="yes",IF(H23="verified",1,0),IF(OR(H23="tested",H23="verified"),1,0)))</f>
        <v>1</v>
      </c>
    </row>
    <row r="24" customFormat="false" ht="42.75" hidden="false" customHeight="true" outlineLevel="0" collapsed="false">
      <c r="A24" s="16" t="s">
        <v>114</v>
      </c>
      <c r="B24" s="16" t="s">
        <v>108</v>
      </c>
      <c r="C24" s="16" t="s">
        <v>6</v>
      </c>
      <c r="D24" s="16" t="s">
        <v>115</v>
      </c>
      <c r="E24" s="16" t="s">
        <v>62</v>
      </c>
      <c r="F24" s="16" t="s">
        <v>110</v>
      </c>
      <c r="G24" s="10" t="s">
        <v>106</v>
      </c>
      <c r="H24" s="16" t="s">
        <v>65</v>
      </c>
      <c r="I24" s="16" t="s">
        <v>66</v>
      </c>
      <c r="J24" s="17" t="n">
        <v>46219</v>
      </c>
      <c r="K24" s="16"/>
      <c r="L24" s="18" t="n">
        <v>1</v>
      </c>
      <c r="M24" s="18" t="n">
        <f aca="false">IF(H24="not applicable",IF(K24&lt;&gt;"",1,0),IF(I24="yes",IF(H24="verified",1,0),IF(OR(H24="tested",H24="verified"),1,0)))</f>
        <v>1</v>
      </c>
    </row>
    <row r="25" customFormat="false" ht="42.75" hidden="false" customHeight="true" outlineLevel="0" collapsed="false">
      <c r="A25" s="16" t="s">
        <v>116</v>
      </c>
      <c r="B25" s="16" t="s">
        <v>108</v>
      </c>
      <c r="C25" s="16" t="s">
        <v>6</v>
      </c>
      <c r="D25" s="16" t="s">
        <v>117</v>
      </c>
      <c r="E25" s="16" t="s">
        <v>62</v>
      </c>
      <c r="F25" s="16" t="s">
        <v>110</v>
      </c>
      <c r="G25" s="10" t="s">
        <v>118</v>
      </c>
      <c r="H25" s="16" t="s">
        <v>65</v>
      </c>
      <c r="I25" s="16" t="s">
        <v>66</v>
      </c>
      <c r="J25" s="17" t="n">
        <v>46219</v>
      </c>
      <c r="K25" s="16"/>
      <c r="L25" s="18" t="n">
        <v>1</v>
      </c>
      <c r="M25" s="18" t="n">
        <f aca="false">IF(H25="not applicable",IF(K25&lt;&gt;"",1,0),IF(I25="yes",IF(H25="verified",1,0),IF(OR(H25="tested",H25="verified"),1,0)))</f>
        <v>1</v>
      </c>
    </row>
    <row r="26" customFormat="false" ht="42.75" hidden="false" customHeight="true" outlineLevel="0" collapsed="false">
      <c r="A26" s="16" t="s">
        <v>119</v>
      </c>
      <c r="B26" s="16" t="s">
        <v>108</v>
      </c>
      <c r="C26" s="16" t="s">
        <v>6</v>
      </c>
      <c r="D26" s="16" t="s">
        <v>120</v>
      </c>
      <c r="E26" s="16" t="s">
        <v>62</v>
      </c>
      <c r="F26" s="16" t="s">
        <v>110</v>
      </c>
      <c r="G26" s="16" t="s">
        <v>121</v>
      </c>
      <c r="H26" s="16" t="s">
        <v>72</v>
      </c>
      <c r="I26" s="16" t="s">
        <v>73</v>
      </c>
      <c r="J26" s="19" t="n">
        <v>46219</v>
      </c>
      <c r="K26" s="16"/>
      <c r="L26" s="18" t="n">
        <v>1</v>
      </c>
      <c r="M26" s="18" t="n">
        <f aca="false">IF(H26="not applicable",IF(K26&lt;&gt;"",1,0),IF(I26="yes",IF(H26="verified",1,0),IF(OR(H26="tested",H26="verified"),1,0)))</f>
        <v>1</v>
      </c>
    </row>
    <row r="27" customFormat="false" ht="42.75" hidden="false" customHeight="true" outlineLevel="0" collapsed="false">
      <c r="A27" s="16" t="s">
        <v>122</v>
      </c>
      <c r="B27" s="16" t="s">
        <v>108</v>
      </c>
      <c r="C27" s="16" t="s">
        <v>6</v>
      </c>
      <c r="D27" s="16" t="s">
        <v>123</v>
      </c>
      <c r="E27" s="16" t="s">
        <v>62</v>
      </c>
      <c r="F27" s="16" t="s">
        <v>110</v>
      </c>
      <c r="G27" s="10" t="s">
        <v>124</v>
      </c>
      <c r="H27" s="16" t="s">
        <v>65</v>
      </c>
      <c r="I27" s="16" t="s">
        <v>66</v>
      </c>
      <c r="J27" s="17" t="n">
        <v>46219</v>
      </c>
      <c r="K27" s="16"/>
      <c r="L27" s="18" t="n">
        <v>1</v>
      </c>
      <c r="M27" s="18" t="n">
        <f aca="false">IF(H27="not applicable",IF(K27&lt;&gt;"",1,0),IF(I27="yes",IF(H27="verified",1,0),IF(OR(H27="tested",H27="verified"),1,0)))</f>
        <v>1</v>
      </c>
    </row>
    <row r="28" customFormat="false" ht="42.75" hidden="false" customHeight="true" outlineLevel="0" collapsed="false">
      <c r="A28" s="16" t="s">
        <v>125</v>
      </c>
      <c r="B28" s="16" t="s">
        <v>108</v>
      </c>
      <c r="C28" s="16" t="s">
        <v>6</v>
      </c>
      <c r="D28" s="16" t="s">
        <v>126</v>
      </c>
      <c r="E28" s="16" t="s">
        <v>62</v>
      </c>
      <c r="F28" s="16" t="s">
        <v>110</v>
      </c>
      <c r="G28" s="10" t="s">
        <v>127</v>
      </c>
      <c r="H28" s="16" t="s">
        <v>65</v>
      </c>
      <c r="I28" s="16" t="s">
        <v>66</v>
      </c>
      <c r="J28" s="17" t="n">
        <v>46219</v>
      </c>
      <c r="K28" s="16"/>
      <c r="L28" s="18" t="n">
        <v>1</v>
      </c>
      <c r="M28" s="18" t="n">
        <f aca="false">IF(H28="not applicable",IF(K28&lt;&gt;"",1,0),IF(I28="yes",IF(H28="verified",1,0),IF(OR(H28="tested",H28="verified"),1,0)))</f>
        <v>1</v>
      </c>
    </row>
    <row r="29" customFormat="false" ht="42.75" hidden="false" customHeight="true" outlineLevel="0" collapsed="false">
      <c r="A29" s="16" t="s">
        <v>128</v>
      </c>
      <c r="B29" s="16" t="s">
        <v>129</v>
      </c>
      <c r="C29" s="16" t="s">
        <v>6</v>
      </c>
      <c r="D29" s="16" t="s">
        <v>130</v>
      </c>
      <c r="E29" s="16" t="s">
        <v>62</v>
      </c>
      <c r="F29" s="16" t="s">
        <v>131</v>
      </c>
      <c r="G29" s="10" t="s">
        <v>92</v>
      </c>
      <c r="H29" s="16" t="s">
        <v>65</v>
      </c>
      <c r="I29" s="16" t="s">
        <v>66</v>
      </c>
      <c r="J29" s="17" t="n">
        <v>46219</v>
      </c>
      <c r="K29" s="16"/>
      <c r="L29" s="18" t="n">
        <v>1</v>
      </c>
      <c r="M29" s="18" t="n">
        <f aca="false">IF(H29="not applicable",IF(K29&lt;&gt;"",1,0),IF(I29="yes",IF(H29="verified",1,0),IF(OR(H29="tested",H29="verified"),1,0)))</f>
        <v>1</v>
      </c>
    </row>
    <row r="30" customFormat="false" ht="42.75" hidden="false" customHeight="true" outlineLevel="0" collapsed="false">
      <c r="A30" s="16" t="s">
        <v>132</v>
      </c>
      <c r="B30" s="16" t="s">
        <v>129</v>
      </c>
      <c r="C30" s="16" t="s">
        <v>6</v>
      </c>
      <c r="D30" s="16" t="s">
        <v>133</v>
      </c>
      <c r="E30" s="16" t="s">
        <v>62</v>
      </c>
      <c r="F30" s="16" t="s">
        <v>131</v>
      </c>
      <c r="G30" s="16" t="s">
        <v>92</v>
      </c>
      <c r="H30" s="16" t="s">
        <v>72</v>
      </c>
      <c r="I30" s="16" t="s">
        <v>73</v>
      </c>
      <c r="J30" s="19" t="n">
        <v>46219</v>
      </c>
      <c r="K30" s="16"/>
      <c r="L30" s="18" t="n">
        <v>1</v>
      </c>
      <c r="M30" s="18" t="n">
        <f aca="false">IF(H30="not applicable",IF(K30&lt;&gt;"",1,0),IF(I30="yes",IF(H30="verified",1,0),IF(OR(H30="tested",H30="verified"),1,0)))</f>
        <v>1</v>
      </c>
    </row>
    <row r="31" customFormat="false" ht="42.75" hidden="false" customHeight="true" outlineLevel="0" collapsed="false">
      <c r="A31" s="16" t="s">
        <v>134</v>
      </c>
      <c r="B31" s="16" t="s">
        <v>135</v>
      </c>
      <c r="C31" s="16" t="s">
        <v>6</v>
      </c>
      <c r="D31" s="16" t="s">
        <v>136</v>
      </c>
      <c r="E31" s="16" t="s">
        <v>62</v>
      </c>
      <c r="F31" s="16" t="s">
        <v>137</v>
      </c>
      <c r="G31" s="10" t="s">
        <v>138</v>
      </c>
      <c r="H31" s="16" t="s">
        <v>72</v>
      </c>
      <c r="I31" s="16" t="s">
        <v>73</v>
      </c>
      <c r="J31" s="17" t="n">
        <v>46219</v>
      </c>
      <c r="K31" s="16"/>
      <c r="L31" s="18" t="n">
        <v>1</v>
      </c>
      <c r="M31" s="18" t="n">
        <f aca="false">IF(H31="not applicable",IF(K31&lt;&gt;"",1,0),IF(I31="yes",IF(H31="verified",1,0),IF(OR(H31="tested",H31="verified"),1,0)))</f>
        <v>1</v>
      </c>
    </row>
    <row r="32" customFormat="false" ht="42.75" hidden="false" customHeight="true" outlineLevel="0" collapsed="false">
      <c r="A32" s="16" t="s">
        <v>139</v>
      </c>
      <c r="B32" s="16" t="s">
        <v>135</v>
      </c>
      <c r="C32" s="16" t="s">
        <v>6</v>
      </c>
      <c r="D32" s="16" t="s">
        <v>140</v>
      </c>
      <c r="E32" s="16" t="s">
        <v>62</v>
      </c>
      <c r="F32" s="16" t="s">
        <v>137</v>
      </c>
      <c r="G32" s="10" t="s">
        <v>141</v>
      </c>
      <c r="H32" s="16" t="s">
        <v>65</v>
      </c>
      <c r="I32" s="16" t="s">
        <v>66</v>
      </c>
      <c r="J32" s="17" t="n">
        <v>46219</v>
      </c>
      <c r="K32" s="16"/>
      <c r="L32" s="18" t="n">
        <v>1</v>
      </c>
      <c r="M32" s="18" t="n">
        <f aca="false">IF(H32="not applicable",IF(K32&lt;&gt;"",1,0),IF(I32="yes",IF(H32="verified",1,0),IF(OR(H32="tested",H32="verified"),1,0)))</f>
        <v>1</v>
      </c>
    </row>
    <row r="33" customFormat="false" ht="42.75" hidden="false" customHeight="true" outlineLevel="0" collapsed="false">
      <c r="A33" s="16" t="s">
        <v>142</v>
      </c>
      <c r="B33" s="16" t="s">
        <v>143</v>
      </c>
      <c r="C33" s="16" t="s">
        <v>6</v>
      </c>
      <c r="D33" s="16" t="s">
        <v>144</v>
      </c>
      <c r="E33" s="16" t="s">
        <v>145</v>
      </c>
      <c r="F33" s="16" t="s">
        <v>145</v>
      </c>
      <c r="G33" s="16" t="s">
        <v>146</v>
      </c>
      <c r="H33" s="16" t="s">
        <v>72</v>
      </c>
      <c r="I33" s="16" t="s">
        <v>73</v>
      </c>
      <c r="J33" s="19" t="n">
        <v>46219</v>
      </c>
      <c r="K33" s="16"/>
      <c r="L33" s="18" t="n">
        <v>1</v>
      </c>
      <c r="M33" s="18" t="n">
        <f aca="false">IF(H33="not applicable",IF(K33&lt;&gt;"",1,0),IF(I33="yes",IF(H33="verified",1,0),IF(OR(H33="tested",H33="verified"),1,0)))</f>
        <v>1</v>
      </c>
    </row>
    <row r="34" customFormat="false" ht="42.75" hidden="false" customHeight="true" outlineLevel="0" collapsed="false">
      <c r="A34" s="16" t="s">
        <v>147</v>
      </c>
      <c r="B34" s="16" t="s">
        <v>148</v>
      </c>
      <c r="C34" s="16" t="s">
        <v>6</v>
      </c>
      <c r="D34" s="16" t="s">
        <v>149</v>
      </c>
      <c r="E34" s="16" t="s">
        <v>150</v>
      </c>
      <c r="F34" s="16" t="s">
        <v>151</v>
      </c>
      <c r="G34" s="16"/>
      <c r="H34" s="16" t="s">
        <v>152</v>
      </c>
      <c r="I34" s="16" t="s">
        <v>73</v>
      </c>
      <c r="J34" s="16"/>
      <c r="K34" s="16"/>
      <c r="L34" s="18" t="n">
        <v>1</v>
      </c>
      <c r="M34" s="18" t="n">
        <f aca="false">IF(H34="not applicable",IF(K34&lt;&gt;"",1,0),IF(I34="yes",IF(H34="verified",1,0),IF(OR(H34="tested",H34="verified"),1,0)))</f>
        <v>0</v>
      </c>
    </row>
  </sheetData>
  <autoFilter ref="A8:M34"/>
  <mergeCells count="3">
    <mergeCell ref="A1:M1"/>
    <mergeCell ref="A2:M2"/>
    <mergeCell ref="A6:M6"/>
  </mergeCells>
  <conditionalFormatting sqref="H9:H34">
    <cfRule type="expression" priority="2" aboveAverage="0" equalAverage="0" bottom="0" percent="0" rank="0" text="" dxfId="6">
      <formula>$H9="not started"</formula>
    </cfRule>
    <cfRule type="expression" priority="3" aboveAverage="0" equalAverage="0" bottom="0" percent="0" rank="0" text="" dxfId="7">
      <formula>$H9="partial"</formula>
    </cfRule>
    <cfRule type="expression" priority="4" aboveAverage="0" equalAverage="0" bottom="0" percent="0" rank="0" text="" dxfId="8">
      <formula>$H9="implemented"</formula>
    </cfRule>
    <cfRule type="expression" priority="5" aboveAverage="0" equalAverage="0" bottom="0" percent="0" rank="0" text="" dxfId="9">
      <formula>$H9="tested"</formula>
    </cfRule>
    <cfRule type="expression" priority="6" aboveAverage="0" equalAverage="0" bottom="0" percent="0" rank="0" text="" dxfId="10">
      <formula>$H9="verified"</formula>
    </cfRule>
    <cfRule type="expression" priority="7" aboveAverage="0" equalAverage="0" bottom="0" percent="0" rank="0" text="" dxfId="11">
      <formula>$H9="blocked"</formula>
    </cfRule>
    <cfRule type="expression" priority="8" aboveAverage="0" equalAverage="0" bottom="0" percent="0" rank="0" text="" dxfId="12">
      <formula>$H9="not applicable"</formula>
    </cfRule>
  </conditionalFormatting>
  <dataValidations count="2">
    <dataValidation allowBlank="false" errorStyle="stop" operator="between" showDropDown="false" showErrorMessage="false" showInputMessage="false" sqref="H9:H34" type="list">
      <formula1>_Lists!$A$1:$A$7</formula1>
      <formula2>0</formula2>
    </dataValidation>
    <dataValidation allowBlank="false" errorStyle="stop" operator="between" showDropDown="false" showErrorMessage="false" showInputMessage="false" sqref="I9:I34" type="list">
      <formula1>_Lists!$B$1:$B$2</formula1>
      <formula2>0</formula2>
    </dataValidation>
  </dataValidations>
  <hyperlinks>
    <hyperlink ref="G9" r:id="rId1" display="../src/components/button/Button.tsx"/>
    <hyperlink ref="G10" r:id="rId2" display="../../docs/button-component-brief.md"/>
    <hyperlink ref="G11" r:id="rId3" display="../src/button.ts"/>
    <hyperlink ref="G12" r:id="rId4" display="../test/components/button.test.tsx"/>
    <hyperlink ref="G13" r:id="rId5" display="../src/components/button/button.css"/>
    <hyperlink ref="G14" r:id="rId6" display="../playground/manual-tests/button.md"/>
    <hyperlink ref="G15" r:id="rId7" display="manual-tests/button.md"/>
    <hyperlink ref="G16" r:id="rId8" display="manual-tests/button.md"/>
    <hyperlink ref="G17" r:id="rId9" display="manual-tests/button.md"/>
    <hyperlink ref="G18" r:id="rId10" display="tests/preferences.spec.ts"/>
    <hyperlink ref="G19" r:id="rId11" display="manual-tests/button.md"/>
    <hyperlink ref="G20" r:id="rId12" display="manual-tests/button.md"/>
    <hyperlink ref="G21" r:id="rId13" display="tests/button.spec.ts"/>
    <hyperlink ref="G22" r:id="rId14" display="../test/components/button.test.tsx"/>
    <hyperlink ref="G23" r:id="rId15" display="../test/types/public-api.test.ts"/>
    <hyperlink ref="G24" r:id="rId16" display="tests/button.spec.ts"/>
    <hyperlink ref="G25" r:id="rId17" display="tests/foundation.spec.ts"/>
    <hyperlink ref="G26" r:id="rId18" display="tests/visual.spec.ts"/>
    <hyperlink ref="G27" r:id="rId19" display="../../playwright.config.ts"/>
    <hyperlink ref="G28" r:id="rId20" display="../scripts/verify-consumers.mjs"/>
    <hyperlink ref="G29" r:id="rId21" display="manual-tests/button.md"/>
    <hyperlink ref="G30" r:id="rId22" display="manual-tests/button.md"/>
    <hyperlink ref="G31" r:id="rId23" display="../docs/components/button/README.md"/>
    <hyperlink ref="G32" r:id="rId24" display="../docs/components/button/CHANGELOG.md"/>
    <hyperlink ref="G33" r:id="rId25" display="../../../../apps/brick-consumer/tests/consumer.spec.ts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6"/>
  <tableParts>
    <tablePart r:id="rId27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804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54"/>
    <col collapsed="false" customWidth="true" hidden="false" outlineLevel="0" max="5" min="5" style="1" width="12"/>
    <col collapsed="false" customWidth="true" hidden="false" outlineLevel="0" max="6" min="6" style="1" width="16"/>
    <col collapsed="false" customWidth="true" hidden="false" outlineLevel="0" max="7" min="7" style="1" width="30"/>
    <col collapsed="false" customWidth="true" hidden="false" outlineLevel="0" max="8" min="8" style="1" width="18"/>
    <col collapsed="false" customWidth="true" hidden="false" outlineLevel="0" max="9" min="9" style="1" width="14"/>
    <col collapsed="false" customWidth="true" hidden="false" outlineLevel="0" max="10" min="10" style="1" width="15"/>
    <col collapsed="false" customWidth="true" hidden="false" outlineLevel="0" max="11" min="11" style="1" width="32"/>
    <col collapsed="false" customWidth="true" hidden="false" outlineLevel="0" max="12" min="12" style="1" width="9"/>
    <col collapsed="false" customWidth="true" hidden="false" outlineLevel="0" max="13" min="13" style="1" width="10"/>
  </cols>
  <sheetData>
    <row r="1" customFormat="false" ht="33.75" hidden="false" customHeight="true" outlineLevel="0" collapsed="false">
      <c r="A1" s="2" t="s">
        <v>153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33.75" hidden="false" customHeight="true" outlineLevel="0" collapsed="false">
      <c r="A2" s="3" t="s">
        <v>154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4" customFormat="false" ht="15" hidden="false" customHeight="true" outlineLevel="0" collapsed="false">
      <c r="A4" s="4" t="s">
        <v>7</v>
      </c>
      <c r="B4" s="5" t="n">
        <f aca="false">COUNTA(A9:A41)</f>
        <v>33</v>
      </c>
      <c r="C4" s="4" t="s">
        <v>46</v>
      </c>
      <c r="D4" s="5" t="n">
        <f aca="false">SUM(M9:M41)</f>
        <v>32</v>
      </c>
      <c r="E4" s="4" t="s">
        <v>14</v>
      </c>
      <c r="F4" s="6" t="n">
        <f aca="false">IFERROR(D4/SUM(L9:L41),0)</f>
        <v>0.96969696969697</v>
      </c>
      <c r="G4" s="4" t="s">
        <v>4</v>
      </c>
      <c r="H4" s="5" t="n">
        <f aca="false">COUNTIF(H9:H41,"blocked")</f>
        <v>1</v>
      </c>
      <c r="I4" s="4" t="s">
        <v>15</v>
      </c>
      <c r="J4" s="5" t="str">
        <f aca="false">IF(COUNTIFS(E9:E41,"package",M9:M41,"&lt;1")=0,"complete","open")</f>
        <v>complete</v>
      </c>
      <c r="K4" s="4" t="s">
        <v>17</v>
      </c>
      <c r="L4" s="5" t="str">
        <f aca="false">IF(COUNTIFS(E9:E41,"retirement",M9:M41,"&lt;1")=0,"complete","open")</f>
        <v>open</v>
      </c>
    </row>
    <row r="6" customFormat="false" ht="15" hidden="false" customHeight="true" outlineLevel="0" collapsed="false">
      <c r="A6" s="15" t="s">
        <v>47</v>
      </c>
      <c r="B6" s="15"/>
      <c r="C6" s="15"/>
      <c r="D6" s="15"/>
      <c r="E6" s="15"/>
      <c r="F6" s="15"/>
      <c r="G6" s="15"/>
      <c r="H6" s="15"/>
      <c r="I6" s="15"/>
      <c r="J6" s="15"/>
      <c r="K6" s="15"/>
      <c r="L6" s="15"/>
      <c r="M6" s="15"/>
    </row>
    <row r="8" customFormat="false" ht="33.75" hidden="false" customHeight="true" outlineLevel="0" collapsed="false">
      <c r="A8" s="7" t="s">
        <v>48</v>
      </c>
      <c r="B8" s="7" t="s">
        <v>49</v>
      </c>
      <c r="C8" s="7" t="s">
        <v>50</v>
      </c>
      <c r="D8" s="7" t="s">
        <v>51</v>
      </c>
      <c r="E8" s="7" t="s">
        <v>52</v>
      </c>
      <c r="F8" s="7" t="s">
        <v>53</v>
      </c>
      <c r="G8" s="7" t="s">
        <v>54</v>
      </c>
      <c r="H8" s="7" t="s">
        <v>18</v>
      </c>
      <c r="I8" s="7" t="s">
        <v>55</v>
      </c>
      <c r="J8" s="7" t="s">
        <v>56</v>
      </c>
      <c r="K8" s="7" t="s">
        <v>57</v>
      </c>
      <c r="L8" s="7" t="s">
        <v>58</v>
      </c>
      <c r="M8" s="7" t="s">
        <v>46</v>
      </c>
    </row>
    <row r="9" customFormat="false" ht="42.75" hidden="false" customHeight="true" outlineLevel="0" collapsed="false">
      <c r="A9" s="16" t="s">
        <v>155</v>
      </c>
      <c r="B9" s="16" t="s">
        <v>60</v>
      </c>
      <c r="C9" s="16" t="s">
        <v>156</v>
      </c>
      <c r="D9" s="16" t="s">
        <v>157</v>
      </c>
      <c r="E9" s="16" t="s">
        <v>62</v>
      </c>
      <c r="F9" s="16" t="s">
        <v>63</v>
      </c>
      <c r="G9" s="16" t="s">
        <v>158</v>
      </c>
      <c r="H9" s="16" t="s">
        <v>65</v>
      </c>
      <c r="I9" s="16" t="s">
        <v>66</v>
      </c>
      <c r="J9" s="17" t="n">
        <v>46220</v>
      </c>
      <c r="K9" s="16"/>
      <c r="L9" s="18" t="n">
        <v>1</v>
      </c>
      <c r="M9" s="18" t="n">
        <f aca="false">IF(H9="not applicable",IF(K9&lt;&gt;"",1,0),IF(I9="yes",IF(H9="verified",1,0),IF(OR(H9="tested",H9="verified"),1,0)))</f>
        <v>1</v>
      </c>
    </row>
    <row r="10" customFormat="false" ht="42.75" hidden="false" customHeight="true" outlineLevel="0" collapsed="false">
      <c r="A10" s="16" t="s">
        <v>159</v>
      </c>
      <c r="B10" s="16" t="s">
        <v>68</v>
      </c>
      <c r="C10" s="16" t="s">
        <v>6</v>
      </c>
      <c r="D10" s="16" t="s">
        <v>160</v>
      </c>
      <c r="E10" s="16" t="s">
        <v>62</v>
      </c>
      <c r="F10" s="16" t="s">
        <v>70</v>
      </c>
      <c r="G10" s="16" t="s">
        <v>161</v>
      </c>
      <c r="H10" s="16" t="s">
        <v>72</v>
      </c>
      <c r="I10" s="16" t="s">
        <v>73</v>
      </c>
      <c r="J10" s="17" t="n">
        <v>46220</v>
      </c>
      <c r="K10" s="16"/>
      <c r="L10" s="18" t="n">
        <v>1</v>
      </c>
      <c r="M10" s="18" t="n">
        <f aca="false">IF(H10="not applicable",IF(K10&lt;&gt;"",1,0),IF(I10="yes",IF(H10="verified",1,0),IF(OR(H10="tested",H10="verified"),1,0)))</f>
        <v>1</v>
      </c>
    </row>
    <row r="11" customFormat="false" ht="42.75" hidden="false" customHeight="true" outlineLevel="0" collapsed="false">
      <c r="A11" s="16" t="s">
        <v>162</v>
      </c>
      <c r="B11" s="16" t="s">
        <v>60</v>
      </c>
      <c r="C11" s="16" t="s">
        <v>156</v>
      </c>
      <c r="D11" s="16" t="s">
        <v>163</v>
      </c>
      <c r="E11" s="16" t="s">
        <v>62</v>
      </c>
      <c r="F11" s="16" t="s">
        <v>76</v>
      </c>
      <c r="G11" s="16" t="s">
        <v>164</v>
      </c>
      <c r="H11" s="16" t="s">
        <v>65</v>
      </c>
      <c r="I11" s="16" t="s">
        <v>66</v>
      </c>
      <c r="J11" s="17" t="n">
        <v>46220</v>
      </c>
      <c r="K11" s="16"/>
      <c r="L11" s="18" t="n">
        <v>1</v>
      </c>
      <c r="M11" s="18" t="n">
        <f aca="false">IF(H11="not applicable",IF(K11&lt;&gt;"",1,0),IF(I11="yes",IF(H11="verified",1,0),IF(OR(H11="tested",H11="verified"),1,0)))</f>
        <v>1</v>
      </c>
    </row>
    <row r="12" customFormat="false" ht="42.75" hidden="false" customHeight="true" outlineLevel="0" collapsed="false">
      <c r="A12" s="16" t="s">
        <v>165</v>
      </c>
      <c r="B12" s="16" t="s">
        <v>60</v>
      </c>
      <c r="C12" s="16" t="s">
        <v>166</v>
      </c>
      <c r="D12" s="16" t="s">
        <v>167</v>
      </c>
      <c r="E12" s="16" t="s">
        <v>62</v>
      </c>
      <c r="F12" s="16" t="s">
        <v>110</v>
      </c>
      <c r="G12" s="16" t="s">
        <v>168</v>
      </c>
      <c r="H12" s="16" t="s">
        <v>65</v>
      </c>
      <c r="I12" s="16" t="s">
        <v>66</v>
      </c>
      <c r="J12" s="17" t="n">
        <v>46220</v>
      </c>
      <c r="K12" s="16"/>
      <c r="L12" s="18" t="n">
        <v>1</v>
      </c>
      <c r="M12" s="18" t="n">
        <f aca="false">IF(H12="not applicable",IF(K12&lt;&gt;"",1,0),IF(I12="yes",IF(H12="verified",1,0),IF(OR(H12="tested",H12="verified"),1,0)))</f>
        <v>1</v>
      </c>
    </row>
    <row r="13" customFormat="false" ht="42.75" hidden="false" customHeight="true" outlineLevel="0" collapsed="false">
      <c r="A13" s="16" t="s">
        <v>169</v>
      </c>
      <c r="B13" s="16" t="s">
        <v>40</v>
      </c>
      <c r="C13" s="16" t="s">
        <v>170</v>
      </c>
      <c r="D13" s="16" t="s">
        <v>171</v>
      </c>
      <c r="E13" s="16" t="s">
        <v>62</v>
      </c>
      <c r="F13" s="16" t="s">
        <v>110</v>
      </c>
      <c r="G13" s="16" t="s">
        <v>168</v>
      </c>
      <c r="H13" s="16" t="s">
        <v>65</v>
      </c>
      <c r="I13" s="16" t="s">
        <v>66</v>
      </c>
      <c r="J13" s="17" t="n">
        <v>46220</v>
      </c>
      <c r="K13" s="16"/>
      <c r="L13" s="18" t="n">
        <v>1</v>
      </c>
      <c r="M13" s="18" t="n">
        <f aca="false">IF(H13="not applicable",IF(K13&lt;&gt;"",1,0),IF(I13="yes",IF(H13="verified",1,0),IF(OR(H13="tested",H13="verified"),1,0)))</f>
        <v>1</v>
      </c>
    </row>
    <row r="14" customFormat="false" ht="42.75" hidden="false" customHeight="true" outlineLevel="0" collapsed="false">
      <c r="A14" s="16" t="s">
        <v>172</v>
      </c>
      <c r="B14" s="16" t="s">
        <v>40</v>
      </c>
      <c r="C14" s="16" t="s">
        <v>173</v>
      </c>
      <c r="D14" s="16" t="s">
        <v>174</v>
      </c>
      <c r="E14" s="16" t="s">
        <v>62</v>
      </c>
      <c r="F14" s="16" t="s">
        <v>131</v>
      </c>
      <c r="G14" s="16" t="s">
        <v>175</v>
      </c>
      <c r="H14" s="16" t="s">
        <v>72</v>
      </c>
      <c r="I14" s="16" t="s">
        <v>73</v>
      </c>
      <c r="J14" s="17" t="n">
        <v>46220</v>
      </c>
      <c r="K14" s="16"/>
      <c r="L14" s="18" t="n">
        <v>1</v>
      </c>
      <c r="M14" s="18" t="n">
        <f aca="false">IF(H14="not applicable",IF(K14&lt;&gt;"",1,0),IF(I14="yes",IF(H14="verified",1,0),IF(OR(H14="tested",H14="verified"),1,0)))</f>
        <v>1</v>
      </c>
    </row>
    <row r="15" customFormat="false" ht="42.75" hidden="false" customHeight="true" outlineLevel="0" collapsed="false">
      <c r="A15" s="16" t="s">
        <v>176</v>
      </c>
      <c r="B15" s="16" t="s">
        <v>40</v>
      </c>
      <c r="C15" s="16" t="s">
        <v>177</v>
      </c>
      <c r="D15" s="16" t="s">
        <v>178</v>
      </c>
      <c r="E15" s="16" t="s">
        <v>62</v>
      </c>
      <c r="F15" s="16" t="s">
        <v>110</v>
      </c>
      <c r="G15" s="16" t="s">
        <v>168</v>
      </c>
      <c r="H15" s="16" t="s">
        <v>65</v>
      </c>
      <c r="I15" s="16" t="s">
        <v>66</v>
      </c>
      <c r="J15" s="17" t="n">
        <v>46220</v>
      </c>
      <c r="K15" s="16"/>
      <c r="L15" s="18" t="n">
        <v>1</v>
      </c>
      <c r="M15" s="18" t="n">
        <f aca="false">IF(H15="not applicable",IF(K15&lt;&gt;"",1,0),IF(I15="yes",IF(H15="verified",1,0),IF(OR(H15="tested",H15="verified"),1,0)))</f>
        <v>1</v>
      </c>
    </row>
    <row r="16" customFormat="false" ht="42.75" hidden="false" customHeight="true" outlineLevel="0" collapsed="false">
      <c r="A16" s="16" t="s">
        <v>179</v>
      </c>
      <c r="B16" s="16" t="s">
        <v>40</v>
      </c>
      <c r="C16" s="16" t="s">
        <v>180</v>
      </c>
      <c r="D16" s="16" t="s">
        <v>181</v>
      </c>
      <c r="E16" s="16" t="s">
        <v>62</v>
      </c>
      <c r="F16" s="16" t="s">
        <v>110</v>
      </c>
      <c r="G16" s="16" t="s">
        <v>168</v>
      </c>
      <c r="H16" s="16" t="s">
        <v>65</v>
      </c>
      <c r="I16" s="16" t="s">
        <v>66</v>
      </c>
      <c r="J16" s="17" t="n">
        <v>46220</v>
      </c>
      <c r="K16" s="16"/>
      <c r="L16" s="18" t="n">
        <v>1</v>
      </c>
      <c r="M16" s="18" t="n">
        <f aca="false">IF(H16="not applicable",IF(K16&lt;&gt;"",1,0),IF(I16="yes",IF(H16="verified",1,0),IF(OR(H16="tested",H16="verified"),1,0)))</f>
        <v>1</v>
      </c>
    </row>
    <row r="17" customFormat="false" ht="42.75" hidden="false" customHeight="true" outlineLevel="0" collapsed="false">
      <c r="A17" s="16" t="s">
        <v>182</v>
      </c>
      <c r="B17" s="16" t="s">
        <v>40</v>
      </c>
      <c r="C17" s="16" t="s">
        <v>183</v>
      </c>
      <c r="D17" s="16" t="s">
        <v>184</v>
      </c>
      <c r="E17" s="16" t="s">
        <v>62</v>
      </c>
      <c r="F17" s="16" t="s">
        <v>110</v>
      </c>
      <c r="G17" s="16" t="s">
        <v>185</v>
      </c>
      <c r="H17" s="16" t="s">
        <v>65</v>
      </c>
      <c r="I17" s="16" t="s">
        <v>66</v>
      </c>
      <c r="J17" s="17" t="n">
        <v>46220</v>
      </c>
      <c r="K17" s="16"/>
      <c r="L17" s="18" t="n">
        <v>1</v>
      </c>
      <c r="M17" s="18" t="n">
        <f aca="false">IF(H17="not applicable",IF(K17&lt;&gt;"",1,0),IF(I17="yes",IF(H17="verified",1,0),IF(OR(H17="tested",H17="verified"),1,0)))</f>
        <v>1</v>
      </c>
    </row>
    <row r="18" customFormat="false" ht="42.75" hidden="false" customHeight="true" outlineLevel="0" collapsed="false">
      <c r="A18" s="16" t="s">
        <v>186</v>
      </c>
      <c r="B18" s="16" t="s">
        <v>40</v>
      </c>
      <c r="C18" s="16" t="s">
        <v>187</v>
      </c>
      <c r="D18" s="16" t="s">
        <v>188</v>
      </c>
      <c r="E18" s="16" t="s">
        <v>62</v>
      </c>
      <c r="F18" s="16" t="s">
        <v>110</v>
      </c>
      <c r="G18" s="16" t="s">
        <v>168</v>
      </c>
      <c r="H18" s="16" t="s">
        <v>65</v>
      </c>
      <c r="I18" s="16" t="s">
        <v>66</v>
      </c>
      <c r="J18" s="17" t="n">
        <v>46220</v>
      </c>
      <c r="K18" s="16"/>
      <c r="L18" s="18" t="n">
        <v>1</v>
      </c>
      <c r="M18" s="18" t="n">
        <f aca="false">IF(H18="not applicable",IF(K18&lt;&gt;"",1,0),IF(I18="yes",IF(H18="verified",1,0),IF(OR(H18="tested",H18="verified"),1,0)))</f>
        <v>1</v>
      </c>
    </row>
    <row r="19" customFormat="false" ht="42.75" hidden="false" customHeight="true" outlineLevel="0" collapsed="false">
      <c r="A19" s="16" t="s">
        <v>189</v>
      </c>
      <c r="B19" s="16" t="s">
        <v>40</v>
      </c>
      <c r="C19" s="16" t="s">
        <v>190</v>
      </c>
      <c r="D19" s="16" t="s">
        <v>191</v>
      </c>
      <c r="E19" s="16" t="s">
        <v>62</v>
      </c>
      <c r="F19" s="16" t="s">
        <v>131</v>
      </c>
      <c r="G19" s="16" t="s">
        <v>175</v>
      </c>
      <c r="H19" s="16" t="s">
        <v>72</v>
      </c>
      <c r="I19" s="16" t="s">
        <v>73</v>
      </c>
      <c r="J19" s="17" t="n">
        <v>46220</v>
      </c>
      <c r="K19" s="16"/>
      <c r="L19" s="18" t="n">
        <v>1</v>
      </c>
      <c r="M19" s="18" t="n">
        <f aca="false">IF(H19="not applicable",IF(K19&lt;&gt;"",1,0),IF(I19="yes",IF(H19="verified",1,0),IF(OR(H19="tested",H19="verified"),1,0)))</f>
        <v>1</v>
      </c>
    </row>
    <row r="20" customFormat="false" ht="42.75" hidden="false" customHeight="true" outlineLevel="0" collapsed="false">
      <c r="A20" s="16" t="s">
        <v>192</v>
      </c>
      <c r="B20" s="16" t="s">
        <v>82</v>
      </c>
      <c r="C20" s="16" t="s">
        <v>166</v>
      </c>
      <c r="D20" s="16" t="s">
        <v>193</v>
      </c>
      <c r="E20" s="16" t="s">
        <v>62</v>
      </c>
      <c r="F20" s="16" t="s">
        <v>63</v>
      </c>
      <c r="G20" s="16" t="s">
        <v>194</v>
      </c>
      <c r="H20" s="16" t="s">
        <v>65</v>
      </c>
      <c r="I20" s="16" t="s">
        <v>66</v>
      </c>
      <c r="J20" s="17" t="n">
        <v>46220</v>
      </c>
      <c r="K20" s="16"/>
      <c r="L20" s="18" t="n">
        <v>1</v>
      </c>
      <c r="M20" s="18" t="n">
        <f aca="false">IF(H20="not applicable",IF(K20&lt;&gt;"",1,0),IF(I20="yes",IF(H20="verified",1,0),IF(OR(H20="tested",H20="verified"),1,0)))</f>
        <v>1</v>
      </c>
    </row>
    <row r="21" customFormat="false" ht="42.75" hidden="false" customHeight="true" outlineLevel="0" collapsed="false">
      <c r="A21" s="16" t="s">
        <v>195</v>
      </c>
      <c r="B21" s="16" t="s">
        <v>82</v>
      </c>
      <c r="C21" s="16" t="s">
        <v>170</v>
      </c>
      <c r="D21" s="16" t="s">
        <v>196</v>
      </c>
      <c r="E21" s="16" t="s">
        <v>62</v>
      </c>
      <c r="F21" s="16" t="s">
        <v>131</v>
      </c>
      <c r="G21" s="16" t="s">
        <v>175</v>
      </c>
      <c r="H21" s="16" t="s">
        <v>72</v>
      </c>
      <c r="I21" s="16" t="s">
        <v>73</v>
      </c>
      <c r="J21" s="17" t="n">
        <v>46220</v>
      </c>
      <c r="K21" s="16"/>
      <c r="L21" s="18" t="n">
        <v>1</v>
      </c>
      <c r="M21" s="18" t="n">
        <f aca="false">IF(H21="not applicable",IF(K21&lt;&gt;"",1,0),IF(I21="yes",IF(H21="verified",1,0),IF(OR(H21="tested",H21="verified"),1,0)))</f>
        <v>1</v>
      </c>
    </row>
    <row r="22" customFormat="false" ht="42.75" hidden="false" customHeight="true" outlineLevel="0" collapsed="false">
      <c r="A22" s="16" t="s">
        <v>197</v>
      </c>
      <c r="B22" s="16" t="s">
        <v>89</v>
      </c>
      <c r="C22" s="16" t="s">
        <v>166</v>
      </c>
      <c r="D22" s="16" t="s">
        <v>198</v>
      </c>
      <c r="E22" s="16" t="s">
        <v>62</v>
      </c>
      <c r="F22" s="16" t="s">
        <v>91</v>
      </c>
      <c r="G22" s="16" t="s">
        <v>175</v>
      </c>
      <c r="H22" s="16" t="s">
        <v>72</v>
      </c>
      <c r="I22" s="16" t="s">
        <v>73</v>
      </c>
      <c r="J22" s="17" t="n">
        <v>46220</v>
      </c>
      <c r="K22" s="16"/>
      <c r="L22" s="18" t="n">
        <v>1</v>
      </c>
      <c r="M22" s="18" t="n">
        <f aca="false">IF(H22="not applicable",IF(K22&lt;&gt;"",1,0),IF(I22="yes",IF(H22="verified",1,0),IF(OR(H22="tested",H22="verified"),1,0)))</f>
        <v>1</v>
      </c>
    </row>
    <row r="23" customFormat="false" ht="42.75" hidden="false" customHeight="true" outlineLevel="0" collapsed="false">
      <c r="A23" s="16" t="s">
        <v>199</v>
      </c>
      <c r="B23" s="16" t="s">
        <v>89</v>
      </c>
      <c r="C23" s="16" t="s">
        <v>170</v>
      </c>
      <c r="D23" s="16" t="s">
        <v>200</v>
      </c>
      <c r="E23" s="16" t="s">
        <v>62</v>
      </c>
      <c r="F23" s="16" t="s">
        <v>91</v>
      </c>
      <c r="G23" s="16" t="s">
        <v>185</v>
      </c>
      <c r="H23" s="16" t="s">
        <v>72</v>
      </c>
      <c r="I23" s="16" t="s">
        <v>73</v>
      </c>
      <c r="J23" s="17" t="n">
        <v>46220</v>
      </c>
      <c r="K23" s="16"/>
      <c r="L23" s="18" t="n">
        <v>1</v>
      </c>
      <c r="M23" s="18" t="n">
        <f aca="false">IF(H23="not applicable",IF(K23&lt;&gt;"",1,0),IF(I23="yes",IF(H23="verified",1,0),IF(OR(H23="tested",H23="verified"),1,0)))</f>
        <v>1</v>
      </c>
    </row>
    <row r="24" customFormat="false" ht="42.75" hidden="false" customHeight="true" outlineLevel="0" collapsed="false">
      <c r="A24" s="16" t="s">
        <v>201</v>
      </c>
      <c r="B24" s="16" t="s">
        <v>89</v>
      </c>
      <c r="C24" s="16" t="s">
        <v>166</v>
      </c>
      <c r="D24" s="16" t="s">
        <v>202</v>
      </c>
      <c r="E24" s="16" t="s">
        <v>62</v>
      </c>
      <c r="F24" s="16" t="s">
        <v>131</v>
      </c>
      <c r="G24" s="16" t="s">
        <v>175</v>
      </c>
      <c r="H24" s="16" t="s">
        <v>72</v>
      </c>
      <c r="I24" s="16" t="s">
        <v>73</v>
      </c>
      <c r="J24" s="17" t="n">
        <v>46220</v>
      </c>
      <c r="K24" s="16"/>
      <c r="L24" s="18" t="n">
        <v>1</v>
      </c>
      <c r="M24" s="18" t="n">
        <f aca="false">IF(H24="not applicable",IF(K24&lt;&gt;"",1,0),IF(I24="yes",IF(H24="verified",1,0),IF(OR(H24="tested",H24="verified"),1,0)))</f>
        <v>1</v>
      </c>
    </row>
    <row r="25" customFormat="false" ht="42.75" hidden="false" customHeight="true" outlineLevel="0" collapsed="false">
      <c r="A25" s="16" t="s">
        <v>203</v>
      </c>
      <c r="B25" s="16" t="s">
        <v>89</v>
      </c>
      <c r="C25" s="16" t="s">
        <v>170</v>
      </c>
      <c r="D25" s="16" t="s">
        <v>204</v>
      </c>
      <c r="E25" s="16" t="s">
        <v>62</v>
      </c>
      <c r="F25" s="16" t="s">
        <v>110</v>
      </c>
      <c r="G25" s="16" t="s">
        <v>99</v>
      </c>
      <c r="H25" s="16" t="s">
        <v>72</v>
      </c>
      <c r="I25" s="16" t="s">
        <v>73</v>
      </c>
      <c r="J25" s="17" t="n">
        <v>46220</v>
      </c>
      <c r="K25" s="16"/>
      <c r="L25" s="18" t="n">
        <v>1</v>
      </c>
      <c r="M25" s="18" t="n">
        <f aca="false">IF(H25="not applicable",IF(K25&lt;&gt;"",1,0),IF(I25="yes",IF(H25="verified",1,0),IF(OR(H25="tested",H25="verified"),1,0)))</f>
        <v>1</v>
      </c>
    </row>
    <row r="26" customFormat="false" ht="42.75" hidden="false" customHeight="true" outlineLevel="0" collapsed="false">
      <c r="A26" s="16" t="s">
        <v>205</v>
      </c>
      <c r="B26" s="16" t="s">
        <v>89</v>
      </c>
      <c r="C26" s="16" t="s">
        <v>166</v>
      </c>
      <c r="D26" s="16" t="s">
        <v>206</v>
      </c>
      <c r="E26" s="16" t="s">
        <v>62</v>
      </c>
      <c r="F26" s="16" t="s">
        <v>131</v>
      </c>
      <c r="G26" s="16" t="s">
        <v>175</v>
      </c>
      <c r="H26" s="16" t="s">
        <v>72</v>
      </c>
      <c r="I26" s="16" t="s">
        <v>73</v>
      </c>
      <c r="J26" s="17" t="n">
        <v>46220</v>
      </c>
      <c r="K26" s="16"/>
      <c r="L26" s="18" t="n">
        <v>1</v>
      </c>
      <c r="M26" s="18" t="n">
        <f aca="false">IF(H26="not applicable",IF(K26&lt;&gt;"",1,0),IF(I26="yes",IF(H26="verified",1,0),IF(OR(H26="tested",H26="verified"),1,0)))</f>
        <v>1</v>
      </c>
    </row>
    <row r="27" customFormat="false" ht="42.75" hidden="false" customHeight="true" outlineLevel="0" collapsed="false">
      <c r="A27" s="16" t="s">
        <v>207</v>
      </c>
      <c r="B27" s="16" t="s">
        <v>89</v>
      </c>
      <c r="C27" s="16" t="s">
        <v>166</v>
      </c>
      <c r="D27" s="16" t="s">
        <v>208</v>
      </c>
      <c r="E27" s="16" t="s">
        <v>62</v>
      </c>
      <c r="F27" s="16" t="s">
        <v>131</v>
      </c>
      <c r="G27" s="16" t="s">
        <v>175</v>
      </c>
      <c r="H27" s="16" t="s">
        <v>72</v>
      </c>
      <c r="I27" s="16" t="s">
        <v>73</v>
      </c>
      <c r="J27" s="17" t="n">
        <v>46220</v>
      </c>
      <c r="K27" s="16"/>
      <c r="L27" s="18" t="n">
        <v>1</v>
      </c>
      <c r="M27" s="18" t="n">
        <f aca="false">IF(H27="not applicable",IF(K27&lt;&gt;"",1,0),IF(I27="yes",IF(H27="verified",1,0),IF(OR(H27="tested",H27="verified"),1,0)))</f>
        <v>1</v>
      </c>
    </row>
    <row r="28" customFormat="false" ht="42.75" hidden="false" customHeight="true" outlineLevel="0" collapsed="false">
      <c r="A28" s="16" t="s">
        <v>209</v>
      </c>
      <c r="B28" s="16" t="s">
        <v>89</v>
      </c>
      <c r="C28" s="16" t="s">
        <v>6</v>
      </c>
      <c r="D28" s="16" t="s">
        <v>210</v>
      </c>
      <c r="E28" s="16" t="s">
        <v>62</v>
      </c>
      <c r="F28" s="16" t="s">
        <v>91</v>
      </c>
      <c r="G28" s="16" t="s">
        <v>185</v>
      </c>
      <c r="H28" s="16" t="s">
        <v>65</v>
      </c>
      <c r="I28" s="16" t="s">
        <v>66</v>
      </c>
      <c r="J28" s="17" t="n">
        <v>46220</v>
      </c>
      <c r="K28" s="16"/>
      <c r="L28" s="18" t="n">
        <v>1</v>
      </c>
      <c r="M28" s="18" t="n">
        <f aca="false">IF(H28="not applicable",IF(K28&lt;&gt;"",1,0),IF(I28="yes",IF(H28="verified",1,0),IF(OR(H28="tested",H28="verified"),1,0)))</f>
        <v>1</v>
      </c>
    </row>
    <row r="29" customFormat="false" ht="42.75" hidden="false" customHeight="true" outlineLevel="0" collapsed="false">
      <c r="A29" s="16" t="s">
        <v>211</v>
      </c>
      <c r="B29" s="16" t="s">
        <v>108</v>
      </c>
      <c r="C29" s="16" t="s">
        <v>166</v>
      </c>
      <c r="D29" s="16" t="s">
        <v>212</v>
      </c>
      <c r="E29" s="16" t="s">
        <v>62</v>
      </c>
      <c r="F29" s="16" t="s">
        <v>110</v>
      </c>
      <c r="G29" s="16" t="s">
        <v>168</v>
      </c>
      <c r="H29" s="16" t="s">
        <v>65</v>
      </c>
      <c r="I29" s="16" t="s">
        <v>66</v>
      </c>
      <c r="J29" s="17" t="n">
        <v>46220</v>
      </c>
      <c r="K29" s="16"/>
      <c r="L29" s="18" t="n">
        <v>1</v>
      </c>
      <c r="M29" s="18" t="n">
        <f aca="false">IF(H29="not applicable",IF(K29&lt;&gt;"",1,0),IF(I29="yes",IF(H29="verified",1,0),IF(OR(H29="tested",H29="verified"),1,0)))</f>
        <v>1</v>
      </c>
    </row>
    <row r="30" customFormat="false" ht="42.75" hidden="false" customHeight="true" outlineLevel="0" collapsed="false">
      <c r="A30" s="16" t="s">
        <v>213</v>
      </c>
      <c r="B30" s="16" t="s">
        <v>108</v>
      </c>
      <c r="C30" s="16" t="s">
        <v>156</v>
      </c>
      <c r="D30" s="16" t="s">
        <v>214</v>
      </c>
      <c r="E30" s="16" t="s">
        <v>62</v>
      </c>
      <c r="F30" s="16" t="s">
        <v>110</v>
      </c>
      <c r="G30" s="16" t="s">
        <v>113</v>
      </c>
      <c r="H30" s="16" t="s">
        <v>65</v>
      </c>
      <c r="I30" s="16" t="s">
        <v>66</v>
      </c>
      <c r="J30" s="17" t="n">
        <v>46220</v>
      </c>
      <c r="K30" s="16"/>
      <c r="L30" s="18" t="n">
        <v>1</v>
      </c>
      <c r="M30" s="18" t="n">
        <f aca="false">IF(H30="not applicable",IF(K30&lt;&gt;"",1,0),IF(I30="yes",IF(H30="verified",1,0),IF(OR(H30="tested",H30="verified"),1,0)))</f>
        <v>1</v>
      </c>
    </row>
    <row r="31" customFormat="false" ht="42.75" hidden="false" customHeight="true" outlineLevel="0" collapsed="false">
      <c r="A31" s="16" t="s">
        <v>215</v>
      </c>
      <c r="B31" s="16" t="s">
        <v>108</v>
      </c>
      <c r="C31" s="16" t="s">
        <v>170</v>
      </c>
      <c r="D31" s="16" t="s">
        <v>216</v>
      </c>
      <c r="E31" s="16" t="s">
        <v>62</v>
      </c>
      <c r="F31" s="16" t="s">
        <v>110</v>
      </c>
      <c r="G31" s="16" t="s">
        <v>185</v>
      </c>
      <c r="H31" s="16" t="s">
        <v>65</v>
      </c>
      <c r="I31" s="16" t="s">
        <v>66</v>
      </c>
      <c r="J31" s="17" t="n">
        <v>46220</v>
      </c>
      <c r="K31" s="16"/>
      <c r="L31" s="18" t="n">
        <v>1</v>
      </c>
      <c r="M31" s="18" t="n">
        <f aca="false">IF(H31="not applicable",IF(K31&lt;&gt;"",1,0),IF(I31="yes",IF(H31="verified",1,0),IF(OR(H31="tested",H31="verified"),1,0)))</f>
        <v>1</v>
      </c>
    </row>
    <row r="32" customFormat="false" ht="42.75" hidden="false" customHeight="true" outlineLevel="0" collapsed="false">
      <c r="A32" s="16" t="s">
        <v>217</v>
      </c>
      <c r="B32" s="16" t="s">
        <v>108</v>
      </c>
      <c r="C32" s="16" t="s">
        <v>170</v>
      </c>
      <c r="D32" s="16" t="s">
        <v>218</v>
      </c>
      <c r="E32" s="16" t="s">
        <v>62</v>
      </c>
      <c r="F32" s="16" t="s">
        <v>110</v>
      </c>
      <c r="G32" s="16" t="s">
        <v>118</v>
      </c>
      <c r="H32" s="16" t="s">
        <v>65</v>
      </c>
      <c r="I32" s="16" t="s">
        <v>66</v>
      </c>
      <c r="J32" s="17" t="n">
        <v>46220</v>
      </c>
      <c r="K32" s="16"/>
      <c r="L32" s="18" t="n">
        <v>1</v>
      </c>
      <c r="M32" s="18" t="n">
        <f aca="false">IF(H32="not applicable",IF(K32&lt;&gt;"",1,0),IF(I32="yes",IF(H32="verified",1,0),IF(OR(H32="tested",H32="verified"),1,0)))</f>
        <v>1</v>
      </c>
    </row>
    <row r="33" customFormat="false" ht="42.75" hidden="false" customHeight="true" outlineLevel="0" collapsed="false">
      <c r="A33" s="16" t="s">
        <v>219</v>
      </c>
      <c r="B33" s="16" t="s">
        <v>108</v>
      </c>
      <c r="C33" s="16" t="s">
        <v>170</v>
      </c>
      <c r="D33" s="16" t="s">
        <v>220</v>
      </c>
      <c r="E33" s="16" t="s">
        <v>62</v>
      </c>
      <c r="F33" s="16" t="s">
        <v>110</v>
      </c>
      <c r="G33" s="16" t="s">
        <v>121</v>
      </c>
      <c r="H33" s="16" t="s">
        <v>72</v>
      </c>
      <c r="I33" s="16" t="s">
        <v>73</v>
      </c>
      <c r="J33" s="17" t="n">
        <v>46220</v>
      </c>
      <c r="K33" s="16"/>
      <c r="L33" s="18" t="n">
        <v>1</v>
      </c>
      <c r="M33" s="18" t="n">
        <f aca="false">IF(H33="not applicable",IF(K33&lt;&gt;"",1,0),IF(I33="yes",IF(H33="verified",1,0),IF(OR(H33="tested",H33="verified"),1,0)))</f>
        <v>1</v>
      </c>
    </row>
    <row r="34" customFormat="false" ht="42.75" hidden="false" customHeight="true" outlineLevel="0" collapsed="false">
      <c r="A34" s="16" t="s">
        <v>221</v>
      </c>
      <c r="B34" s="16" t="s">
        <v>108</v>
      </c>
      <c r="C34" s="16" t="s">
        <v>166</v>
      </c>
      <c r="D34" s="16" t="s">
        <v>222</v>
      </c>
      <c r="E34" s="16" t="s">
        <v>62</v>
      </c>
      <c r="F34" s="16" t="s">
        <v>110</v>
      </c>
      <c r="G34" s="16" t="s">
        <v>223</v>
      </c>
      <c r="H34" s="16" t="s">
        <v>65</v>
      </c>
      <c r="I34" s="16" t="s">
        <v>66</v>
      </c>
      <c r="J34" s="17" t="n">
        <v>46220</v>
      </c>
      <c r="K34" s="16"/>
      <c r="L34" s="18" t="n">
        <v>1</v>
      </c>
      <c r="M34" s="18" t="n">
        <f aca="false">IF(H34="not applicable",IF(K34&lt;&gt;"",1,0),IF(I34="yes",IF(H34="verified",1,0),IF(OR(H34="tested",H34="verified"),1,0)))</f>
        <v>1</v>
      </c>
    </row>
    <row r="35" customFormat="false" ht="26.25" hidden="false" customHeight="true" outlineLevel="0" collapsed="false">
      <c r="A35" s="16" t="s">
        <v>224</v>
      </c>
      <c r="B35" s="16" t="s">
        <v>108</v>
      </c>
      <c r="C35" s="16" t="s">
        <v>6</v>
      </c>
      <c r="D35" s="16" t="s">
        <v>225</v>
      </c>
      <c r="E35" s="16" t="s">
        <v>62</v>
      </c>
      <c r="F35" s="16" t="s">
        <v>110</v>
      </c>
      <c r="G35" s="16" t="s">
        <v>226</v>
      </c>
      <c r="H35" s="16" t="s">
        <v>65</v>
      </c>
      <c r="I35" s="16" t="s">
        <v>66</v>
      </c>
      <c r="J35" s="17" t="n">
        <v>46220</v>
      </c>
      <c r="K35" s="16"/>
      <c r="L35" s="18" t="n">
        <v>1</v>
      </c>
      <c r="M35" s="18" t="n">
        <f aca="false">IF(H35="not applicable",IF(K35&lt;&gt;"",1,0),IF(I35="yes",IF(H35="verified",1,0),IF(OR(H35="tested",H35="verified"),1,0)))</f>
        <v>1</v>
      </c>
    </row>
    <row r="36" customFormat="false" ht="15" hidden="false" customHeight="true" outlineLevel="0" collapsed="false">
      <c r="A36" s="16" t="s">
        <v>227</v>
      </c>
      <c r="B36" s="16" t="s">
        <v>129</v>
      </c>
      <c r="C36" s="16" t="s">
        <v>6</v>
      </c>
      <c r="D36" s="16" t="s">
        <v>228</v>
      </c>
      <c r="E36" s="16" t="s">
        <v>62</v>
      </c>
      <c r="F36" s="16" t="s">
        <v>131</v>
      </c>
      <c r="G36" s="16" t="s">
        <v>175</v>
      </c>
      <c r="H36" s="16" t="s">
        <v>65</v>
      </c>
      <c r="I36" s="16" t="s">
        <v>66</v>
      </c>
      <c r="J36" s="17" t="n">
        <v>46220</v>
      </c>
      <c r="K36" s="16"/>
      <c r="L36" s="18" t="n">
        <v>1</v>
      </c>
      <c r="M36" s="18" t="n">
        <f aca="false">IF(H36="not applicable",IF(K36&lt;&gt;"",1,0),IF(I36="yes",IF(H36="verified",1,0),IF(OR(H36="tested",H36="verified"),1,0)))</f>
        <v>1</v>
      </c>
    </row>
    <row r="37" customFormat="false" ht="26.25" hidden="false" customHeight="true" outlineLevel="0" collapsed="false">
      <c r="A37" s="16" t="s">
        <v>229</v>
      </c>
      <c r="B37" s="16" t="s">
        <v>129</v>
      </c>
      <c r="C37" s="16" t="s">
        <v>166</v>
      </c>
      <c r="D37" s="16" t="s">
        <v>230</v>
      </c>
      <c r="E37" s="16" t="s">
        <v>62</v>
      </c>
      <c r="F37" s="16" t="s">
        <v>131</v>
      </c>
      <c r="G37" s="16" t="s">
        <v>175</v>
      </c>
      <c r="H37" s="16" t="s">
        <v>72</v>
      </c>
      <c r="I37" s="16" t="s">
        <v>73</v>
      </c>
      <c r="J37" s="17" t="n">
        <v>46220</v>
      </c>
      <c r="K37" s="16"/>
      <c r="L37" s="18" t="n">
        <v>1</v>
      </c>
      <c r="M37" s="18" t="n">
        <f aca="false">IF(H37="not applicable",IF(K37&lt;&gt;"",1,0),IF(I37="yes",IF(H37="verified",1,0),IF(OR(H37="tested",H37="verified"),1,0)))</f>
        <v>1</v>
      </c>
    </row>
    <row r="38" customFormat="false" ht="26.25" hidden="false" customHeight="true" outlineLevel="0" collapsed="false">
      <c r="A38" s="16" t="s">
        <v>231</v>
      </c>
      <c r="B38" s="16" t="s">
        <v>135</v>
      </c>
      <c r="C38" s="16" t="s">
        <v>6</v>
      </c>
      <c r="D38" s="16" t="s">
        <v>232</v>
      </c>
      <c r="E38" s="16" t="s">
        <v>62</v>
      </c>
      <c r="F38" s="16" t="s">
        <v>137</v>
      </c>
      <c r="G38" s="16" t="s">
        <v>233</v>
      </c>
      <c r="H38" s="16" t="s">
        <v>72</v>
      </c>
      <c r="I38" s="16" t="s">
        <v>73</v>
      </c>
      <c r="J38" s="17" t="n">
        <v>46220</v>
      </c>
      <c r="K38" s="16"/>
      <c r="L38" s="18" t="n">
        <v>1</v>
      </c>
      <c r="M38" s="18" t="n">
        <f aca="false">IF(H38="not applicable",IF(K38&lt;&gt;"",1,0),IF(I38="yes",IF(H38="verified",1,0),IF(OR(H38="tested",H38="verified"),1,0)))</f>
        <v>1</v>
      </c>
    </row>
    <row r="39" customFormat="false" ht="26.25" hidden="false" customHeight="true" outlineLevel="0" collapsed="false">
      <c r="A39" s="16" t="s">
        <v>234</v>
      </c>
      <c r="B39" s="16" t="s">
        <v>135</v>
      </c>
      <c r="C39" s="16" t="s">
        <v>6</v>
      </c>
      <c r="D39" s="16" t="s">
        <v>235</v>
      </c>
      <c r="E39" s="16" t="s">
        <v>62</v>
      </c>
      <c r="F39" s="16" t="s">
        <v>137</v>
      </c>
      <c r="G39" s="16" t="s">
        <v>236</v>
      </c>
      <c r="H39" s="16" t="s">
        <v>65</v>
      </c>
      <c r="I39" s="16" t="s">
        <v>66</v>
      </c>
      <c r="J39" s="17" t="n">
        <v>46220</v>
      </c>
      <c r="K39" s="16"/>
      <c r="L39" s="18" t="n">
        <v>1</v>
      </c>
      <c r="M39" s="18" t="n">
        <f aca="false">IF(H39="not applicable",IF(K39&lt;&gt;"",1,0),IF(I39="yes",IF(H39="verified",1,0),IF(OR(H39="tested",H39="verified"),1,0)))</f>
        <v>1</v>
      </c>
    </row>
    <row r="40" customFormat="false" ht="26.25" hidden="false" customHeight="true" outlineLevel="0" collapsed="false">
      <c r="A40" s="16" t="s">
        <v>237</v>
      </c>
      <c r="B40" s="16" t="s">
        <v>143</v>
      </c>
      <c r="C40" s="16" t="s">
        <v>6</v>
      </c>
      <c r="D40" s="16" t="s">
        <v>238</v>
      </c>
      <c r="E40" s="16" t="s">
        <v>145</v>
      </c>
      <c r="F40" s="16" t="s">
        <v>145</v>
      </c>
      <c r="G40" s="16" t="s">
        <v>146</v>
      </c>
      <c r="H40" s="16" t="s">
        <v>72</v>
      </c>
      <c r="I40" s="16" t="s">
        <v>73</v>
      </c>
      <c r="J40" s="17" t="n">
        <v>46220</v>
      </c>
      <c r="K40" s="16"/>
      <c r="L40" s="18" t="n">
        <v>1</v>
      </c>
      <c r="M40" s="18" t="n">
        <f aca="false">IF(H40="not applicable",IF(K40&lt;&gt;"",1,0),IF(I40="yes",IF(H40="verified",1,0),IF(OR(H40="tested",H40="verified"),1,0)))</f>
        <v>1</v>
      </c>
    </row>
    <row r="41" customFormat="false" ht="26.25" hidden="false" customHeight="true" outlineLevel="0" collapsed="false">
      <c r="A41" s="16" t="s">
        <v>239</v>
      </c>
      <c r="B41" s="16" t="s">
        <v>148</v>
      </c>
      <c r="C41" s="16" t="s">
        <v>240</v>
      </c>
      <c r="D41" s="16" t="s">
        <v>241</v>
      </c>
      <c r="E41" s="16" t="s">
        <v>150</v>
      </c>
      <c r="F41" s="16" t="s">
        <v>151</v>
      </c>
      <c r="G41" s="16" t="s">
        <v>242</v>
      </c>
      <c r="H41" s="16" t="s">
        <v>243</v>
      </c>
      <c r="I41" s="16" t="s">
        <v>73</v>
      </c>
      <c r="J41" s="17" t="n">
        <v>46220</v>
      </c>
      <c r="K41" s="16" t="s">
        <v>244</v>
      </c>
      <c r="L41" s="18" t="n">
        <v>1</v>
      </c>
      <c r="M41" s="18" t="n">
        <f aca="false">IF(H41="not applicable",IF(K41&lt;&gt;"",1,0),IF(I41="yes",IF(H41="verified",1,0),IF(OR(H41="tested",H41="verified"),1,0)))</f>
        <v>0</v>
      </c>
    </row>
  </sheetData>
  <autoFilter ref="A8:M34"/>
  <mergeCells count="3">
    <mergeCell ref="A1:M1"/>
    <mergeCell ref="A2:M2"/>
    <mergeCell ref="A6:M6"/>
  </mergeCells>
  <conditionalFormatting sqref="H9:H41">
    <cfRule type="expression" priority="2" aboveAverage="0" equalAverage="0" bottom="0" percent="0" rank="0" text="" dxfId="6">
      <formula>$H9="not started"</formula>
    </cfRule>
    <cfRule type="expression" priority="3" aboveAverage="0" equalAverage="0" bottom="0" percent="0" rank="0" text="" dxfId="7">
      <formula>$H9="partial"</formula>
    </cfRule>
    <cfRule type="expression" priority="4" aboveAverage="0" equalAverage="0" bottom="0" percent="0" rank="0" text="" dxfId="8">
      <formula>$H9="implemented"</formula>
    </cfRule>
    <cfRule type="expression" priority="5" aboveAverage="0" equalAverage="0" bottom="0" percent="0" rank="0" text="" dxfId="9">
      <formula>$H9="tested"</formula>
    </cfRule>
    <cfRule type="expression" priority="6" aboveAverage="0" equalAverage="0" bottom="0" percent="0" rank="0" text="" dxfId="10">
      <formula>$H9="verified"</formula>
    </cfRule>
    <cfRule type="expression" priority="7" aboveAverage="0" equalAverage="0" bottom="0" percent="0" rank="0" text="" dxfId="11">
      <formula>$H9="blocked"</formula>
    </cfRule>
    <cfRule type="expression" priority="8" aboveAverage="0" equalAverage="0" bottom="0" percent="0" rank="0" text="" dxfId="12">
      <formula>$H9="not applicable"</formula>
    </cfRule>
  </conditionalFormatting>
  <dataValidations count="2">
    <dataValidation allowBlank="false" errorStyle="stop" operator="between" showDropDown="false" showErrorMessage="false" showInputMessage="false" sqref="H9:H41" type="list">
      <formula1>_Lists!$A$1:$A$7</formula1>
      <formula2>0</formula2>
    </dataValidation>
    <dataValidation allowBlank="false" errorStyle="stop" operator="between" showDropDown="false" showErrorMessage="false" showInputMessage="false" sqref="I9:I41" type="list">
      <formula1>_Lists!$B$1:$B$2</formula1>
      <formula2>0</formula2>
    </dataValidation>
  </dataValidations>
  <hyperlinks>
    <hyperlink ref="G9" r:id="rId1" display="../src/components/card/Card.tsx"/>
    <hyperlink ref="G10" r:id="rId2" display="../../docs/card-component-brief.md"/>
    <hyperlink ref="G11" r:id="rId3" display="../src/card.ts"/>
    <hyperlink ref="G12" r:id="rId4" display="../test/components/card.test.tsx"/>
    <hyperlink ref="G13" r:id="rId5" display="../test/components/card.test.tsx"/>
    <hyperlink ref="G14" r:id="rId6" display="manual-tests/card.md"/>
    <hyperlink ref="G15" r:id="rId7" display="../test/components/card.test.tsx"/>
    <hyperlink ref="G16" r:id="rId8" display="../test/components/card.test.tsx"/>
    <hyperlink ref="G17" r:id="rId9" display="tests/card.spec.ts"/>
    <hyperlink ref="G18" r:id="rId10" display="../test/components/card.test.tsx"/>
    <hyperlink ref="G19" r:id="rId11" display="manual-tests/card.md"/>
    <hyperlink ref="G20" r:id="rId12" display="../src/components/card/card.css"/>
    <hyperlink ref="G21" r:id="rId13" display="manual-tests/card.md"/>
    <hyperlink ref="G22" r:id="rId14" display="manual-tests/card.md"/>
    <hyperlink ref="G23" r:id="rId15" display="tests/card.spec.ts"/>
    <hyperlink ref="G24" r:id="rId16" display="manual-tests/card.md"/>
    <hyperlink ref="G25" r:id="rId17" display="tests/preferences.spec.ts"/>
    <hyperlink ref="G26" r:id="rId18" display="manual-tests/card.md"/>
    <hyperlink ref="G27" r:id="rId19" display="manual-tests/card.md"/>
    <hyperlink ref="G28" r:id="rId20" display="tests/card.spec.ts"/>
    <hyperlink ref="G29" r:id="rId21" display="../test/components/card.test.tsx"/>
    <hyperlink ref="G30" r:id="rId22" display="../test/types/public-api.test.ts"/>
    <hyperlink ref="G31" r:id="rId23" display="tests/card.spec.ts"/>
    <hyperlink ref="G32" r:id="rId24" display="tests/foundation.spec.ts"/>
    <hyperlink ref="G33" r:id="rId25" display="tests/visual.spec.ts"/>
    <hyperlink ref="G34" r:id="rId26" display="../playwright.config.ts"/>
    <hyperlink ref="G35" r:id="rId27" display="../test/package/ssr.test.mjs"/>
    <hyperlink ref="G36" r:id="rId28" display="manual-tests/card.md"/>
    <hyperlink ref="G37" r:id="rId29" display="manual-tests/card.md"/>
    <hyperlink ref="G38" r:id="rId30" display="../docs/components/card/README.md"/>
    <hyperlink ref="G39" r:id="rId31" display="../docs/components/card/CHANGELOG.md"/>
    <hyperlink ref="G40" r:id="rId32" display="../../../../apps/brick-consumer/tests/consumer.spec.ts"/>
    <hyperlink ref="G41" r:id="rId33" display="../../docs/core-dependency-ledger.md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34"/>
  <tableParts>
    <tablePart r:id="rId35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4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804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54"/>
    <col collapsed="false" customWidth="true" hidden="false" outlineLevel="0" max="5" min="5" style="1" width="12"/>
    <col collapsed="false" customWidth="true" hidden="false" outlineLevel="0" max="6" min="6" style="1" width="16"/>
    <col collapsed="false" customWidth="true" hidden="false" outlineLevel="0" max="7" min="7" style="1" width="30"/>
    <col collapsed="false" customWidth="true" hidden="false" outlineLevel="0" max="8" min="8" style="1" width="18"/>
    <col collapsed="false" customWidth="true" hidden="false" outlineLevel="0" max="9" min="9" style="1" width="14"/>
    <col collapsed="false" customWidth="true" hidden="false" outlineLevel="0" max="10" min="10" style="1" width="15"/>
    <col collapsed="false" customWidth="true" hidden="false" outlineLevel="0" max="11" min="11" style="1" width="32"/>
    <col collapsed="false" customWidth="true" hidden="false" outlineLevel="0" max="12" min="12" style="1" width="9"/>
    <col collapsed="false" customWidth="true" hidden="false" outlineLevel="0" max="13" min="13" style="1" width="10"/>
  </cols>
  <sheetData>
    <row r="1" customFormat="false" ht="33.75" hidden="false" customHeight="true" outlineLevel="0" collapsed="false">
      <c r="A1" s="2" t="s">
        <v>245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33.75" hidden="false" customHeight="true" outlineLevel="0" collapsed="false">
      <c r="A2" s="3" t="s">
        <v>246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4" customFormat="false" ht="15" hidden="false" customHeight="true" outlineLevel="0" collapsed="false">
      <c r="A4" s="4" t="s">
        <v>7</v>
      </c>
      <c r="B4" s="5" t="n">
        <f aca="false">COUNTA(A9:A45)</f>
        <v>37</v>
      </c>
      <c r="C4" s="4" t="s">
        <v>46</v>
      </c>
      <c r="D4" s="5" t="n">
        <f aca="false">SUM(M9:M45)</f>
        <v>36</v>
      </c>
      <c r="E4" s="4" t="s">
        <v>14</v>
      </c>
      <c r="F4" s="6" t="n">
        <f aca="false">IFERROR(D4/SUM(L9:L45),0)</f>
        <v>0.972972972972973</v>
      </c>
      <c r="G4" s="4" t="s">
        <v>4</v>
      </c>
      <c r="H4" s="5" t="n">
        <f aca="false">COUNTIF(H9:H45,"blocked")</f>
        <v>1</v>
      </c>
      <c r="I4" s="4" t="s">
        <v>15</v>
      </c>
      <c r="J4" s="5" t="str">
        <f aca="false">IF(COUNTIFS(E9:E45,"package",M9:M45,"&lt;1")=0,"complete","open")</f>
        <v>complete</v>
      </c>
      <c r="K4" s="4" t="s">
        <v>17</v>
      </c>
      <c r="L4" s="5" t="str">
        <f aca="false">IF(COUNTIFS(E9:E45,"retirement",M9:M45,"&lt;1")=0,"complete","open")</f>
        <v>open</v>
      </c>
    </row>
    <row r="6" customFormat="false" ht="15" hidden="false" customHeight="true" outlineLevel="0" collapsed="false">
      <c r="A6" s="15" t="s">
        <v>47</v>
      </c>
      <c r="B6" s="15"/>
      <c r="C6" s="15"/>
      <c r="D6" s="15"/>
      <c r="E6" s="15"/>
      <c r="F6" s="15"/>
      <c r="G6" s="15"/>
      <c r="H6" s="15"/>
      <c r="I6" s="15"/>
      <c r="J6" s="15"/>
      <c r="K6" s="15"/>
      <c r="L6" s="15"/>
      <c r="M6" s="15"/>
    </row>
    <row r="8" customFormat="false" ht="33.75" hidden="false" customHeight="true" outlineLevel="0" collapsed="false">
      <c r="A8" s="7" t="s">
        <v>48</v>
      </c>
      <c r="B8" s="7" t="s">
        <v>49</v>
      </c>
      <c r="C8" s="7" t="s">
        <v>50</v>
      </c>
      <c r="D8" s="7" t="s">
        <v>51</v>
      </c>
      <c r="E8" s="7" t="s">
        <v>52</v>
      </c>
      <c r="F8" s="7" t="s">
        <v>53</v>
      </c>
      <c r="G8" s="7" t="s">
        <v>54</v>
      </c>
      <c r="H8" s="7" t="s">
        <v>18</v>
      </c>
      <c r="I8" s="7" t="s">
        <v>55</v>
      </c>
      <c r="J8" s="7" t="s">
        <v>56</v>
      </c>
      <c r="K8" s="7" t="s">
        <v>57</v>
      </c>
      <c r="L8" s="7" t="s">
        <v>58</v>
      </c>
      <c r="M8" s="7" t="s">
        <v>46</v>
      </c>
    </row>
    <row r="9" customFormat="false" ht="42" hidden="false" customHeight="true" outlineLevel="0" collapsed="false">
      <c r="A9" s="16" t="s">
        <v>247</v>
      </c>
      <c r="B9" s="16" t="s">
        <v>60</v>
      </c>
      <c r="C9" s="16" t="s">
        <v>6</v>
      </c>
      <c r="D9" s="16" t="s">
        <v>248</v>
      </c>
      <c r="E9" s="16" t="s">
        <v>62</v>
      </c>
      <c r="F9" s="16" t="s">
        <v>63</v>
      </c>
      <c r="G9" s="16" t="s">
        <v>249</v>
      </c>
      <c r="H9" s="16" t="s">
        <v>65</v>
      </c>
      <c r="I9" s="16" t="s">
        <v>66</v>
      </c>
      <c r="J9" s="19" t="n">
        <v>46220</v>
      </c>
      <c r="K9" s="16"/>
      <c r="L9" s="18" t="n">
        <v>1</v>
      </c>
      <c r="M9" s="18" t="n">
        <f aca="false">IF(H9="not applicable",IF(K9&lt;&gt;"",1,0),IF(I9="yes",IF(H9="verified",1,0),IF(OR(H9="tested",H9="verified"),1,0)))</f>
        <v>1</v>
      </c>
    </row>
    <row r="10" customFormat="false" ht="42" hidden="false" customHeight="true" outlineLevel="0" collapsed="false">
      <c r="A10" s="16" t="s">
        <v>250</v>
      </c>
      <c r="B10" s="16" t="s">
        <v>68</v>
      </c>
      <c r="C10" s="16" t="s">
        <v>6</v>
      </c>
      <c r="D10" s="16" t="s">
        <v>251</v>
      </c>
      <c r="E10" s="16" t="s">
        <v>62</v>
      </c>
      <c r="F10" s="16" t="s">
        <v>70</v>
      </c>
      <c r="G10" s="16" t="s">
        <v>252</v>
      </c>
      <c r="H10" s="16" t="s">
        <v>72</v>
      </c>
      <c r="I10" s="16" t="s">
        <v>73</v>
      </c>
      <c r="J10" s="19" t="n">
        <v>46220</v>
      </c>
      <c r="K10" s="16"/>
      <c r="L10" s="18" t="n">
        <v>1</v>
      </c>
      <c r="M10" s="18" t="n">
        <f aca="false">IF(H10="not applicable",IF(K10&lt;&gt;"",1,0),IF(I10="yes",IF(H10="verified",1,0),IF(OR(H10="tested",H10="verified"),1,0)))</f>
        <v>1</v>
      </c>
    </row>
    <row r="11" customFormat="false" ht="42" hidden="false" customHeight="true" outlineLevel="0" collapsed="false">
      <c r="A11" s="16" t="s">
        <v>253</v>
      </c>
      <c r="B11" s="16" t="s">
        <v>60</v>
      </c>
      <c r="C11" s="16" t="s">
        <v>156</v>
      </c>
      <c r="D11" s="16" t="s">
        <v>254</v>
      </c>
      <c r="E11" s="16" t="s">
        <v>62</v>
      </c>
      <c r="F11" s="16" t="s">
        <v>76</v>
      </c>
      <c r="G11" s="16" t="s">
        <v>113</v>
      </c>
      <c r="H11" s="16" t="s">
        <v>65</v>
      </c>
      <c r="I11" s="16" t="s">
        <v>66</v>
      </c>
      <c r="J11" s="19" t="n">
        <v>46220</v>
      </c>
      <c r="K11" s="16"/>
      <c r="L11" s="18" t="n">
        <v>1</v>
      </c>
      <c r="M11" s="18" t="n">
        <f aca="false">IF(H11="not applicable",IF(K11&lt;&gt;"",1,0),IF(I11="yes",IF(H11="verified",1,0),IF(OR(H11="tested",H11="verified"),1,0)))</f>
        <v>1</v>
      </c>
    </row>
    <row r="12" customFormat="false" ht="42" hidden="false" customHeight="true" outlineLevel="0" collapsed="false">
      <c r="A12" s="16" t="s">
        <v>255</v>
      </c>
      <c r="B12" s="16" t="s">
        <v>40</v>
      </c>
      <c r="C12" s="16" t="s">
        <v>170</v>
      </c>
      <c r="D12" s="16" t="s">
        <v>256</v>
      </c>
      <c r="E12" s="16" t="s">
        <v>62</v>
      </c>
      <c r="F12" s="16" t="s">
        <v>110</v>
      </c>
      <c r="G12" s="16" t="s">
        <v>257</v>
      </c>
      <c r="H12" s="16" t="s">
        <v>65</v>
      </c>
      <c r="I12" s="16" t="s">
        <v>66</v>
      </c>
      <c r="J12" s="19" t="n">
        <v>46221</v>
      </c>
      <c r="K12" s="16"/>
      <c r="L12" s="18" t="n">
        <v>1</v>
      </c>
      <c r="M12" s="18" t="n">
        <f aca="false">IF(H12="not applicable",IF(K12&lt;&gt;"",1,0),IF(I12="yes",IF(H12="verified",1,0),IF(OR(H12="tested",H12="verified"),1,0)))</f>
        <v>1</v>
      </c>
    </row>
    <row r="13" customFormat="false" ht="42" hidden="false" customHeight="true" outlineLevel="0" collapsed="false">
      <c r="A13" s="16" t="s">
        <v>258</v>
      </c>
      <c r="B13" s="16" t="s">
        <v>40</v>
      </c>
      <c r="C13" s="16" t="s">
        <v>259</v>
      </c>
      <c r="D13" s="16" t="s">
        <v>260</v>
      </c>
      <c r="E13" s="16" t="s">
        <v>62</v>
      </c>
      <c r="F13" s="16" t="s">
        <v>110</v>
      </c>
      <c r="G13" s="16" t="s">
        <v>257</v>
      </c>
      <c r="H13" s="16" t="s">
        <v>65</v>
      </c>
      <c r="I13" s="16" t="s">
        <v>66</v>
      </c>
      <c r="J13" s="19" t="n">
        <v>46221</v>
      </c>
      <c r="K13" s="16"/>
      <c r="L13" s="18" t="n">
        <v>1</v>
      </c>
      <c r="M13" s="18" t="n">
        <f aca="false">IF(H13="not applicable",IF(K13&lt;&gt;"",1,0),IF(I13="yes",IF(H13="verified",1,0),IF(OR(H13="tested",H13="verified"),1,0)))</f>
        <v>1</v>
      </c>
    </row>
    <row r="14" customFormat="false" ht="42" hidden="false" customHeight="true" outlineLevel="0" collapsed="false">
      <c r="A14" s="16" t="s">
        <v>261</v>
      </c>
      <c r="B14" s="16" t="s">
        <v>40</v>
      </c>
      <c r="C14" s="16" t="s">
        <v>262</v>
      </c>
      <c r="D14" s="16" t="s">
        <v>263</v>
      </c>
      <c r="E14" s="16" t="s">
        <v>62</v>
      </c>
      <c r="F14" s="16" t="s">
        <v>110</v>
      </c>
      <c r="G14" s="16" t="s">
        <v>264</v>
      </c>
      <c r="H14" s="16" t="s">
        <v>65</v>
      </c>
      <c r="I14" s="16" t="s">
        <v>66</v>
      </c>
      <c r="J14" s="19" t="n">
        <v>46221</v>
      </c>
      <c r="K14" s="16"/>
      <c r="L14" s="18" t="n">
        <v>1</v>
      </c>
      <c r="M14" s="18" t="n">
        <f aca="false">IF(H14="not applicable",IF(K14&lt;&gt;"",1,0),IF(I14="yes",IF(H14="verified",1,0),IF(OR(H14="tested",H14="verified"),1,0)))</f>
        <v>1</v>
      </c>
    </row>
    <row r="15" customFormat="false" ht="42" hidden="false" customHeight="true" outlineLevel="0" collapsed="false">
      <c r="A15" s="16" t="s">
        <v>265</v>
      </c>
      <c r="B15" s="16" t="s">
        <v>40</v>
      </c>
      <c r="C15" s="16" t="s">
        <v>266</v>
      </c>
      <c r="D15" s="16" t="s">
        <v>267</v>
      </c>
      <c r="E15" s="16" t="s">
        <v>62</v>
      </c>
      <c r="F15" s="16" t="s">
        <v>110</v>
      </c>
      <c r="G15" s="16" t="s">
        <v>268</v>
      </c>
      <c r="H15" s="16" t="s">
        <v>65</v>
      </c>
      <c r="I15" s="16" t="s">
        <v>66</v>
      </c>
      <c r="J15" s="19" t="n">
        <v>46221</v>
      </c>
      <c r="K15" s="16"/>
      <c r="L15" s="18" t="n">
        <v>1</v>
      </c>
      <c r="M15" s="18" t="n">
        <f aca="false">IF(H15="not applicable",IF(K15&lt;&gt;"",1,0),IF(I15="yes",IF(H15="verified",1,0),IF(OR(H15="tested",H15="verified"),1,0)))</f>
        <v>1</v>
      </c>
    </row>
    <row r="16" customFormat="false" ht="42" hidden="false" customHeight="true" outlineLevel="0" collapsed="false">
      <c r="A16" s="16" t="s">
        <v>269</v>
      </c>
      <c r="B16" s="16" t="s">
        <v>40</v>
      </c>
      <c r="C16" s="16" t="s">
        <v>187</v>
      </c>
      <c r="D16" s="16" t="s">
        <v>270</v>
      </c>
      <c r="E16" s="16" t="s">
        <v>62</v>
      </c>
      <c r="F16" s="16" t="s">
        <v>110</v>
      </c>
      <c r="G16" s="16" t="s">
        <v>257</v>
      </c>
      <c r="H16" s="16" t="s">
        <v>65</v>
      </c>
      <c r="I16" s="16" t="s">
        <v>66</v>
      </c>
      <c r="J16" s="19" t="n">
        <v>46220</v>
      </c>
      <c r="K16" s="16"/>
      <c r="L16" s="18" t="n">
        <v>1</v>
      </c>
      <c r="M16" s="18" t="n">
        <f aca="false">IF(H16="not applicable",IF(K16&lt;&gt;"",1,0),IF(I16="yes",IF(H16="verified",1,0),IF(OR(H16="tested",H16="verified"),1,0)))</f>
        <v>1</v>
      </c>
    </row>
    <row r="17" customFormat="false" ht="42" hidden="false" customHeight="true" outlineLevel="0" collapsed="false">
      <c r="A17" s="16" t="s">
        <v>271</v>
      </c>
      <c r="B17" s="16" t="s">
        <v>40</v>
      </c>
      <c r="C17" s="16" t="s">
        <v>173</v>
      </c>
      <c r="D17" s="16" t="s">
        <v>272</v>
      </c>
      <c r="E17" s="16" t="s">
        <v>62</v>
      </c>
      <c r="F17" s="16" t="s">
        <v>110</v>
      </c>
      <c r="G17" s="16" t="s">
        <v>257</v>
      </c>
      <c r="H17" s="16" t="s">
        <v>65</v>
      </c>
      <c r="I17" s="16" t="s">
        <v>66</v>
      </c>
      <c r="J17" s="19" t="n">
        <v>46220</v>
      </c>
      <c r="K17" s="16"/>
      <c r="L17" s="18" t="n">
        <v>1</v>
      </c>
      <c r="M17" s="18" t="n">
        <f aca="false">IF(H17="not applicable",IF(K17&lt;&gt;"",1,0),IF(I17="yes",IF(H17="verified",1,0),IF(OR(H17="tested",H17="verified"),1,0)))</f>
        <v>1</v>
      </c>
    </row>
    <row r="18" customFormat="false" ht="42" hidden="false" customHeight="true" outlineLevel="0" collapsed="false">
      <c r="A18" s="16" t="s">
        <v>273</v>
      </c>
      <c r="B18" s="16" t="s">
        <v>40</v>
      </c>
      <c r="C18" s="16" t="s">
        <v>177</v>
      </c>
      <c r="D18" s="16" t="s">
        <v>274</v>
      </c>
      <c r="E18" s="16" t="s">
        <v>62</v>
      </c>
      <c r="F18" s="16" t="s">
        <v>110</v>
      </c>
      <c r="G18" s="16" t="s">
        <v>257</v>
      </c>
      <c r="H18" s="16" t="s">
        <v>65</v>
      </c>
      <c r="I18" s="16" t="s">
        <v>66</v>
      </c>
      <c r="J18" s="19" t="n">
        <v>46221</v>
      </c>
      <c r="K18" s="16"/>
      <c r="L18" s="18" t="n">
        <v>1</v>
      </c>
      <c r="M18" s="18" t="n">
        <f aca="false">IF(H18="not applicable",IF(K18&lt;&gt;"",1,0),IF(I18="yes",IF(H18="verified",1,0),IF(OR(H18="tested",H18="verified"),1,0)))</f>
        <v>1</v>
      </c>
    </row>
    <row r="19" customFormat="false" ht="42" hidden="false" customHeight="true" outlineLevel="0" collapsed="false">
      <c r="A19" s="16" t="s">
        <v>275</v>
      </c>
      <c r="B19" s="16" t="s">
        <v>40</v>
      </c>
      <c r="C19" s="16" t="s">
        <v>180</v>
      </c>
      <c r="D19" s="16" t="s">
        <v>276</v>
      </c>
      <c r="E19" s="16" t="s">
        <v>62</v>
      </c>
      <c r="F19" s="16" t="s">
        <v>110</v>
      </c>
      <c r="G19" s="16" t="s">
        <v>257</v>
      </c>
      <c r="H19" s="16" t="s">
        <v>65</v>
      </c>
      <c r="I19" s="16" t="s">
        <v>66</v>
      </c>
      <c r="J19" s="19" t="n">
        <v>46220</v>
      </c>
      <c r="K19" s="16"/>
      <c r="L19" s="18" t="n">
        <v>1</v>
      </c>
      <c r="M19" s="18" t="n">
        <f aca="false">IF(H19="not applicable",IF(K19&lt;&gt;"",1,0),IF(I19="yes",IF(H19="verified",1,0),IF(OR(H19="tested",H19="verified"),1,0)))</f>
        <v>1</v>
      </c>
    </row>
    <row r="20" customFormat="false" ht="42" hidden="false" customHeight="true" outlineLevel="0" collapsed="false">
      <c r="A20" s="16" t="s">
        <v>277</v>
      </c>
      <c r="B20" s="16" t="s">
        <v>40</v>
      </c>
      <c r="C20" s="16" t="s">
        <v>278</v>
      </c>
      <c r="D20" s="16" t="s">
        <v>279</v>
      </c>
      <c r="E20" s="16" t="s">
        <v>62</v>
      </c>
      <c r="F20" s="16" t="s">
        <v>131</v>
      </c>
      <c r="G20" s="16" t="s">
        <v>280</v>
      </c>
      <c r="H20" s="16" t="s">
        <v>72</v>
      </c>
      <c r="I20" s="16" t="s">
        <v>73</v>
      </c>
      <c r="J20" s="19" t="n">
        <v>46220</v>
      </c>
      <c r="K20" s="16"/>
      <c r="L20" s="18" t="n">
        <v>1</v>
      </c>
      <c r="M20" s="18" t="n">
        <f aca="false">IF(H20="not applicable",IF(K20&lt;&gt;"",1,0),IF(I20="yes",IF(H20="verified",1,0),IF(OR(H20="tested",H20="verified"),1,0)))</f>
        <v>1</v>
      </c>
    </row>
    <row r="21" customFormat="false" ht="42" hidden="false" customHeight="true" outlineLevel="0" collapsed="false">
      <c r="A21" s="16" t="s">
        <v>281</v>
      </c>
      <c r="B21" s="16" t="s">
        <v>40</v>
      </c>
      <c r="C21" s="16" t="s">
        <v>190</v>
      </c>
      <c r="D21" s="16" t="s">
        <v>282</v>
      </c>
      <c r="E21" s="16" t="s">
        <v>62</v>
      </c>
      <c r="F21" s="16" t="s">
        <v>131</v>
      </c>
      <c r="G21" s="16" t="s">
        <v>280</v>
      </c>
      <c r="H21" s="16" t="s">
        <v>72</v>
      </c>
      <c r="I21" s="16" t="s">
        <v>73</v>
      </c>
      <c r="J21" s="19" t="n">
        <v>46220</v>
      </c>
      <c r="K21" s="16"/>
      <c r="L21" s="18" t="n">
        <v>1</v>
      </c>
      <c r="M21" s="18" t="n">
        <f aca="false">IF(H21="not applicable",IF(K21&lt;&gt;"",1,0),IF(I21="yes",IF(H21="verified",1,0),IF(OR(H21="tested",H21="verified"),1,0)))</f>
        <v>1</v>
      </c>
    </row>
    <row r="22" customFormat="false" ht="42" hidden="false" customHeight="true" outlineLevel="0" collapsed="false">
      <c r="A22" s="16" t="s">
        <v>283</v>
      </c>
      <c r="B22" s="16" t="s">
        <v>40</v>
      </c>
      <c r="C22" s="16" t="s">
        <v>284</v>
      </c>
      <c r="D22" s="16" t="s">
        <v>285</v>
      </c>
      <c r="E22" s="16" t="s">
        <v>62</v>
      </c>
      <c r="F22" s="16" t="s">
        <v>110</v>
      </c>
      <c r="G22" s="16" t="s">
        <v>257</v>
      </c>
      <c r="H22" s="16" t="s">
        <v>65</v>
      </c>
      <c r="I22" s="16" t="s">
        <v>66</v>
      </c>
      <c r="J22" s="19" t="n">
        <v>46221</v>
      </c>
      <c r="K22" s="16"/>
      <c r="L22" s="18" t="n">
        <v>1</v>
      </c>
      <c r="M22" s="18" t="n">
        <f aca="false">IF(H22="not applicable",IF(K22&lt;&gt;"",1,0),IF(I22="yes",IF(H22="verified",1,0),IF(OR(H22="tested",H22="verified"),1,0)))</f>
        <v>1</v>
      </c>
    </row>
    <row r="23" customFormat="false" ht="42" hidden="false" customHeight="true" outlineLevel="0" collapsed="false">
      <c r="A23" s="16" t="s">
        <v>286</v>
      </c>
      <c r="B23" s="16" t="s">
        <v>40</v>
      </c>
      <c r="C23" s="16" t="s">
        <v>287</v>
      </c>
      <c r="D23" s="16" t="s">
        <v>288</v>
      </c>
      <c r="E23" s="16" t="s">
        <v>62</v>
      </c>
      <c r="F23" s="16" t="s">
        <v>110</v>
      </c>
      <c r="G23" s="16" t="s">
        <v>257</v>
      </c>
      <c r="H23" s="16" t="s">
        <v>65</v>
      </c>
      <c r="I23" s="16" t="s">
        <v>66</v>
      </c>
      <c r="J23" s="19" t="n">
        <v>46221</v>
      </c>
      <c r="K23" s="16"/>
      <c r="L23" s="18" t="n">
        <v>1</v>
      </c>
      <c r="M23" s="18" t="n">
        <f aca="false">IF(H23="not applicable",IF(K23&lt;&gt;"",1,0),IF(I23="yes",IF(H23="verified",1,0),IF(OR(H23="tested",H23="verified"),1,0)))</f>
        <v>1</v>
      </c>
    </row>
    <row r="24" customFormat="false" ht="42" hidden="false" customHeight="true" outlineLevel="0" collapsed="false">
      <c r="A24" s="16" t="s">
        <v>289</v>
      </c>
      <c r="B24" s="16" t="s">
        <v>82</v>
      </c>
      <c r="C24" s="16" t="s">
        <v>166</v>
      </c>
      <c r="D24" s="16" t="s">
        <v>290</v>
      </c>
      <c r="E24" s="16" t="s">
        <v>62</v>
      </c>
      <c r="F24" s="16" t="s">
        <v>63</v>
      </c>
      <c r="G24" s="16" t="s">
        <v>291</v>
      </c>
      <c r="H24" s="16" t="s">
        <v>65</v>
      </c>
      <c r="I24" s="16" t="s">
        <v>66</v>
      </c>
      <c r="J24" s="19" t="n">
        <v>46220</v>
      </c>
      <c r="K24" s="16"/>
      <c r="L24" s="18" t="n">
        <v>1</v>
      </c>
      <c r="M24" s="18" t="n">
        <f aca="false">IF(H24="not applicable",IF(K24&lt;&gt;"",1,0),IF(I24="yes",IF(H24="verified",1,0),IF(OR(H24="tested",H24="verified"),1,0)))</f>
        <v>1</v>
      </c>
    </row>
    <row r="25" customFormat="false" ht="42" hidden="false" customHeight="true" outlineLevel="0" collapsed="false">
      <c r="A25" s="16" t="s">
        <v>292</v>
      </c>
      <c r="B25" s="16" t="s">
        <v>82</v>
      </c>
      <c r="C25" s="16" t="s">
        <v>187</v>
      </c>
      <c r="D25" s="16" t="s">
        <v>293</v>
      </c>
      <c r="E25" s="16" t="s">
        <v>62</v>
      </c>
      <c r="F25" s="16" t="s">
        <v>131</v>
      </c>
      <c r="G25" s="16" t="s">
        <v>280</v>
      </c>
      <c r="H25" s="16" t="s">
        <v>72</v>
      </c>
      <c r="I25" s="16" t="s">
        <v>73</v>
      </c>
      <c r="J25" s="19" t="n">
        <v>46220</v>
      </c>
      <c r="K25" s="16"/>
      <c r="L25" s="18" t="n">
        <v>1</v>
      </c>
      <c r="M25" s="18" t="n">
        <f aca="false">IF(H25="not applicable",IF(K25&lt;&gt;"",1,0),IF(I25="yes",IF(H25="verified",1,0),IF(OR(H25="tested",H25="verified"),1,0)))</f>
        <v>1</v>
      </c>
    </row>
    <row r="26" customFormat="false" ht="42" hidden="false" customHeight="true" outlineLevel="0" collapsed="false">
      <c r="A26" s="16" t="s">
        <v>294</v>
      </c>
      <c r="B26" s="16" t="s">
        <v>89</v>
      </c>
      <c r="C26" s="16" t="s">
        <v>166</v>
      </c>
      <c r="D26" s="16" t="s">
        <v>295</v>
      </c>
      <c r="E26" s="16" t="s">
        <v>62</v>
      </c>
      <c r="F26" s="16" t="s">
        <v>91</v>
      </c>
      <c r="G26" s="16" t="s">
        <v>280</v>
      </c>
      <c r="H26" s="16" t="s">
        <v>72</v>
      </c>
      <c r="I26" s="16" t="s">
        <v>73</v>
      </c>
      <c r="J26" s="19" t="n">
        <v>46220</v>
      </c>
      <c r="K26" s="16"/>
      <c r="L26" s="18" t="n">
        <v>1</v>
      </c>
      <c r="M26" s="18" t="n">
        <f aca="false">IF(H26="not applicable",IF(K26&lt;&gt;"",1,0),IF(I26="yes",IF(H26="verified",1,0),IF(OR(H26="tested",H26="verified"),1,0)))</f>
        <v>1</v>
      </c>
    </row>
    <row r="27" customFormat="false" ht="42" hidden="false" customHeight="true" outlineLevel="0" collapsed="false">
      <c r="A27" s="16" t="s">
        <v>296</v>
      </c>
      <c r="B27" s="16" t="s">
        <v>89</v>
      </c>
      <c r="C27" s="16" t="s">
        <v>6</v>
      </c>
      <c r="D27" s="16" t="s">
        <v>297</v>
      </c>
      <c r="E27" s="16" t="s">
        <v>62</v>
      </c>
      <c r="F27" s="16" t="s">
        <v>91</v>
      </c>
      <c r="G27" s="16" t="s">
        <v>268</v>
      </c>
      <c r="H27" s="16" t="s">
        <v>72</v>
      </c>
      <c r="I27" s="16" t="s">
        <v>73</v>
      </c>
      <c r="J27" s="19" t="n">
        <v>46220</v>
      </c>
      <c r="K27" s="16"/>
      <c r="L27" s="18" t="n">
        <v>1</v>
      </c>
      <c r="M27" s="18" t="n">
        <f aca="false">IF(H27="not applicable",IF(K27&lt;&gt;"",1,0),IF(I27="yes",IF(H27="verified",1,0),IF(OR(H27="tested",H27="verified"),1,0)))</f>
        <v>1</v>
      </c>
    </row>
    <row r="28" customFormat="false" ht="42" hidden="false" customHeight="true" outlineLevel="0" collapsed="false">
      <c r="A28" s="16" t="s">
        <v>298</v>
      </c>
      <c r="B28" s="16" t="s">
        <v>89</v>
      </c>
      <c r="C28" s="16" t="s">
        <v>187</v>
      </c>
      <c r="D28" s="16" t="s">
        <v>299</v>
      </c>
      <c r="E28" s="16" t="s">
        <v>62</v>
      </c>
      <c r="F28" s="16" t="s">
        <v>131</v>
      </c>
      <c r="G28" s="16" t="s">
        <v>280</v>
      </c>
      <c r="H28" s="16" t="s">
        <v>72</v>
      </c>
      <c r="I28" s="16" t="s">
        <v>73</v>
      </c>
      <c r="J28" s="19" t="n">
        <v>46220</v>
      </c>
      <c r="K28" s="16"/>
      <c r="L28" s="18" t="n">
        <v>1</v>
      </c>
      <c r="M28" s="18" t="n">
        <f aca="false">IF(H28="not applicable",IF(K28&lt;&gt;"",1,0),IF(I28="yes",IF(H28="verified",1,0),IF(OR(H28="tested",H28="verified"),1,0)))</f>
        <v>1</v>
      </c>
    </row>
    <row r="29" customFormat="false" ht="42" hidden="false" customHeight="true" outlineLevel="0" collapsed="false">
      <c r="A29" s="16" t="s">
        <v>300</v>
      </c>
      <c r="B29" s="16" t="s">
        <v>89</v>
      </c>
      <c r="C29" s="16" t="s">
        <v>166</v>
      </c>
      <c r="D29" s="16" t="s">
        <v>301</v>
      </c>
      <c r="E29" s="16" t="s">
        <v>62</v>
      </c>
      <c r="F29" s="16" t="s">
        <v>110</v>
      </c>
      <c r="G29" s="16" t="s">
        <v>121</v>
      </c>
      <c r="H29" s="16" t="s">
        <v>72</v>
      </c>
      <c r="I29" s="16" t="s">
        <v>73</v>
      </c>
      <c r="J29" s="19" t="n">
        <v>46220</v>
      </c>
      <c r="K29" s="16"/>
      <c r="L29" s="18" t="n">
        <v>1</v>
      </c>
      <c r="M29" s="18" t="n">
        <f aca="false">IF(H29="not applicable",IF(K29&lt;&gt;"",1,0),IF(I29="yes",IF(H29="verified",1,0),IF(OR(H29="tested",H29="verified"),1,0)))</f>
        <v>1</v>
      </c>
    </row>
    <row r="30" customFormat="false" ht="42" hidden="false" customHeight="true" outlineLevel="0" collapsed="false">
      <c r="A30" s="16" t="s">
        <v>302</v>
      </c>
      <c r="B30" s="16" t="s">
        <v>89</v>
      </c>
      <c r="C30" s="16" t="s">
        <v>166</v>
      </c>
      <c r="D30" s="16" t="s">
        <v>303</v>
      </c>
      <c r="E30" s="16" t="s">
        <v>62</v>
      </c>
      <c r="F30" s="16" t="s">
        <v>131</v>
      </c>
      <c r="G30" s="16" t="s">
        <v>280</v>
      </c>
      <c r="H30" s="16" t="s">
        <v>72</v>
      </c>
      <c r="I30" s="16" t="s">
        <v>73</v>
      </c>
      <c r="J30" s="19" t="n">
        <v>46220</v>
      </c>
      <c r="K30" s="16"/>
      <c r="L30" s="18" t="n">
        <v>1</v>
      </c>
      <c r="M30" s="18" t="n">
        <f aca="false">IF(H30="not applicable",IF(K30&lt;&gt;"",1,0),IF(I30="yes",IF(H30="verified",1,0),IF(OR(H30="tested",H30="verified"),1,0)))</f>
        <v>1</v>
      </c>
    </row>
    <row r="31" customFormat="false" ht="42" hidden="false" customHeight="true" outlineLevel="0" collapsed="false">
      <c r="A31" s="16" t="s">
        <v>304</v>
      </c>
      <c r="B31" s="16" t="s">
        <v>89</v>
      </c>
      <c r="C31" s="16" t="s">
        <v>166</v>
      </c>
      <c r="D31" s="16" t="s">
        <v>305</v>
      </c>
      <c r="E31" s="16" t="s">
        <v>62</v>
      </c>
      <c r="F31" s="16" t="s">
        <v>131</v>
      </c>
      <c r="G31" s="16" t="s">
        <v>280</v>
      </c>
      <c r="H31" s="16" t="s">
        <v>72</v>
      </c>
      <c r="I31" s="16" t="s">
        <v>73</v>
      </c>
      <c r="J31" s="19" t="n">
        <v>46220</v>
      </c>
      <c r="K31" s="16"/>
      <c r="L31" s="18" t="n">
        <v>1</v>
      </c>
      <c r="M31" s="18" t="n">
        <f aca="false">IF(H31="not applicable",IF(K31&lt;&gt;"",1,0),IF(I31="yes",IF(H31="verified",1,0),IF(OR(H31="tested",H31="verified"),1,0)))</f>
        <v>1</v>
      </c>
    </row>
    <row r="32" customFormat="false" ht="42" hidden="false" customHeight="true" outlineLevel="0" collapsed="false">
      <c r="A32" s="16" t="s">
        <v>306</v>
      </c>
      <c r="B32" s="16" t="s">
        <v>89</v>
      </c>
      <c r="C32" s="16" t="s">
        <v>6</v>
      </c>
      <c r="D32" s="16" t="s">
        <v>307</v>
      </c>
      <c r="E32" s="16" t="s">
        <v>62</v>
      </c>
      <c r="F32" s="16" t="s">
        <v>91</v>
      </c>
      <c r="G32" s="16" t="s">
        <v>268</v>
      </c>
      <c r="H32" s="16" t="s">
        <v>65</v>
      </c>
      <c r="I32" s="16" t="s">
        <v>66</v>
      </c>
      <c r="J32" s="19" t="n">
        <v>46220</v>
      </c>
      <c r="K32" s="16"/>
      <c r="L32" s="18" t="n">
        <v>1</v>
      </c>
      <c r="M32" s="18" t="n">
        <f aca="false">IF(H32="not applicable",IF(K32&lt;&gt;"",1,0),IF(I32="yes",IF(H32="verified",1,0),IF(OR(H32="tested",H32="verified"),1,0)))</f>
        <v>1</v>
      </c>
    </row>
    <row r="33" customFormat="false" ht="42" hidden="false" customHeight="true" outlineLevel="0" collapsed="false">
      <c r="A33" s="16" t="s">
        <v>308</v>
      </c>
      <c r="B33" s="16" t="s">
        <v>108</v>
      </c>
      <c r="C33" s="16" t="s">
        <v>166</v>
      </c>
      <c r="D33" s="16" t="s">
        <v>309</v>
      </c>
      <c r="E33" s="16" t="s">
        <v>62</v>
      </c>
      <c r="F33" s="16" t="s">
        <v>110</v>
      </c>
      <c r="G33" s="16" t="s">
        <v>257</v>
      </c>
      <c r="H33" s="16" t="s">
        <v>65</v>
      </c>
      <c r="I33" s="16" t="s">
        <v>66</v>
      </c>
      <c r="J33" s="19" t="n">
        <v>46221</v>
      </c>
      <c r="K33" s="16"/>
      <c r="L33" s="18" t="n">
        <v>1</v>
      </c>
      <c r="M33" s="18" t="n">
        <f aca="false">IF(H33="not applicable",IF(K33&lt;&gt;"",1,0),IF(I33="yes",IF(H33="verified",1,0),IF(OR(H33="tested",H33="verified"),1,0)))</f>
        <v>1</v>
      </c>
    </row>
    <row r="34" customFormat="false" ht="42" hidden="false" customHeight="true" outlineLevel="0" collapsed="false">
      <c r="A34" s="16" t="s">
        <v>310</v>
      </c>
      <c r="B34" s="16" t="s">
        <v>108</v>
      </c>
      <c r="C34" s="16" t="s">
        <v>156</v>
      </c>
      <c r="D34" s="16" t="s">
        <v>311</v>
      </c>
      <c r="E34" s="16" t="s">
        <v>62</v>
      </c>
      <c r="F34" s="16" t="s">
        <v>110</v>
      </c>
      <c r="G34" s="16" t="s">
        <v>113</v>
      </c>
      <c r="H34" s="16" t="s">
        <v>65</v>
      </c>
      <c r="I34" s="16" t="s">
        <v>66</v>
      </c>
      <c r="J34" s="19" t="n">
        <v>46220</v>
      </c>
      <c r="K34" s="16"/>
      <c r="L34" s="18" t="n">
        <v>1</v>
      </c>
      <c r="M34" s="18" t="n">
        <f aca="false">IF(H34="not applicable",IF(K34&lt;&gt;"",1,0),IF(I34="yes",IF(H34="verified",1,0),IF(OR(H34="tested",H34="verified"),1,0)))</f>
        <v>1</v>
      </c>
    </row>
    <row r="35" customFormat="false" ht="42" hidden="false" customHeight="true" outlineLevel="0" collapsed="false">
      <c r="A35" s="16" t="s">
        <v>312</v>
      </c>
      <c r="B35" s="16" t="s">
        <v>108</v>
      </c>
      <c r="C35" s="16" t="s">
        <v>6</v>
      </c>
      <c r="D35" s="16" t="s">
        <v>313</v>
      </c>
      <c r="E35" s="16" t="s">
        <v>62</v>
      </c>
      <c r="F35" s="16" t="s">
        <v>110</v>
      </c>
      <c r="G35" s="16" t="s">
        <v>268</v>
      </c>
      <c r="H35" s="16" t="s">
        <v>65</v>
      </c>
      <c r="I35" s="16" t="s">
        <v>66</v>
      </c>
      <c r="J35" s="19" t="n">
        <v>46221</v>
      </c>
      <c r="K35" s="16"/>
      <c r="L35" s="18" t="n">
        <v>1</v>
      </c>
      <c r="M35" s="18" t="n">
        <f aca="false">IF(H35="not applicable",IF(K35&lt;&gt;"",1,0),IF(I35="yes",IF(H35="verified",1,0),IF(OR(H35="tested",H35="verified"),1,0)))</f>
        <v>1</v>
      </c>
    </row>
    <row r="36" customFormat="false" ht="42" hidden="false" customHeight="true" outlineLevel="0" collapsed="false">
      <c r="A36" s="16" t="s">
        <v>314</v>
      </c>
      <c r="B36" s="16" t="s">
        <v>108</v>
      </c>
      <c r="C36" s="16" t="s">
        <v>187</v>
      </c>
      <c r="D36" s="16" t="s">
        <v>315</v>
      </c>
      <c r="E36" s="16" t="s">
        <v>62</v>
      </c>
      <c r="F36" s="16" t="s">
        <v>110</v>
      </c>
      <c r="G36" s="16" t="s">
        <v>268</v>
      </c>
      <c r="H36" s="16" t="s">
        <v>65</v>
      </c>
      <c r="I36" s="16" t="s">
        <v>66</v>
      </c>
      <c r="J36" s="19" t="n">
        <v>46220</v>
      </c>
      <c r="K36" s="16"/>
      <c r="L36" s="18" t="n">
        <v>1</v>
      </c>
      <c r="M36" s="18" t="n">
        <f aca="false">IF(H36="not applicable",IF(K36&lt;&gt;"",1,0),IF(I36="yes",IF(H36="verified",1,0),IF(OR(H36="tested",H36="verified"),1,0)))</f>
        <v>1</v>
      </c>
    </row>
    <row r="37" customFormat="false" ht="42" hidden="false" customHeight="true" outlineLevel="0" collapsed="false">
      <c r="A37" s="16" t="s">
        <v>316</v>
      </c>
      <c r="B37" s="16" t="s">
        <v>108</v>
      </c>
      <c r="C37" s="16" t="s">
        <v>166</v>
      </c>
      <c r="D37" s="16" t="s">
        <v>317</v>
      </c>
      <c r="E37" s="16" t="s">
        <v>62</v>
      </c>
      <c r="F37" s="16" t="s">
        <v>110</v>
      </c>
      <c r="G37" s="16" t="s">
        <v>121</v>
      </c>
      <c r="H37" s="16" t="s">
        <v>72</v>
      </c>
      <c r="I37" s="16" t="s">
        <v>73</v>
      </c>
      <c r="J37" s="19" t="n">
        <v>46220</v>
      </c>
      <c r="K37" s="16"/>
      <c r="L37" s="18" t="n">
        <v>1</v>
      </c>
      <c r="M37" s="18" t="n">
        <f aca="false">IF(H37="not applicable",IF(K37&lt;&gt;"",1,0),IF(I37="yes",IF(H37="verified",1,0),IF(OR(H37="tested",H37="verified"),1,0)))</f>
        <v>1</v>
      </c>
    </row>
    <row r="38" customFormat="false" ht="42" hidden="false" customHeight="true" outlineLevel="0" collapsed="false">
      <c r="A38" s="16" t="s">
        <v>318</v>
      </c>
      <c r="B38" s="16" t="s">
        <v>108</v>
      </c>
      <c r="C38" s="16" t="s">
        <v>166</v>
      </c>
      <c r="D38" s="16" t="s">
        <v>319</v>
      </c>
      <c r="E38" s="16" t="s">
        <v>62</v>
      </c>
      <c r="F38" s="16" t="s">
        <v>110</v>
      </c>
      <c r="G38" s="16" t="s">
        <v>223</v>
      </c>
      <c r="H38" s="16" t="s">
        <v>65</v>
      </c>
      <c r="I38" s="16" t="s">
        <v>66</v>
      </c>
      <c r="J38" s="19" t="n">
        <v>46221</v>
      </c>
      <c r="K38" s="16"/>
      <c r="L38" s="18" t="n">
        <v>1</v>
      </c>
      <c r="M38" s="18" t="n">
        <f aca="false">IF(H38="not applicable",IF(K38&lt;&gt;"",1,0),IF(I38="yes",IF(H38="verified",1,0),IF(OR(H38="tested",H38="verified"),1,0)))</f>
        <v>1</v>
      </c>
    </row>
    <row r="39" customFormat="false" ht="42" hidden="false" customHeight="true" outlineLevel="0" collapsed="false">
      <c r="A39" s="16" t="s">
        <v>320</v>
      </c>
      <c r="B39" s="16" t="s">
        <v>108</v>
      </c>
      <c r="C39" s="16" t="s">
        <v>6</v>
      </c>
      <c r="D39" s="16" t="s">
        <v>225</v>
      </c>
      <c r="E39" s="16" t="s">
        <v>62</v>
      </c>
      <c r="F39" s="16" t="s">
        <v>110</v>
      </c>
      <c r="G39" s="16" t="s">
        <v>127</v>
      </c>
      <c r="H39" s="16" t="s">
        <v>65</v>
      </c>
      <c r="I39" s="16" t="s">
        <v>66</v>
      </c>
      <c r="J39" s="19" t="n">
        <v>46220</v>
      </c>
      <c r="K39" s="16"/>
      <c r="L39" s="18" t="n">
        <v>1</v>
      </c>
      <c r="M39" s="18" t="n">
        <f aca="false">IF(H39="not applicable",IF(K39&lt;&gt;"",1,0),IF(I39="yes",IF(H39="verified",1,0),IF(OR(H39="tested",H39="verified"),1,0)))</f>
        <v>1</v>
      </c>
    </row>
    <row r="40" customFormat="false" ht="42" hidden="false" customHeight="true" outlineLevel="0" collapsed="false">
      <c r="A40" s="16" t="s">
        <v>321</v>
      </c>
      <c r="B40" s="16" t="s">
        <v>129</v>
      </c>
      <c r="C40" s="16" t="s">
        <v>6</v>
      </c>
      <c r="D40" s="16" t="s">
        <v>322</v>
      </c>
      <c r="E40" s="16" t="s">
        <v>62</v>
      </c>
      <c r="F40" s="16" t="s">
        <v>131</v>
      </c>
      <c r="G40" s="16" t="s">
        <v>280</v>
      </c>
      <c r="H40" s="16" t="s">
        <v>65</v>
      </c>
      <c r="I40" s="16" t="s">
        <v>66</v>
      </c>
      <c r="J40" s="19" t="n">
        <v>46220</v>
      </c>
      <c r="K40" s="16"/>
      <c r="L40" s="18" t="n">
        <v>1</v>
      </c>
      <c r="M40" s="18" t="n">
        <f aca="false">IF(H40="not applicable",IF(K40&lt;&gt;"",1,0),IF(I40="yes",IF(H40="verified",1,0),IF(OR(H40="tested",H40="verified"),1,0)))</f>
        <v>1</v>
      </c>
    </row>
    <row r="41" customFormat="false" ht="42" hidden="false" customHeight="true" outlineLevel="0" collapsed="false">
      <c r="A41" s="16" t="s">
        <v>323</v>
      </c>
      <c r="B41" s="16" t="s">
        <v>129</v>
      </c>
      <c r="C41" s="16" t="s">
        <v>166</v>
      </c>
      <c r="D41" s="16" t="s">
        <v>324</v>
      </c>
      <c r="E41" s="16" t="s">
        <v>62</v>
      </c>
      <c r="F41" s="16" t="s">
        <v>131</v>
      </c>
      <c r="G41" s="16" t="s">
        <v>280</v>
      </c>
      <c r="H41" s="16" t="s">
        <v>72</v>
      </c>
      <c r="I41" s="16" t="s">
        <v>73</v>
      </c>
      <c r="J41" s="19" t="n">
        <v>46220</v>
      </c>
      <c r="K41" s="16"/>
      <c r="L41" s="18" t="n">
        <v>1</v>
      </c>
      <c r="M41" s="18" t="n">
        <f aca="false">IF(H41="not applicable",IF(K41&lt;&gt;"",1,0),IF(I41="yes",IF(H41="verified",1,0),IF(OR(H41="tested",H41="verified"),1,0)))</f>
        <v>1</v>
      </c>
    </row>
    <row r="42" customFormat="false" ht="42" hidden="false" customHeight="true" outlineLevel="0" collapsed="false">
      <c r="A42" s="16" t="s">
        <v>325</v>
      </c>
      <c r="B42" s="16" t="s">
        <v>135</v>
      </c>
      <c r="C42" s="16" t="s">
        <v>6</v>
      </c>
      <c r="D42" s="16" t="s">
        <v>326</v>
      </c>
      <c r="E42" s="16" t="s">
        <v>62</v>
      </c>
      <c r="F42" s="16" t="s">
        <v>137</v>
      </c>
      <c r="G42" s="16" t="s">
        <v>327</v>
      </c>
      <c r="H42" s="16" t="s">
        <v>72</v>
      </c>
      <c r="I42" s="16" t="s">
        <v>73</v>
      </c>
      <c r="J42" s="19" t="n">
        <v>46221</v>
      </c>
      <c r="K42" s="16"/>
      <c r="L42" s="18" t="n">
        <v>1</v>
      </c>
      <c r="M42" s="18" t="n">
        <f aca="false">IF(H42="not applicable",IF(K42&lt;&gt;"",1,0),IF(I42="yes",IF(H42="verified",1,0),IF(OR(H42="tested",H42="verified"),1,0)))</f>
        <v>1</v>
      </c>
    </row>
    <row r="43" customFormat="false" ht="42" hidden="false" customHeight="true" outlineLevel="0" collapsed="false">
      <c r="A43" s="16" t="s">
        <v>328</v>
      </c>
      <c r="B43" s="16" t="s">
        <v>135</v>
      </c>
      <c r="C43" s="16" t="s">
        <v>6</v>
      </c>
      <c r="D43" s="16" t="s">
        <v>329</v>
      </c>
      <c r="E43" s="16" t="s">
        <v>62</v>
      </c>
      <c r="F43" s="16" t="s">
        <v>137</v>
      </c>
      <c r="G43" s="16" t="s">
        <v>330</v>
      </c>
      <c r="H43" s="16" t="s">
        <v>65</v>
      </c>
      <c r="I43" s="16" t="s">
        <v>66</v>
      </c>
      <c r="J43" s="19" t="n">
        <v>46221</v>
      </c>
      <c r="K43" s="16"/>
      <c r="L43" s="18" t="n">
        <v>1</v>
      </c>
      <c r="M43" s="18" t="n">
        <f aca="false">IF(H43="not applicable",IF(K43&lt;&gt;"",1,0),IF(I43="yes",IF(H43="verified",1,0),IF(OR(H43="tested",H43="verified"),1,0)))</f>
        <v>1</v>
      </c>
    </row>
    <row r="44" customFormat="false" ht="42" hidden="false" customHeight="true" outlineLevel="0" collapsed="false">
      <c r="A44" s="16" t="s">
        <v>331</v>
      </c>
      <c r="B44" s="16" t="s">
        <v>143</v>
      </c>
      <c r="C44" s="16" t="s">
        <v>6</v>
      </c>
      <c r="D44" s="16" t="s">
        <v>332</v>
      </c>
      <c r="E44" s="16" t="s">
        <v>145</v>
      </c>
      <c r="F44" s="16" t="s">
        <v>145</v>
      </c>
      <c r="G44" s="16" t="s">
        <v>146</v>
      </c>
      <c r="H44" s="16" t="s">
        <v>72</v>
      </c>
      <c r="I44" s="16" t="s">
        <v>73</v>
      </c>
      <c r="J44" s="19" t="n">
        <v>46220</v>
      </c>
      <c r="K44" s="16"/>
      <c r="L44" s="18" t="n">
        <v>1</v>
      </c>
      <c r="M44" s="18" t="n">
        <f aca="false">IF(H44="not applicable",IF(K44&lt;&gt;"",1,0),IF(I44="yes",IF(H44="verified",1,0),IF(OR(H44="tested",H44="verified"),1,0)))</f>
        <v>1</v>
      </c>
    </row>
    <row r="45" customFormat="false" ht="42" hidden="false" customHeight="true" outlineLevel="0" collapsed="false">
      <c r="A45" s="16" t="s">
        <v>333</v>
      </c>
      <c r="B45" s="16" t="s">
        <v>148</v>
      </c>
      <c r="C45" s="16" t="s">
        <v>334</v>
      </c>
      <c r="D45" s="16" t="s">
        <v>335</v>
      </c>
      <c r="E45" s="16" t="s">
        <v>150</v>
      </c>
      <c r="F45" s="16" t="s">
        <v>151</v>
      </c>
      <c r="G45" s="16" t="s">
        <v>242</v>
      </c>
      <c r="H45" s="16" t="s">
        <v>243</v>
      </c>
      <c r="I45" s="16" t="s">
        <v>73</v>
      </c>
      <c r="J45" s="19" t="n">
        <v>46220</v>
      </c>
      <c r="K45" s="16" t="s">
        <v>336</v>
      </c>
      <c r="L45" s="18" t="n">
        <v>1</v>
      </c>
      <c r="M45" s="18" t="n">
        <f aca="false">IF(H45="not applicable",IF(K45&lt;&gt;"",1,0),IF(I45="yes",IF(H45="verified",1,0),IF(OR(H45="tested",H45="verified"),1,0)))</f>
        <v>0</v>
      </c>
    </row>
  </sheetData>
  <autoFilter ref="A8:M45"/>
  <mergeCells count="3">
    <mergeCell ref="A1:M1"/>
    <mergeCell ref="A2:M2"/>
    <mergeCell ref="A6:M6"/>
  </mergeCells>
  <conditionalFormatting sqref="H9:H45">
    <cfRule type="expression" priority="2" aboveAverage="0" equalAverage="0" bottom="0" percent="0" rank="0" text="" dxfId="6">
      <formula>$H9="not started"</formula>
    </cfRule>
    <cfRule type="expression" priority="3" aboveAverage="0" equalAverage="0" bottom="0" percent="0" rank="0" text="" dxfId="7">
      <formula>$H9="partial"</formula>
    </cfRule>
    <cfRule type="expression" priority="4" aboveAverage="0" equalAverage="0" bottom="0" percent="0" rank="0" text="" dxfId="8">
      <formula>$H9="implemented"</formula>
    </cfRule>
    <cfRule type="expression" priority="5" aboveAverage="0" equalAverage="0" bottom="0" percent="0" rank="0" text="" dxfId="9">
      <formula>$H9="tested"</formula>
    </cfRule>
    <cfRule type="expression" priority="6" aboveAverage="0" equalAverage="0" bottom="0" percent="0" rank="0" text="" dxfId="10">
      <formula>$H9="verified"</formula>
    </cfRule>
    <cfRule type="expression" priority="7" aboveAverage="0" equalAverage="0" bottom="0" percent="0" rank="0" text="" dxfId="11">
      <formula>$H9="blocked"</formula>
    </cfRule>
    <cfRule type="expression" priority="8" aboveAverage="0" equalAverage="0" bottom="0" percent="0" rank="0" text="" dxfId="12">
      <formula>$H9="not applicable"</formula>
    </cfRule>
  </conditionalFormatting>
  <dataValidations count="2">
    <dataValidation allowBlank="false" errorStyle="stop" operator="between" showDropDown="false" showErrorMessage="false" showInputMessage="false" sqref="H9:H45" type="list">
      <formula1>_Lists!$A$1:$A$7</formula1>
      <formula2>0</formula2>
    </dataValidation>
    <dataValidation allowBlank="false" errorStyle="stop" operator="between" showDropDown="false" showErrorMessage="false" showInputMessage="false" sqref="I9:I45" type="list">
      <formula1>_Lists!$B$1:$B$2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046875" defaultRowHeight="15" customHeight="false" zeroHeight="false" outlineLevelRow="0" outlineLevelCol="0"/>
  <sheetData>
    <row r="1" customFormat="false" ht="15" hidden="false" customHeight="true" outlineLevel="0" collapsed="false">
      <c r="A1" s="1" t="s">
        <v>152</v>
      </c>
      <c r="B1" s="1" t="s">
        <v>73</v>
      </c>
    </row>
    <row r="2" customFormat="false" ht="15" hidden="false" customHeight="true" outlineLevel="0" collapsed="false">
      <c r="A2" s="1" t="s">
        <v>337</v>
      </c>
      <c r="B2" s="1" t="s">
        <v>66</v>
      </c>
    </row>
    <row r="3" customFormat="false" ht="15" hidden="false" customHeight="true" outlineLevel="0" collapsed="false">
      <c r="A3" s="1" t="s">
        <v>338</v>
      </c>
    </row>
    <row r="4" customFormat="false" ht="15" hidden="false" customHeight="true" outlineLevel="0" collapsed="false">
      <c r="A4" s="1" t="s">
        <v>65</v>
      </c>
    </row>
    <row r="5" customFormat="false" ht="15" hidden="false" customHeight="true" outlineLevel="0" collapsed="false">
      <c r="A5" s="1" t="s">
        <v>72</v>
      </c>
    </row>
    <row r="6" customFormat="false" ht="15" hidden="false" customHeight="true" outlineLevel="0" collapsed="false">
      <c r="A6" s="1" t="s">
        <v>243</v>
      </c>
    </row>
    <row r="7" customFormat="false" ht="15" hidden="false" customHeight="true" outlineLevel="0" collapsed="false">
      <c r="A7" s="1" t="s">
        <v>339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04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54"/>
    <col collapsed="false" customWidth="true" hidden="false" outlineLevel="0" max="5" min="5" style="1" width="12"/>
    <col collapsed="false" customWidth="true" hidden="false" outlineLevel="0" max="6" min="6" style="1" width="16"/>
    <col collapsed="false" customWidth="true" hidden="false" outlineLevel="0" max="7" min="7" style="1" width="30"/>
    <col collapsed="false" customWidth="true" hidden="false" outlineLevel="0" max="8" min="8" style="1" width="18"/>
    <col collapsed="false" customWidth="true" hidden="false" outlineLevel="0" max="9" min="9" style="1" width="14"/>
    <col collapsed="false" customWidth="true" hidden="false" outlineLevel="0" max="10" min="10" style="1" width="15"/>
    <col collapsed="false" customWidth="true" hidden="false" outlineLevel="0" max="11" min="11" style="1" width="32"/>
    <col collapsed="false" customWidth="true" hidden="false" outlineLevel="0" max="12" min="12" style="1" width="9"/>
    <col collapsed="false" customWidth="true" hidden="false" outlineLevel="0" max="13" min="13" style="1" width="10"/>
  </cols>
  <sheetData>
    <row r="1" customFormat="false" ht="33.75" hidden="false" customHeight="true" outlineLevel="0" collapsed="false">
      <c r="A1" s="2" t="s">
        <v>340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33.75" hidden="false" customHeight="true" outlineLevel="0" collapsed="false">
      <c r="A2" s="3" t="s">
        <v>341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4" customFormat="false" ht="15" hidden="false" customHeight="true" outlineLevel="0" collapsed="false">
      <c r="A4" s="4" t="s">
        <v>7</v>
      </c>
      <c r="B4" s="5" t="n">
        <f aca="false">COUNTA(A9:A47)</f>
        <v>39</v>
      </c>
      <c r="C4" s="4" t="s">
        <v>46</v>
      </c>
      <c r="D4" s="5" t="n">
        <f aca="false">SUM(M9:M47)</f>
        <v>31</v>
      </c>
      <c r="E4" s="4" t="s">
        <v>14</v>
      </c>
      <c r="F4" s="6" t="n">
        <f aca="false">IFERROR(D4/SUM(L9:L47),0)</f>
        <v>0.794871794871795</v>
      </c>
      <c r="G4" s="4" t="s">
        <v>4</v>
      </c>
      <c r="H4" s="5" t="n">
        <f aca="false">COUNTIF(H9:H47,"blocked")</f>
        <v>1</v>
      </c>
      <c r="I4" s="4" t="s">
        <v>15</v>
      </c>
      <c r="J4" s="5" t="str">
        <f aca="false">IF(COUNTIFS(E9:E47,"package",M9:M47,"&lt;1")=0,"complete","open")</f>
        <v>open</v>
      </c>
      <c r="K4" s="4" t="s">
        <v>17</v>
      </c>
      <c r="L4" s="5" t="str">
        <f aca="false">IF(COUNTIFS(E9:E47,"retirement",M9:M47,"&lt;1")=0,"complete","open")</f>
        <v>open</v>
      </c>
    </row>
    <row r="6" customFormat="false" ht="15" hidden="false" customHeight="true" outlineLevel="0" collapsed="false">
      <c r="A6" s="15" t="s">
        <v>47</v>
      </c>
      <c r="B6" s="15"/>
      <c r="C6" s="15"/>
      <c r="D6" s="15"/>
      <c r="E6" s="15"/>
      <c r="F6" s="15"/>
      <c r="G6" s="15"/>
      <c r="H6" s="15"/>
      <c r="I6" s="15"/>
      <c r="J6" s="15"/>
      <c r="K6" s="15"/>
      <c r="L6" s="15"/>
      <c r="M6" s="15"/>
    </row>
    <row r="8" customFormat="false" ht="33.75" hidden="false" customHeight="true" outlineLevel="0" collapsed="false">
      <c r="A8" s="7" t="s">
        <v>48</v>
      </c>
      <c r="B8" s="7" t="s">
        <v>49</v>
      </c>
      <c r="C8" s="7" t="s">
        <v>50</v>
      </c>
      <c r="D8" s="7" t="s">
        <v>51</v>
      </c>
      <c r="E8" s="7" t="s">
        <v>52</v>
      </c>
      <c r="F8" s="7" t="s">
        <v>53</v>
      </c>
      <c r="G8" s="7" t="s">
        <v>54</v>
      </c>
      <c r="H8" s="7" t="s">
        <v>18</v>
      </c>
      <c r="I8" s="7" t="s">
        <v>55</v>
      </c>
      <c r="J8" s="7" t="s">
        <v>56</v>
      </c>
      <c r="K8" s="7" t="s">
        <v>57</v>
      </c>
      <c r="L8" s="7" t="s">
        <v>58</v>
      </c>
      <c r="M8" s="7" t="s">
        <v>46</v>
      </c>
    </row>
    <row r="9" customFormat="false" ht="42" hidden="false" customHeight="true" outlineLevel="0" collapsed="false">
      <c r="A9" s="16" t="s">
        <v>342</v>
      </c>
      <c r="B9" s="16" t="s">
        <v>60</v>
      </c>
      <c r="C9" s="16" t="s">
        <v>6</v>
      </c>
      <c r="D9" s="16" t="s">
        <v>343</v>
      </c>
      <c r="E9" s="16" t="s">
        <v>62</v>
      </c>
      <c r="F9" s="16" t="s">
        <v>63</v>
      </c>
      <c r="G9" s="10" t="s">
        <v>344</v>
      </c>
      <c r="H9" s="16" t="s">
        <v>65</v>
      </c>
      <c r="I9" s="16" t="s">
        <v>66</v>
      </c>
      <c r="J9" s="19" t="n">
        <v>46221</v>
      </c>
      <c r="K9" s="16"/>
      <c r="L9" s="18" t="n">
        <v>1</v>
      </c>
      <c r="M9" s="18" t="n">
        <f aca="false">IF(H9="not applicable",IF(K9&lt;&gt;"",1,0),IF(I9="yes",IF(H9="verified",1,0),IF(OR(H9="tested",H9="verified"),1,0)))</f>
        <v>1</v>
      </c>
    </row>
    <row r="10" customFormat="false" ht="42" hidden="false" customHeight="true" outlineLevel="0" collapsed="false">
      <c r="A10" s="16" t="s">
        <v>345</v>
      </c>
      <c r="B10" s="16" t="s">
        <v>68</v>
      </c>
      <c r="C10" s="16" t="s">
        <v>6</v>
      </c>
      <c r="D10" s="16" t="s">
        <v>346</v>
      </c>
      <c r="E10" s="16" t="s">
        <v>62</v>
      </c>
      <c r="F10" s="16" t="s">
        <v>70</v>
      </c>
      <c r="G10" s="10" t="s">
        <v>347</v>
      </c>
      <c r="H10" s="16" t="s">
        <v>72</v>
      </c>
      <c r="I10" s="16" t="s">
        <v>73</v>
      </c>
      <c r="J10" s="19" t="n">
        <v>46221</v>
      </c>
      <c r="K10" s="16"/>
      <c r="L10" s="18" t="n">
        <v>1</v>
      </c>
      <c r="M10" s="18" t="n">
        <f aca="false">IF(H10="not applicable",IF(K10&lt;&gt;"",1,0),IF(I10="yes",IF(H10="verified",1,0),IF(OR(H10="tested",H10="verified"),1,0)))</f>
        <v>1</v>
      </c>
    </row>
    <row r="11" customFormat="false" ht="42" hidden="false" customHeight="true" outlineLevel="0" collapsed="false">
      <c r="A11" s="16" t="s">
        <v>348</v>
      </c>
      <c r="B11" s="16" t="s">
        <v>60</v>
      </c>
      <c r="C11" s="16" t="s">
        <v>156</v>
      </c>
      <c r="D11" s="16" t="s">
        <v>349</v>
      </c>
      <c r="E11" s="16" t="s">
        <v>62</v>
      </c>
      <c r="F11" s="16" t="s">
        <v>76</v>
      </c>
      <c r="G11" s="10" t="s">
        <v>113</v>
      </c>
      <c r="H11" s="16" t="s">
        <v>65</v>
      </c>
      <c r="I11" s="16" t="s">
        <v>66</v>
      </c>
      <c r="J11" s="19" t="n">
        <v>46221</v>
      </c>
      <c r="K11" s="16"/>
      <c r="L11" s="18" t="n">
        <v>1</v>
      </c>
      <c r="M11" s="18" t="n">
        <f aca="false">IF(H11="not applicable",IF(K11&lt;&gt;"",1,0),IF(I11="yes",IF(H11="verified",1,0),IF(OR(H11="tested",H11="verified"),1,0)))</f>
        <v>1</v>
      </c>
    </row>
    <row r="12" customFormat="false" ht="42" hidden="false" customHeight="true" outlineLevel="0" collapsed="false">
      <c r="A12" s="16" t="s">
        <v>350</v>
      </c>
      <c r="B12" s="16" t="s">
        <v>40</v>
      </c>
      <c r="C12" s="16" t="s">
        <v>170</v>
      </c>
      <c r="D12" s="16" t="s">
        <v>351</v>
      </c>
      <c r="E12" s="16" t="s">
        <v>62</v>
      </c>
      <c r="F12" s="16" t="s">
        <v>110</v>
      </c>
      <c r="G12" s="10" t="s">
        <v>352</v>
      </c>
      <c r="H12" s="16" t="s">
        <v>65</v>
      </c>
      <c r="I12" s="16" t="s">
        <v>66</v>
      </c>
      <c r="J12" s="19" t="n">
        <v>46221</v>
      </c>
      <c r="K12" s="16"/>
      <c r="L12" s="18" t="n">
        <v>1</v>
      </c>
      <c r="M12" s="18" t="n">
        <f aca="false">IF(H12="not applicable",IF(K12&lt;&gt;"",1,0),IF(I12="yes",IF(H12="verified",1,0),IF(OR(H12="tested",H12="verified"),1,0)))</f>
        <v>1</v>
      </c>
    </row>
    <row r="13" customFormat="false" ht="42" hidden="false" customHeight="true" outlineLevel="0" collapsed="false">
      <c r="A13" s="16" t="s">
        <v>353</v>
      </c>
      <c r="B13" s="16" t="s">
        <v>40</v>
      </c>
      <c r="C13" s="16" t="s">
        <v>259</v>
      </c>
      <c r="D13" s="16" t="s">
        <v>260</v>
      </c>
      <c r="E13" s="16" t="s">
        <v>62</v>
      </c>
      <c r="F13" s="16" t="s">
        <v>110</v>
      </c>
      <c r="G13" s="10" t="s">
        <v>352</v>
      </c>
      <c r="H13" s="16" t="s">
        <v>65</v>
      </c>
      <c r="I13" s="16" t="s">
        <v>66</v>
      </c>
      <c r="J13" s="19" t="n">
        <v>46221</v>
      </c>
      <c r="K13" s="16"/>
      <c r="L13" s="18" t="n">
        <v>1</v>
      </c>
      <c r="M13" s="18" t="n">
        <f aca="false">IF(H13="not applicable",IF(K13&lt;&gt;"",1,0),IF(I13="yes",IF(H13="verified",1,0),IF(OR(H13="tested",H13="verified"),1,0)))</f>
        <v>1</v>
      </c>
    </row>
    <row r="14" customFormat="false" ht="42" hidden="false" customHeight="true" outlineLevel="0" collapsed="false">
      <c r="A14" s="16" t="s">
        <v>354</v>
      </c>
      <c r="B14" s="16" t="s">
        <v>40</v>
      </c>
      <c r="C14" s="16" t="s">
        <v>262</v>
      </c>
      <c r="D14" s="16" t="s">
        <v>263</v>
      </c>
      <c r="E14" s="16" t="s">
        <v>62</v>
      </c>
      <c r="F14" s="16" t="s">
        <v>110</v>
      </c>
      <c r="G14" s="10" t="s">
        <v>352</v>
      </c>
      <c r="H14" s="16" t="s">
        <v>65</v>
      </c>
      <c r="I14" s="16" t="s">
        <v>66</v>
      </c>
      <c r="J14" s="19" t="n">
        <v>46221</v>
      </c>
      <c r="K14" s="16"/>
      <c r="L14" s="18" t="n">
        <v>1</v>
      </c>
      <c r="M14" s="18" t="n">
        <f aca="false">IF(H14="not applicable",IF(K14&lt;&gt;"",1,0),IF(I14="yes",IF(H14="verified",1,0),IF(OR(H14="tested",H14="verified"),1,0)))</f>
        <v>1</v>
      </c>
    </row>
    <row r="15" customFormat="false" ht="42" hidden="false" customHeight="true" outlineLevel="0" collapsed="false">
      <c r="A15" s="16" t="s">
        <v>355</v>
      </c>
      <c r="B15" s="16" t="s">
        <v>40</v>
      </c>
      <c r="C15" s="16" t="s">
        <v>266</v>
      </c>
      <c r="D15" s="16" t="s">
        <v>356</v>
      </c>
      <c r="E15" s="16" t="s">
        <v>62</v>
      </c>
      <c r="F15" s="16" t="s">
        <v>110</v>
      </c>
      <c r="G15" s="10" t="s">
        <v>357</v>
      </c>
      <c r="H15" s="16" t="s">
        <v>65</v>
      </c>
      <c r="I15" s="16" t="s">
        <v>66</v>
      </c>
      <c r="J15" s="19" t="n">
        <v>46221</v>
      </c>
      <c r="K15" s="16"/>
      <c r="L15" s="18" t="n">
        <v>1</v>
      </c>
      <c r="M15" s="18" t="n">
        <f aca="false">IF(H15="not applicable",IF(K15&lt;&gt;"",1,0),IF(I15="yes",IF(H15="verified",1,0),IF(OR(H15="tested",H15="verified"),1,0)))</f>
        <v>1</v>
      </c>
    </row>
    <row r="16" customFormat="false" ht="42" hidden="false" customHeight="true" outlineLevel="0" collapsed="false">
      <c r="A16" s="16" t="s">
        <v>358</v>
      </c>
      <c r="B16" s="16" t="s">
        <v>40</v>
      </c>
      <c r="C16" s="16" t="s">
        <v>187</v>
      </c>
      <c r="D16" s="16" t="s">
        <v>359</v>
      </c>
      <c r="E16" s="16" t="s">
        <v>62</v>
      </c>
      <c r="F16" s="16" t="s">
        <v>110</v>
      </c>
      <c r="G16" s="10" t="s">
        <v>352</v>
      </c>
      <c r="H16" s="16" t="s">
        <v>65</v>
      </c>
      <c r="I16" s="16" t="s">
        <v>66</v>
      </c>
      <c r="J16" s="19" t="n">
        <v>46221</v>
      </c>
      <c r="K16" s="16"/>
      <c r="L16" s="18" t="n">
        <v>1</v>
      </c>
      <c r="M16" s="18" t="n">
        <f aca="false">IF(H16="not applicable",IF(K16&lt;&gt;"",1,0),IF(I16="yes",IF(H16="verified",1,0),IF(OR(H16="tested",H16="verified"),1,0)))</f>
        <v>1</v>
      </c>
    </row>
    <row r="17" customFormat="false" ht="42" hidden="false" customHeight="true" outlineLevel="0" collapsed="false">
      <c r="A17" s="16" t="s">
        <v>360</v>
      </c>
      <c r="B17" s="16" t="s">
        <v>40</v>
      </c>
      <c r="C17" s="16" t="s">
        <v>173</v>
      </c>
      <c r="D17" s="16" t="s">
        <v>361</v>
      </c>
      <c r="E17" s="16" t="s">
        <v>62</v>
      </c>
      <c r="F17" s="16" t="s">
        <v>110</v>
      </c>
      <c r="G17" s="10" t="s">
        <v>352</v>
      </c>
      <c r="H17" s="16" t="s">
        <v>65</v>
      </c>
      <c r="I17" s="16" t="s">
        <v>66</v>
      </c>
      <c r="J17" s="19" t="n">
        <v>46221</v>
      </c>
      <c r="K17" s="16"/>
      <c r="L17" s="18" t="n">
        <v>1</v>
      </c>
      <c r="M17" s="18" t="n">
        <f aca="false">IF(H17="not applicable",IF(K17&lt;&gt;"",1,0),IF(I17="yes",IF(H17="verified",1,0),IF(OR(H17="tested",H17="verified"),1,0)))</f>
        <v>1</v>
      </c>
    </row>
    <row r="18" customFormat="false" ht="42" hidden="false" customHeight="true" outlineLevel="0" collapsed="false">
      <c r="A18" s="16" t="s">
        <v>362</v>
      </c>
      <c r="B18" s="16" t="s">
        <v>40</v>
      </c>
      <c r="C18" s="16" t="s">
        <v>177</v>
      </c>
      <c r="D18" s="16" t="s">
        <v>274</v>
      </c>
      <c r="E18" s="16" t="s">
        <v>62</v>
      </c>
      <c r="F18" s="16" t="s">
        <v>110</v>
      </c>
      <c r="G18" s="10" t="s">
        <v>352</v>
      </c>
      <c r="H18" s="16" t="s">
        <v>65</v>
      </c>
      <c r="I18" s="16" t="s">
        <v>66</v>
      </c>
      <c r="J18" s="19" t="n">
        <v>46221</v>
      </c>
      <c r="K18" s="16"/>
      <c r="L18" s="18" t="n">
        <v>1</v>
      </c>
      <c r="M18" s="18" t="n">
        <f aca="false">IF(H18="not applicable",IF(K18&lt;&gt;"",1,0),IF(I18="yes",IF(H18="verified",1,0),IF(OR(H18="tested",H18="verified"),1,0)))</f>
        <v>1</v>
      </c>
    </row>
    <row r="19" customFormat="false" ht="42" hidden="false" customHeight="true" outlineLevel="0" collapsed="false">
      <c r="A19" s="16" t="s">
        <v>363</v>
      </c>
      <c r="B19" s="16" t="s">
        <v>40</v>
      </c>
      <c r="C19" s="16" t="s">
        <v>180</v>
      </c>
      <c r="D19" s="16" t="s">
        <v>364</v>
      </c>
      <c r="E19" s="16" t="s">
        <v>62</v>
      </c>
      <c r="F19" s="16" t="s">
        <v>110</v>
      </c>
      <c r="G19" s="10" t="s">
        <v>352</v>
      </c>
      <c r="H19" s="16" t="s">
        <v>65</v>
      </c>
      <c r="I19" s="16" t="s">
        <v>66</v>
      </c>
      <c r="J19" s="19" t="n">
        <v>46221</v>
      </c>
      <c r="K19" s="16"/>
      <c r="L19" s="18" t="n">
        <v>1</v>
      </c>
      <c r="M19" s="18" t="n">
        <f aca="false">IF(H19="not applicable",IF(K19&lt;&gt;"",1,0),IF(I19="yes",IF(H19="verified",1,0),IF(OR(H19="tested",H19="verified"),1,0)))</f>
        <v>1</v>
      </c>
    </row>
    <row r="20" customFormat="false" ht="42" hidden="false" customHeight="true" outlineLevel="0" collapsed="false">
      <c r="A20" s="16" t="s">
        <v>365</v>
      </c>
      <c r="B20" s="16" t="s">
        <v>40</v>
      </c>
      <c r="C20" s="16" t="s">
        <v>278</v>
      </c>
      <c r="D20" s="16" t="s">
        <v>366</v>
      </c>
      <c r="E20" s="16" t="s">
        <v>62</v>
      </c>
      <c r="F20" s="16" t="s">
        <v>131</v>
      </c>
      <c r="G20" s="10" t="s">
        <v>367</v>
      </c>
      <c r="H20" s="16" t="s">
        <v>337</v>
      </c>
      <c r="I20" s="16" t="s">
        <v>73</v>
      </c>
      <c r="J20" s="19"/>
      <c r="K20" s="16" t="s">
        <v>368</v>
      </c>
      <c r="L20" s="18" t="n">
        <v>1</v>
      </c>
      <c r="M20" s="18" t="n">
        <f aca="false">IF(H20="not applicable",IF(K20&lt;&gt;"",1,0),IF(I20="yes",IF(H20="verified",1,0),IF(OR(H20="tested",H20="verified"),1,0)))</f>
        <v>0</v>
      </c>
    </row>
    <row r="21" customFormat="false" ht="42" hidden="false" customHeight="true" outlineLevel="0" collapsed="false">
      <c r="A21" s="16" t="s">
        <v>369</v>
      </c>
      <c r="B21" s="16" t="s">
        <v>40</v>
      </c>
      <c r="C21" s="16" t="s">
        <v>190</v>
      </c>
      <c r="D21" s="16" t="s">
        <v>370</v>
      </c>
      <c r="E21" s="16" t="s">
        <v>62</v>
      </c>
      <c r="F21" s="16" t="s">
        <v>131</v>
      </c>
      <c r="G21" s="10" t="s">
        <v>367</v>
      </c>
      <c r="H21" s="16" t="s">
        <v>337</v>
      </c>
      <c r="I21" s="16" t="s">
        <v>73</v>
      </c>
      <c r="J21" s="19"/>
      <c r="K21" s="16" t="s">
        <v>368</v>
      </c>
      <c r="L21" s="18" t="n">
        <v>1</v>
      </c>
      <c r="M21" s="18" t="n">
        <f aca="false">IF(H21="not applicable",IF(K21&lt;&gt;"",1,0),IF(I21="yes",IF(H21="verified",1,0),IF(OR(H21="tested",H21="verified"),1,0)))</f>
        <v>0</v>
      </c>
    </row>
    <row r="22" customFormat="false" ht="42" hidden="false" customHeight="true" outlineLevel="0" collapsed="false">
      <c r="A22" s="16" t="s">
        <v>371</v>
      </c>
      <c r="B22" s="16" t="s">
        <v>40</v>
      </c>
      <c r="C22" s="16" t="s">
        <v>372</v>
      </c>
      <c r="D22" s="16" t="s">
        <v>373</v>
      </c>
      <c r="E22" s="16" t="s">
        <v>62</v>
      </c>
      <c r="F22" s="16" t="s">
        <v>110</v>
      </c>
      <c r="G22" s="10" t="s">
        <v>374</v>
      </c>
      <c r="H22" s="16" t="s">
        <v>65</v>
      </c>
      <c r="I22" s="16" t="s">
        <v>66</v>
      </c>
      <c r="J22" s="19" t="n">
        <v>46221</v>
      </c>
      <c r="K22" s="16"/>
      <c r="L22" s="18" t="n">
        <v>1</v>
      </c>
      <c r="M22" s="18" t="n">
        <f aca="false">IF(H22="not applicable",IF(K22&lt;&gt;"",1,0),IF(I22="yes",IF(H22="verified",1,0),IF(OR(H22="tested",H22="verified"),1,0)))</f>
        <v>1</v>
      </c>
    </row>
    <row r="23" customFormat="false" ht="42" hidden="false" customHeight="true" outlineLevel="0" collapsed="false">
      <c r="A23" s="16" t="s">
        <v>375</v>
      </c>
      <c r="B23" s="16" t="s">
        <v>40</v>
      </c>
      <c r="C23" s="16" t="s">
        <v>183</v>
      </c>
      <c r="D23" s="16" t="s">
        <v>376</v>
      </c>
      <c r="E23" s="16" t="s">
        <v>62</v>
      </c>
      <c r="F23" s="16" t="s">
        <v>110</v>
      </c>
      <c r="G23" s="10" t="s">
        <v>374</v>
      </c>
      <c r="H23" s="16" t="s">
        <v>65</v>
      </c>
      <c r="I23" s="16" t="s">
        <v>66</v>
      </c>
      <c r="J23" s="19" t="n">
        <v>46221</v>
      </c>
      <c r="K23" s="16"/>
      <c r="L23" s="18" t="n">
        <v>1</v>
      </c>
      <c r="M23" s="18" t="n">
        <f aca="false">IF(H23="not applicable",IF(K23&lt;&gt;"",1,0),IF(I23="yes",IF(H23="verified",1,0),IF(OR(H23="tested",H23="verified"),1,0)))</f>
        <v>1</v>
      </c>
    </row>
    <row r="24" customFormat="false" ht="42" hidden="false" customHeight="true" outlineLevel="0" collapsed="false">
      <c r="A24" s="16" t="s">
        <v>377</v>
      </c>
      <c r="B24" s="16" t="s">
        <v>82</v>
      </c>
      <c r="C24" s="16" t="s">
        <v>166</v>
      </c>
      <c r="D24" s="16" t="s">
        <v>378</v>
      </c>
      <c r="E24" s="16" t="s">
        <v>62</v>
      </c>
      <c r="F24" s="16" t="s">
        <v>63</v>
      </c>
      <c r="G24" s="10" t="s">
        <v>379</v>
      </c>
      <c r="H24" s="16" t="s">
        <v>65</v>
      </c>
      <c r="I24" s="16" t="s">
        <v>66</v>
      </c>
      <c r="J24" s="19" t="n">
        <v>46221</v>
      </c>
      <c r="K24" s="16"/>
      <c r="L24" s="18" t="n">
        <v>1</v>
      </c>
      <c r="M24" s="18" t="n">
        <f aca="false">IF(H24="not applicable",IF(K24&lt;&gt;"",1,0),IF(I24="yes",IF(H24="verified",1,0),IF(OR(H24="tested",H24="verified"),1,0)))</f>
        <v>1</v>
      </c>
    </row>
    <row r="25" customFormat="false" ht="42" hidden="false" customHeight="true" outlineLevel="0" collapsed="false">
      <c r="A25" s="16" t="s">
        <v>380</v>
      </c>
      <c r="B25" s="16" t="s">
        <v>82</v>
      </c>
      <c r="C25" s="16" t="s">
        <v>187</v>
      </c>
      <c r="D25" s="16" t="s">
        <v>381</v>
      </c>
      <c r="E25" s="16" t="s">
        <v>62</v>
      </c>
      <c r="F25" s="16" t="s">
        <v>131</v>
      </c>
      <c r="G25" s="10" t="s">
        <v>367</v>
      </c>
      <c r="H25" s="16" t="s">
        <v>337</v>
      </c>
      <c r="I25" s="16" t="s">
        <v>73</v>
      </c>
      <c r="J25" s="19"/>
      <c r="K25" s="16" t="s">
        <v>368</v>
      </c>
      <c r="L25" s="18" t="n">
        <v>1</v>
      </c>
      <c r="M25" s="18" t="n">
        <f aca="false">IF(H25="not applicable",IF(K25&lt;&gt;"",1,0),IF(I25="yes",IF(H25="verified",1,0),IF(OR(H25="tested",H25="verified"),1,0)))</f>
        <v>0</v>
      </c>
    </row>
    <row r="26" customFormat="false" ht="42" hidden="false" customHeight="true" outlineLevel="0" collapsed="false">
      <c r="A26" s="16" t="s">
        <v>382</v>
      </c>
      <c r="B26" s="16" t="s">
        <v>89</v>
      </c>
      <c r="C26" s="16" t="s">
        <v>166</v>
      </c>
      <c r="D26" s="16" t="s">
        <v>383</v>
      </c>
      <c r="E26" s="16" t="s">
        <v>62</v>
      </c>
      <c r="F26" s="16" t="s">
        <v>91</v>
      </c>
      <c r="G26" s="10" t="s">
        <v>384</v>
      </c>
      <c r="H26" s="16" t="s">
        <v>65</v>
      </c>
      <c r="I26" s="16" t="s">
        <v>66</v>
      </c>
      <c r="J26" s="19" t="n">
        <v>46221</v>
      </c>
      <c r="K26" s="16"/>
      <c r="L26" s="18" t="n">
        <v>1</v>
      </c>
      <c r="M26" s="18" t="n">
        <f aca="false">IF(H26="not applicable",IF(K26&lt;&gt;"",1,0),IF(I26="yes",IF(H26="verified",1,0),IF(OR(H26="tested",H26="verified"),1,0)))</f>
        <v>1</v>
      </c>
    </row>
    <row r="27" customFormat="false" ht="42" hidden="false" customHeight="true" outlineLevel="0" collapsed="false">
      <c r="A27" s="16" t="s">
        <v>385</v>
      </c>
      <c r="B27" s="16" t="s">
        <v>89</v>
      </c>
      <c r="C27" s="16" t="s">
        <v>6</v>
      </c>
      <c r="D27" s="16" t="s">
        <v>386</v>
      </c>
      <c r="E27" s="16" t="s">
        <v>62</v>
      </c>
      <c r="F27" s="16" t="s">
        <v>91</v>
      </c>
      <c r="G27" s="10" t="s">
        <v>357</v>
      </c>
      <c r="H27" s="16" t="s">
        <v>65</v>
      </c>
      <c r="I27" s="16" t="s">
        <v>66</v>
      </c>
      <c r="J27" s="19" t="n">
        <v>46221</v>
      </c>
      <c r="K27" s="16"/>
      <c r="L27" s="18" t="n">
        <v>1</v>
      </c>
      <c r="M27" s="18" t="n">
        <f aca="false">IF(H27="not applicable",IF(K27&lt;&gt;"",1,0),IF(I27="yes",IF(H27="verified",1,0),IF(OR(H27="tested",H27="verified"),1,0)))</f>
        <v>1</v>
      </c>
    </row>
    <row r="28" customFormat="false" ht="42" hidden="false" customHeight="true" outlineLevel="0" collapsed="false">
      <c r="A28" s="16" t="s">
        <v>387</v>
      </c>
      <c r="B28" s="16" t="s">
        <v>89</v>
      </c>
      <c r="C28" s="16" t="s">
        <v>187</v>
      </c>
      <c r="D28" s="16" t="s">
        <v>388</v>
      </c>
      <c r="E28" s="16" t="s">
        <v>62</v>
      </c>
      <c r="F28" s="16" t="s">
        <v>110</v>
      </c>
      <c r="G28" s="10" t="s">
        <v>357</v>
      </c>
      <c r="H28" s="16" t="s">
        <v>65</v>
      </c>
      <c r="I28" s="16" t="s">
        <v>66</v>
      </c>
      <c r="J28" s="19" t="n">
        <v>46221</v>
      </c>
      <c r="K28" s="16"/>
      <c r="L28" s="18" t="n">
        <v>1</v>
      </c>
      <c r="M28" s="18" t="n">
        <f aca="false">IF(H28="not applicable",IF(K28&lt;&gt;"",1,0),IF(I28="yes",IF(H28="verified",1,0),IF(OR(H28="tested",H28="verified"),1,0)))</f>
        <v>1</v>
      </c>
    </row>
    <row r="29" customFormat="false" ht="42" hidden="false" customHeight="true" outlineLevel="0" collapsed="false">
      <c r="A29" s="16" t="s">
        <v>389</v>
      </c>
      <c r="B29" s="16" t="s">
        <v>89</v>
      </c>
      <c r="C29" s="16" t="s">
        <v>166</v>
      </c>
      <c r="D29" s="16" t="s">
        <v>301</v>
      </c>
      <c r="E29" s="16" t="s">
        <v>62</v>
      </c>
      <c r="F29" s="16" t="s">
        <v>131</v>
      </c>
      <c r="G29" s="10" t="s">
        <v>367</v>
      </c>
      <c r="H29" s="16" t="s">
        <v>337</v>
      </c>
      <c r="I29" s="16" t="s">
        <v>73</v>
      </c>
      <c r="J29" s="19"/>
      <c r="K29" s="16" t="s">
        <v>368</v>
      </c>
      <c r="L29" s="18" t="n">
        <v>1</v>
      </c>
      <c r="M29" s="18" t="n">
        <f aca="false">IF(H29="not applicable",IF(K29&lt;&gt;"",1,0),IF(I29="yes",IF(H29="verified",1,0),IF(OR(H29="tested",H29="verified"),1,0)))</f>
        <v>0</v>
      </c>
    </row>
    <row r="30" customFormat="false" ht="42" hidden="false" customHeight="true" outlineLevel="0" collapsed="false">
      <c r="A30" s="16" t="s">
        <v>390</v>
      </c>
      <c r="B30" s="16" t="s">
        <v>89</v>
      </c>
      <c r="C30" s="16" t="s">
        <v>166</v>
      </c>
      <c r="D30" s="16" t="s">
        <v>303</v>
      </c>
      <c r="E30" s="16" t="s">
        <v>62</v>
      </c>
      <c r="F30" s="16" t="s">
        <v>131</v>
      </c>
      <c r="G30" s="10" t="s">
        <v>367</v>
      </c>
      <c r="H30" s="16" t="s">
        <v>337</v>
      </c>
      <c r="I30" s="16" t="s">
        <v>73</v>
      </c>
      <c r="J30" s="19"/>
      <c r="K30" s="16" t="s">
        <v>368</v>
      </c>
      <c r="L30" s="18" t="n">
        <v>1</v>
      </c>
      <c r="M30" s="18" t="n">
        <f aca="false">IF(H30="not applicable",IF(K30&lt;&gt;"",1,0),IF(I30="yes",IF(H30="verified",1,0),IF(OR(H30="tested",H30="verified"),1,0)))</f>
        <v>0</v>
      </c>
    </row>
    <row r="31" customFormat="false" ht="42" hidden="false" customHeight="true" outlineLevel="0" collapsed="false">
      <c r="A31" s="16" t="s">
        <v>391</v>
      </c>
      <c r="B31" s="16" t="s">
        <v>89</v>
      </c>
      <c r="C31" s="16" t="s">
        <v>166</v>
      </c>
      <c r="D31" s="16" t="s">
        <v>392</v>
      </c>
      <c r="E31" s="16" t="s">
        <v>62</v>
      </c>
      <c r="F31" s="16" t="s">
        <v>131</v>
      </c>
      <c r="G31" s="10" t="s">
        <v>367</v>
      </c>
      <c r="H31" s="16" t="s">
        <v>337</v>
      </c>
      <c r="I31" s="16" t="s">
        <v>73</v>
      </c>
      <c r="J31" s="19"/>
      <c r="K31" s="16" t="s">
        <v>368</v>
      </c>
      <c r="L31" s="18" t="n">
        <v>1</v>
      </c>
      <c r="M31" s="18" t="n">
        <f aca="false">IF(H31="not applicable",IF(K31&lt;&gt;"",1,0),IF(I31="yes",IF(H31="verified",1,0),IF(OR(H31="tested",H31="verified"),1,0)))</f>
        <v>0</v>
      </c>
    </row>
    <row r="32" customFormat="false" ht="42" hidden="false" customHeight="true" outlineLevel="0" collapsed="false">
      <c r="A32" s="16" t="s">
        <v>393</v>
      </c>
      <c r="B32" s="16" t="s">
        <v>89</v>
      </c>
      <c r="C32" s="16" t="s">
        <v>6</v>
      </c>
      <c r="D32" s="16" t="s">
        <v>394</v>
      </c>
      <c r="E32" s="16" t="s">
        <v>62</v>
      </c>
      <c r="F32" s="16" t="s">
        <v>91</v>
      </c>
      <c r="G32" s="10" t="s">
        <v>357</v>
      </c>
      <c r="H32" s="16" t="s">
        <v>65</v>
      </c>
      <c r="I32" s="16" t="s">
        <v>66</v>
      </c>
      <c r="J32" s="19" t="n">
        <v>46221</v>
      </c>
      <c r="K32" s="16"/>
      <c r="L32" s="18" t="n">
        <v>1</v>
      </c>
      <c r="M32" s="18" t="n">
        <f aca="false">IF(H32="not applicable",IF(K32&lt;&gt;"",1,0),IF(I32="yes",IF(H32="verified",1,0),IF(OR(H32="tested",H32="verified"),1,0)))</f>
        <v>1</v>
      </c>
    </row>
    <row r="33" customFormat="false" ht="42" hidden="false" customHeight="true" outlineLevel="0" collapsed="false">
      <c r="A33" s="16" t="s">
        <v>395</v>
      </c>
      <c r="B33" s="16" t="s">
        <v>108</v>
      </c>
      <c r="C33" s="16" t="s">
        <v>166</v>
      </c>
      <c r="D33" s="16" t="s">
        <v>396</v>
      </c>
      <c r="E33" s="16" t="s">
        <v>62</v>
      </c>
      <c r="F33" s="16" t="s">
        <v>110</v>
      </c>
      <c r="G33" s="10" t="s">
        <v>352</v>
      </c>
      <c r="H33" s="16" t="s">
        <v>65</v>
      </c>
      <c r="I33" s="16" t="s">
        <v>66</v>
      </c>
      <c r="J33" s="19" t="n">
        <v>46221</v>
      </c>
      <c r="K33" s="16"/>
      <c r="L33" s="18" t="n">
        <v>1</v>
      </c>
      <c r="M33" s="18" t="n">
        <f aca="false">IF(H33="not applicable",IF(K33&lt;&gt;"",1,0),IF(I33="yes",IF(H33="verified",1,0),IF(OR(H33="tested",H33="verified"),1,0)))</f>
        <v>1</v>
      </c>
    </row>
    <row r="34" customFormat="false" ht="42" hidden="false" customHeight="true" outlineLevel="0" collapsed="false">
      <c r="A34" s="16" t="s">
        <v>397</v>
      </c>
      <c r="B34" s="16" t="s">
        <v>108</v>
      </c>
      <c r="C34" s="16" t="s">
        <v>156</v>
      </c>
      <c r="D34" s="16" t="s">
        <v>398</v>
      </c>
      <c r="E34" s="16" t="s">
        <v>62</v>
      </c>
      <c r="F34" s="16" t="s">
        <v>110</v>
      </c>
      <c r="G34" s="10" t="s">
        <v>113</v>
      </c>
      <c r="H34" s="16" t="s">
        <v>65</v>
      </c>
      <c r="I34" s="16" t="s">
        <v>66</v>
      </c>
      <c r="J34" s="19" t="n">
        <v>46221</v>
      </c>
      <c r="K34" s="16"/>
      <c r="L34" s="18" t="n">
        <v>1</v>
      </c>
      <c r="M34" s="18" t="n">
        <f aca="false">IF(H34="not applicable",IF(K34&lt;&gt;"",1,0),IF(I34="yes",IF(H34="verified",1,0),IF(OR(H34="tested",H34="verified"),1,0)))</f>
        <v>1</v>
      </c>
    </row>
    <row r="35" customFormat="false" ht="42" hidden="false" customHeight="true" outlineLevel="0" collapsed="false">
      <c r="A35" s="16" t="s">
        <v>399</v>
      </c>
      <c r="B35" s="16" t="s">
        <v>108</v>
      </c>
      <c r="C35" s="16" t="s">
        <v>6</v>
      </c>
      <c r="D35" s="16" t="s">
        <v>400</v>
      </c>
      <c r="E35" s="16" t="s">
        <v>62</v>
      </c>
      <c r="F35" s="16" t="s">
        <v>110</v>
      </c>
      <c r="G35" s="10" t="s">
        <v>357</v>
      </c>
      <c r="H35" s="16" t="s">
        <v>65</v>
      </c>
      <c r="I35" s="16" t="s">
        <v>66</v>
      </c>
      <c r="J35" s="19" t="n">
        <v>46221</v>
      </c>
      <c r="K35" s="16"/>
      <c r="L35" s="18" t="n">
        <v>1</v>
      </c>
      <c r="M35" s="18" t="n">
        <f aca="false">IF(H35="not applicable",IF(K35&lt;&gt;"",1,0),IF(I35="yes",IF(H35="verified",1,0),IF(OR(H35="tested",H35="verified"),1,0)))</f>
        <v>1</v>
      </c>
    </row>
    <row r="36" customFormat="false" ht="42" hidden="false" customHeight="true" outlineLevel="0" collapsed="false">
      <c r="A36" s="16" t="s">
        <v>401</v>
      </c>
      <c r="B36" s="16" t="s">
        <v>108</v>
      </c>
      <c r="C36" s="16" t="s">
        <v>402</v>
      </c>
      <c r="D36" s="16" t="s">
        <v>403</v>
      </c>
      <c r="E36" s="16" t="s">
        <v>62</v>
      </c>
      <c r="F36" s="16" t="s">
        <v>110</v>
      </c>
      <c r="G36" s="10" t="s">
        <v>357</v>
      </c>
      <c r="H36" s="16" t="s">
        <v>65</v>
      </c>
      <c r="I36" s="16" t="s">
        <v>66</v>
      </c>
      <c r="J36" s="19" t="n">
        <v>46221</v>
      </c>
      <c r="K36" s="16"/>
      <c r="L36" s="18" t="n">
        <v>1</v>
      </c>
      <c r="M36" s="18" t="n">
        <f aca="false">IF(H36="not applicable",IF(K36&lt;&gt;"",1,0),IF(I36="yes",IF(H36="verified",1,0),IF(OR(H36="tested",H36="verified"),1,0)))</f>
        <v>1</v>
      </c>
    </row>
    <row r="37" customFormat="false" ht="42" hidden="false" customHeight="true" outlineLevel="0" collapsed="false">
      <c r="A37" s="16" t="s">
        <v>404</v>
      </c>
      <c r="B37" s="16" t="s">
        <v>108</v>
      </c>
      <c r="C37" s="16" t="s">
        <v>6</v>
      </c>
      <c r="D37" s="16" t="s">
        <v>405</v>
      </c>
      <c r="E37" s="16" t="s">
        <v>62</v>
      </c>
      <c r="F37" s="16" t="s">
        <v>110</v>
      </c>
      <c r="G37" s="10" t="s">
        <v>357</v>
      </c>
      <c r="H37" s="16" t="s">
        <v>65</v>
      </c>
      <c r="I37" s="16" t="s">
        <v>66</v>
      </c>
      <c r="J37" s="19" t="n">
        <v>46221</v>
      </c>
      <c r="K37" s="16"/>
      <c r="L37" s="18" t="n">
        <v>1</v>
      </c>
      <c r="M37" s="18" t="n">
        <f aca="false">IF(H37="not applicable",IF(K37&lt;&gt;"",1,0),IF(I37="yes",IF(H37="verified",1,0),IF(OR(H37="tested",H37="verified"),1,0)))</f>
        <v>1</v>
      </c>
    </row>
    <row r="38" customFormat="false" ht="42" hidden="false" customHeight="true" outlineLevel="0" collapsed="false">
      <c r="A38" s="16" t="s">
        <v>406</v>
      </c>
      <c r="B38" s="16" t="s">
        <v>108</v>
      </c>
      <c r="C38" s="16" t="s">
        <v>187</v>
      </c>
      <c r="D38" s="16" t="s">
        <v>407</v>
      </c>
      <c r="E38" s="16" t="s">
        <v>62</v>
      </c>
      <c r="F38" s="16" t="s">
        <v>110</v>
      </c>
      <c r="G38" s="10" t="s">
        <v>357</v>
      </c>
      <c r="H38" s="16" t="s">
        <v>65</v>
      </c>
      <c r="I38" s="16" t="s">
        <v>66</v>
      </c>
      <c r="J38" s="19" t="n">
        <v>46221</v>
      </c>
      <c r="K38" s="16"/>
      <c r="L38" s="18" t="n">
        <v>1</v>
      </c>
      <c r="M38" s="18" t="n">
        <f aca="false">IF(H38="not applicable",IF(K38&lt;&gt;"",1,0),IF(I38="yes",IF(H38="verified",1,0),IF(OR(H38="tested",H38="verified"),1,0)))</f>
        <v>1</v>
      </c>
    </row>
    <row r="39" customFormat="false" ht="42" hidden="false" customHeight="true" outlineLevel="0" collapsed="false">
      <c r="A39" s="16" t="s">
        <v>408</v>
      </c>
      <c r="B39" s="16" t="s">
        <v>108</v>
      </c>
      <c r="C39" s="16" t="s">
        <v>166</v>
      </c>
      <c r="D39" s="16" t="s">
        <v>317</v>
      </c>
      <c r="E39" s="16" t="s">
        <v>62</v>
      </c>
      <c r="F39" s="16" t="s">
        <v>110</v>
      </c>
      <c r="G39" s="10" t="s">
        <v>121</v>
      </c>
      <c r="H39" s="16" t="s">
        <v>72</v>
      </c>
      <c r="I39" s="16" t="s">
        <v>73</v>
      </c>
      <c r="J39" s="19" t="n">
        <v>46221</v>
      </c>
      <c r="K39" s="16"/>
      <c r="L39" s="18" t="n">
        <v>1</v>
      </c>
      <c r="M39" s="18" t="n">
        <f aca="false">IF(H39="not applicable",IF(K39&lt;&gt;"",1,0),IF(I39="yes",IF(H39="verified",1,0),IF(OR(H39="tested",H39="verified"),1,0)))</f>
        <v>1</v>
      </c>
    </row>
    <row r="40" customFormat="false" ht="42" hidden="false" customHeight="true" outlineLevel="0" collapsed="false">
      <c r="A40" s="16" t="s">
        <v>409</v>
      </c>
      <c r="B40" s="16" t="s">
        <v>108</v>
      </c>
      <c r="C40" s="16" t="s">
        <v>166</v>
      </c>
      <c r="D40" s="16" t="s">
        <v>410</v>
      </c>
      <c r="E40" s="16" t="s">
        <v>62</v>
      </c>
      <c r="F40" s="16" t="s">
        <v>110</v>
      </c>
      <c r="G40" s="10" t="s">
        <v>223</v>
      </c>
      <c r="H40" s="16" t="s">
        <v>65</v>
      </c>
      <c r="I40" s="16" t="s">
        <v>66</v>
      </c>
      <c r="J40" s="19" t="n">
        <v>46221</v>
      </c>
      <c r="K40" s="16"/>
      <c r="L40" s="18" t="n">
        <v>1</v>
      </c>
      <c r="M40" s="18" t="n">
        <f aca="false">IF(H40="not applicable",IF(K40&lt;&gt;"",1,0),IF(I40="yes",IF(H40="verified",1,0),IF(OR(H40="tested",H40="verified"),1,0)))</f>
        <v>1</v>
      </c>
    </row>
    <row r="41" customFormat="false" ht="42" hidden="false" customHeight="true" outlineLevel="0" collapsed="false">
      <c r="A41" s="16" t="s">
        <v>411</v>
      </c>
      <c r="B41" s="16" t="s">
        <v>108</v>
      </c>
      <c r="C41" s="16" t="s">
        <v>6</v>
      </c>
      <c r="D41" s="16" t="s">
        <v>412</v>
      </c>
      <c r="E41" s="16" t="s">
        <v>62</v>
      </c>
      <c r="F41" s="16" t="s">
        <v>110</v>
      </c>
      <c r="G41" s="10" t="s">
        <v>127</v>
      </c>
      <c r="H41" s="16" t="s">
        <v>65</v>
      </c>
      <c r="I41" s="16" t="s">
        <v>66</v>
      </c>
      <c r="J41" s="19" t="n">
        <v>46221</v>
      </c>
      <c r="K41" s="16"/>
      <c r="L41" s="18" t="n">
        <v>1</v>
      </c>
      <c r="M41" s="18" t="n">
        <f aca="false">IF(H41="not applicable",IF(K41&lt;&gt;"",1,0),IF(I41="yes",IF(H41="verified",1,0),IF(OR(H41="tested",H41="verified"),1,0)))</f>
        <v>1</v>
      </c>
    </row>
    <row r="42" customFormat="false" ht="42" hidden="false" customHeight="true" outlineLevel="0" collapsed="false">
      <c r="A42" s="16" t="s">
        <v>413</v>
      </c>
      <c r="B42" s="16" t="s">
        <v>129</v>
      </c>
      <c r="C42" s="16" t="s">
        <v>6</v>
      </c>
      <c r="D42" s="16" t="s">
        <v>414</v>
      </c>
      <c r="E42" s="16" t="s">
        <v>62</v>
      </c>
      <c r="F42" s="16" t="s">
        <v>131</v>
      </c>
      <c r="G42" s="10" t="s">
        <v>367</v>
      </c>
      <c r="H42" s="16" t="s">
        <v>65</v>
      </c>
      <c r="I42" s="16" t="s">
        <v>66</v>
      </c>
      <c r="J42" s="19" t="n">
        <v>46221</v>
      </c>
      <c r="K42" s="16"/>
      <c r="L42" s="18" t="n">
        <v>1</v>
      </c>
      <c r="M42" s="18" t="n">
        <f aca="false">IF(H42="not applicable",IF(K42&lt;&gt;"",1,0),IF(I42="yes",IF(H42="verified",1,0),IF(OR(H42="tested",H42="verified"),1,0)))</f>
        <v>1</v>
      </c>
    </row>
    <row r="43" customFormat="false" ht="42" hidden="false" customHeight="true" outlineLevel="0" collapsed="false">
      <c r="A43" s="16" t="s">
        <v>415</v>
      </c>
      <c r="B43" s="16" t="s">
        <v>129</v>
      </c>
      <c r="C43" s="16" t="s">
        <v>166</v>
      </c>
      <c r="D43" s="16" t="s">
        <v>416</v>
      </c>
      <c r="E43" s="16" t="s">
        <v>62</v>
      </c>
      <c r="F43" s="16" t="s">
        <v>131</v>
      </c>
      <c r="G43" s="10" t="s">
        <v>367</v>
      </c>
      <c r="H43" s="16" t="s">
        <v>337</v>
      </c>
      <c r="I43" s="16" t="s">
        <v>73</v>
      </c>
      <c r="J43" s="19"/>
      <c r="K43" s="16" t="s">
        <v>368</v>
      </c>
      <c r="L43" s="18" t="n">
        <v>1</v>
      </c>
      <c r="M43" s="18" t="n">
        <f aca="false">IF(H43="not applicable",IF(K43&lt;&gt;"",1,0),IF(I43="yes",IF(H43="verified",1,0),IF(OR(H43="tested",H43="verified"),1,0)))</f>
        <v>0</v>
      </c>
    </row>
    <row r="44" customFormat="false" ht="42" hidden="false" customHeight="true" outlineLevel="0" collapsed="false">
      <c r="A44" s="16" t="s">
        <v>417</v>
      </c>
      <c r="B44" s="16" t="s">
        <v>135</v>
      </c>
      <c r="C44" s="16" t="s">
        <v>6</v>
      </c>
      <c r="D44" s="16" t="s">
        <v>418</v>
      </c>
      <c r="E44" s="16" t="s">
        <v>62</v>
      </c>
      <c r="F44" s="16" t="s">
        <v>137</v>
      </c>
      <c r="G44" s="10" t="s">
        <v>419</v>
      </c>
      <c r="H44" s="16" t="s">
        <v>65</v>
      </c>
      <c r="I44" s="16" t="s">
        <v>66</v>
      </c>
      <c r="J44" s="19" t="n">
        <v>46221</v>
      </c>
      <c r="K44" s="16"/>
      <c r="L44" s="18" t="n">
        <v>1</v>
      </c>
      <c r="M44" s="18" t="n">
        <f aca="false">IF(H44="not applicable",IF(K44&lt;&gt;"",1,0),IF(I44="yes",IF(H44="verified",1,0),IF(OR(H44="tested",H44="verified"),1,0)))</f>
        <v>1</v>
      </c>
    </row>
    <row r="45" customFormat="false" ht="42" hidden="false" customHeight="true" outlineLevel="0" collapsed="false">
      <c r="A45" s="16" t="s">
        <v>420</v>
      </c>
      <c r="B45" s="16" t="s">
        <v>135</v>
      </c>
      <c r="C45" s="16" t="s">
        <v>6</v>
      </c>
      <c r="D45" s="16" t="s">
        <v>421</v>
      </c>
      <c r="E45" s="16" t="s">
        <v>62</v>
      </c>
      <c r="F45" s="16" t="s">
        <v>137</v>
      </c>
      <c r="G45" s="10" t="s">
        <v>422</v>
      </c>
      <c r="H45" s="16" t="s">
        <v>65</v>
      </c>
      <c r="I45" s="16" t="s">
        <v>66</v>
      </c>
      <c r="J45" s="19" t="n">
        <v>46221</v>
      </c>
      <c r="K45" s="16"/>
      <c r="L45" s="18" t="n">
        <v>1</v>
      </c>
      <c r="M45" s="18" t="n">
        <f aca="false">IF(H45="not applicable",IF(K45&lt;&gt;"",1,0),IF(I45="yes",IF(H45="verified",1,0),IF(OR(H45="tested",H45="verified"),1,0)))</f>
        <v>1</v>
      </c>
    </row>
    <row r="46" customFormat="false" ht="42" hidden="false" customHeight="true" outlineLevel="0" collapsed="false">
      <c r="A46" s="16" t="s">
        <v>423</v>
      </c>
      <c r="B46" s="16" t="s">
        <v>143</v>
      </c>
      <c r="C46" s="16" t="s">
        <v>6</v>
      </c>
      <c r="D46" s="16" t="s">
        <v>424</v>
      </c>
      <c r="E46" s="16" t="s">
        <v>145</v>
      </c>
      <c r="F46" s="16" t="s">
        <v>145</v>
      </c>
      <c r="G46" s="10" t="s">
        <v>146</v>
      </c>
      <c r="H46" s="16" t="s">
        <v>65</v>
      </c>
      <c r="I46" s="16" t="s">
        <v>66</v>
      </c>
      <c r="J46" s="19" t="n">
        <v>46221</v>
      </c>
      <c r="K46" s="16"/>
      <c r="L46" s="18" t="n">
        <v>1</v>
      </c>
      <c r="M46" s="18" t="n">
        <f aca="false">IF(H46="not applicable",IF(K46&lt;&gt;"",1,0),IF(I46="yes",IF(H46="verified",1,0),IF(OR(H46="tested",H46="verified"),1,0)))</f>
        <v>1</v>
      </c>
    </row>
    <row r="47" customFormat="false" ht="42" hidden="false" customHeight="true" outlineLevel="0" collapsed="false">
      <c r="A47" s="16" t="s">
        <v>425</v>
      </c>
      <c r="B47" s="16" t="s">
        <v>148</v>
      </c>
      <c r="C47" s="16" t="s">
        <v>426</v>
      </c>
      <c r="D47" s="16" t="s">
        <v>427</v>
      </c>
      <c r="E47" s="16" t="s">
        <v>150</v>
      </c>
      <c r="F47" s="16" t="s">
        <v>151</v>
      </c>
      <c r="G47" s="10" t="s">
        <v>242</v>
      </c>
      <c r="H47" s="16" t="s">
        <v>243</v>
      </c>
      <c r="I47" s="16" t="s">
        <v>73</v>
      </c>
      <c r="J47" s="19"/>
      <c r="K47" s="16" t="s">
        <v>428</v>
      </c>
      <c r="L47" s="18" t="n">
        <v>1</v>
      </c>
      <c r="M47" s="18" t="n">
        <f aca="false">IF(H47="not applicable",IF(K47&lt;&gt;"",1,0),IF(I47="yes",IF(H47="verified",1,0),IF(OR(H47="tested",H47="verified"),1,0)))</f>
        <v>0</v>
      </c>
    </row>
  </sheetData>
  <autoFilter ref="A8:M47"/>
  <mergeCells count="3">
    <mergeCell ref="A1:M1"/>
    <mergeCell ref="A2:M2"/>
    <mergeCell ref="A6:M6"/>
  </mergeCells>
  <conditionalFormatting sqref="H9:H47">
    <cfRule type="expression" priority="2" aboveAverage="0" equalAverage="0" bottom="0" percent="0" rank="0" text="" dxfId="6">
      <formula>$H9="not started"</formula>
    </cfRule>
    <cfRule type="expression" priority="3" aboveAverage="0" equalAverage="0" bottom="0" percent="0" rank="0" text="" dxfId="7">
      <formula>$H9="partial"</formula>
    </cfRule>
    <cfRule type="expression" priority="4" aboveAverage="0" equalAverage="0" bottom="0" percent="0" rank="0" text="" dxfId="8">
      <formula>$H9="implemented"</formula>
    </cfRule>
    <cfRule type="expression" priority="5" aboveAverage="0" equalAverage="0" bottom="0" percent="0" rank="0" text="" dxfId="9">
      <formula>$H9="tested"</formula>
    </cfRule>
    <cfRule type="expression" priority="6" aboveAverage="0" equalAverage="0" bottom="0" percent="0" rank="0" text="" dxfId="10">
      <formula>$H9="verified"</formula>
    </cfRule>
    <cfRule type="expression" priority="7" aboveAverage="0" equalAverage="0" bottom="0" percent="0" rank="0" text="" dxfId="11">
      <formula>$H9="blocked"</formula>
    </cfRule>
    <cfRule type="expression" priority="8" aboveAverage="0" equalAverage="0" bottom="0" percent="0" rank="0" text="" dxfId="12">
      <formula>$H9="not applicable"</formula>
    </cfRule>
  </conditionalFormatting>
  <dataValidations count="2">
    <dataValidation allowBlank="false" errorStyle="stop" operator="between" showDropDown="false" showErrorMessage="false" showInputMessage="false" sqref="H9:H47" type="list">
      <formula1>_Lists!$A$1:$A$7</formula1>
      <formula2>0</formula2>
    </dataValidation>
    <dataValidation allowBlank="false" errorStyle="stop" operator="between" showDropDown="false" showErrorMessage="false" showInputMessage="false" sqref="I9:I47" type="list">
      <formula1>_Lists!$B$1:$B$2</formula1>
      <formula2>0</formula2>
    </dataValidation>
  </dataValidations>
  <hyperlinks>
    <hyperlink ref="G9" r:id="rId1" display="../src/components/alert-dialog/AlertDialog.tsx"/>
    <hyperlink ref="G10" r:id="rId2" display="../../docs/alert-dialog-component-brief.md"/>
    <hyperlink ref="G11" r:id="rId3" display="../test/types/public-api.test.ts"/>
    <hyperlink ref="G12" r:id="rId4" display="../test/components/alert-dialog.test.tsx"/>
    <hyperlink ref="G13" r:id="rId5" display="../test/components/alert-dialog.test.tsx"/>
    <hyperlink ref="G14" r:id="rId6" display="../test/components/alert-dialog.test.tsx"/>
    <hyperlink ref="G15" r:id="rId7" display="tests/alert-dialog.spec.ts"/>
    <hyperlink ref="G16" r:id="rId8" display="../test/components/alert-dialog.test.tsx"/>
    <hyperlink ref="G17" r:id="rId9" display="../test/components/alert-dialog.test.tsx"/>
    <hyperlink ref="G18" r:id="rId10" display="../test/components/alert-dialog.test.tsx"/>
    <hyperlink ref="G19" r:id="rId11" display="../test/components/alert-dialog.test.tsx"/>
    <hyperlink ref="G20" r:id="rId12" display="manual-tests/alert-dialog.md"/>
    <hyperlink ref="G21" r:id="rId13" display="manual-tests/alert-dialog.md"/>
    <hyperlink ref="G22" r:id="rId14" display="../test/components/alert-dialog.test.tsx + tests/alert-dialog.spec.ts"/>
    <hyperlink ref="G23" r:id="rId15" display="../test/components/alert-dialog.test.tsx + tests/alert-dialog.spec.ts"/>
    <hyperlink ref="G24" r:id="rId16" display="../src/components/alert-dialog/alert-dialog.css"/>
    <hyperlink ref="G25" r:id="rId17" display="manual-tests/alert-dialog.md"/>
    <hyperlink ref="G26" r:id="rId18" display="../playground/src/main.tsx"/>
    <hyperlink ref="G27" r:id="rId19" display="tests/alert-dialog.spec.ts"/>
    <hyperlink ref="G28" r:id="rId20" display="tests/alert-dialog.spec.ts"/>
    <hyperlink ref="G29" r:id="rId21" display="manual-tests/alert-dialog.md"/>
    <hyperlink ref="G30" r:id="rId22" display="manual-tests/alert-dialog.md"/>
    <hyperlink ref="G31" r:id="rId23" display="manual-tests/alert-dialog.md"/>
    <hyperlink ref="G32" r:id="rId24" display="tests/alert-dialog.spec.ts"/>
    <hyperlink ref="G33" r:id="rId25" display="../test/components/alert-dialog.test.tsx"/>
    <hyperlink ref="G34" r:id="rId26" display="../test/types/public-api.test.ts"/>
    <hyperlink ref="G35" r:id="rId27" display="tests/alert-dialog.spec.ts"/>
    <hyperlink ref="G36" r:id="rId28" display="tests/alert-dialog.spec.ts"/>
    <hyperlink ref="G37" r:id="rId29" display="tests/alert-dialog.spec.ts"/>
    <hyperlink ref="G38" r:id="rId30" display="tests/alert-dialog.spec.ts"/>
    <hyperlink ref="G39" r:id="rId31" display="tests/visual.spec.ts"/>
    <hyperlink ref="G40" r:id="rId32" display="../playwright.config.ts"/>
    <hyperlink ref="G41" r:id="rId33" display="../scripts/verify-consumers.mjs"/>
    <hyperlink ref="G42" r:id="rId34" display="manual-tests/alert-dialog.md"/>
    <hyperlink ref="G43" r:id="rId35" display="manual-tests/alert-dialog.md"/>
    <hyperlink ref="G44" r:id="rId36" display="../docs/components/alert-dialog/README.md"/>
    <hyperlink ref="G45" r:id="rId37" display="../docs/components/alert-dialog/CHANGELOG.md"/>
    <hyperlink ref="G46" r:id="rId38" display="../../../../apps/brick-consumer/tests/consumer.spec.ts"/>
    <hyperlink ref="G47" r:id="rId39" display="../../docs/core-dependency-ledger.md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4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LibreOffice/26.2.4.2$MacOSX_AARCH64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2026-07-16T17:42:40Z</dcterms:created>
  <dc:creator>Flowstack UI</dc:creator>
  <dc:description/>
  <dc:language>en-US</dc:language>
  <cp:lastModifiedBy/>
  <dcterms:modified xsi:type="dcterms:W3CDTF">2026-07-18T14:27:30Z</dcterms:modified>
  <cp:revision>0</cp:revision>
  <dc:subject>Reference component quality and retirement evidence</dc:subject>
  <dc:title>Brick Component Coverage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