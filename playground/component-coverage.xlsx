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4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</sheets>
  <definedNames>
    <definedName name="_xlnm._FilterDatabase" localSheetId="0" hidden="1">'Index'!$A$7:$M$34</definedName>
    <definedName name="_xlnm.Print_Area" localSheetId="0">'Index'!$A$1:$M$35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ables/table1.xml><?xml version="1.0" encoding="utf-8"?>
<table xmlns="http://schemas.openxmlformats.org/spreadsheetml/2006/main" id="1" name="CoverageIndex" displayName="CoverageIndex" ref="A7:M31" headerRowCount="1" totalsRowCount="0" totalsRowShown="0">
  <autoFilter ref="A7:M31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3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2.71" customWidth="1" style="23" min="2" max="9"/>
    <col width="14.71" customWidth="1" style="24" min="10" max="10"/>
    <col width="16.71" customWidth="1" style="23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Current package evidence across 29 independently exported components.</t>
        </is>
      </c>
    </row>
    <row r="4" ht="17.25" customHeight="1" s="17">
      <c r="A4" s="20" t="inlineStr">
        <is>
          <t>Components</t>
        </is>
      </c>
      <c r="B4" s="21">
        <f>COUNTA(A8:A36)</f>
        <v/>
      </c>
      <c r="D4" s="20" t="inlineStr">
        <is>
          <t>Complete</t>
        </is>
      </c>
      <c r="E4" s="21">
        <f>COUNTIF(M8:M36,"complete")</f>
        <v/>
      </c>
      <c r="G4" s="20" t="inlineStr">
        <is>
          <t>Blocked</t>
        </is>
      </c>
      <c r="H4" s="21">
        <f>COUNTIF(M8:M36,"blocked")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23" t="inlineStr">
        <is>
          <t>Component</t>
        </is>
      </c>
      <c r="B7" s="23" t="inlineStr">
        <is>
          <t>Requirements</t>
        </is>
      </c>
      <c r="C7" s="23" t="inlineStr">
        <is>
          <t>Not started</t>
        </is>
      </c>
      <c r="D7" s="23" t="inlineStr">
        <is>
          <t>Partial</t>
        </is>
      </c>
      <c r="E7" s="23" t="inlineStr">
        <is>
          <t>Implemented</t>
        </is>
      </c>
      <c r="F7" s="23" t="inlineStr">
        <is>
          <t>Tested</t>
        </is>
      </c>
      <c r="G7" s="23" t="inlineStr">
        <is>
          <t>Verified</t>
        </is>
      </c>
      <c r="H7" s="23" t="inlineStr">
        <is>
          <t>Blocked</t>
        </is>
      </c>
      <c r="I7" s="23" t="inlineStr">
        <is>
          <t>N/A</t>
        </is>
      </c>
      <c r="J7" s="24" t="inlineStr">
        <is>
          <t>Completion</t>
        </is>
      </c>
      <c r="K7" s="23" t="inlineStr">
        <is>
          <t>Package gate</t>
        </is>
      </c>
      <c r="L7" s="23" t="inlineStr">
        <is>
          <t>Consumer gate</t>
        </is>
      </c>
      <c r="M7" s="23" t="inlineStr">
        <is>
          <t>Overall</t>
        </is>
      </c>
    </row>
    <row r="8" ht="24" customHeight="1" s="17">
      <c r="A8" s="23" t="inlineStr">
        <is>
          <t>Alert Dialog</t>
        </is>
      </c>
      <c r="B8" s="23">
        <f>INDIRECT("'"&amp;A8&amp;"'!B4")</f>
        <v/>
      </c>
      <c r="C8" s="23">
        <f>COUNTIF(INDIRECT("'"&amp;A8&amp;"'!H9:H200"),"not started")</f>
        <v/>
      </c>
      <c r="D8" s="23">
        <f>COUNTIF(INDIRECT("'"&amp;A8&amp;"'!H9:H200"),"partial")</f>
        <v/>
      </c>
      <c r="E8" s="23">
        <f>COUNTIF(INDIRECT("'"&amp;A8&amp;"'!H9:H200"),"implemented")</f>
        <v/>
      </c>
      <c r="F8" s="23">
        <f>COUNTIF(INDIRECT("'"&amp;A8&amp;"'!H9:H200"),"tested")</f>
        <v/>
      </c>
      <c r="G8" s="23">
        <f>COUNTIF(INDIRECT("'"&amp;A8&amp;"'!H9:H200"),"verified")</f>
        <v/>
      </c>
      <c r="H8" s="23">
        <f>COUNTIF(INDIRECT("'"&amp;A8&amp;"'!H9:H200"),"blocked")</f>
        <v/>
      </c>
      <c r="I8" s="23">
        <f>COUNTIF(INDIRECT("'"&amp;A8&amp;"'!H9:H200"),"not applicable")</f>
        <v/>
      </c>
      <c r="J8" s="24">
        <f>INDIRECT("'"&amp;A8&amp;"'!H4")</f>
        <v/>
      </c>
      <c r="K8" s="23">
        <f>INDIRECT("'"&amp;A8&amp;"'!K4")</f>
        <v/>
      </c>
      <c r="L8" s="23">
        <f>INDIRECT("'"&amp;A8&amp;"'!E5")</f>
        <v/>
      </c>
      <c r="M8" s="23">
        <f>IF(AND(J8=1,K8="complete",L8="complete"),"complete",IF(H8&gt;0,"blocked","open"))</f>
        <v/>
      </c>
    </row>
    <row r="9" ht="24" customHeight="1" s="17">
      <c r="A9" s="23" t="inlineStr">
        <is>
          <t>App Bar</t>
        </is>
      </c>
      <c r="B9" s="23">
        <f>INDIRECT("'"&amp;A9&amp;"'!B4")</f>
        <v/>
      </c>
      <c r="C9" s="23">
        <f>COUNTIF(INDIRECT("'"&amp;A9&amp;"'!H9:H200"),"not started")</f>
        <v/>
      </c>
      <c r="D9" s="23">
        <f>COUNTIF(INDIRECT("'"&amp;A9&amp;"'!H9:H200"),"partial")</f>
        <v/>
      </c>
      <c r="E9" s="23">
        <f>COUNTIF(INDIRECT("'"&amp;A9&amp;"'!H9:H200"),"implemented")</f>
        <v/>
      </c>
      <c r="F9" s="23">
        <f>COUNTIF(INDIRECT("'"&amp;A9&amp;"'!H9:H200"),"tested")</f>
        <v/>
      </c>
      <c r="G9" s="23">
        <f>COUNTIF(INDIRECT("'"&amp;A9&amp;"'!H9:H200"),"verified")</f>
        <v/>
      </c>
      <c r="H9" s="23">
        <f>COUNTIF(INDIRECT("'"&amp;A9&amp;"'!H9:H200"),"blocked")</f>
        <v/>
      </c>
      <c r="I9" s="23">
        <f>COUNTIF(INDIRECT("'"&amp;A9&amp;"'!H9:H200"),"not applicable")</f>
        <v/>
      </c>
      <c r="J9" s="24">
        <f>INDIRECT("'"&amp;A9&amp;"'!H4")</f>
        <v/>
      </c>
      <c r="K9" s="23">
        <f>INDIRECT("'"&amp;A9&amp;"'!K4")</f>
        <v/>
      </c>
      <c r="L9" s="23">
        <f>INDIRECT("'"&amp;A9&amp;"'!E5")</f>
        <v/>
      </c>
      <c r="M9" s="23">
        <f>IF(AND(J9=1,K9="complete",L9="complete"),"complete",IF(H9&gt;0,"blocked","open"))</f>
        <v/>
      </c>
    </row>
    <row r="10" ht="24" customHeight="1" s="17">
      <c r="A10" s="23" t="inlineStr">
        <is>
          <t>Avatar</t>
        </is>
      </c>
      <c r="B10" s="23">
        <f>INDIRECT("'"&amp;A10&amp;"'!B4")</f>
        <v/>
      </c>
      <c r="C10" s="23">
        <f>COUNTIF(INDIRECT("'"&amp;A10&amp;"'!H9:H200"),"not started")</f>
        <v/>
      </c>
      <c r="D10" s="23">
        <f>COUNTIF(INDIRECT("'"&amp;A10&amp;"'!H9:H200"),"partial")</f>
        <v/>
      </c>
      <c r="E10" s="23">
        <f>COUNTIF(INDIRECT("'"&amp;A10&amp;"'!H9:H200"),"implemented")</f>
        <v/>
      </c>
      <c r="F10" s="23">
        <f>COUNTIF(INDIRECT("'"&amp;A10&amp;"'!H9:H200"),"tested")</f>
        <v/>
      </c>
      <c r="G10" s="23">
        <f>COUNTIF(INDIRECT("'"&amp;A10&amp;"'!H9:H200"),"verified")</f>
        <v/>
      </c>
      <c r="H10" s="23">
        <f>COUNTIF(INDIRECT("'"&amp;A10&amp;"'!H9:H200"),"blocked")</f>
        <v/>
      </c>
      <c r="I10" s="23">
        <f>COUNTIF(INDIRECT("'"&amp;A10&amp;"'!H9:H200"),"not applicable")</f>
        <v/>
      </c>
      <c r="J10" s="24">
        <f>INDIRECT("'"&amp;A10&amp;"'!H4")</f>
        <v/>
      </c>
      <c r="K10" s="23">
        <f>INDIRECT("'"&amp;A10&amp;"'!K4")</f>
        <v/>
      </c>
      <c r="L10" s="23">
        <f>INDIRECT("'"&amp;A10&amp;"'!E5")</f>
        <v/>
      </c>
      <c r="M10" s="23">
        <f>IF(AND(J10=1,K10="complete",L10="complete"),"complete",IF(H10&gt;0,"blocked","open"))</f>
        <v/>
      </c>
    </row>
    <row r="11" ht="24" customHeight="1" s="17">
      <c r="A11" s="23" t="inlineStr">
        <is>
          <t>Badge</t>
        </is>
      </c>
      <c r="B11" s="23">
        <f>INDIRECT("'"&amp;A11&amp;"'!B4")</f>
        <v/>
      </c>
      <c r="C11" s="23">
        <f>COUNTIF(INDIRECT("'"&amp;A11&amp;"'!H9:H200"),"not started")</f>
        <v/>
      </c>
      <c r="D11" s="23">
        <f>COUNTIF(INDIRECT("'"&amp;A11&amp;"'!H9:H200"),"partial")</f>
        <v/>
      </c>
      <c r="E11" s="23">
        <f>COUNTIF(INDIRECT("'"&amp;A11&amp;"'!H9:H200"),"implemented")</f>
        <v/>
      </c>
      <c r="F11" s="23">
        <f>COUNTIF(INDIRECT("'"&amp;A11&amp;"'!H9:H200"),"tested")</f>
        <v/>
      </c>
      <c r="G11" s="23">
        <f>COUNTIF(INDIRECT("'"&amp;A11&amp;"'!H9:H200"),"verified")</f>
        <v/>
      </c>
      <c r="H11" s="23">
        <f>COUNTIF(INDIRECT("'"&amp;A11&amp;"'!H9:H200"),"blocked")</f>
        <v/>
      </c>
      <c r="I11" s="23">
        <f>COUNTIF(INDIRECT("'"&amp;A11&amp;"'!H9:H200"),"not applicable")</f>
        <v/>
      </c>
      <c r="J11" s="24">
        <f>INDIRECT("'"&amp;A11&amp;"'!H4")</f>
        <v/>
      </c>
      <c r="K11" s="23">
        <f>INDIRECT("'"&amp;A11&amp;"'!K4")</f>
        <v/>
      </c>
      <c r="L11" s="23">
        <f>INDIRECT("'"&amp;A11&amp;"'!E5")</f>
        <v/>
      </c>
      <c r="M11" s="23">
        <f>IF(AND(J11=1,K11="complete",L11="complete"),"complete",IF(H11&gt;0,"blocked","open"))</f>
        <v/>
      </c>
    </row>
    <row r="12" ht="24" customHeight="1" s="17">
      <c r="A12" s="23" t="inlineStr">
        <is>
          <t>Button</t>
        </is>
      </c>
      <c r="B12" s="23">
        <f>INDIRECT("'"&amp;A12&amp;"'!B4")</f>
        <v/>
      </c>
      <c r="C12" s="23">
        <f>COUNTIF(INDIRECT("'"&amp;A12&amp;"'!H9:H200"),"not started")</f>
        <v/>
      </c>
      <c r="D12" s="23">
        <f>COUNTIF(INDIRECT("'"&amp;A12&amp;"'!H9:H200"),"partial")</f>
        <v/>
      </c>
      <c r="E12" s="23">
        <f>COUNTIF(INDIRECT("'"&amp;A12&amp;"'!H9:H200"),"implemented")</f>
        <v/>
      </c>
      <c r="F12" s="23">
        <f>COUNTIF(INDIRECT("'"&amp;A12&amp;"'!H9:H200"),"tested")</f>
        <v/>
      </c>
      <c r="G12" s="23">
        <f>COUNTIF(INDIRECT("'"&amp;A12&amp;"'!H9:H200"),"verified")</f>
        <v/>
      </c>
      <c r="H12" s="23">
        <f>COUNTIF(INDIRECT("'"&amp;A12&amp;"'!H9:H200"),"blocked")</f>
        <v/>
      </c>
      <c r="I12" s="23">
        <f>COUNTIF(INDIRECT("'"&amp;A12&amp;"'!H9:H200"),"not applicable")</f>
        <v/>
      </c>
      <c r="J12" s="24">
        <f>INDIRECT("'"&amp;A12&amp;"'!H4")</f>
        <v/>
      </c>
      <c r="K12" s="23">
        <f>INDIRECT("'"&amp;A12&amp;"'!K4")</f>
        <v/>
      </c>
      <c r="L12" s="23">
        <f>INDIRECT("'"&amp;A12&amp;"'!E5")</f>
        <v/>
      </c>
      <c r="M12" s="23">
        <f>IF(AND(J12=1,K12="complete",L12="complete"),"complete",IF(H12&gt;0,"blocked","open"))</f>
        <v/>
      </c>
    </row>
    <row r="13" ht="24" customHeight="1" s="17">
      <c r="A13" s="23" t="inlineStr">
        <is>
          <t>Card</t>
        </is>
      </c>
      <c r="B13" s="23">
        <f>INDIRECT("'"&amp;A13&amp;"'!B4")</f>
        <v/>
      </c>
      <c r="C13" s="23">
        <f>COUNTIF(INDIRECT("'"&amp;A13&amp;"'!H9:H200"),"not started")</f>
        <v/>
      </c>
      <c r="D13" s="23">
        <f>COUNTIF(INDIRECT("'"&amp;A13&amp;"'!H9:H200"),"partial")</f>
        <v/>
      </c>
      <c r="E13" s="23">
        <f>COUNTIF(INDIRECT("'"&amp;A13&amp;"'!H9:H200"),"implemented")</f>
        <v/>
      </c>
      <c r="F13" s="23">
        <f>COUNTIF(INDIRECT("'"&amp;A13&amp;"'!H9:H200"),"tested")</f>
        <v/>
      </c>
      <c r="G13" s="23">
        <f>COUNTIF(INDIRECT("'"&amp;A13&amp;"'!H9:H200"),"verified")</f>
        <v/>
      </c>
      <c r="H13" s="23">
        <f>COUNTIF(INDIRECT("'"&amp;A13&amp;"'!H9:H200"),"blocked")</f>
        <v/>
      </c>
      <c r="I13" s="23">
        <f>COUNTIF(INDIRECT("'"&amp;A13&amp;"'!H9:H200"),"not applicable")</f>
        <v/>
      </c>
      <c r="J13" s="24">
        <f>INDIRECT("'"&amp;A13&amp;"'!H4")</f>
        <v/>
      </c>
      <c r="K13" s="23">
        <f>INDIRECT("'"&amp;A13&amp;"'!K4")</f>
        <v/>
      </c>
      <c r="L13" s="23">
        <f>INDIRECT("'"&amp;A13&amp;"'!E5")</f>
        <v/>
      </c>
      <c r="M13" s="23">
        <f>IF(AND(J13=1,K13="complete",L13="complete"),"complete",IF(H13&gt;0,"blocked","open"))</f>
        <v/>
      </c>
    </row>
    <row r="14" ht="24" customHeight="1" s="17">
      <c r="A14" s="23" t="inlineStr">
        <is>
          <t>Checkbox</t>
        </is>
      </c>
      <c r="B14" s="23">
        <f>INDIRECT("'"&amp;A14&amp;"'!B4")</f>
        <v/>
      </c>
      <c r="C14" s="23">
        <f>COUNTIF(INDIRECT("'"&amp;A14&amp;"'!H9:H200"),"not started")</f>
        <v/>
      </c>
      <c r="D14" s="23">
        <f>COUNTIF(INDIRECT("'"&amp;A14&amp;"'!H9:H200"),"partial")</f>
        <v/>
      </c>
      <c r="E14" s="23">
        <f>COUNTIF(INDIRECT("'"&amp;A14&amp;"'!H9:H200"),"implemented")</f>
        <v/>
      </c>
      <c r="F14" s="23">
        <f>COUNTIF(INDIRECT("'"&amp;A14&amp;"'!H9:H200"),"tested")</f>
        <v/>
      </c>
      <c r="G14" s="23">
        <f>COUNTIF(INDIRECT("'"&amp;A14&amp;"'!H9:H200"),"verified")</f>
        <v/>
      </c>
      <c r="H14" s="23">
        <f>COUNTIF(INDIRECT("'"&amp;A14&amp;"'!H9:H200"),"blocked")</f>
        <v/>
      </c>
      <c r="I14" s="23">
        <f>COUNTIF(INDIRECT("'"&amp;A14&amp;"'!H9:H200"),"not applicable")</f>
        <v/>
      </c>
      <c r="J14" s="24">
        <f>INDIRECT("'"&amp;A14&amp;"'!H4")</f>
        <v/>
      </c>
      <c r="K14" s="23">
        <f>INDIRECT("'"&amp;A14&amp;"'!K4")</f>
        <v/>
      </c>
      <c r="L14" s="23">
        <f>INDIRECT("'"&amp;A14&amp;"'!E5")</f>
        <v/>
      </c>
      <c r="M14" s="23">
        <f>IF(AND(J14=1,K14="complete",L14="complete"),"complete",IF(H14&gt;0,"blocked","open"))</f>
        <v/>
      </c>
    </row>
    <row r="15" ht="24" customHeight="1" s="17">
      <c r="A15" s="23" t="inlineStr">
        <is>
          <t>Checkbox Group</t>
        </is>
      </c>
      <c r="B15" s="23">
        <f>INDIRECT("'"&amp;A15&amp;"'!B4")</f>
        <v/>
      </c>
      <c r="C15" s="23">
        <f>COUNTIF(INDIRECT("'"&amp;A15&amp;"'!H9:H200"),"not started")</f>
        <v/>
      </c>
      <c r="D15" s="23">
        <f>COUNTIF(INDIRECT("'"&amp;A15&amp;"'!H9:H200"),"partial")</f>
        <v/>
      </c>
      <c r="E15" s="23">
        <f>COUNTIF(INDIRECT("'"&amp;A15&amp;"'!H9:H200"),"implemented")</f>
        <v/>
      </c>
      <c r="F15" s="23">
        <f>COUNTIF(INDIRECT("'"&amp;A15&amp;"'!H9:H200"),"tested")</f>
        <v/>
      </c>
      <c r="G15" s="23">
        <f>COUNTIF(INDIRECT("'"&amp;A15&amp;"'!H9:H200"),"verified")</f>
        <v/>
      </c>
      <c r="H15" s="23">
        <f>COUNTIF(INDIRECT("'"&amp;A15&amp;"'!H9:H200"),"blocked")</f>
        <v/>
      </c>
      <c r="I15" s="23">
        <f>COUNTIF(INDIRECT("'"&amp;A15&amp;"'!H9:H200"),"not applicable")</f>
        <v/>
      </c>
      <c r="J15" s="24">
        <f>INDIRECT("'"&amp;A15&amp;"'!H4")</f>
        <v/>
      </c>
      <c r="K15" s="23">
        <f>INDIRECT("'"&amp;A15&amp;"'!K4")</f>
        <v/>
      </c>
      <c r="L15" s="23">
        <f>INDIRECT("'"&amp;A15&amp;"'!E5")</f>
        <v/>
      </c>
      <c r="M15" s="23">
        <f>IF(AND(J15=1,K15="complete",L15="complete"),"complete",IF(H15&gt;0,"blocked","open"))</f>
        <v/>
      </c>
    </row>
    <row r="16" ht="24" customHeight="1" s="17">
      <c r="A16" s="23" t="inlineStr">
        <is>
          <t>Dialog</t>
        </is>
      </c>
      <c r="B16" s="23">
        <f>INDIRECT("'"&amp;A16&amp;"'!B4")</f>
        <v/>
      </c>
      <c r="C16" s="23">
        <f>COUNTIF(INDIRECT("'"&amp;A16&amp;"'!H9:H200"),"not started")</f>
        <v/>
      </c>
      <c r="D16" s="23">
        <f>COUNTIF(INDIRECT("'"&amp;A16&amp;"'!H9:H200"),"partial")</f>
        <v/>
      </c>
      <c r="E16" s="23">
        <f>COUNTIF(INDIRECT("'"&amp;A16&amp;"'!H9:H200"),"implemented")</f>
        <v/>
      </c>
      <c r="F16" s="23">
        <f>COUNTIF(INDIRECT("'"&amp;A16&amp;"'!H9:H200"),"tested")</f>
        <v/>
      </c>
      <c r="G16" s="23">
        <f>COUNTIF(INDIRECT("'"&amp;A16&amp;"'!H9:H200"),"verified")</f>
        <v/>
      </c>
      <c r="H16" s="23">
        <f>COUNTIF(INDIRECT("'"&amp;A16&amp;"'!H9:H200"),"blocked")</f>
        <v/>
      </c>
      <c r="I16" s="23">
        <f>COUNTIF(INDIRECT("'"&amp;A16&amp;"'!H9:H200"),"not applicable")</f>
        <v/>
      </c>
      <c r="J16" s="24">
        <f>INDIRECT("'"&amp;A16&amp;"'!H4")</f>
        <v/>
      </c>
      <c r="K16" s="23">
        <f>INDIRECT("'"&amp;A16&amp;"'!K4")</f>
        <v/>
      </c>
      <c r="L16" s="23">
        <f>INDIRECT("'"&amp;A16&amp;"'!E5")</f>
        <v/>
      </c>
      <c r="M16" s="23">
        <f>IF(AND(J16=1,K16="complete",L16="complete"),"complete",IF(H16&gt;0,"blocked","open"))</f>
        <v/>
      </c>
    </row>
    <row r="17" ht="24" customHeight="1" s="17">
      <c r="A17" s="23" t="inlineStr">
        <is>
          <t>Drawer</t>
        </is>
      </c>
      <c r="B17" s="23">
        <f>INDIRECT("'"&amp;A17&amp;"'!B4")</f>
        <v/>
      </c>
      <c r="C17" s="23">
        <f>COUNTIF(INDIRECT("'"&amp;A17&amp;"'!H9:H200"),"not started")</f>
        <v/>
      </c>
      <c r="D17" s="23">
        <f>COUNTIF(INDIRECT("'"&amp;A17&amp;"'!H9:H200"),"partial")</f>
        <v/>
      </c>
      <c r="E17" s="23">
        <f>COUNTIF(INDIRECT("'"&amp;A17&amp;"'!H9:H200"),"implemented")</f>
        <v/>
      </c>
      <c r="F17" s="23">
        <f>COUNTIF(INDIRECT("'"&amp;A17&amp;"'!H9:H200"),"tested")</f>
        <v/>
      </c>
      <c r="G17" s="23">
        <f>COUNTIF(INDIRECT("'"&amp;A17&amp;"'!H9:H200"),"verified")</f>
        <v/>
      </c>
      <c r="H17" s="23">
        <f>COUNTIF(INDIRECT("'"&amp;A17&amp;"'!H9:H200"),"blocked")</f>
        <v/>
      </c>
      <c r="I17" s="23">
        <f>COUNTIF(INDIRECT("'"&amp;A17&amp;"'!H9:H200"),"not applicable")</f>
        <v/>
      </c>
      <c r="J17" s="24">
        <f>INDIRECT("'"&amp;A17&amp;"'!H4")</f>
        <v/>
      </c>
      <c r="K17" s="23">
        <f>INDIRECT("'"&amp;A17&amp;"'!K4")</f>
        <v/>
      </c>
      <c r="L17" s="23">
        <f>INDIRECT("'"&amp;A17&amp;"'!E5")</f>
        <v/>
      </c>
      <c r="M17" s="23">
        <f>IF(AND(J17=1,K17="complete",L17="complete"),"complete",IF(H17&gt;0,"blocked","open"))</f>
        <v/>
      </c>
    </row>
    <row r="18" ht="24" customHeight="1" s="17">
      <c r="A18" s="23" t="inlineStr">
        <is>
          <t>Field</t>
        </is>
      </c>
      <c r="B18" s="23">
        <f>INDIRECT("'"&amp;A18&amp;"'!B4")</f>
        <v/>
      </c>
      <c r="C18" s="23">
        <f>COUNTIF(INDIRECT("'"&amp;A18&amp;"'!H9:H200"),"not started")</f>
        <v/>
      </c>
      <c r="D18" s="23">
        <f>COUNTIF(INDIRECT("'"&amp;A18&amp;"'!H9:H200"),"partial")</f>
        <v/>
      </c>
      <c r="E18" s="23">
        <f>COUNTIF(INDIRECT("'"&amp;A18&amp;"'!H9:H200"),"implemented")</f>
        <v/>
      </c>
      <c r="F18" s="23">
        <f>COUNTIF(INDIRECT("'"&amp;A18&amp;"'!H9:H200"),"tested")</f>
        <v/>
      </c>
      <c r="G18" s="23">
        <f>COUNTIF(INDIRECT("'"&amp;A18&amp;"'!H9:H200"),"verified")</f>
        <v/>
      </c>
      <c r="H18" s="23">
        <f>COUNTIF(INDIRECT("'"&amp;A18&amp;"'!H9:H200"),"blocked")</f>
        <v/>
      </c>
      <c r="I18" s="23">
        <f>COUNTIF(INDIRECT("'"&amp;A18&amp;"'!H9:H200"),"not applicable")</f>
        <v/>
      </c>
      <c r="J18" s="24">
        <f>INDIRECT("'"&amp;A18&amp;"'!H4")</f>
        <v/>
      </c>
      <c r="K18" s="23">
        <f>INDIRECT("'"&amp;A18&amp;"'!K4")</f>
        <v/>
      </c>
      <c r="L18" s="23">
        <f>INDIRECT("'"&amp;A18&amp;"'!E5")</f>
        <v/>
      </c>
      <c r="M18" s="23">
        <f>IF(AND(J18=1,K18="complete",L18="complete"),"complete",IF(H18&gt;0,"blocked","open"))</f>
        <v/>
      </c>
    </row>
    <row r="19" ht="24" customHeight="1" s="17">
      <c r="A19" s="23" t="inlineStr">
        <is>
          <t>Fieldset</t>
        </is>
      </c>
      <c r="B19" s="23">
        <f>INDIRECT("'"&amp;A19&amp;"'!B4")</f>
        <v/>
      </c>
      <c r="C19" s="23">
        <f>COUNTIF(INDIRECT("'"&amp;A19&amp;"'!H9:H200"),"not started")</f>
        <v/>
      </c>
      <c r="D19" s="23">
        <f>COUNTIF(INDIRECT("'"&amp;A19&amp;"'!H9:H200"),"partial")</f>
        <v/>
      </c>
      <c r="E19" s="23">
        <f>COUNTIF(INDIRECT("'"&amp;A19&amp;"'!H9:H200"),"implemented")</f>
        <v/>
      </c>
      <c r="F19" s="23">
        <f>COUNTIF(INDIRECT("'"&amp;A19&amp;"'!H9:H200"),"tested")</f>
        <v/>
      </c>
      <c r="G19" s="23">
        <f>COUNTIF(INDIRECT("'"&amp;A19&amp;"'!H9:H200"),"verified")</f>
        <v/>
      </c>
      <c r="H19" s="23">
        <f>COUNTIF(INDIRECT("'"&amp;A19&amp;"'!H9:H200"),"blocked")</f>
        <v/>
      </c>
      <c r="I19" s="23">
        <f>COUNTIF(INDIRECT("'"&amp;A19&amp;"'!H9:H200"),"not applicable")</f>
        <v/>
      </c>
      <c r="J19" s="24">
        <f>INDIRECT("'"&amp;A19&amp;"'!H4")</f>
        <v/>
      </c>
      <c r="K19" s="23">
        <f>INDIRECT("'"&amp;A19&amp;"'!K4")</f>
        <v/>
      </c>
      <c r="L19" s="23">
        <f>INDIRECT("'"&amp;A19&amp;"'!E5")</f>
        <v/>
      </c>
      <c r="M19" s="23">
        <f>IF(AND(J19=1,K19="complete",L19="complete"),"complete",IF(H19&gt;0,"blocked","open"))</f>
        <v/>
      </c>
    </row>
    <row r="20" ht="24" customHeight="1" s="17">
      <c r="A20" s="23" t="inlineStr">
        <is>
          <t>Form</t>
        </is>
      </c>
      <c r="B20" s="23">
        <f>INDIRECT("'"&amp;A20&amp;"'!B4")</f>
        <v/>
      </c>
      <c r="C20" s="23">
        <f>COUNTIF(INDIRECT("'"&amp;A20&amp;"'!H9:H200"),"not started")</f>
        <v/>
      </c>
      <c r="D20" s="23">
        <f>COUNTIF(INDIRECT("'"&amp;A20&amp;"'!H9:H200"),"partial")</f>
        <v/>
      </c>
      <c r="E20" s="23">
        <f>COUNTIF(INDIRECT("'"&amp;A20&amp;"'!H9:H200"),"implemented")</f>
        <v/>
      </c>
      <c r="F20" s="23">
        <f>COUNTIF(INDIRECT("'"&amp;A20&amp;"'!H9:H200"),"tested")</f>
        <v/>
      </c>
      <c r="G20" s="23">
        <f>COUNTIF(INDIRECT("'"&amp;A20&amp;"'!H9:H200"),"verified")</f>
        <v/>
      </c>
      <c r="H20" s="23">
        <f>COUNTIF(INDIRECT("'"&amp;A20&amp;"'!H9:H200"),"blocked")</f>
        <v/>
      </c>
      <c r="I20" s="23">
        <f>COUNTIF(INDIRECT("'"&amp;A20&amp;"'!H9:H200"),"not applicable")</f>
        <v/>
      </c>
      <c r="J20" s="24">
        <f>INDIRECT("'"&amp;A20&amp;"'!H4")</f>
        <v/>
      </c>
      <c r="K20" s="23">
        <f>INDIRECT("'"&amp;A20&amp;"'!K4")</f>
        <v/>
      </c>
      <c r="L20" s="23">
        <f>INDIRECT("'"&amp;A20&amp;"'!E5")</f>
        <v/>
      </c>
      <c r="M20" s="23">
        <f>IF(AND(J20=1,K20="complete",L20="complete"),"complete",IF(H20&gt;0,"blocked","open"))</f>
        <v/>
      </c>
    </row>
    <row r="21" ht="24" customHeight="1" s="17">
      <c r="A21" s="23" t="inlineStr">
        <is>
          <t>Hover Card</t>
        </is>
      </c>
      <c r="B21" s="23">
        <f>INDIRECT("'"&amp;A21&amp;"'!B4")</f>
        <v/>
      </c>
      <c r="C21" s="23">
        <f>COUNTIF(INDIRECT("'"&amp;A21&amp;"'!H9:H200"),"not started")</f>
        <v/>
      </c>
      <c r="D21" s="23">
        <f>COUNTIF(INDIRECT("'"&amp;A21&amp;"'!H9:H200"),"partial")</f>
        <v/>
      </c>
      <c r="E21" s="23">
        <f>COUNTIF(INDIRECT("'"&amp;A21&amp;"'!H9:H200"),"implemented")</f>
        <v/>
      </c>
      <c r="F21" s="23">
        <f>COUNTIF(INDIRECT("'"&amp;A21&amp;"'!H9:H200"),"tested")</f>
        <v/>
      </c>
      <c r="G21" s="23">
        <f>COUNTIF(INDIRECT("'"&amp;A21&amp;"'!H9:H200"),"verified")</f>
        <v/>
      </c>
      <c r="H21" s="23">
        <f>COUNTIF(INDIRECT("'"&amp;A21&amp;"'!H9:H200"),"blocked")</f>
        <v/>
      </c>
      <c r="I21" s="23">
        <f>COUNTIF(INDIRECT("'"&amp;A21&amp;"'!H9:H200"),"not applicable")</f>
        <v/>
      </c>
      <c r="J21" s="24">
        <f>INDIRECT("'"&amp;A21&amp;"'!H4")</f>
        <v/>
      </c>
      <c r="K21" s="23">
        <f>INDIRECT("'"&amp;A21&amp;"'!K4")</f>
        <v/>
      </c>
      <c r="L21" s="23">
        <f>INDIRECT("'"&amp;A21&amp;"'!E5")</f>
        <v/>
      </c>
      <c r="M21" s="23">
        <f>IF(AND(J21=1,K21="complete",L21="complete"),"complete",IF(H21&gt;0,"blocked","open"))</f>
        <v/>
      </c>
    </row>
    <row r="22" ht="24" customHeight="1" s="17">
      <c r="A22" s="23" t="inlineStr">
        <is>
          <t>Icon Button</t>
        </is>
      </c>
      <c r="B22" s="23">
        <f>INDIRECT("'"&amp;A22&amp;"'!B4")</f>
        <v/>
      </c>
      <c r="C22" s="23">
        <f>COUNTIF(INDIRECT("'"&amp;A22&amp;"'!H9:H200"),"not started")</f>
        <v/>
      </c>
      <c r="D22" s="23">
        <f>COUNTIF(INDIRECT("'"&amp;A22&amp;"'!H9:H200"),"partial")</f>
        <v/>
      </c>
      <c r="E22" s="23">
        <f>COUNTIF(INDIRECT("'"&amp;A22&amp;"'!H9:H200"),"implemented")</f>
        <v/>
      </c>
      <c r="F22" s="23">
        <f>COUNTIF(INDIRECT("'"&amp;A22&amp;"'!H9:H200"),"tested")</f>
        <v/>
      </c>
      <c r="G22" s="23">
        <f>COUNTIF(INDIRECT("'"&amp;A22&amp;"'!H9:H200"),"verified")</f>
        <v/>
      </c>
      <c r="H22" s="23">
        <f>COUNTIF(INDIRECT("'"&amp;A22&amp;"'!H9:H200"),"blocked")</f>
        <v/>
      </c>
      <c r="I22" s="23">
        <f>COUNTIF(INDIRECT("'"&amp;A22&amp;"'!H9:H200"),"not applicable")</f>
        <v/>
      </c>
      <c r="J22" s="24">
        <f>INDIRECT("'"&amp;A22&amp;"'!H4")</f>
        <v/>
      </c>
      <c r="K22" s="23">
        <f>INDIRECT("'"&amp;A22&amp;"'!K4")</f>
        <v/>
      </c>
      <c r="L22" s="23">
        <f>INDIRECT("'"&amp;A22&amp;"'!E5")</f>
        <v/>
      </c>
      <c r="M22" s="23">
        <f>IF(AND(J22=1,K22="complete",L22="complete"),"complete",IF(H22&gt;0,"blocked","open"))</f>
        <v/>
      </c>
    </row>
    <row r="23" ht="24" customHeight="1" s="17">
      <c r="A23" s="23" t="inlineStr">
        <is>
          <t>Input</t>
        </is>
      </c>
      <c r="B23" s="23">
        <f>INDIRECT("'"&amp;A23&amp;"'!B4")</f>
        <v/>
      </c>
      <c r="C23" s="23">
        <f>COUNTIF(INDIRECT("'"&amp;A23&amp;"'!H9:H200"),"not started")</f>
        <v/>
      </c>
      <c r="D23" s="23">
        <f>COUNTIF(INDIRECT("'"&amp;A23&amp;"'!H9:H200"),"partial")</f>
        <v/>
      </c>
      <c r="E23" s="23">
        <f>COUNTIF(INDIRECT("'"&amp;A23&amp;"'!H9:H200"),"implemented")</f>
        <v/>
      </c>
      <c r="F23" s="23">
        <f>COUNTIF(INDIRECT("'"&amp;A23&amp;"'!H9:H200"),"tested")</f>
        <v/>
      </c>
      <c r="G23" s="23">
        <f>COUNTIF(INDIRECT("'"&amp;A23&amp;"'!H9:H200"),"verified")</f>
        <v/>
      </c>
      <c r="H23" s="23">
        <f>COUNTIF(INDIRECT("'"&amp;A23&amp;"'!H9:H200"),"blocked")</f>
        <v/>
      </c>
      <c r="I23" s="23">
        <f>COUNTIF(INDIRECT("'"&amp;A23&amp;"'!H9:H200"),"not applicable")</f>
        <v/>
      </c>
      <c r="J23" s="24">
        <f>INDIRECT("'"&amp;A23&amp;"'!H4")</f>
        <v/>
      </c>
      <c r="K23" s="23">
        <f>INDIRECT("'"&amp;A23&amp;"'!K4")</f>
        <v/>
      </c>
      <c r="L23" s="23">
        <f>INDIRECT("'"&amp;A23&amp;"'!E5")</f>
        <v/>
      </c>
      <c r="M23" s="23">
        <f>IF(AND(J23=1,K23="complete",L23="complete"),"complete",IF(H23&gt;0,"blocked","open"))</f>
        <v/>
      </c>
    </row>
    <row r="24" ht="24" customHeight="1" s="17">
      <c r="A24" s="23" t="inlineStr">
        <is>
          <t>Link</t>
        </is>
      </c>
      <c r="B24" s="23">
        <f>INDIRECT("'"&amp;A24&amp;"'!B4")</f>
        <v/>
      </c>
      <c r="C24" s="23">
        <f>COUNTIF(INDIRECT("'"&amp;A24&amp;"'!H9:H200"),"not started")</f>
        <v/>
      </c>
      <c r="D24" s="23">
        <f>COUNTIF(INDIRECT("'"&amp;A24&amp;"'!H9:H200"),"partial")</f>
        <v/>
      </c>
      <c r="E24" s="23">
        <f>COUNTIF(INDIRECT("'"&amp;A24&amp;"'!H9:H200"),"implemented")</f>
        <v/>
      </c>
      <c r="F24" s="23">
        <f>COUNTIF(INDIRECT("'"&amp;A24&amp;"'!H9:H200"),"tested")</f>
        <v/>
      </c>
      <c r="G24" s="23">
        <f>COUNTIF(INDIRECT("'"&amp;A24&amp;"'!H9:H200"),"verified")</f>
        <v/>
      </c>
      <c r="H24" s="23">
        <f>COUNTIF(INDIRECT("'"&amp;A24&amp;"'!H9:H200"),"blocked")</f>
        <v/>
      </c>
      <c r="I24" s="23">
        <f>COUNTIF(INDIRECT("'"&amp;A24&amp;"'!H9:H200"),"not applicable")</f>
        <v/>
      </c>
      <c r="J24" s="24">
        <f>INDIRECT("'"&amp;A24&amp;"'!H4")</f>
        <v/>
      </c>
      <c r="K24" s="23">
        <f>INDIRECT("'"&amp;A24&amp;"'!K4")</f>
        <v/>
      </c>
      <c r="L24" s="23">
        <f>INDIRECT("'"&amp;A24&amp;"'!E5")</f>
        <v/>
      </c>
      <c r="M24" s="23">
        <f>IF(AND(J24=1,K24="complete",L24="complete"),"complete",IF(H24&gt;0,"blocked","open"))</f>
        <v/>
      </c>
    </row>
    <row r="25" ht="24" customHeight="1" s="17">
      <c r="A25" s="23" t="inlineStr">
        <is>
          <t>Notification Badge</t>
        </is>
      </c>
      <c r="B25" s="23">
        <f>INDIRECT("'"&amp;A25&amp;"'!B4")</f>
        <v/>
      </c>
      <c r="C25" s="23">
        <f>COUNTIF(INDIRECT("'"&amp;A25&amp;"'!H9:H200"),"not started")</f>
        <v/>
      </c>
      <c r="D25" s="23">
        <f>COUNTIF(INDIRECT("'"&amp;A25&amp;"'!H9:H200"),"partial")</f>
        <v/>
      </c>
      <c r="E25" s="23">
        <f>COUNTIF(INDIRECT("'"&amp;A25&amp;"'!H9:H200"),"implemented")</f>
        <v/>
      </c>
      <c r="F25" s="23">
        <f>COUNTIF(INDIRECT("'"&amp;A25&amp;"'!H9:H200"),"tested")</f>
        <v/>
      </c>
      <c r="G25" s="23">
        <f>COUNTIF(INDIRECT("'"&amp;A25&amp;"'!H9:H200"),"verified")</f>
        <v/>
      </c>
      <c r="H25" s="23">
        <f>COUNTIF(INDIRECT("'"&amp;A25&amp;"'!H9:H200"),"blocked")</f>
        <v/>
      </c>
      <c r="I25" s="23">
        <f>COUNTIF(INDIRECT("'"&amp;A25&amp;"'!H9:H200"),"not applicable")</f>
        <v/>
      </c>
      <c r="J25" s="24">
        <f>INDIRECT("'"&amp;A25&amp;"'!H4")</f>
        <v/>
      </c>
      <c r="K25" s="23">
        <f>INDIRECT("'"&amp;A25&amp;"'!K4")</f>
        <v/>
      </c>
      <c r="L25" s="23">
        <f>INDIRECT("'"&amp;A25&amp;"'!E5")</f>
        <v/>
      </c>
      <c r="M25" s="23">
        <f>IF(AND(J25=1,K25="complete",L25="complete"),"complete",IF(H25&gt;0,"blocked","open"))</f>
        <v/>
      </c>
    </row>
    <row r="26" ht="24" customHeight="1" s="17">
      <c r="A26" s="23" t="inlineStr">
        <is>
          <t>Popover</t>
        </is>
      </c>
      <c r="B26" s="23">
        <f>INDIRECT("'"&amp;A26&amp;"'!B4")</f>
        <v/>
      </c>
      <c r="C26" s="23">
        <f>COUNTIF(INDIRECT("'"&amp;A26&amp;"'!H9:H200"),"not started")</f>
        <v/>
      </c>
      <c r="D26" s="23">
        <f>COUNTIF(INDIRECT("'"&amp;A26&amp;"'!H9:H200"),"partial")</f>
        <v/>
      </c>
      <c r="E26" s="23">
        <f>COUNTIF(INDIRECT("'"&amp;A26&amp;"'!H9:H200"),"implemented")</f>
        <v/>
      </c>
      <c r="F26" s="23">
        <f>COUNTIF(INDIRECT("'"&amp;A26&amp;"'!H9:H200"),"tested")</f>
        <v/>
      </c>
      <c r="G26" s="23">
        <f>COUNTIF(INDIRECT("'"&amp;A26&amp;"'!H9:H200"),"verified")</f>
        <v/>
      </c>
      <c r="H26" s="23">
        <f>COUNTIF(INDIRECT("'"&amp;A26&amp;"'!H9:H200"),"blocked")</f>
        <v/>
      </c>
      <c r="I26" s="23">
        <f>COUNTIF(INDIRECT("'"&amp;A26&amp;"'!H9:H200"),"not applicable")</f>
        <v/>
      </c>
      <c r="J26" s="24">
        <f>INDIRECT("'"&amp;A26&amp;"'!H4")</f>
        <v/>
      </c>
      <c r="K26" s="23">
        <f>INDIRECT("'"&amp;A26&amp;"'!K4")</f>
        <v/>
      </c>
      <c r="L26" s="23">
        <f>INDIRECT("'"&amp;A26&amp;"'!E5")</f>
        <v/>
      </c>
      <c r="M26" s="23">
        <f>IF(AND(J26=1,K26="complete",L26="complete"),"complete",IF(H26&gt;0,"blocked","open"))</f>
        <v/>
      </c>
    </row>
    <row r="27" ht="24" customHeight="1" s="17">
      <c r="A27" s="23" t="inlineStr">
        <is>
          <t>Toggle</t>
        </is>
      </c>
      <c r="B27" s="23">
        <f>INDIRECT("'"&amp;A27&amp;"'!B4")</f>
        <v/>
      </c>
      <c r="C27" s="23">
        <f>COUNTIF(INDIRECT("'"&amp;A27&amp;"'!H9:H200"),"not started")</f>
        <v/>
      </c>
      <c r="D27" s="23">
        <f>COUNTIF(INDIRECT("'"&amp;A27&amp;"'!H9:H200"),"partial")</f>
        <v/>
      </c>
      <c r="E27" s="23">
        <f>COUNTIF(INDIRECT("'"&amp;A27&amp;"'!H9:H200"),"implemented")</f>
        <v/>
      </c>
      <c r="F27" s="23">
        <f>COUNTIF(INDIRECT("'"&amp;A27&amp;"'!H9:H200"),"tested")</f>
        <v/>
      </c>
      <c r="G27" s="23">
        <f>COUNTIF(INDIRECT("'"&amp;A27&amp;"'!H9:H200"),"verified")</f>
        <v/>
      </c>
      <c r="H27" s="23">
        <f>COUNTIF(INDIRECT("'"&amp;A27&amp;"'!H9:H200"),"blocked")</f>
        <v/>
      </c>
      <c r="I27" s="23">
        <f>COUNTIF(INDIRECT("'"&amp;A27&amp;"'!H9:H200"),"not applicable")</f>
        <v/>
      </c>
      <c r="J27" s="24">
        <f>INDIRECT("'"&amp;A27&amp;"'!H4")</f>
        <v/>
      </c>
      <c r="K27" s="23">
        <f>INDIRECT("'"&amp;A27&amp;"'!K4")</f>
        <v/>
      </c>
      <c r="L27" s="23">
        <f>INDIRECT("'"&amp;A27&amp;"'!E5")</f>
        <v/>
      </c>
      <c r="M27" s="23">
        <f>IF(AND(J27=1,K27="complete",L27="complete"),"complete",IF(H27&gt;0,"blocked","open"))</f>
        <v/>
      </c>
    </row>
    <row r="28" ht="15" customHeight="1" s="17">
      <c r="A28" s="23" t="inlineStr">
        <is>
          <t>Toggle Group</t>
        </is>
      </c>
      <c r="B28" s="23">
        <f>INDIRECT("'"&amp;A28&amp;"'!B4")</f>
        <v/>
      </c>
      <c r="C28" s="23">
        <f>COUNTIF(INDIRECT("'"&amp;A28&amp;"'!H9:H200"),"not started")</f>
        <v/>
      </c>
      <c r="D28" s="23">
        <f>COUNTIF(INDIRECT("'"&amp;A28&amp;"'!H9:H200"),"partial")</f>
        <v/>
      </c>
      <c r="E28" s="23">
        <f>COUNTIF(INDIRECT("'"&amp;A28&amp;"'!H9:H200"),"implemented")</f>
        <v/>
      </c>
      <c r="F28" s="23">
        <f>COUNTIF(INDIRECT("'"&amp;A28&amp;"'!H9:H200"),"tested")</f>
        <v/>
      </c>
      <c r="G28" s="23">
        <f>COUNTIF(INDIRECT("'"&amp;A28&amp;"'!H9:H200"),"verified")</f>
        <v/>
      </c>
      <c r="H28" s="23">
        <f>COUNTIF(INDIRECT("'"&amp;A28&amp;"'!H9:H200"),"blocked")</f>
        <v/>
      </c>
      <c r="I28" s="23">
        <f>COUNTIF(INDIRECT("'"&amp;A28&amp;"'!H9:H200"),"not applicable")</f>
        <v/>
      </c>
      <c r="J28" s="24">
        <f>INDIRECT("'"&amp;A28&amp;"'!H4")</f>
        <v/>
      </c>
      <c r="K28" s="23">
        <f>INDIRECT("'"&amp;A28&amp;"'!K4")</f>
        <v/>
      </c>
      <c r="L28" s="23">
        <f>INDIRECT("'"&amp;A28&amp;"'!E5")</f>
        <v/>
      </c>
      <c r="M28" s="23">
        <f>IF(AND(J28=1,K28="complete",L28="complete"),"complete",IF(H28&gt;0,"blocked","open"))</f>
        <v/>
      </c>
    </row>
    <row r="29" ht="15" customHeight="1" s="17">
      <c r="A29" s="23" t="inlineStr">
        <is>
          <t>Tooltip</t>
        </is>
      </c>
      <c r="B29" s="23">
        <f>INDIRECT("'"&amp;A29&amp;"'!B4")</f>
        <v/>
      </c>
      <c r="C29" s="23">
        <f>COUNTIF(INDIRECT("'"&amp;A29&amp;"'!H9:H200"),"not started")</f>
        <v/>
      </c>
      <c r="D29" s="23">
        <f>COUNTIF(INDIRECT("'"&amp;A29&amp;"'!H9:H200"),"partial")</f>
        <v/>
      </c>
      <c r="E29" s="23">
        <f>COUNTIF(INDIRECT("'"&amp;A29&amp;"'!H9:H200"),"implemented")</f>
        <v/>
      </c>
      <c r="F29" s="23">
        <f>COUNTIF(INDIRECT("'"&amp;A29&amp;"'!H9:H200"),"tested")</f>
        <v/>
      </c>
      <c r="G29" s="23">
        <f>COUNTIF(INDIRECT("'"&amp;A29&amp;"'!H9:H200"),"verified")</f>
        <v/>
      </c>
      <c r="H29" s="23">
        <f>COUNTIF(INDIRECT("'"&amp;A29&amp;"'!H9:H200"),"blocked")</f>
        <v/>
      </c>
      <c r="I29" s="23">
        <f>COUNTIF(INDIRECT("'"&amp;A29&amp;"'!H9:H200"),"not applicable")</f>
        <v/>
      </c>
      <c r="J29" s="24">
        <f>INDIRECT("'"&amp;A29&amp;"'!H4")</f>
        <v/>
      </c>
      <c r="K29" s="23">
        <f>INDIRECT("'"&amp;A29&amp;"'!K4")</f>
        <v/>
      </c>
      <c r="L29" s="23">
        <f>INDIRECT("'"&amp;A29&amp;"'!E5")</f>
        <v/>
      </c>
      <c r="M29" s="23">
        <f>IF(AND(J29=1,K29="complete",L29="complete"),"complete",IF(H29&gt;0,"blocked","open"))</f>
        <v/>
      </c>
    </row>
    <row r="30" ht="15" customHeight="1" s="17">
      <c r="A30" s="23" t="inlineStr">
        <is>
          <t>Stack</t>
        </is>
      </c>
      <c r="B30" s="23">
        <f>INDIRECT("'"&amp;A30&amp;"'!B4")</f>
        <v/>
      </c>
      <c r="C30" s="23">
        <f>COUNTIF(INDIRECT("'"&amp;A30&amp;"'!H9:H200"),"not started")</f>
        <v/>
      </c>
      <c r="D30" s="23">
        <f>COUNTIF(INDIRECT("'"&amp;A30&amp;"'!H9:H200"),"partial")</f>
        <v/>
      </c>
      <c r="E30" s="23">
        <f>COUNTIF(INDIRECT("'"&amp;A30&amp;"'!H9:H200"),"implemented")</f>
        <v/>
      </c>
      <c r="F30" s="23">
        <f>COUNTIF(INDIRECT("'"&amp;A30&amp;"'!H9:H200"),"tested")</f>
        <v/>
      </c>
      <c r="G30" s="23">
        <f>COUNTIF(INDIRECT("'"&amp;A30&amp;"'!H9:H200"),"verified")</f>
        <v/>
      </c>
      <c r="H30" s="23">
        <f>COUNTIF(INDIRECT("'"&amp;A30&amp;"'!H9:H200"),"blocked")</f>
        <v/>
      </c>
      <c r="I30" s="23">
        <f>COUNTIF(INDIRECT("'"&amp;A30&amp;"'!H9:H200"),"not applicable")</f>
        <v/>
      </c>
      <c r="J30" s="24">
        <f>INDIRECT("'"&amp;A30&amp;"'!H4")</f>
        <v/>
      </c>
      <c r="K30" s="23">
        <f>INDIRECT("'"&amp;A30&amp;"'!K4")</f>
        <v/>
      </c>
      <c r="L30" s="23">
        <f>INDIRECT("'"&amp;A30&amp;"'!E5")</f>
        <v/>
      </c>
      <c r="M30" s="23">
        <f>IF(AND(J30=1,K30="complete",L30="complete"),"complete",IF(H30&gt;0,"blocked","open"))</f>
        <v/>
      </c>
    </row>
    <row r="31" ht="15" customHeight="1" s="17">
      <c r="A31" s="23" t="inlineStr">
        <is>
          <t>Text</t>
        </is>
      </c>
      <c r="B31" s="23">
        <f>INDIRECT("'"&amp;A31&amp;"'!B4")</f>
        <v/>
      </c>
      <c r="C31" s="23">
        <f>COUNTIF(INDIRECT("'"&amp;A31&amp;"'!H9:H200"),"not started")</f>
        <v/>
      </c>
      <c r="D31" s="23">
        <f>COUNTIF(INDIRECT("'"&amp;A31&amp;"'!H9:H200"),"partial")</f>
        <v/>
      </c>
      <c r="E31" s="23">
        <f>COUNTIF(INDIRECT("'"&amp;A31&amp;"'!H9:H200"),"implemented")</f>
        <v/>
      </c>
      <c r="F31" s="23">
        <f>COUNTIF(INDIRECT("'"&amp;A31&amp;"'!H9:H200"),"tested")</f>
        <v/>
      </c>
      <c r="G31" s="23">
        <f>COUNTIF(INDIRECT("'"&amp;A31&amp;"'!H9:H200"),"verified")</f>
        <v/>
      </c>
      <c r="H31" s="23">
        <f>COUNTIF(INDIRECT("'"&amp;A31&amp;"'!H9:H200"),"blocked")</f>
        <v/>
      </c>
      <c r="I31" s="23">
        <f>COUNTIF(INDIRECT("'"&amp;A31&amp;"'!H9:H200"),"not applicable")</f>
        <v/>
      </c>
      <c r="J31" s="24">
        <f>INDIRECT("'"&amp;A31&amp;"'!H4")</f>
        <v/>
      </c>
      <c r="K31" s="23">
        <f>INDIRECT("'"&amp;A31&amp;"'!K4")</f>
        <v/>
      </c>
      <c r="L31" s="23">
        <f>INDIRECT("'"&amp;A31&amp;"'!E5")</f>
        <v/>
      </c>
      <c r="M31" s="23">
        <f>IF(AND(J31=1,K31="complete",L31="complete"),"complete",IF(H31&gt;0,"blocked","open"))</f>
        <v/>
      </c>
    </row>
    <row r="32" ht="15" customHeight="1" s="17">
      <c r="A32" s="23" t="inlineStr">
        <is>
          <t>Grid</t>
        </is>
      </c>
      <c r="B32" s="23">
        <f>INDIRECT("'"&amp;A32&amp;"'!B4")</f>
        <v/>
      </c>
      <c r="C32" s="23">
        <f>COUNTIF(INDIRECT("'"&amp;A32&amp;"'!H9:H200"),"not started")</f>
        <v/>
      </c>
      <c r="D32" s="23">
        <f>COUNTIF(INDIRECT("'"&amp;A32&amp;"'!H9:H200"),"partial")</f>
        <v/>
      </c>
      <c r="E32" s="23">
        <f>COUNTIF(INDIRECT("'"&amp;A32&amp;"'!H9:H200"),"implemented")</f>
        <v/>
      </c>
      <c r="F32" s="23">
        <f>COUNTIF(INDIRECT("'"&amp;A32&amp;"'!H9:H200"),"tested")</f>
        <v/>
      </c>
      <c r="G32" s="23">
        <f>COUNTIF(INDIRECT("'"&amp;A32&amp;"'!H9:H200"),"verified")</f>
        <v/>
      </c>
      <c r="H32" s="23">
        <f>COUNTIF(INDIRECT("'"&amp;A32&amp;"'!H9:H200"),"blocked")</f>
        <v/>
      </c>
      <c r="I32" s="23">
        <f>COUNTIF(INDIRECT("'"&amp;A32&amp;"'!H9:H200"),"not applicable")</f>
        <v/>
      </c>
      <c r="J32" s="24">
        <f>INDIRECT("'"&amp;A32&amp;"'!H4")</f>
        <v/>
      </c>
      <c r="K32" s="23">
        <f>INDIRECT("'"&amp;A32&amp;"'!K4")</f>
        <v/>
      </c>
      <c r="L32" s="23">
        <f>INDIRECT("'"&amp;A32&amp;"'!E5")</f>
        <v/>
      </c>
      <c r="M32" s="23">
        <f>IF(AND(J32=1,K32="complete",L32="complete"),"complete",IF(H32&gt;0,"blocked","open"))</f>
        <v/>
      </c>
    </row>
    <row r="33" ht="15" customHeight="1" s="17">
      <c r="A33" s="23" t="inlineStr">
        <is>
          <t>Container</t>
        </is>
      </c>
      <c r="B33" s="23">
        <f>INDIRECT("'"&amp;A33&amp;"'!B4")</f>
        <v/>
      </c>
      <c r="C33" s="23">
        <f>COUNTIF(INDIRECT("'"&amp;A33&amp;"'!H9:H200"),"not started")</f>
        <v/>
      </c>
      <c r="D33" s="23">
        <f>COUNTIF(INDIRECT("'"&amp;A33&amp;"'!H9:H200"),"partial")</f>
        <v/>
      </c>
      <c r="E33" s="23">
        <f>COUNTIF(INDIRECT("'"&amp;A33&amp;"'!H9:H200"),"implemented")</f>
        <v/>
      </c>
      <c r="F33" s="23">
        <f>COUNTIF(INDIRECT("'"&amp;A33&amp;"'!H9:H200"),"tested")</f>
        <v/>
      </c>
      <c r="G33" s="23">
        <f>COUNTIF(INDIRECT("'"&amp;A33&amp;"'!H9:H200"),"verified")</f>
        <v/>
      </c>
      <c r="H33" s="23">
        <f>COUNTIF(INDIRECT("'"&amp;A33&amp;"'!H9:H200"),"blocked")</f>
        <v/>
      </c>
      <c r="I33" s="23">
        <f>COUNTIF(INDIRECT("'"&amp;A33&amp;"'!H9:H200"),"not applicable")</f>
        <v/>
      </c>
      <c r="J33" s="24">
        <f>INDIRECT("'"&amp;A33&amp;"'!H4")</f>
        <v/>
      </c>
      <c r="K33" s="23">
        <f>INDIRECT("'"&amp;A33&amp;"'!K4")</f>
        <v/>
      </c>
      <c r="L33" s="23">
        <f>INDIRECT("'"&amp;A33&amp;"'!E5")</f>
        <v/>
      </c>
      <c r="M33" s="23">
        <f>IF(AND(J33=1,K33="complete",L33="complete"),"complete",IF(H33&gt;0,"blocked","open"))</f>
        <v/>
      </c>
    </row>
    <row r="34" ht="15" customHeight="1" s="17">
      <c r="A34" s="23" t="inlineStr">
        <is>
          <t>Surface</t>
        </is>
      </c>
      <c r="B34" s="23">
        <f>INDIRECT("'"&amp;A34&amp;"'!B4")</f>
        <v/>
      </c>
      <c r="C34" s="23">
        <f>COUNTIF(INDIRECT("'"&amp;A34&amp;"'!H9:H200"),"not started")</f>
        <v/>
      </c>
      <c r="D34" s="23">
        <f>COUNTIF(INDIRECT("'"&amp;A34&amp;"'!H9:H200"),"partial")</f>
        <v/>
      </c>
      <c r="E34" s="23">
        <f>COUNTIF(INDIRECT("'"&amp;A34&amp;"'!H9:H200"),"implemented")</f>
        <v/>
      </c>
      <c r="F34" s="23">
        <f>COUNTIF(INDIRECT("'"&amp;A34&amp;"'!H9:H200"),"tested")</f>
        <v/>
      </c>
      <c r="G34" s="23">
        <f>COUNTIF(INDIRECT("'"&amp;A34&amp;"'!H9:H200"),"verified")</f>
        <v/>
      </c>
      <c r="H34" s="23">
        <f>COUNTIF(INDIRECT("'"&amp;A34&amp;"'!H9:H200"),"blocked")</f>
        <v/>
      </c>
      <c r="I34" s="23">
        <f>COUNTIF(INDIRECT("'"&amp;A34&amp;"'!H9:H200"),"not applicable")</f>
        <v/>
      </c>
      <c r="J34" s="24">
        <f>INDIRECT("'"&amp;A34&amp;"'!H4")</f>
        <v/>
      </c>
      <c r="K34" s="23">
        <f>INDIRECT("'"&amp;A34&amp;"'!K4")</f>
        <v/>
      </c>
      <c r="L34" s="23">
        <f>INDIRECT("'"&amp;A34&amp;"'!E5")</f>
        <v/>
      </c>
      <c r="M34" s="23">
        <f>IF(AND(J34=1,K34="complete",L34="complete"),"complete",IF(H34&gt;0,"blocked","open"))</f>
        <v/>
      </c>
    </row>
    <row r="35" ht="15" customHeight="1" s="17">
      <c r="A35" s="23" t="inlineStr">
        <is>
          <t>Divider</t>
        </is>
      </c>
      <c r="B35" s="23">
        <f>INDIRECT("'"&amp;A35&amp;"'!B4")</f>
        <v/>
      </c>
      <c r="C35" s="23">
        <f>COUNTIF(INDIRECT("'"&amp;A35&amp;"'!H9:H200"),"not started")</f>
        <v/>
      </c>
      <c r="D35" s="23">
        <f>COUNTIF(INDIRECT("'"&amp;A35&amp;"'!H9:H200"),"partial")</f>
        <v/>
      </c>
      <c r="E35" s="23">
        <f>COUNTIF(INDIRECT("'"&amp;A35&amp;"'!H9:H200"),"implemented")</f>
        <v/>
      </c>
      <c r="F35" s="23">
        <f>COUNTIF(INDIRECT("'"&amp;A35&amp;"'!H9:H200"),"tested")</f>
        <v/>
      </c>
      <c r="G35" s="23">
        <f>COUNTIF(INDIRECT("'"&amp;A35&amp;"'!H9:H200"),"verified")</f>
        <v/>
      </c>
      <c r="H35" s="23">
        <f>COUNTIF(INDIRECT("'"&amp;A35&amp;"'!H9:H200"),"blocked")</f>
        <v/>
      </c>
      <c r="I35" s="23">
        <f>COUNTIF(INDIRECT("'"&amp;A35&amp;"'!H9:H200"),"not applicable")</f>
        <v/>
      </c>
      <c r="J35" s="24">
        <f>INDIRECT("'"&amp;A35&amp;"'!H4")</f>
        <v/>
      </c>
      <c r="K35" s="23">
        <f>INDIRECT("'"&amp;A35&amp;"'!K4")</f>
        <v/>
      </c>
      <c r="L35" s="23">
        <f>INDIRECT("'"&amp;A35&amp;"'!E5")</f>
        <v/>
      </c>
      <c r="M35" s="23">
        <f>IF(AND(J35=1,K35="complete",L35="complete"),"complete",IF(H35&gt;0,"blocked","open"))</f>
        <v/>
      </c>
    </row>
    <row r="36">
      <c r="A36" s="23" t="inlineStr">
        <is>
          <t>Scroll Area</t>
        </is>
      </c>
      <c r="B36" s="23">
        <f>INDIRECT("'"&amp;A36&amp;"'!B4")</f>
        <v/>
      </c>
      <c r="C36" s="23">
        <f>COUNTIF(INDIRECT("'"&amp;A36&amp;"'!H9:H200"),"not started")</f>
        <v/>
      </c>
      <c r="D36" s="23">
        <f>COUNTIF(INDIRECT("'"&amp;A36&amp;"'!H9:H200"),"partial")</f>
        <v/>
      </c>
      <c r="E36" s="23">
        <f>COUNTIF(INDIRECT("'"&amp;A36&amp;"'!H9:H200"),"implemented")</f>
        <v/>
      </c>
      <c r="F36" s="23">
        <f>COUNTIF(INDIRECT("'"&amp;A36&amp;"'!H9:H200"),"tested")</f>
        <v/>
      </c>
      <c r="G36" s="23">
        <f>COUNTIF(INDIRECT("'"&amp;A36&amp;"'!H9:H200"),"verified")</f>
        <v/>
      </c>
      <c r="H36" s="23">
        <f>COUNTIF(INDIRECT("'"&amp;A36&amp;"'!H9:H200"),"blocked")</f>
        <v/>
      </c>
      <c r="I36" s="23">
        <f>COUNTIF(INDIRECT("'"&amp;A36&amp;"'!H9:H200"),"not applicable")</f>
        <v/>
      </c>
      <c r="J36" s="24">
        <f>INDIRECT("'"&amp;A36&amp;"'!H4")</f>
        <v/>
      </c>
      <c r="K36" s="23">
        <f>INDIRECT("'"&amp;A36&amp;"'!K4")</f>
        <v/>
      </c>
      <c r="L36" s="23">
        <f>INDIRECT("'"&amp;A36&amp;"'!E5")</f>
        <v/>
      </c>
      <c r="M36" s="23">
        <f>IF(AND(J36=1,K36="complete",L36="complete"),"complete",IF(H36&gt;0,"blocked","open"))</f>
        <v/>
      </c>
    </row>
  </sheetData>
  <autoFilter ref="A7:M34"/>
  <mergeCells count="2">
    <mergeCell ref="A2:M2"/>
    <mergeCell ref="A1:M1"/>
  </mergeCells>
  <conditionalFormatting sqref="M8:M27">
    <cfRule type="containsText" rank="0" priority="2" equalAverage="0" operator="containsText" aboveAverage="0" dxfId="3" text="complete" percent="0" bottom="0">
      <formula>NOT(ISERROR(SEARCH("complete",M8)))</formula>
    </cfRule>
  </conditionalFormatting>
  <conditionalFormatting sqref="M28">
    <cfRule type="containsText" rank="0" priority="3" equalAverage="0" operator="containsText" aboveAverage="0" dxfId="3" text="complete" percent="0" bottom="0">
      <formula>NOT(ISERROR(SEARCH("complete",M28)))</formula>
    </cfRule>
  </conditionalFormatting>
  <conditionalFormatting sqref="M29">
    <cfRule type="containsText" rank="0" priority="4" equalAverage="0" operator="containsText" aboveAverage="0" dxfId="3" text="complete" percent="0" bottom="0">
      <formula>NOT(ISERROR(SEARCH("complete",M29)))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05.71" customWidth="1" style="23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23" t="inlineStr">
        <is>
          <t>Topic</t>
        </is>
      </c>
      <c r="B3" s="23" t="inlineStr">
        <is>
          <t>Rule</t>
        </is>
      </c>
    </row>
    <row r="4" ht="30" customHeight="1" s="17">
      <c r="A4" s="23" t="inlineStr">
        <is>
          <t>Purpose</t>
        </is>
      </c>
      <c r="B4" s="23" t="inlineStr">
        <is>
          <t>This workbook summarizes evidence; source, tests, protocols, and public documentation remain authoritative.</t>
        </is>
      </c>
    </row>
    <row r="5" ht="30" customHeight="1" s="17">
      <c r="A5" s="23" t="inlineStr">
        <is>
          <t>Ownership</t>
        </is>
      </c>
      <c r="B5" s="23" t="inlineStr">
        <is>
          <t>Every independently exported public component owns one sheet. Family integration never replaces component ownership.</t>
        </is>
      </c>
    </row>
    <row r="6" ht="30" customHeight="1" s="17">
      <c r="A6" s="23" t="inlineStr">
        <is>
          <t>not started</t>
        </is>
      </c>
      <c r="B6" s="23" t="inlineStr">
        <is>
          <t>Required implementation or evidence does not exist.</t>
        </is>
      </c>
    </row>
    <row r="7" ht="30" customHeight="1" s="17">
      <c r="A7" s="23" t="inlineStr">
        <is>
          <t>partial</t>
        </is>
      </c>
      <c r="B7" s="23" t="inlineStr">
        <is>
          <t>Some evidence exists, but the assertion is incomplete.</t>
        </is>
      </c>
    </row>
    <row r="8" ht="30" customHeight="1" s="17">
      <c r="A8" s="23" t="inlineStr">
        <is>
          <t>implemented</t>
        </is>
      </c>
      <c r="B8" s="23" t="inlineStr">
        <is>
          <t>The implementation or evidence exists but has not passed its repeatable check.</t>
        </is>
      </c>
    </row>
    <row r="9" ht="30" customHeight="1" s="17">
      <c r="A9" s="23" t="inlineStr">
        <is>
          <t>tested</t>
        </is>
      </c>
      <c r="B9" s="23" t="inlineStr">
        <is>
          <t>The automated or repeatable check passes.</t>
        </is>
      </c>
    </row>
    <row r="10" ht="30" customHeight="1" s="17">
      <c r="A10" s="23" t="inlineStr">
        <is>
          <t>verified</t>
        </is>
      </c>
      <c r="B10" s="23" t="inlineStr">
        <is>
          <t>Required human review passed.</t>
        </is>
      </c>
    </row>
    <row r="11" ht="30" customHeight="1" s="17">
      <c r="A11" s="23" t="inlineStr">
        <is>
          <t>blocked</t>
        </is>
      </c>
      <c r="B11" s="23" t="inlineStr">
        <is>
          <t>A blocker or follow-up is recorded.</t>
        </is>
      </c>
    </row>
    <row r="12" ht="30" customHeight="1" s="17">
      <c r="A12" s="23" t="inlineStr">
        <is>
          <t>not applicable</t>
        </is>
      </c>
      <c r="B12" s="23" t="inlineStr">
        <is>
          <t>The reason is recorded in Blocker / N/A reason.</t>
        </is>
      </c>
    </row>
    <row r="13" ht="30" customHeight="1" s="17">
      <c r="A13" s="23" t="inlineStr">
        <is>
          <t>Manual completion</t>
        </is>
      </c>
      <c r="B13" s="23" t="inlineStr">
        <is>
          <t>The owner confirmed every current component protocol completed on 2026-07-24.</t>
        </is>
      </c>
    </row>
    <row r="14" ht="30" customHeight="1" s="17">
      <c r="A14" s="23" t="inlineStr">
        <is>
          <t>Maintenance</t>
        </is>
      </c>
      <c r="B14" s="23" t="inlineStr">
        <is>
          <t>Update exact evidence paths and statuses in the same workstream as component changes.</t>
        </is>
      </c>
    </row>
    <row r="15" ht="30" customHeight="1" s="17">
      <c r="A15" s="23" t="inlineStr">
        <is>
          <t>Release</t>
        </is>
      </c>
      <c r="B15" s="23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23" t="inlineStr">
        <is>
          <t>not started</t>
        </is>
      </c>
      <c r="B1" s="23" t="inlineStr">
        <is>
          <t>yes</t>
        </is>
      </c>
    </row>
    <row r="2" ht="15" customHeight="1" s="17">
      <c r="A2" s="23" t="inlineStr">
        <is>
          <t>partial</t>
        </is>
      </c>
      <c r="B2" s="23" t="inlineStr">
        <is>
          <t>no</t>
        </is>
      </c>
    </row>
    <row r="3" ht="15" customHeight="1" s="17">
      <c r="A3" s="23" t="inlineStr">
        <is>
          <t>implemented</t>
        </is>
      </c>
    </row>
    <row r="4" ht="15" customHeight="1" s="17">
      <c r="A4" s="23" t="inlineStr">
        <is>
          <t>tested</t>
        </is>
      </c>
    </row>
    <row r="5" ht="15" customHeight="1" s="17">
      <c r="A5" s="23" t="inlineStr">
        <is>
          <t>verified</t>
        </is>
      </c>
    </row>
    <row r="6" ht="15" customHeight="1" s="17">
      <c r="A6" s="23" t="inlineStr">
        <is>
          <t>blocked</t>
        </is>
      </c>
    </row>
    <row r="7" ht="15" customHeight="1" s="17">
      <c r="A7" s="23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AD-01</t>
        </is>
      </c>
      <c r="B9" s="23" t="inlineStr">
        <is>
          <t>Implementation</t>
        </is>
      </c>
      <c r="C9" s="23" t="inlineStr">
        <is>
          <t>AlertDialog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../src/components/alert-dialog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AD-02</t>
        </is>
      </c>
      <c r="B10" s="23" t="inlineStr">
        <is>
          <t>Exports</t>
        </is>
      </c>
      <c r="C10" s="23" t="inlineStr">
        <is>
          <t>AlertDialog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AD-03</t>
        </is>
      </c>
      <c r="B11" s="23" t="inlineStr">
        <is>
          <t>Types</t>
        </is>
      </c>
      <c r="C11" s="23" t="inlineStr">
        <is>
          <t>AlertDialog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../test/types/components/alert-dialog.test.ts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AD-04</t>
        </is>
      </c>
      <c r="B12" s="23" t="inlineStr">
        <is>
          <t>CSS</t>
        </is>
      </c>
      <c r="C12" s="23" t="inlineStr">
        <is>
          <t>AlertDialog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../src/components/alert-dialog/alert-dialog.css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AD-05</t>
        </is>
      </c>
      <c r="B13" s="23" t="inlineStr">
        <is>
          <t>Unit</t>
        </is>
      </c>
      <c r="C13" s="23" t="inlineStr">
        <is>
          <t>AlertDialog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../test/components/alert-dialog/alert-dialog.test.tsx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AD-06</t>
        </is>
      </c>
      <c r="B14" s="23" t="inlineStr">
        <is>
          <t>Browser</t>
        </is>
      </c>
      <c r="C14" s="23" t="inlineStr">
        <is>
          <t>AlertDialog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tests/components/alert-dialog/behavior.spec.ts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AD-07</t>
        </is>
      </c>
      <c r="B15" s="23" t="inlineStr">
        <is>
          <t>Accessibility</t>
        </is>
      </c>
      <c r="C15" s="23" t="inlineStr">
        <is>
          <t>AlertDialog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tests/components/alert-dialog/behavior.spec.ts;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AD-08</t>
        </is>
      </c>
      <c r="B16" s="23" t="inlineStr">
        <is>
          <t>Visual</t>
        </is>
      </c>
      <c r="C16" s="23" t="inlineStr">
        <is>
          <t>AlertDialog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tests/components/alert-dialog/visual.spec.ts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AD-09</t>
        </is>
      </c>
      <c r="B17" s="23" t="inlineStr">
        <is>
          <t>Responsive</t>
        </is>
      </c>
      <c r="C17" s="23" t="inlineStr">
        <is>
          <t>AlertDialog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manual-tests/alert-dialog.md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AD-10</t>
        </is>
      </c>
      <c r="B18" s="23" t="inlineStr">
        <is>
          <t>Theme</t>
        </is>
      </c>
      <c r="C18" s="23" t="inlineStr">
        <is>
          <t>AlertDialog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manual-tests/alert-dialog.md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AD-11</t>
        </is>
      </c>
      <c r="B19" s="23" t="inlineStr">
        <is>
          <t>Composition</t>
        </is>
      </c>
      <c r="C19" s="23" t="inlineStr">
        <is>
          <t>AlertDialog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manual-tests/alert-dialog.md; tests/components/alert-dialog/behavior.spec.ts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AD-12</t>
        </is>
      </c>
      <c r="B20" s="23" t="inlineStr">
        <is>
          <t>Manual</t>
        </is>
      </c>
      <c r="C20" s="23" t="inlineStr">
        <is>
          <t>AlertDialog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manual-tests/alert-dialog.md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AD-13</t>
        </is>
      </c>
      <c r="B21" s="23" t="inlineStr">
        <is>
          <t>Docs</t>
        </is>
      </c>
      <c r="C21" s="23" t="inlineStr">
        <is>
          <t>AlertDialog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../docs/components/alert-dialog/README.md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AD-14</t>
        </is>
      </c>
      <c r="B22" s="23" t="inlineStr">
        <is>
          <t>Changelog</t>
        </is>
      </c>
      <c r="C22" s="23" t="inlineStr">
        <is>
          <t>AlertDialog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../docs/components/alert-dialog/CHANGELOG.md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AD-15</t>
        </is>
      </c>
      <c r="B23" s="23" t="inlineStr">
        <is>
          <t>Consumer</t>
        </is>
      </c>
      <c r="C23" s="23" t="inlineStr">
        <is>
          <t>AlertDialog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AD-16</t>
        </is>
      </c>
      <c r="B24" s="23" t="inlineStr">
        <is>
          <t>Package</t>
        </is>
      </c>
      <c r="C24" s="23" t="inlineStr">
        <is>
          <t>AlertDialog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AB-01</t>
        </is>
      </c>
      <c r="B9" s="23" t="inlineStr">
        <is>
          <t>Implementation</t>
        </is>
      </c>
      <c r="C9" s="23" t="inlineStr">
        <is>
          <t>AppBar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../src/components/app-bar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AB-02</t>
        </is>
      </c>
      <c r="B10" s="23" t="inlineStr">
        <is>
          <t>Exports</t>
        </is>
      </c>
      <c r="C10" s="23" t="inlineStr">
        <is>
          <t>AppBar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AB-03</t>
        </is>
      </c>
      <c r="B11" s="23" t="inlineStr">
        <is>
          <t>Types</t>
        </is>
      </c>
      <c r="C11" s="23" t="inlineStr">
        <is>
          <t>AppBar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../test/types/components/app-bar.test.ts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AB-04</t>
        </is>
      </c>
      <c r="B12" s="23" t="inlineStr">
        <is>
          <t>CSS</t>
        </is>
      </c>
      <c r="C12" s="23" t="inlineStr">
        <is>
          <t>AppBar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../src/components/app-bar/app-bar.css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AB-05</t>
        </is>
      </c>
      <c r="B13" s="23" t="inlineStr">
        <is>
          <t>Unit</t>
        </is>
      </c>
      <c r="C13" s="23" t="inlineStr">
        <is>
          <t>AppBar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../test/components/app-bar/app-bar.test.tsx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AB-06</t>
        </is>
      </c>
      <c r="B14" s="23" t="inlineStr">
        <is>
          <t>Browser</t>
        </is>
      </c>
      <c r="C14" s="23" t="inlineStr">
        <is>
          <t>AppBar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tests/components/app-bar/behavior.spec.ts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AB-07</t>
        </is>
      </c>
      <c r="B15" s="23" t="inlineStr">
        <is>
          <t>Accessibility</t>
        </is>
      </c>
      <c r="C15" s="23" t="inlineStr">
        <is>
          <t>AppBar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tests/components/app-bar/behavior.spec.ts;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AB-08</t>
        </is>
      </c>
      <c r="B16" s="23" t="inlineStr">
        <is>
          <t>Visual</t>
        </is>
      </c>
      <c r="C16" s="23" t="inlineStr">
        <is>
          <t>AppBar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tests/components/app-bar/visual.spec.ts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AB-09</t>
        </is>
      </c>
      <c r="B17" s="23" t="inlineStr">
        <is>
          <t>Responsive</t>
        </is>
      </c>
      <c r="C17" s="23" t="inlineStr">
        <is>
          <t>AppBar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manual-tests/app-bar.md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AB-10</t>
        </is>
      </c>
      <c r="B18" s="23" t="inlineStr">
        <is>
          <t>Theme</t>
        </is>
      </c>
      <c r="C18" s="23" t="inlineStr">
        <is>
          <t>AppBar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manual-tests/app-bar.md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AB-11</t>
        </is>
      </c>
      <c r="B19" s="23" t="inlineStr">
        <is>
          <t>Composition</t>
        </is>
      </c>
      <c r="C19" s="23" t="inlineStr">
        <is>
          <t>AppBar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manual-tests/app-bar.md; tests/components/app-bar/behavior.spec.ts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AB-12</t>
        </is>
      </c>
      <c r="B20" s="23" t="inlineStr">
        <is>
          <t>Manual</t>
        </is>
      </c>
      <c r="C20" s="23" t="inlineStr">
        <is>
          <t>AppBar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manual-tests/app-bar.md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AB-13</t>
        </is>
      </c>
      <c r="B21" s="23" t="inlineStr">
        <is>
          <t>Docs</t>
        </is>
      </c>
      <c r="C21" s="23" t="inlineStr">
        <is>
          <t>AppBar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../docs/components/app-bar/README.md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AB-14</t>
        </is>
      </c>
      <c r="B22" s="23" t="inlineStr">
        <is>
          <t>Changelog</t>
        </is>
      </c>
      <c r="C22" s="23" t="inlineStr">
        <is>
          <t>AppBar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../docs/components/app-bar/CHANGELOG.md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AB-15</t>
        </is>
      </c>
      <c r="B23" s="23" t="inlineStr">
        <is>
          <t>Consumer</t>
        </is>
      </c>
      <c r="C23" s="23" t="inlineStr">
        <is>
          <t>AppBar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AB-16</t>
        </is>
      </c>
      <c r="B24" s="23" t="inlineStr">
        <is>
          <t>Package</t>
        </is>
      </c>
      <c r="C24" s="23" t="inlineStr">
        <is>
          <t>AppBar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A-01</t>
        </is>
      </c>
      <c r="B9" s="23" t="inlineStr">
        <is>
          <t>Implementation</t>
        </is>
      </c>
      <c r="C9" s="23" t="inlineStr">
        <is>
          <t>Avatar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../src/components/avatar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A-02</t>
        </is>
      </c>
      <c r="B10" s="23" t="inlineStr">
        <is>
          <t>Exports</t>
        </is>
      </c>
      <c r="C10" s="23" t="inlineStr">
        <is>
          <t>Avatar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A-03</t>
        </is>
      </c>
      <c r="B11" s="23" t="inlineStr">
        <is>
          <t>Types</t>
        </is>
      </c>
      <c r="C11" s="23" t="inlineStr">
        <is>
          <t>Avatar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../test/types/components/avatar.test.ts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A-04</t>
        </is>
      </c>
      <c r="B12" s="23" t="inlineStr">
        <is>
          <t>CSS</t>
        </is>
      </c>
      <c r="C12" s="23" t="inlineStr">
        <is>
          <t>Avatar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../src/components/avatar/avatar.css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A-05</t>
        </is>
      </c>
      <c r="B13" s="23" t="inlineStr">
        <is>
          <t>Unit</t>
        </is>
      </c>
      <c r="C13" s="23" t="inlineStr">
        <is>
          <t>Avatar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../test/components/avatar/avatar.test.tsx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A-06</t>
        </is>
      </c>
      <c r="B14" s="23" t="inlineStr">
        <is>
          <t>Browser</t>
        </is>
      </c>
      <c r="C14" s="23" t="inlineStr">
        <is>
          <t>Avatar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tests/components/avatar/behavior.spec.ts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A-07</t>
        </is>
      </c>
      <c r="B15" s="23" t="inlineStr">
        <is>
          <t>Accessibility</t>
        </is>
      </c>
      <c r="C15" s="23" t="inlineStr">
        <is>
          <t>Avatar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tests/components/avatar/behavior.spec.ts;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A-08</t>
        </is>
      </c>
      <c r="B16" s="23" t="inlineStr">
        <is>
          <t>Visual</t>
        </is>
      </c>
      <c r="C16" s="23" t="inlineStr">
        <is>
          <t>Avatar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tests/components/avatar/visual.spec.ts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A-09</t>
        </is>
      </c>
      <c r="B17" s="23" t="inlineStr">
        <is>
          <t>Responsive</t>
        </is>
      </c>
      <c r="C17" s="23" t="inlineStr">
        <is>
          <t>Avatar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manual-tests/avatar.md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A-10</t>
        </is>
      </c>
      <c r="B18" s="23" t="inlineStr">
        <is>
          <t>Theme</t>
        </is>
      </c>
      <c r="C18" s="23" t="inlineStr">
        <is>
          <t>Avatar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manual-tests/avatar.md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A-11</t>
        </is>
      </c>
      <c r="B19" s="23" t="inlineStr">
        <is>
          <t>Composition</t>
        </is>
      </c>
      <c r="C19" s="23" t="inlineStr">
        <is>
          <t>Avatar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manual-tests/avatar.md; tests/components/avatar/behavior.spec.ts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A-12</t>
        </is>
      </c>
      <c r="B20" s="23" t="inlineStr">
        <is>
          <t>Manual</t>
        </is>
      </c>
      <c r="C20" s="23" t="inlineStr">
        <is>
          <t>Avatar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manual-tests/avatar.md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A-13</t>
        </is>
      </c>
      <c r="B21" s="23" t="inlineStr">
        <is>
          <t>Docs</t>
        </is>
      </c>
      <c r="C21" s="23" t="inlineStr">
        <is>
          <t>Avatar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../docs/components/avatar/README.md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A-14</t>
        </is>
      </c>
      <c r="B22" s="23" t="inlineStr">
        <is>
          <t>Changelog</t>
        </is>
      </c>
      <c r="C22" s="23" t="inlineStr">
        <is>
          <t>Avatar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../docs/components/avatar/CHANGELOG.md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A-15</t>
        </is>
      </c>
      <c r="B23" s="23" t="inlineStr">
        <is>
          <t>Consumer</t>
        </is>
      </c>
      <c r="C23" s="23" t="inlineStr">
        <is>
          <t>Avatar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A-16</t>
        </is>
      </c>
      <c r="B24" s="23" t="inlineStr">
        <is>
          <t>Package</t>
        </is>
      </c>
      <c r="C24" s="23" t="inlineStr">
        <is>
          <t>Avatar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../test/components/badge/badge.test.tsx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manual-tests/badge.md; tests/components/badge/behavior.spec.ts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../src/components/button/button.css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../test/components/button/button.test.tsx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manual-tests/button.md; tests/components/button/behavior.spec.ts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../src/components/card/card.css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../test/components/card/card.test.tsx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manual-tests/card.md; tests/components/card/behavior.spec.ts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Checkbox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Checkbox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Checkbox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Checkbox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../src/components/checkbox/checkbox.css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Checkbox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../test/components/checkbox/checkbox.test.tsx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Checkbox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Checkbox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Checkbox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Checkbox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Checkbox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Checkbox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manual-tests/checkbox.md; tests/components/checkbox/behavior.spec.ts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Checkbox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Checkbox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Checkbox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Checkbox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Checkbox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CG-01</t>
        </is>
      </c>
      <c r="B9" s="23" t="inlineStr">
        <is>
          <t>Implementation</t>
        </is>
      </c>
      <c r="C9" s="23" t="inlineStr">
        <is>
          <t>CheckboxGroup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CG-02</t>
        </is>
      </c>
      <c r="B10" s="23" t="inlineStr">
        <is>
          <t>Exports</t>
        </is>
      </c>
      <c r="C10" s="23" t="inlineStr">
        <is>
          <t>CheckboxGroup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CG-03</t>
        </is>
      </c>
      <c r="B11" s="23" t="inlineStr">
        <is>
          <t>Types</t>
        </is>
      </c>
      <c r="C11" s="23" t="inlineStr">
        <is>
          <t>CheckboxGroup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CG-04</t>
        </is>
      </c>
      <c r="B12" s="23" t="inlineStr">
        <is>
          <t>CSS</t>
        </is>
      </c>
      <c r="C12" s="23" t="inlineStr">
        <is>
          <t>CheckboxGroup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../src/components/checkbox-group/checkbox-group.css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CG-05</t>
        </is>
      </c>
      <c r="B13" s="23" t="inlineStr">
        <is>
          <t>Unit</t>
        </is>
      </c>
      <c r="C13" s="23" t="inlineStr">
        <is>
          <t>CheckboxGroup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../test/components/checkbox-group/checkbox-group.test.tsx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CG-06</t>
        </is>
      </c>
      <c r="B14" s="23" t="inlineStr">
        <is>
          <t>Browser</t>
        </is>
      </c>
      <c r="C14" s="23" t="inlineStr">
        <is>
          <t>CheckboxGroup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CG-07</t>
        </is>
      </c>
      <c r="B15" s="23" t="inlineStr">
        <is>
          <t>Accessibility</t>
        </is>
      </c>
      <c r="C15" s="23" t="inlineStr">
        <is>
          <t>CheckboxGroup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CG-08</t>
        </is>
      </c>
      <c r="B16" s="23" t="inlineStr">
        <is>
          <t>Visual</t>
        </is>
      </c>
      <c r="C16" s="23" t="inlineStr">
        <is>
          <t>CheckboxGroup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CG-09</t>
        </is>
      </c>
      <c r="B17" s="23" t="inlineStr">
        <is>
          <t>Responsive</t>
        </is>
      </c>
      <c r="C17" s="23" t="inlineStr">
        <is>
          <t>CheckboxGroup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CG-10</t>
        </is>
      </c>
      <c r="B18" s="23" t="inlineStr">
        <is>
          <t>Theme</t>
        </is>
      </c>
      <c r="C18" s="23" t="inlineStr">
        <is>
          <t>CheckboxGroup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CG-11</t>
        </is>
      </c>
      <c r="B19" s="23" t="inlineStr">
        <is>
          <t>Composition</t>
        </is>
      </c>
      <c r="C19" s="23" t="inlineStr">
        <is>
          <t>CheckboxGroup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manual-tests/checkbox-group.md; tests/components/checkbox-group/behavior.spec.ts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CG-12</t>
        </is>
      </c>
      <c r="B20" s="23" t="inlineStr">
        <is>
          <t>Manual</t>
        </is>
      </c>
      <c r="C20" s="23" t="inlineStr">
        <is>
          <t>CheckboxGroup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CG-13</t>
        </is>
      </c>
      <c r="B21" s="23" t="inlineStr">
        <is>
          <t>Docs</t>
        </is>
      </c>
      <c r="C21" s="23" t="inlineStr">
        <is>
          <t>CheckboxGroup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CG-14</t>
        </is>
      </c>
      <c r="B22" s="23" t="inlineStr">
        <is>
          <t>Changelog</t>
        </is>
      </c>
      <c r="C22" s="23" t="inlineStr">
        <is>
          <t>CheckboxGroup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CG-15</t>
        </is>
      </c>
      <c r="B23" s="23" t="inlineStr">
        <is>
          <t>Consumer</t>
        </is>
      </c>
      <c r="C23" s="23" t="inlineStr">
        <is>
          <t>CheckboxGroup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CG-16</t>
        </is>
      </c>
      <c r="B24" s="23" t="inlineStr">
        <is>
          <t>Package</t>
        </is>
      </c>
      <c r="C24" s="23" t="inlineStr">
        <is>
          <t>CheckboxGroup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../src/components/dialog/dialog.css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../test/components/dialog/dialog.test.tsx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manual-tests/dialog.md; tests/components/dialog/behavior.spec.ts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Drawer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../src/components/drawer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Drawer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Drawer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../test/types/components/drawer.test.ts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Drawer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../src/components/drawer/drawer.css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Drawer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../test/components/drawer/drawer.test.tsx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Drawer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tests/components/drawer/behavior.spec.ts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Drawer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tests/components/drawer/behavior.spec.ts;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Drawer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tests/components/drawer/visual.spec.ts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Drawer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manual-tests/drawer.md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Drawer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manual-tests/drawer.md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Drawer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manual-tests/drawer.md; tests/components/drawer/behavior.spec.ts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Drawer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manual-tests/drawer.md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Drawer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../docs/components/drawer/README.md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Drawer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../docs/components/drawer/CHANGELOG.md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Drawer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Drawer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../src/components/field/field.css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../test/components/field/field.test.tsx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manual-tests/field.md; tests/components/field/behavior.spec.ts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Fieldset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../src/components/fieldset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Fieldset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Fieldset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../test/types/components/fieldset.test.ts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Fieldset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../src/components/fieldset/fieldset.css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Fieldset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../test/components/fieldset/fieldset.test.tsx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Fieldset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tests/components/fieldset/behavior.spec.ts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Fieldset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tests/components/fieldset/behavior.spec.ts;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Fieldset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tests/components/fieldset/visual.spec.ts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Fieldset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manual-tests/fieldset.md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Fieldset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manual-tests/fieldset.md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Fieldset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manual-tests/fieldset.md; tests/components/fieldset/behavior.spec.ts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Fieldset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manual-tests/fieldset.md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Fieldset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../docs/components/fieldset/README.md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Fieldset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../docs/components/fieldset/CHANGELOG.md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Fieldset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Fieldset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Form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../src/components/form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Form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Form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../test/types/components/form.test.ts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Form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../src/components/form/form.css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Form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../test/components/form/form.test.tsx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Form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tests/components/form/behavior.spec.ts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Form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tests/components/form/behavior.spec.ts;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Form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tests/components/form/visual.spec.ts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Form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manual-tests/form.md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Form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manual-tests/form.md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Form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manual-tests/form.md; tests/components/form/behavior.spec.ts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Form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manual-tests/form.md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Form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../docs/components/form/README.md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Form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../docs/components/form/CHANGELOG.md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Form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Form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HC-01</t>
        </is>
      </c>
      <c r="B9" s="23" t="inlineStr">
        <is>
          <t>Implementation</t>
        </is>
      </c>
      <c r="C9" s="23" t="inlineStr">
        <is>
          <t>HoverCard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../src/components/hover-card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HC-02</t>
        </is>
      </c>
      <c r="B10" s="23" t="inlineStr">
        <is>
          <t>Exports</t>
        </is>
      </c>
      <c r="C10" s="23" t="inlineStr">
        <is>
          <t>HoverCard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HC-03</t>
        </is>
      </c>
      <c r="B11" s="23" t="inlineStr">
        <is>
          <t>Types</t>
        </is>
      </c>
      <c r="C11" s="23" t="inlineStr">
        <is>
          <t>HoverCard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../test/types/components/hover-card.test.ts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HC-04</t>
        </is>
      </c>
      <c r="B12" s="23" t="inlineStr">
        <is>
          <t>CSS</t>
        </is>
      </c>
      <c r="C12" s="23" t="inlineStr">
        <is>
          <t>HoverCard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../src/components/hover-card/hover-card.css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HC-05</t>
        </is>
      </c>
      <c r="B13" s="23" t="inlineStr">
        <is>
          <t>Unit</t>
        </is>
      </c>
      <c r="C13" s="23" t="inlineStr">
        <is>
          <t>HoverCard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../test/components/hover-card/hover-card.test.tsx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HC-06</t>
        </is>
      </c>
      <c r="B14" s="23" t="inlineStr">
        <is>
          <t>Browser</t>
        </is>
      </c>
      <c r="C14" s="23" t="inlineStr">
        <is>
          <t>HoverCard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tests/components/hover-card/behavior.spec.ts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HC-07</t>
        </is>
      </c>
      <c r="B15" s="23" t="inlineStr">
        <is>
          <t>Accessibility</t>
        </is>
      </c>
      <c r="C15" s="23" t="inlineStr">
        <is>
          <t>HoverCard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tests/components/hover-card/behavior.spec.ts;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HC-08</t>
        </is>
      </c>
      <c r="B16" s="23" t="inlineStr">
        <is>
          <t>Visual</t>
        </is>
      </c>
      <c r="C16" s="23" t="inlineStr">
        <is>
          <t>HoverCard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tests/components/hover-card/visual.spec.ts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HC-09</t>
        </is>
      </c>
      <c r="B17" s="23" t="inlineStr">
        <is>
          <t>Responsive</t>
        </is>
      </c>
      <c r="C17" s="23" t="inlineStr">
        <is>
          <t>HoverCard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manual-tests/hover-card.md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HC-10</t>
        </is>
      </c>
      <c r="B18" s="23" t="inlineStr">
        <is>
          <t>Theme</t>
        </is>
      </c>
      <c r="C18" s="23" t="inlineStr">
        <is>
          <t>HoverCard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manual-tests/hover-card.md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HC-11</t>
        </is>
      </c>
      <c r="B19" s="23" t="inlineStr">
        <is>
          <t>Composition</t>
        </is>
      </c>
      <c r="C19" s="23" t="inlineStr">
        <is>
          <t>HoverCard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manual-tests/hover-card.md; tests/components/hover-card/behavior.spec.ts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HC-12</t>
        </is>
      </c>
      <c r="B20" s="23" t="inlineStr">
        <is>
          <t>Manual</t>
        </is>
      </c>
      <c r="C20" s="23" t="inlineStr">
        <is>
          <t>HoverCard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manual-tests/hover-card.md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HC-13</t>
        </is>
      </c>
      <c r="B21" s="23" t="inlineStr">
        <is>
          <t>Docs</t>
        </is>
      </c>
      <c r="C21" s="23" t="inlineStr">
        <is>
          <t>HoverCard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../docs/components/hover-card/README.md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HC-14</t>
        </is>
      </c>
      <c r="B22" s="23" t="inlineStr">
        <is>
          <t>Changelog</t>
        </is>
      </c>
      <c r="C22" s="23" t="inlineStr">
        <is>
          <t>HoverCard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../docs/components/hover-card/CHANGELOG.md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HC-15</t>
        </is>
      </c>
      <c r="B23" s="23" t="inlineStr">
        <is>
          <t>Consumer</t>
        </is>
      </c>
      <c r="C23" s="23" t="inlineStr">
        <is>
          <t>HoverCard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HC-16</t>
        </is>
      </c>
      <c r="B24" s="23" t="inlineStr">
        <is>
          <t>Package</t>
        </is>
      </c>
      <c r="C24" s="23" t="inlineStr">
        <is>
          <t>HoverCard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IB-01</t>
        </is>
      </c>
      <c r="B9" s="23" t="inlineStr">
        <is>
          <t>Implementation</t>
        </is>
      </c>
      <c r="C9" s="23" t="inlineStr">
        <is>
          <t>IconButton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../src/components/icon-button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IB-02</t>
        </is>
      </c>
      <c r="B10" s="23" t="inlineStr">
        <is>
          <t>Exports</t>
        </is>
      </c>
      <c r="C10" s="23" t="inlineStr">
        <is>
          <t>IconButton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IB-03</t>
        </is>
      </c>
      <c r="B11" s="23" t="inlineStr">
        <is>
          <t>Types</t>
        </is>
      </c>
      <c r="C11" s="23" t="inlineStr">
        <is>
          <t>IconButton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../test/types/components/icon-button.test.ts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IB-04</t>
        </is>
      </c>
      <c r="B12" s="23" t="inlineStr">
        <is>
          <t>CSS</t>
        </is>
      </c>
      <c r="C12" s="23" t="inlineStr">
        <is>
          <t>IconButton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../src/components/icon-button/icon-button.css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IB-05</t>
        </is>
      </c>
      <c r="B13" s="23" t="inlineStr">
        <is>
          <t>Unit</t>
        </is>
      </c>
      <c r="C13" s="23" t="inlineStr">
        <is>
          <t>IconButton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../test/components/icon-button/icon-button.test.tsx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IB-06</t>
        </is>
      </c>
      <c r="B14" s="23" t="inlineStr">
        <is>
          <t>Browser</t>
        </is>
      </c>
      <c r="C14" s="23" t="inlineStr">
        <is>
          <t>IconButton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tests/components/icon-button/behavior.spec.ts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IB-07</t>
        </is>
      </c>
      <c r="B15" s="23" t="inlineStr">
        <is>
          <t>Accessibility</t>
        </is>
      </c>
      <c r="C15" s="23" t="inlineStr">
        <is>
          <t>IconButton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tests/components/icon-button/behavior.spec.ts;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IB-08</t>
        </is>
      </c>
      <c r="B16" s="23" t="inlineStr">
        <is>
          <t>Visual</t>
        </is>
      </c>
      <c r="C16" s="23" t="inlineStr">
        <is>
          <t>IconButton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tests/components/icon-button/visual.spec.ts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IB-09</t>
        </is>
      </c>
      <c r="B17" s="23" t="inlineStr">
        <is>
          <t>Responsive</t>
        </is>
      </c>
      <c r="C17" s="23" t="inlineStr">
        <is>
          <t>IconButton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manual-tests/icon-button.md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IB-10</t>
        </is>
      </c>
      <c r="B18" s="23" t="inlineStr">
        <is>
          <t>Theme</t>
        </is>
      </c>
      <c r="C18" s="23" t="inlineStr">
        <is>
          <t>IconButton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manual-tests/icon-button.md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IB-11</t>
        </is>
      </c>
      <c r="B19" s="23" t="inlineStr">
        <is>
          <t>Composition</t>
        </is>
      </c>
      <c r="C19" s="23" t="inlineStr">
        <is>
          <t>IconButton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manual-tests/icon-button.md; tests/components/icon-button/behavior.spec.ts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IB-12</t>
        </is>
      </c>
      <c r="B20" s="23" t="inlineStr">
        <is>
          <t>Manual</t>
        </is>
      </c>
      <c r="C20" s="23" t="inlineStr">
        <is>
          <t>IconButton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manual-tests/icon-button.md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IB-13</t>
        </is>
      </c>
      <c r="B21" s="23" t="inlineStr">
        <is>
          <t>Docs</t>
        </is>
      </c>
      <c r="C21" s="23" t="inlineStr">
        <is>
          <t>IconButton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../docs/components/icon-button/README.md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IB-14</t>
        </is>
      </c>
      <c r="B22" s="23" t="inlineStr">
        <is>
          <t>Changelog</t>
        </is>
      </c>
      <c r="C22" s="23" t="inlineStr">
        <is>
          <t>IconButton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../docs/components/icon-button/CHANGELOG.md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IB-15</t>
        </is>
      </c>
      <c r="B23" s="23" t="inlineStr">
        <is>
          <t>Consumer</t>
        </is>
      </c>
      <c r="C23" s="23" t="inlineStr">
        <is>
          <t>IconButton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IB-16</t>
        </is>
      </c>
      <c r="B24" s="23" t="inlineStr">
        <is>
          <t>Package</t>
        </is>
      </c>
      <c r="C24" s="23" t="inlineStr">
        <is>
          <t>IconButton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I-01</t>
        </is>
      </c>
      <c r="B9" s="26" t="inlineStr">
        <is>
          <t>Implementation</t>
        </is>
      </c>
      <c r="C9" s="26" t="inlineStr">
        <is>
          <t>Input</t>
        </is>
      </c>
      <c r="D9" s="27" t="inlineStr">
        <is>
          <t>Brick wrapper, native input ref, adornments, and Atom-powered Clear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../src/components/input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I-02</t>
        </is>
      </c>
      <c r="B10" s="26" t="inlineStr">
        <is>
          <t>Exports</t>
        </is>
      </c>
      <c r="C10" s="26" t="inlineStr">
        <is>
          <t>Input</t>
        </is>
      </c>
      <c r="D10" s="27" t="inlineStr">
        <is>
          <t>Root and public Input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I-03</t>
        </is>
      </c>
      <c r="B11" s="26" t="inlineStr">
        <is>
          <t>Types</t>
        </is>
      </c>
      <c r="C11" s="26" t="inlineStr">
        <is>
          <t>Input</t>
        </is>
      </c>
      <c r="D11" s="27" t="inlineStr">
        <is>
          <t>Recipes, native text types, ref, underline shape exclusion, and native size collision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../test/types/components/input.test.ts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I-04</t>
        </is>
      </c>
      <c r="B12" s="26" t="inlineStr">
        <is>
          <t>CSS</t>
        </is>
      </c>
      <c r="C12" s="26" t="inlineStr">
        <is>
          <t>Input</t>
        </is>
      </c>
      <c r="D12" s="27" t="inlineStr">
        <is>
          <t>Recipes, sizes, shapes, states, adornment geometry, logical layout, and public tokens ship as static CSS.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../src/components/input/input.css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I-05</t>
        </is>
      </c>
      <c r="B13" s="26" t="inlineStr">
        <is>
          <t>Unit</t>
        </is>
      </c>
      <c r="C13" s="26" t="inlineStr">
        <is>
          <t>Input</t>
        </is>
      </c>
      <c r="D13" s="27" t="inlineStr">
        <is>
          <t>Defaults, DOM order, refs, hooks, Clear delegation, prop filtering, and state adaptation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../test/components/input/input.test.tsx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I-06</t>
        </is>
      </c>
      <c r="B14" s="26" t="inlineStr">
        <is>
          <t>Browser</t>
        </is>
      </c>
      <c r="C14" s="26" t="inlineStr">
        <is>
          <t>Input</t>
        </is>
      </c>
      <c r="D14" s="27" t="inlineStr">
        <is>
          <t>Real-browser recipes, geometry, ownership, native form behavior, output, adornments, and Clear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tests/components/input/behavior.spec.ts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I-07</t>
        </is>
      </c>
      <c r="B15" s="26" t="inlineStr">
        <is>
          <t>Accessibility</t>
        </is>
      </c>
      <c r="C15" s="26" t="inlineStr">
        <is>
          <t>Input</t>
        </is>
      </c>
      <c r="D15" s="27" t="inlineStr">
        <is>
          <t>Field naming and relationships, native availability states, focus restoration,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tests/components/input/behavior.spec.ts; tests/integration/form-foundation.spec.ts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I-08</t>
        </is>
      </c>
      <c r="B16" s="26" t="inlineStr">
        <is>
          <t>Visual</t>
        </is>
      </c>
      <c r="C16" s="26" t="inlineStr">
        <is>
          <t>Input</t>
        </is>
      </c>
      <c r="D16" s="27" t="inlineStr">
        <is>
          <t>Reviewed baselines cover defaults, recipes, geometry, adornments, states, appearance,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tests/components/input/visual.spec.ts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Owner reviewed and corrected the current Input playground evidence.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I-09</t>
        </is>
      </c>
      <c r="B17" s="26" t="inlineStr">
        <is>
          <t>Responsive</t>
        </is>
      </c>
      <c r="C17" s="26" t="inlineStr">
        <is>
          <t>Input</t>
        </is>
      </c>
      <c r="D17" s="27" t="inlineStr">
        <is>
          <t>Physical mobile, 200%/400% zoom, long-value stress, and RTL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manual-tests/input.md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Manual protocol exists; physical device and zoom review have not been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I-10</t>
        </is>
      </c>
      <c r="B18" s="26" t="inlineStr">
        <is>
          <t>Theme</t>
        </is>
      </c>
      <c r="C18" s="26" t="inlineStr">
        <is>
          <t>Input</t>
        </is>
      </c>
      <c r="D18" s="27" t="inlineStr">
        <is>
          <t>Light, dark, focus, invalid, forced-colors, and reduced-motion treatment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manual-tests/input.md; tests/components/input/visual.spec.ts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human appearance review is not fully recorded.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I-11</t>
        </is>
      </c>
      <c r="B19" s="26" t="inlineStr">
        <is>
          <t>Composition</t>
        </is>
      </c>
      <c r="C19" s="26" t="inlineStr">
        <is>
          <t>Input</t>
        </is>
      </c>
      <c r="D19" s="27" t="inlineStr">
        <is>
          <t>Field/Form labels, descriptions, errors, external ownership, generated IDs, and rendered HTML match.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manual-tests/input.md; tests/components/input/behavior.spec.ts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I-12</t>
        </is>
      </c>
      <c r="B20" s="26" t="inlineStr">
        <is>
          <t>Manual</t>
        </is>
      </c>
      <c r="C20" s="26" t="inlineStr">
        <is>
          <t>Input</t>
        </is>
      </c>
      <c r="D20" s="27" t="inlineStr">
        <is>
          <t>The component-owned manual protocol passes every Input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manual-tests/input.md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I-13</t>
        </is>
      </c>
      <c r="B21" s="26" t="inlineStr">
        <is>
          <t>Docs</t>
        </is>
      </c>
      <c r="C21" s="26" t="inlineStr">
        <is>
          <t>Input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../docs/components/input/README.md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I-14</t>
        </is>
      </c>
      <c r="B22" s="26" t="inlineStr">
        <is>
          <t>Changelog</t>
        </is>
      </c>
      <c r="C22" s="26" t="inlineStr">
        <is>
          <t>Input</t>
        </is>
      </c>
      <c r="D22" s="27" t="inlineStr">
        <is>
          <t>Input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../docs/components/input/CHANGELOG.md;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I-15</t>
        </is>
      </c>
      <c r="B23" s="26" t="inlineStr">
        <is>
          <t>Consumer</t>
        </is>
      </c>
      <c r="C23" s="26" t="inlineStr">
        <is>
          <t>Input</t>
        </is>
      </c>
      <c r="D23" s="27" t="inlineStr">
        <is>
          <t>The packed Consumer proves Field, adornment, Clear, validation, submit, and reset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I-16</t>
        </is>
      </c>
      <c r="B24" s="26" t="inlineStr">
        <is>
          <t>Package</t>
        </is>
      </c>
      <c r="C24" s="26" t="inlineStr">
        <is>
          <t>Input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46227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Link</t>
        </is>
      </c>
      <c r="D9" s="27" t="inlineStr">
        <is>
          <t>Atom-backed anchor, visual recipes, content anatomy, native props, and HTMLAnchorElement ref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../src/components/link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Exports</t>
        </is>
      </c>
      <c r="C10" s="26" t="inlineStr">
        <is>
          <t>Link</t>
        </is>
      </c>
      <c r="D10" s="27" t="inlineStr">
        <is>
          <t>Root and public Link subpath exports expose runtime and complete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Types</t>
        </is>
      </c>
      <c r="C11" s="26" t="inlineStr">
        <is>
          <t>Link</t>
        </is>
      </c>
      <c r="D11" s="27" t="inlineStr">
        <is>
          <t>Required native href, router composition, recipes, icon exclusion,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../test/types/components/link.test.ts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CSS</t>
        </is>
      </c>
      <c r="C12" s="26" t="inlineStr">
        <is>
          <t>Link</t>
        </is>
      </c>
      <c r="D12" s="27" t="inlineStr">
        <is>
          <t>Static CSS ships decoration, tones, typography, focus, current, icon, appearance,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../src/components/link/link.css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Unit</t>
        </is>
      </c>
      <c r="C13" s="26" t="inlineStr">
        <is>
          <t>Link</t>
        </is>
      </c>
      <c r="D13" s="27" t="inlineStr">
        <is>
          <t>Defaults, recipes, icon anatomy, native forwarding, refs, render, and asChild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../test/components/link/link.test.tsx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Browser</t>
        </is>
      </c>
      <c r="C14" s="26" t="inlineStr">
        <is>
          <t>Link</t>
        </is>
      </c>
      <c r="D14" s="27" t="inlineStr">
        <is>
          <t>Native output, focus, controlled recipes, typography, icon geometry, RTL, composition,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tests/components/link/behavior.spec.ts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Accessibility</t>
        </is>
      </c>
      <c r="C15" s="26" t="inlineStr">
        <is>
          <t>Link</t>
        </is>
      </c>
      <c r="D15" s="27" t="inlineStr">
        <is>
          <t>Native role/name/current state, focus affordance, responsive containment, decorative icons,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Visual</t>
        </is>
      </c>
      <c r="C16" s="26" t="inlineStr">
        <is>
          <t>Link</t>
        </is>
      </c>
      <c r="D16" s="27" t="inlineStr">
        <is>
          <t>Baselines cover default, recipes, content, composition,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tests/components/link/visual.spec.ts</t>
        </is>
      </c>
      <c r="H16" s="26" t="inlineStr">
        <is>
          <t>verified</t>
        </is>
      </c>
      <c r="I16" s="26" t="inlineStr">
        <is>
          <t>yes</t>
        </is>
      </c>
      <c r="J16" s="28" t="n"/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Responsive</t>
        </is>
      </c>
      <c r="C17" s="26" t="inlineStr">
        <is>
          <t>Link</t>
        </is>
      </c>
      <c r="D17" s="27" t="inlineStr">
        <is>
          <t>Physical mobile, 200%/400% zoom, text spacing,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manual-tests/link.md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passes; human device and zoom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Theme</t>
        </is>
      </c>
      <c r="C18" s="26" t="inlineStr">
        <is>
          <t>Link</t>
        </is>
      </c>
      <c r="D18" s="27" t="inlineStr">
        <is>
          <t>Light, dark, forced colors, focus, decoration, and customized variables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manual-tests/link.md; tests/components/link/visual.spec.ts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exists;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Composition</t>
        </is>
      </c>
      <c r="C19" s="26" t="inlineStr">
        <is>
          <t>Link</t>
        </is>
      </c>
      <c r="D19" s="27" t="inlineStr">
        <is>
          <t>Native, current, download, render, and asChild examples produce one inspectable final anchor.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tests/components/link/behavior.spec.ts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Manual</t>
        </is>
      </c>
      <c r="C20" s="26" t="inlineStr">
        <is>
          <t>Link</t>
        </is>
      </c>
      <c r="D20" s="27" t="inlineStr">
        <is>
          <t>The concise component-owned protocol passes every Link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manual-tests/link.md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has not run it.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Docs</t>
        </is>
      </c>
      <c r="C21" s="26" t="inlineStr">
        <is>
          <t>Link</t>
        </is>
      </c>
      <c r="D21" s="27" t="inlineStr">
        <is>
          <t>Source-backed use, exclusions, recipes, anatomy, accessibility, native props,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../docs/components/link/README.md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Changelog</t>
        </is>
      </c>
      <c r="C22" s="26" t="inlineStr">
        <is>
          <t>Link</t>
        </is>
      </c>
      <c r="D22" s="27" t="inlineStr">
        <is>
          <t>Link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../docs/components/link/CHANGELOG.md;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Consumer</t>
        </is>
      </c>
      <c r="C23" s="26" t="inlineStr">
        <is>
          <t>Link</t>
        </is>
      </c>
      <c r="D23" s="27" t="inlineStr">
        <is>
          <t>The Consumer uses the public Link subpath for site navigation and a standalone destination.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Playground</t>
        </is>
      </c>
      <c r="C24" s="26" t="inlineStr">
        <is>
          <t>Link</t>
        </is>
      </c>
      <c r="D24" s="27" t="inlineStr">
        <is>
          <t>One navigable component route exposes every adopted recipe, content, composition, appearance, and stress scenario.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src/components/link/LinkPage.tsx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Package</t>
        </is>
      </c>
      <c r="C25" s="26" t="inlineStr">
        <is>
          <t>Link</t>
        </is>
      </c>
      <c r="D25" s="27" t="inlineStr">
        <is>
          <t>Build, SSR, exports, CSS, tarball, consumers, browser matrix, and exact Atom 0.7.0 dependency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n">
        <v>46228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T-01</t>
        </is>
      </c>
      <c r="B9" s="26" t="inlineStr">
        <is>
          <t>Implementation</t>
        </is>
      </c>
      <c r="C9" s="26" t="inlineStr">
        <is>
          <t>Text</t>
        </is>
      </c>
      <c r="D9" s="27" t="inlineStr">
        <is>
          <t>Semantic hosts, recipes, native props, and HTMLElement refs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T-02</t>
        </is>
      </c>
      <c r="B10" s="26" t="inlineStr">
        <is>
          <t>Exports</t>
        </is>
      </c>
      <c r="C10" s="26" t="inlineStr">
        <is>
          <t>Text</t>
        </is>
      </c>
      <c r="D10" s="27" t="inlineStr">
        <is>
          <t>Root and public Text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T-03</t>
        </is>
      </c>
      <c r="B11" s="26" t="inlineStr">
        <is>
          <t>Types</t>
        </is>
      </c>
      <c r="C11" s="26" t="inlineStr">
        <is>
          <t>Text</t>
        </is>
      </c>
      <c r="D11" s="27" t="inlineStr">
        <is>
          <t>Hosts, variants, tones, weights, alignment, wrapping, overflow rules, props, and refs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../test/types/components/text.test.ts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T-04</t>
        </is>
      </c>
      <c r="B12" s="26" t="inlineStr">
        <is>
          <t>CSS</t>
        </is>
      </c>
      <c r="C12" s="26" t="inlineStr">
        <is>
          <t>Text</t>
        </is>
      </c>
      <c r="D12" s="27" t="inlineStr">
        <is>
          <t>Static CSS ships recipe, tone, alignment, wrapping, truncation, clamp, and preference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../src/components/text/text.css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T-05</t>
        </is>
      </c>
      <c r="B13" s="26" t="inlineStr">
        <is>
          <t>Unit</t>
        </is>
      </c>
      <c r="C13" s="26" t="inlineStr">
        <is>
          <t>Text</t>
        </is>
      </c>
      <c r="D13" s="27" t="inlineStr">
        <is>
          <t>Defaults, host selection, hooks, refs, native props, and overflow precedence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../test/components/text/text.test.tsx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T-06</t>
        </is>
      </c>
      <c r="B14" s="26" t="inlineStr">
        <is>
          <t>Browser</t>
        </is>
      </c>
      <c r="C14" s="26" t="inlineStr">
        <is>
          <t>Text</t>
        </is>
      </c>
      <c r="D14" s="27" t="inlineStr">
        <is>
          <t>Real-browser defaults, scale, tones, geometry, semantics, output, refs, and overflow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T-07</t>
        </is>
      </c>
      <c r="B15" s="26" t="inlineStr">
        <is>
          <t>Accessibility</t>
        </is>
      </c>
      <c r="C15" s="26" t="inlineStr">
        <is>
          <t>Text</t>
        </is>
      </c>
      <c r="D15" s="27" t="inlineStr">
        <is>
          <t>Semantic host output, contrast, text spacing, zoom resilience,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tests/components/text/behavior.spec.ts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T-08</t>
        </is>
      </c>
      <c r="B16" s="26" t="inlineStr">
        <is>
          <t>Visual</t>
        </is>
      </c>
      <c r="C16" s="26" t="inlineStr">
        <is>
          <t>Text</t>
        </is>
      </c>
      <c r="D16" s="27" t="inlineStr">
        <is>
          <t>Reviewed baselines cover recipes, tones, semantics, overflow, customization, dark mode, RTL, and mobile stress.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tests/components/text/visual.spec.ts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Agent-reviewed baselines; owner acceptance remains available during manual review.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T-09</t>
        </is>
      </c>
      <c r="B17" s="26" t="inlineStr">
        <is>
          <t>Responsive</t>
        </is>
      </c>
      <c r="C17" s="26" t="inlineStr">
        <is>
          <t>Text</t>
        </is>
      </c>
      <c r="D17" s="27" t="inlineStr">
        <is>
          <t>Narrow layout, long localized content, 200%/400% zoom, and RTL remain contained and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manual-tests/text.md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evidence passes; physical-device and human zoom review are not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T-10</t>
        </is>
      </c>
      <c r="B18" s="26" t="inlineStr">
        <is>
          <t>Theme</t>
        </is>
      </c>
      <c r="C18" s="26" t="inlineStr">
        <is>
          <t>Text</t>
        </is>
      </c>
      <c r="D18" s="27" t="inlineStr">
        <is>
          <t>Light, dark, semantic tones, forced colors, and reduced motion retain readable output.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manual-tests/text.md; tests/components/text/visual.spec.ts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T-11</t>
        </is>
      </c>
      <c r="B19" s="26" t="inlineStr">
        <is>
          <t>Semantics</t>
        </is>
      </c>
      <c r="C19" s="26" t="inlineStr">
        <is>
          <t>Text</t>
        </is>
      </c>
      <c r="D19" s="27" t="inlineStr">
        <is>
          <t>Every supported semantic host and rendered 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tests/components/text/behavior.spec.ts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T-12</t>
        </is>
      </c>
      <c r="B20" s="26" t="inlineStr">
        <is>
          <t>Manual</t>
        </is>
      </c>
      <c r="C20" s="26" t="inlineStr">
        <is>
          <t>Text</t>
        </is>
      </c>
      <c r="D20" s="27" t="inlineStr">
        <is>
          <t>The component-owned manual protocol passes every Text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manual-tests/text.md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T-13</t>
        </is>
      </c>
      <c r="B21" s="26" t="inlineStr">
        <is>
          <t>Docs</t>
        </is>
      </c>
      <c r="C21" s="26" t="inlineStr">
        <is>
          <t>Text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../docs/components/text/README.md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T-14</t>
        </is>
      </c>
      <c r="B22" s="26" t="inlineStr">
        <is>
          <t>Changelog</t>
        </is>
      </c>
      <c r="C22" s="26" t="inlineStr">
        <is>
          <t>Text</t>
        </is>
      </c>
      <c r="D22" s="27" t="inlineStr">
        <is>
          <t>Text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../docs/components/text/CHANGELOG.md;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T-15</t>
        </is>
      </c>
      <c r="B23" s="26" t="inlineStr">
        <is>
          <t>Consumer</t>
        </is>
      </c>
      <c r="C23" s="26" t="inlineStr">
        <is>
          <t>Text</t>
        </is>
      </c>
      <c r="D23" s="27" t="inlineStr">
        <is>
          <t>The packed Consumer proves root and subpath Text usage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T-16</t>
        </is>
      </c>
      <c r="B24" s="26" t="inlineStr">
        <is>
          <t>Package</t>
        </is>
      </c>
      <c r="C24" s="26" t="inlineStr">
        <is>
          <t>Text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manual protocol.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NB-01</t>
        </is>
      </c>
      <c r="B9" s="23" t="inlineStr">
        <is>
          <t>Implementation</t>
        </is>
      </c>
      <c r="C9" s="23" t="inlineStr">
        <is>
          <t>NotificationBadge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NB-02</t>
        </is>
      </c>
      <c r="B10" s="23" t="inlineStr">
        <is>
          <t>Exports</t>
        </is>
      </c>
      <c r="C10" s="23" t="inlineStr">
        <is>
          <t>NotificationBadge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NB-03</t>
        </is>
      </c>
      <c r="B11" s="23" t="inlineStr">
        <is>
          <t>Types</t>
        </is>
      </c>
      <c r="C11" s="23" t="inlineStr">
        <is>
          <t>NotificationBadge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../test/types/components/notification-badge.test.ts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NB-04</t>
        </is>
      </c>
      <c r="B12" s="23" t="inlineStr">
        <is>
          <t>CSS</t>
        </is>
      </c>
      <c r="C12" s="23" t="inlineStr">
        <is>
          <t>NotificationBadge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NB-05</t>
        </is>
      </c>
      <c r="B13" s="23" t="inlineStr">
        <is>
          <t>Unit</t>
        </is>
      </c>
      <c r="C13" s="23" t="inlineStr">
        <is>
          <t>NotificationBadge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../test/components/notification-badge/notification-badge.test.tsx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NB-06</t>
        </is>
      </c>
      <c r="B14" s="23" t="inlineStr">
        <is>
          <t>Browser</t>
        </is>
      </c>
      <c r="C14" s="23" t="inlineStr">
        <is>
          <t>NotificationBadge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tests/components/notification-badge/behavior.spec.ts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NB-07</t>
        </is>
      </c>
      <c r="B15" s="23" t="inlineStr">
        <is>
          <t>Accessibility</t>
        </is>
      </c>
      <c r="C15" s="23" t="inlineStr">
        <is>
          <t>NotificationBadge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tests/components/notification-badge/behavior.spec.ts;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NB-08</t>
        </is>
      </c>
      <c r="B16" s="23" t="inlineStr">
        <is>
          <t>Visual</t>
        </is>
      </c>
      <c r="C16" s="23" t="inlineStr">
        <is>
          <t>NotificationBadge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tests/components/notification-badge/visual.spec.ts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NB-09</t>
        </is>
      </c>
      <c r="B17" s="23" t="inlineStr">
        <is>
          <t>Responsive</t>
        </is>
      </c>
      <c r="C17" s="23" t="inlineStr">
        <is>
          <t>NotificationBadge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manual-tests/notification-badge.md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NB-10</t>
        </is>
      </c>
      <c r="B18" s="23" t="inlineStr">
        <is>
          <t>Theme</t>
        </is>
      </c>
      <c r="C18" s="23" t="inlineStr">
        <is>
          <t>NotificationBadge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manual-tests/notification-badge.md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NB-11</t>
        </is>
      </c>
      <c r="B19" s="23" t="inlineStr">
        <is>
          <t>Composition</t>
        </is>
      </c>
      <c r="C19" s="23" t="inlineStr">
        <is>
          <t>NotificationBadge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manual-tests/notification-badge.md; tests/components/notification-badge/behavior.spec.ts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NB-12</t>
        </is>
      </c>
      <c r="B20" s="23" t="inlineStr">
        <is>
          <t>Manual</t>
        </is>
      </c>
      <c r="C20" s="23" t="inlineStr">
        <is>
          <t>NotificationBadge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manual-tests/notification-badge.md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NB-13</t>
        </is>
      </c>
      <c r="B21" s="23" t="inlineStr">
        <is>
          <t>Docs</t>
        </is>
      </c>
      <c r="C21" s="23" t="inlineStr">
        <is>
          <t>NotificationBadge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../docs/components/notification-badge/README.md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NB-14</t>
        </is>
      </c>
      <c r="B22" s="23" t="inlineStr">
        <is>
          <t>Changelog</t>
        </is>
      </c>
      <c r="C22" s="23" t="inlineStr">
        <is>
          <t>NotificationBadge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../docs/components/notification-badge/CHANGELOG.md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NB-15</t>
        </is>
      </c>
      <c r="B23" s="23" t="inlineStr">
        <is>
          <t>Consumer</t>
        </is>
      </c>
      <c r="C23" s="23" t="inlineStr">
        <is>
          <t>NotificationBadge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NB-16</t>
        </is>
      </c>
      <c r="B24" s="23" t="inlineStr">
        <is>
          <t>Package</t>
        </is>
      </c>
      <c r="C24" s="23" t="inlineStr">
        <is>
          <t>NotificationBadge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P-01</t>
        </is>
      </c>
      <c r="B9" s="23" t="inlineStr">
        <is>
          <t>Implementation</t>
        </is>
      </c>
      <c r="C9" s="23" t="inlineStr">
        <is>
          <t>Popover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../src/components/popover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P-02</t>
        </is>
      </c>
      <c r="B10" s="23" t="inlineStr">
        <is>
          <t>Exports</t>
        </is>
      </c>
      <c r="C10" s="23" t="inlineStr">
        <is>
          <t>Popover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P-03</t>
        </is>
      </c>
      <c r="B11" s="23" t="inlineStr">
        <is>
          <t>Types</t>
        </is>
      </c>
      <c r="C11" s="23" t="inlineStr">
        <is>
          <t>Popover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../test/types/components/popover.test.ts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P-04</t>
        </is>
      </c>
      <c r="B12" s="23" t="inlineStr">
        <is>
          <t>CSS</t>
        </is>
      </c>
      <c r="C12" s="23" t="inlineStr">
        <is>
          <t>Popover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../src/components/popover/popover.css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P-05</t>
        </is>
      </c>
      <c r="B13" s="23" t="inlineStr">
        <is>
          <t>Unit</t>
        </is>
      </c>
      <c r="C13" s="23" t="inlineStr">
        <is>
          <t>Popover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../test/components/popover/popover.test.tsx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P-06</t>
        </is>
      </c>
      <c r="B14" s="23" t="inlineStr">
        <is>
          <t>Browser</t>
        </is>
      </c>
      <c r="C14" s="23" t="inlineStr">
        <is>
          <t>Popover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tests/components/popover/behavior.spec.ts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P-07</t>
        </is>
      </c>
      <c r="B15" s="23" t="inlineStr">
        <is>
          <t>Accessibility</t>
        </is>
      </c>
      <c r="C15" s="23" t="inlineStr">
        <is>
          <t>Popover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tests/components/popover/behavior.spec.ts;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P-08</t>
        </is>
      </c>
      <c r="B16" s="23" t="inlineStr">
        <is>
          <t>Visual</t>
        </is>
      </c>
      <c r="C16" s="23" t="inlineStr">
        <is>
          <t>Popover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tests/components/popover/visual.spec.ts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P-09</t>
        </is>
      </c>
      <c r="B17" s="23" t="inlineStr">
        <is>
          <t>Responsive</t>
        </is>
      </c>
      <c r="C17" s="23" t="inlineStr">
        <is>
          <t>Popover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manual-tests/popover.md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P-10</t>
        </is>
      </c>
      <c r="B18" s="23" t="inlineStr">
        <is>
          <t>Theme</t>
        </is>
      </c>
      <c r="C18" s="23" t="inlineStr">
        <is>
          <t>Popover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manual-tests/popover.md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P-11</t>
        </is>
      </c>
      <c r="B19" s="23" t="inlineStr">
        <is>
          <t>Composition</t>
        </is>
      </c>
      <c r="C19" s="23" t="inlineStr">
        <is>
          <t>Popover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manual-tests/popover.md; tests/components/popover/behavior.spec.ts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P-12</t>
        </is>
      </c>
      <c r="B20" s="23" t="inlineStr">
        <is>
          <t>Manual</t>
        </is>
      </c>
      <c r="C20" s="23" t="inlineStr">
        <is>
          <t>Popover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manual-tests/popover.md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P-13</t>
        </is>
      </c>
      <c r="B21" s="23" t="inlineStr">
        <is>
          <t>Docs</t>
        </is>
      </c>
      <c r="C21" s="23" t="inlineStr">
        <is>
          <t>Popover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../docs/components/popover/README.md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P-14</t>
        </is>
      </c>
      <c r="B22" s="23" t="inlineStr">
        <is>
          <t>Changelog</t>
        </is>
      </c>
      <c r="C22" s="23" t="inlineStr">
        <is>
          <t>Popover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../docs/components/popover/CHANGELOG.md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P-15</t>
        </is>
      </c>
      <c r="B23" s="23" t="inlineStr">
        <is>
          <t>Consumer</t>
        </is>
      </c>
      <c r="C23" s="23" t="inlineStr">
        <is>
          <t>Popover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P-16</t>
        </is>
      </c>
      <c r="B24" s="23" t="inlineStr">
        <is>
          <t>Package</t>
        </is>
      </c>
      <c r="C24" s="23" t="inlineStr">
        <is>
          <t>Popover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Toggle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Toggle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Toggle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Toggle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../src/components/toggle/toggle.css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Toggle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../test/components/toggle/toggle.test.tsx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Toggle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Toggle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Toggle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Toggle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Toggle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Toggle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manual-tests/toggle.md; tests/components/toggle/behavior.spec.ts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Toggle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Toggle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Toggle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Toggle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Toggle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TG-01</t>
        </is>
      </c>
      <c r="B9" s="23" t="inlineStr">
        <is>
          <t>Implementation</t>
        </is>
      </c>
      <c r="C9" s="23" t="inlineStr">
        <is>
          <t>ToggleGroup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TG-02</t>
        </is>
      </c>
      <c r="B10" s="23" t="inlineStr">
        <is>
          <t>Exports</t>
        </is>
      </c>
      <c r="C10" s="23" t="inlineStr">
        <is>
          <t>ToggleGroup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TG-03</t>
        </is>
      </c>
      <c r="B11" s="23" t="inlineStr">
        <is>
          <t>Types</t>
        </is>
      </c>
      <c r="C11" s="23" t="inlineStr">
        <is>
          <t>ToggleGroup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TG-04</t>
        </is>
      </c>
      <c r="B12" s="23" t="inlineStr">
        <is>
          <t>CSS</t>
        </is>
      </c>
      <c r="C12" s="23" t="inlineStr">
        <is>
          <t>ToggleGroup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../src/components/toggle-group/toggle-group.css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TG-05</t>
        </is>
      </c>
      <c r="B13" s="23" t="inlineStr">
        <is>
          <t>Unit</t>
        </is>
      </c>
      <c r="C13" s="23" t="inlineStr">
        <is>
          <t>ToggleGroup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../test/components/toggle-group/toggle-group.test.tsx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TG-06</t>
        </is>
      </c>
      <c r="B14" s="23" t="inlineStr">
        <is>
          <t>Browser</t>
        </is>
      </c>
      <c r="C14" s="23" t="inlineStr">
        <is>
          <t>ToggleGroup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TG-07</t>
        </is>
      </c>
      <c r="B15" s="23" t="inlineStr">
        <is>
          <t>Accessibility</t>
        </is>
      </c>
      <c r="C15" s="23" t="inlineStr">
        <is>
          <t>ToggleGroup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TG-08</t>
        </is>
      </c>
      <c r="B16" s="23" t="inlineStr">
        <is>
          <t>Visual</t>
        </is>
      </c>
      <c r="C16" s="23" t="inlineStr">
        <is>
          <t>ToggleGroup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TG-09</t>
        </is>
      </c>
      <c r="B17" s="23" t="inlineStr">
        <is>
          <t>Responsive</t>
        </is>
      </c>
      <c r="C17" s="23" t="inlineStr">
        <is>
          <t>ToggleGroup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TG-10</t>
        </is>
      </c>
      <c r="B18" s="23" t="inlineStr">
        <is>
          <t>Theme</t>
        </is>
      </c>
      <c r="C18" s="23" t="inlineStr">
        <is>
          <t>ToggleGroup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TG-11</t>
        </is>
      </c>
      <c r="B19" s="23" t="inlineStr">
        <is>
          <t>Composition</t>
        </is>
      </c>
      <c r="C19" s="23" t="inlineStr">
        <is>
          <t>ToggleGroup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manual-tests/toggle-group.md; tests/components/toggle-group/behavior.spec.ts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TG-12</t>
        </is>
      </c>
      <c r="B20" s="23" t="inlineStr">
        <is>
          <t>Manual</t>
        </is>
      </c>
      <c r="C20" s="23" t="inlineStr">
        <is>
          <t>ToggleGroup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TG-13</t>
        </is>
      </c>
      <c r="B21" s="23" t="inlineStr">
        <is>
          <t>Docs</t>
        </is>
      </c>
      <c r="C21" s="23" t="inlineStr">
        <is>
          <t>ToggleGroup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TG-14</t>
        </is>
      </c>
      <c r="B22" s="23" t="inlineStr">
        <is>
          <t>Changelog</t>
        </is>
      </c>
      <c r="C22" s="23" t="inlineStr">
        <is>
          <t>ToggleGroup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TG-15</t>
        </is>
      </c>
      <c r="B23" s="23" t="inlineStr">
        <is>
          <t>Consumer</t>
        </is>
      </c>
      <c r="C23" s="23" t="inlineStr">
        <is>
          <t>ToggleGroup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TG-16</t>
        </is>
      </c>
      <c r="B24" s="23" t="inlineStr">
        <is>
          <t>Package</t>
        </is>
      </c>
      <c r="C24" s="23" t="inlineStr">
        <is>
          <t>ToggleGroup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Stack</t>
        </is>
      </c>
      <c r="D9" s="27" t="inlineStr">
        <is>
          <t>Stack, HStack, and VStack share one semantic root implementation with stable hooks and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../src/components/stack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Stack family</t>
        </is>
      </c>
      <c r="D10" s="27" t="inlineStr">
        <is>
          <t>Root and public Stack subpath exports expose all three runtimes and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Stack family</t>
        </is>
      </c>
      <c r="D11" s="27" t="inlineStr">
        <is>
          <t>Hosts, direction, gap, alignment, distribution, wrapping, native props, refs, and exclusions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../test/types/components/stack.test.ts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Root</t>
        </is>
      </c>
      <c r="D12" s="27" t="inlineStr">
        <is>
          <t>Static CSS ships flex layout, zero-through-six tokenized gaps, logical alignment, distribution, wrapping, and min-inline containment.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../src/components/stack/stack.css;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Stack family</t>
        </is>
      </c>
      <c r="D13" s="27" t="inlineStr">
        <is>
          <t>Defaults, family direction locks, every closed recipe, semantic hosts, native pass-through, hooks, events, and refs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../test/components/stack/stack.test.tsx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Stack family</t>
        </is>
      </c>
      <c r="D14" s="27" t="inlineStr">
        <is>
          <t>Real-browser axes, exact gaps, alignment, distribution, wrapping, containment, semantics, refs, output,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tests/components/stack/behavior.spec.ts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Root</t>
        </is>
      </c>
      <c r="D15" s="27" t="inlineStr">
        <is>
          <t>Source order, semantic hosts, RTL logic, reflow containment, and axe checks pass without Stack adding roles or names.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tests/components/stack/behavior.spec.ts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Stack family</t>
        </is>
      </c>
      <c r="D16" s="27" t="inlineStr">
        <is>
          <t>Reviewed baselines cover defaults, family directions, gaps, alignment, wrapping,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tests/components/stack/visual.spec.ts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Stack family</t>
        </is>
      </c>
      <c r="D17" s="27" t="inlineStr">
        <is>
          <t>Physical mobile, 200%/400% zoom, constrained wrapping,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manual-tests/stack.md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and RTL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Root</t>
        </is>
      </c>
      <c r="D18" s="27" t="inlineStr">
        <is>
          <t>Light, dark, forced-colors, focus-bearing children, and text-spacing stress retain understandable layout.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manual-tests/stack.md; tests/components/stack/visual.spec.ts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Root</t>
        </is>
      </c>
      <c r="D19" s="27" t="inlineStr">
        <is>
          <t>Every supported semantic host, authored native attribute, DOM order, and rendered-output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tests/components/stack/behavior.spec.ts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Stack family</t>
        </is>
      </c>
      <c r="D20" s="27" t="inlineStr">
        <is>
          <t>The component-owned manual protocol passes every Stack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manual-tests/stack.md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Stack family</t>
        </is>
      </c>
      <c r="D21" s="27" t="inlineStr">
        <is>
          <t>Source-backed public usage, defaults, recipes, semantics, accessibility, CSS, and API documentation pass component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../docs/components/stack/README.md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Stack family</t>
        </is>
      </c>
      <c r="D22" s="27" t="inlineStr">
        <is>
          <t>Stack owns a public component changelog and the package changelog records the family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../docs/components/stack/CHANGELOG.md;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HStack / VStack</t>
        </is>
      </c>
      <c r="D23" s="27" t="inlineStr">
        <is>
          <t>The packed Consumer proves realistic content and action composition through the public Stack subpath.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Package</t>
        </is>
      </c>
      <c r="C24" s="26" t="inlineStr">
        <is>
          <t>Stack family</t>
        </is>
      </c>
      <c r="D24" s="27" t="inlineStr">
        <is>
          <t>Build, SSR, exports, CSS, tarball, React 18/19, packed Consumer, and playground Stack-adoption checks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../scripts/verify-consumers.mjs; ../scripts/verify-playground-stack.mjs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Tooltip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../src/components/tooltip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Tooltip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Tooltip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../test/types/components/tooltip.test.ts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Tooltip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../src/components/tooltip/tooltip.css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Tooltip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../test/components/tooltip/tooltip.test.tsx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Tooltip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tests/components/tooltip/behavior.spec.ts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Tooltip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tests/components/tooltip/behavior.spec.ts;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Tooltip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tests/components/tooltip/visual.spec.ts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Tooltip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manual-tests/tooltip.md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Tooltip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manual-tests/tooltip.md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Tooltip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manual-tests/tooltip.md; tests/components/tooltip/behavior.spec.ts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Tooltip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manual-tests/tooltip.md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Tooltip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../docs/components/tooltip/README.md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Tooltip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../docs/components/tooltip/CHANGELOG.md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Tooltip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Tooltip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G-01</t>
        </is>
      </c>
      <c r="B9" s="26" t="inlineStr">
        <is>
          <t>Implementation</t>
        </is>
      </c>
      <c r="C9" s="26" t="inlineStr">
        <is>
          <t>Root / Item</t>
        </is>
      </c>
      <c r="D9" s="27" t="inlineStr">
        <is>
          <t>Grid.Root and optional Grid.Item render the approved native hosts, stable hooks, forwarded refs, and authored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../src/components/grid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G-02</t>
        </is>
      </c>
      <c r="B10" s="26" t="inlineStr">
        <is>
          <t>Exports</t>
        </is>
      </c>
      <c r="C10" s="26" t="inlineStr">
        <is>
          <t>Grid</t>
        </is>
      </c>
      <c r="D10" s="27" t="inlineStr">
        <is>
          <t>Root exports and the public Grid subpath expose the frozen compound runtime and all public Grid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G-03</t>
        </is>
      </c>
      <c r="B11" s="26" t="inlineStr">
        <is>
          <t>Types</t>
        </is>
      </c>
      <c r="C11" s="26" t="inlineStr">
        <is>
          <t>Root / Item</t>
        </is>
      </c>
      <c r="D11" s="27" t="inlineStr">
        <is>
          <t>Closed hosts, explicit and intrinsic modes, gaps, alignment, placement, native props, refs, and invalid combinations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../test/types/components/grid.test.ts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G-04</t>
        </is>
      </c>
      <c r="B12" s="26" t="inlineStr">
        <is>
          <t>CSS</t>
        </is>
      </c>
      <c r="C12" s="26" t="inlineStr">
        <is>
          <t>Root / Item</t>
        </is>
      </c>
      <c r="D12" s="27" t="inlineStr">
        <is>
          <t>Static CSS ships equal and intrinsic tracks, zero-through-six gaps, logical alignment, placement,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../src/components/grid/grid.css;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G-05</t>
        </is>
      </c>
      <c r="B13" s="26" t="inlineStr">
        <is>
          <t>Unit</t>
        </is>
      </c>
      <c r="C13" s="26" t="inlineStr">
        <is>
          <t>Root / Item</t>
        </is>
      </c>
      <c r="D13" s="27" t="inlineStr">
        <is>
          <t>Defaults, modes, recipes, placement, semantic hosts, native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../test/components/grid/grid.test.tsx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G-06</t>
        </is>
      </c>
      <c r="B14" s="26" t="inlineStr">
        <is>
          <t>Browser</t>
        </is>
      </c>
      <c r="C14" s="26" t="inlineStr">
        <is>
          <t>Root</t>
        </is>
      </c>
      <c r="D14" s="27" t="inlineStr">
        <is>
          <t>Real-browser exact columns, intrinsic reflow, gaps, alignment, output, refs, and customization pass across the supported browser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tests/components/grid/behavior.spec.ts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G-07</t>
        </is>
      </c>
      <c r="B15" s="26" t="inlineStr">
        <is>
          <t>Browser</t>
        </is>
      </c>
      <c r="C15" s="26" t="inlineStr">
        <is>
          <t>Item</t>
        </is>
      </c>
      <c r="D15" s="27" t="inlineStr">
        <is>
          <t>Real-browser spans, line placement, full width, self-alignment, containment, and source order pass across the supported browser matrix.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tests/components/grid/behavior.spec.ts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G-08</t>
        </is>
      </c>
      <c r="B16" s="26" t="inlineStr">
        <is>
          <t>Accessibility</t>
        </is>
      </c>
      <c r="C16" s="26" t="inlineStr">
        <is>
          <t>Root / Item</t>
        </is>
      </c>
      <c r="D16" s="27" t="inlineStr">
        <is>
          <t>Authored semantics, DOM and focus order, RTL logic, reflow containment, and axe pass without Grid inventing interactive grid semantics.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G-09</t>
        </is>
      </c>
      <c r="B17" s="26" t="inlineStr">
        <is>
          <t>Visual</t>
        </is>
      </c>
      <c r="C17" s="26" t="inlineStr">
        <is>
          <t>Root / Item</t>
        </is>
      </c>
      <c r="D17" s="27" t="inlineStr">
        <is>
          <t>Reviewed baselines cover defaults, modes, gaps, placement, dark appearance, mobile RTL, and forced colors.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tests/components/grid/visual.spec.ts</t>
        </is>
      </c>
      <c r="H17" s="26" t="inlineStr">
        <is>
          <t>verified</t>
        </is>
      </c>
      <c r="I17" s="26" t="inlineStr">
        <is>
          <t>yes</t>
        </is>
      </c>
      <c r="J17" s="28" t="n">
        <v>46228</v>
      </c>
      <c r="K17" s="27" t="inlineStr">
        <is>
          <t>Current Grid playground and visual baselines were reviewed during implementation.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G-10</t>
        </is>
      </c>
      <c r="B18" s="26" t="inlineStr">
        <is>
          <t>Responsive</t>
        </is>
      </c>
      <c r="C18" s="26" t="inlineStr">
        <is>
          <t>Root / Item</t>
        </is>
      </c>
      <c r="D18" s="27" t="inlineStr">
        <is>
          <t>Physical mobile, 200%/400% zoom, intrinsic reflow, constrained placement, long content, and RTL remain readable and contained.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manual-tests/grid.md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reflow and RTL evidence passes; the human manual run is intentionally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G-11</t>
        </is>
      </c>
      <c r="B19" s="26" t="inlineStr">
        <is>
          <t>Theme</t>
        </is>
      </c>
      <c r="C19" s="26" t="inlineStr">
        <is>
          <t>Root / Item</t>
        </is>
      </c>
      <c r="D19" s="27" t="inlineStr">
        <is>
          <t>Light, dark, forced-colors, focus-bearing children, and text-spacing stress retain understandable layout and source order.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manual-tests/grid.md; tests/components/grid/visual.spec.ts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46227</v>
      </c>
      <c r="K19" s="27" t="inlineStr">
        <is>
          <t>Automated appearance evidence passes; complete human appearance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G-12</t>
        </is>
      </c>
      <c r="B20" s="26" t="inlineStr">
        <is>
          <t>Semantics</t>
        </is>
      </c>
      <c r="C20" s="26" t="inlineStr">
        <is>
          <t>Root / Item</t>
        </is>
      </c>
      <c r="D20" s="27" t="inlineStr">
        <is>
          <t>Supported semantic hosts, authored attributes, source order, rendered output, slots, and data hooks match the public contract.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tests/components/grid/behavior.spec.ts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G-13</t>
        </is>
      </c>
      <c r="B21" s="26" t="inlineStr">
        <is>
          <t>Manual</t>
        </is>
      </c>
      <c r="C21" s="26" t="inlineStr">
        <is>
          <t>Root / Item</t>
        </is>
      </c>
      <c r="D21" s="27" t="inlineStr">
        <is>
          <t>The component-owned manual protocol passes every Grid playground scenario.</t>
        </is>
      </c>
      <c r="E21" s="26" t="inlineStr">
        <is>
          <t>package</t>
        </is>
      </c>
      <c r="F21" s="26" t="inlineStr">
        <is>
          <t>manual</t>
        </is>
      </c>
      <c r="G21" s="27" t="inlineStr">
        <is>
          <t>manual-tests/grid.md</t>
        </is>
      </c>
      <c r="H21" s="26" t="inlineStr">
        <is>
          <t>implemented</t>
        </is>
      </c>
      <c r="I21" s="26" t="inlineStr">
        <is>
          <t>yes</t>
        </is>
      </c>
      <c r="J21" s="28" t="n">
        <v>46227</v>
      </c>
      <c r="K21" s="27" t="inlineStr">
        <is>
          <t>Protocol exists but the owner has deferred the human run.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G-14</t>
        </is>
      </c>
      <c r="B22" s="26" t="inlineStr">
        <is>
          <t>Docs</t>
        </is>
      </c>
      <c r="C22" s="26" t="inlineStr">
        <is>
          <t>Grid</t>
        </is>
      </c>
      <c r="D22" s="27" t="inlineStr">
        <is>
          <t>Source-backed public usage, defaults, modes, placement, semantics, accessibility, CSS, and API documentation pass component checks.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../docs/components/grid/README.md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G-15</t>
        </is>
      </c>
      <c r="B23" s="26" t="inlineStr">
        <is>
          <t>Changelog</t>
        </is>
      </c>
      <c r="C23" s="26" t="inlineStr">
        <is>
          <t>Grid</t>
        </is>
      </c>
      <c r="D23" s="27" t="inlineStr">
        <is>
          <t>Grid owns a public component changelog and the package changelog records the component addition.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../docs/components/grid/CHANGELOG.md; ../CHANGELOG.md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G-16</t>
        </is>
      </c>
      <c r="B24" s="26" t="inlineStr">
        <is>
          <t>Consumer</t>
        </is>
      </c>
      <c r="C24" s="26" t="inlineStr">
        <is>
          <t>Root / Item</t>
        </is>
      </c>
      <c r="D24" s="27" t="inlineStr">
        <is>
          <t>The packed Consumer proves realistic equal-track composition, intentional item span, and responsive public-variable overrides through the Grid subpath.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../apps/consumer/src/App.tsx; 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G-17</t>
        </is>
      </c>
      <c r="B25" s="26" t="inlineStr">
        <is>
          <t>Package</t>
        </is>
      </c>
      <c r="C25" s="26" t="inlineStr">
        <is>
          <t>Grid</t>
        </is>
      </c>
      <c r="D25" s="27" t="inlineStr">
        <is>
          <t>Build, SSR, exports, CSS, tarball, React 18/19, packed Consumer, browser matrix, and playground Grid-adoption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../scripts/verify-playground-grid.mjs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46228</v>
      </c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C-01</t>
        </is>
      </c>
      <c r="B9" s="26" t="inlineStr">
        <is>
          <t>Implementation</t>
        </is>
      </c>
      <c r="C9" s="26" t="inlineStr">
        <is>
          <t>Container</t>
        </is>
      </c>
      <c r="D9" s="27" t="inlineStr">
        <is>
          <t>Container renders one approved native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../src/components/container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C-02</t>
        </is>
      </c>
      <c r="B10" s="26" t="inlineStr">
        <is>
          <t>Exports</t>
        </is>
      </c>
      <c r="C10" s="26" t="inlineStr">
        <is>
          <t>Container</t>
        </is>
      </c>
      <c r="D10" s="27" t="inlineStr">
        <is>
          <t>Root exports and the public Container subpath expose the runtime component and every public Container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C-03</t>
        </is>
      </c>
      <c r="B11" s="26" t="inlineStr">
        <is>
          <t>Types</t>
        </is>
      </c>
      <c r="C11" s="26" t="inlineStr">
        <is>
          <t>Container</t>
        </is>
      </c>
      <c r="D11" s="27" t="inlineStr">
        <is>
          <t>Closed hosts, measures, gutters, native props, refs, and rejected arbitrary, responsive, viewport, and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../test/types/components/container.test.ts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C-04</t>
        </is>
      </c>
      <c r="B12" s="26" t="inlineStr">
        <is>
          <t>CSS</t>
        </is>
      </c>
      <c r="C12" s="26" t="inlineStr">
        <is>
          <t>Container</t>
        </is>
      </c>
      <c r="D12" s="27" t="inlineStr">
        <is>
          <t>Static CSS ships border-box fluid sizing, five measures, four logical gutters, centering,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../src/components/container/container.css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C-05</t>
        </is>
      </c>
      <c r="B13" s="26" t="inlineStr">
        <is>
          <t>Unit</t>
        </is>
      </c>
      <c r="C13" s="26" t="inlineStr">
        <is>
          <t>Container</t>
        </is>
      </c>
      <c r="D13" s="27" t="inlineStr">
        <is>
          <t>Defaults, every recipe, semantic hosts, one-root anatomy,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../test/components/container/container.test.tsx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C-06</t>
        </is>
      </c>
      <c r="B14" s="26" t="inlineStr">
        <is>
          <t>Browser</t>
        </is>
      </c>
      <c r="C14" s="26" t="inlineStr">
        <is>
          <t>Container</t>
        </is>
      </c>
      <c r="D14" s="27" t="inlineStr">
        <is>
          <t>Real-browser maximums, full width, gutters, border-box containment, output, refs, and exact customization pass across the supported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tests/components/container/behavior.spec.ts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C-07</t>
        </is>
      </c>
      <c r="B15" s="26" t="inlineStr">
        <is>
          <t>Accessibility</t>
        </is>
      </c>
      <c r="C15" s="26" t="inlineStr">
        <is>
          <t>Container</t>
        </is>
      </c>
      <c r="D15" s="27" t="inlineStr">
        <is>
          <t>Authored semantics, source/focus order, RTL and vertical logical sizing, reflow, focus visibility, and axe pass without invented roles.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tests/components/container/behavior.spec.ts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C-08</t>
        </is>
      </c>
      <c r="B16" s="26" t="inlineStr">
        <is>
          <t>Visual</t>
        </is>
      </c>
      <c r="C16" s="26" t="inlineStr">
        <is>
          <t>Container</t>
        </is>
      </c>
      <c r="D16" s="27" t="inlineStr">
        <is>
          <t>Reviewed baselines cover defaults, measures, gutters, dark customization, narrow RTL, and vertical writing.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tests/components/container/visual.spec.ts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Container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C-09</t>
        </is>
      </c>
      <c r="B17" s="26" t="inlineStr">
        <is>
          <t>Responsive</t>
        </is>
      </c>
      <c r="C17" s="26" t="inlineStr">
        <is>
          <t>Container</t>
        </is>
      </c>
      <c r="D17" s="27" t="inlineStr">
        <is>
          <t>Physical mobile, 200%/400% zoom, 320/256 CSS-pixel reflow, long content, RTL, and vertical writing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manual-tests/container.md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C-10</t>
        </is>
      </c>
      <c r="B18" s="26" t="inlineStr">
        <is>
          <t>Theme</t>
        </is>
      </c>
      <c r="C18" s="26" t="inlineStr">
        <is>
          <t>Container</t>
        </is>
      </c>
      <c r="D18" s="27" t="inlineStr">
        <is>
          <t>Light, dark, forced colors, text spacing, and focus-bearing descendants preserve geometry and visibility.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manual-tests/container.md; tests/components/container/visual.spec.ts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C-11</t>
        </is>
      </c>
      <c r="B19" s="26" t="inlineStr">
        <is>
          <t>Semantics</t>
        </is>
      </c>
      <c r="C19" s="26" t="inlineStr">
        <is>
          <t>Container</t>
        </is>
      </c>
      <c r="D19" s="27" t="inlineStr">
        <is>
          <t>Supported semantic hosts, authored attributes, one-root output, slot, measure, and gutter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tests/components/container/behavior.spec.ts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C-12</t>
        </is>
      </c>
      <c r="B20" s="26" t="inlineStr">
        <is>
          <t>Manual</t>
        </is>
      </c>
      <c r="C20" s="26" t="inlineStr">
        <is>
          <t>Container</t>
        </is>
      </c>
      <c r="D20" s="27" t="inlineStr">
        <is>
          <t>The component-owned manual protocol passes every Container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manual-tests/container.md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C-13</t>
        </is>
      </c>
      <c r="B21" s="26" t="inlineStr">
        <is>
          <t>Docs</t>
        </is>
      </c>
      <c r="C21" s="26" t="inlineStr">
        <is>
          <t>Container</t>
        </is>
      </c>
      <c r="D21" s="27" t="inlineStr">
        <is>
          <t>Source-backed usage, defaults, geometry,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../docs/components/container/README.md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C-14</t>
        </is>
      </c>
      <c r="B22" s="26" t="inlineStr">
        <is>
          <t>Changelog</t>
        </is>
      </c>
      <c r="C22" s="26" t="inlineStr">
        <is>
          <t>Container</t>
        </is>
      </c>
      <c r="D22" s="27" t="inlineStr">
        <is>
          <t>Container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../docs/components/container/CHANGELOG.md;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C-15</t>
        </is>
      </c>
      <c r="B23" s="26" t="inlineStr">
        <is>
          <t>Consumer</t>
        </is>
      </c>
      <c r="C23" s="26" t="inlineStr">
        <is>
          <t>Container</t>
        </is>
      </c>
      <c r="D23" s="27" t="inlineStr">
        <is>
          <t>The packed Consumer proves the public Container subpath as a realistic page boundary containing Stack and Grid with responsive gutters.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C-16</t>
        </is>
      </c>
      <c r="B24" s="26" t="inlineStr">
        <is>
          <t>Playground</t>
        </is>
      </c>
      <c r="C24" s="26" t="inlineStr">
        <is>
          <t>Container</t>
        </is>
      </c>
      <c r="D24" s="27" t="inlineStr">
        <is>
          <t>Shared main, header, scenario navigation, route-content, and footer boundaries use Container while App Bar and component-specific constraints remain excluded.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../playground/src/shell/PlaygroundShell.tsx; ../scripts/verify-playground-container.mjs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C-17</t>
        </is>
      </c>
      <c r="B25" s="26" t="inlineStr">
        <is>
          <t>Package</t>
        </is>
      </c>
      <c r="C25" s="26" t="inlineStr">
        <is>
          <t>Container</t>
        </is>
      </c>
      <c r="D25" s="27" t="inlineStr">
        <is>
          <t>Build, SSR, exports, CSS, tarball, React 18/19, packed Consumer, browser matrix, and Container-adoption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../scripts/verify-playground-container.mjs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Surface</t>
        </is>
      </c>
      <c r="D9" s="27" t="inlineStr">
        <is>
          <t>Surface renders one approved semantic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../src/components/surface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Surface</t>
        </is>
      </c>
      <c r="D10" s="27" t="inlineStr">
        <is>
          <t>Root exports and the public Surface subpath expose the runtime component and every public Surface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Surface</t>
        </is>
      </c>
      <c r="D11" s="27" t="inlineStr">
        <is>
          <t>Closed semantic hosts, levels, elevations, radii, insets, native props, refs, and rejected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../test/types/components/surface.test.ts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Surface</t>
        </is>
      </c>
      <c r="D12" s="27" t="inlineStr">
        <is>
          <t>Static CSS ships semantic levels, independent border, elevation, radius, inset, forced-color handling,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../src/components/surface/surface.css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Surface</t>
        </is>
      </c>
      <c r="D13" s="27" t="inlineStr">
        <is>
          <t>Defaults, every recipe, semantic hosts,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../test/components/surface/surface.test.tsx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Surface</t>
        </is>
      </c>
      <c r="D14" s="27" t="inlineStr">
        <is>
          <t>Real-browser levels, borders, elevations, radii, insets, nesting, semantic output, refs, and exact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tests/components/surface/behavior.spec.ts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Surface</t>
        </is>
      </c>
      <c r="D15" s="27" t="inlineStr">
        <is>
          <t>Authored semantics, focus-bearing descendants, RTL/reflow containment, and axe pass without invented roles or interaction.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tests/components/surface/behavior.spec.ts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Surface</t>
        </is>
      </c>
      <c r="D16" s="27" t="inlineStr">
        <is>
          <t>Reviewed baselines cover defaults, levels, borders, elevation, inset, nesting,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tests/components/surface/visual.spec.ts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Surface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Surface</t>
        </is>
      </c>
      <c r="D17" s="27" t="inlineStr">
        <is>
          <t>Physical mobile, 200%/400% zoom, constrained content, long copy, nesting,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manual-tests/surface.md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Surface</t>
        </is>
      </c>
      <c r="D18" s="27" t="inlineStr">
        <is>
          <t>Light, dark, forced colors, text spacing, and focus-bearing descendants preserve boundaries, hierarchy, and contrast.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manual-tests/surface.md; tests/components/surface/visual.spec.ts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Surface</t>
        </is>
      </c>
      <c r="D19" s="27" t="inlineStr">
        <is>
          <t>Supported semantic hosts, authored attributes, one-root output, slot, and recipe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tests/components/surface/behavior.spec.ts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Surface</t>
        </is>
      </c>
      <c r="D20" s="27" t="inlineStr">
        <is>
          <t>The component-owned manual protocol passes every Surface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manual-tests/surface.md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Surface</t>
        </is>
      </c>
      <c r="D21" s="27" t="inlineStr">
        <is>
          <t>Source-backed usage, defaults, recipes,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../docs/components/surface/README.md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Surface</t>
        </is>
      </c>
      <c r="D22" s="27" t="inlineStr">
        <is>
          <t>Surface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../docs/components/surface/CHANGELOG.md;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Surface</t>
        </is>
      </c>
      <c r="D23" s="27" t="inlineStr">
        <is>
          <t>The packed Consumer proves the public Surface subpath as a realistic painted workspace region with independent layout ownership.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Playground</t>
        </is>
      </c>
      <c r="C24" s="26" t="inlineStr">
        <is>
          <t>Surface</t>
        </is>
      </c>
      <c r="D24" s="27" t="inlineStr">
        <is>
          <t>Shared generic evidence regions use Surface while component paint, diagnostics, layout, overlays, and native evidence retain their classified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../playground/docs/surface-adoption-audit.md; ../scripts/verify-playground-surface.mjs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S-17</t>
        </is>
      </c>
      <c r="B25" s="26" t="inlineStr">
        <is>
          <t>Package</t>
        </is>
      </c>
      <c r="C25" s="26" t="inlineStr">
        <is>
          <t>Surface</t>
        </is>
      </c>
      <c r="D25" s="27" t="inlineStr">
        <is>
          <t>Build, SSR, exports, CSS, tarball, React 18/19, packed Consumer, browser matrix, and Surface-adoption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../scripts/verify-playground-surface.mjs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D-01</t>
        </is>
      </c>
      <c r="B9" s="26" t="inlineStr">
        <is>
          <t>Implementation</t>
        </is>
      </c>
      <c r="C9" s="26" t="inlineStr">
        <is>
          <t>Divider</t>
        </is>
      </c>
      <c r="D9" s="27" t="inlineStr">
        <is>
          <t>Divider renders the adopted Atom-backed line, labeled anatomy, and composed-root mode with stable hooks and forwarded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../src/components/divider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D-02</t>
        </is>
      </c>
      <c r="B10" s="26" t="inlineStr">
        <is>
          <t>Exports</t>
        </is>
      </c>
      <c r="C10" s="26" t="inlineStr">
        <is>
          <t>Divider</t>
        </is>
      </c>
      <c r="D10" s="27" t="inlineStr">
        <is>
          <t>Root exports and the public Divider subpath expose the runtime component and every public Divider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D-03</t>
        </is>
      </c>
      <c r="B11" s="26" t="inlineStr">
        <is>
          <t>Types</t>
        </is>
      </c>
      <c r="C11" s="26" t="inlineStr">
        <is>
          <t>Divider</t>
        </is>
      </c>
      <c r="D11" s="27" t="inlineStr">
        <is>
          <t>Line, label, composition, orientation, recipe, native attribute, ref, and invalid combination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../test/types/components/divider.test.ts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D-04</t>
        </is>
      </c>
      <c r="B12" s="26" t="inlineStr">
        <is>
          <t>CSS</t>
        </is>
      </c>
      <c r="C12" s="26" t="inlineStr">
        <is>
          <t>Divider</t>
        </is>
      </c>
      <c r="D12" s="27" t="inlineStr">
        <is>
          <t>Static CSS ships logical horizontal/vertical geometry, variants, thickness, inset, labels, stretch, RTL, and forced-color handling.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../src/components/divider/divider.css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D-05</t>
        </is>
      </c>
      <c r="B13" s="26" t="inlineStr">
        <is>
          <t>Unit</t>
        </is>
      </c>
      <c r="C13" s="26" t="inlineStr">
        <is>
          <t>Divider</t>
        </is>
      </c>
      <c r="D13" s="27" t="inlineStr">
        <is>
          <t>Defaults, semantic ownership, every recipe, labeled anatomy, composition, pass-through, hooks,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../test/components/divider/divider.test.tsx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D-06</t>
        </is>
      </c>
      <c r="B14" s="26" t="inlineStr">
        <is>
          <t>Browser</t>
        </is>
      </c>
      <c r="C14" s="26" t="inlineStr">
        <is>
          <t>Divider</t>
        </is>
      </c>
      <c r="D14" s="27" t="inlineStr">
        <is>
          <t>Real-browser orientation, variants, thickness, inset, labels, stretch, output, refs, customization, RTL,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tests/components/divider/behavior.spec.ts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D-07</t>
        </is>
      </c>
      <c r="B15" s="26" t="inlineStr">
        <is>
          <t>Accessibility</t>
        </is>
      </c>
      <c r="C15" s="26" t="inlineStr">
        <is>
          <t>Divider</t>
        </is>
      </c>
      <c r="D15" s="27" t="inlineStr">
        <is>
          <t>Decorative and semantic separators, labeling, source order, RTL/reflow containment, focus visibility, and axe pass without splitter behavior.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tests/components/divider/behavior.spec.ts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D-08</t>
        </is>
      </c>
      <c r="B16" s="26" t="inlineStr">
        <is>
          <t>Visual</t>
        </is>
      </c>
      <c r="C16" s="26" t="inlineStr">
        <is>
          <t>Divider</t>
        </is>
      </c>
      <c r="D16" s="27" t="inlineStr">
        <is>
          <t>Reviewed baselines cover defaults, orientation, variants, thickness, labels,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tests/components/divider/visual.spec.ts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Divider mobile/RTL, forced-color, and complete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D-09</t>
        </is>
      </c>
      <c r="B17" s="26" t="inlineStr">
        <is>
          <t>Responsive</t>
        </is>
      </c>
      <c r="C17" s="26" t="inlineStr">
        <is>
          <t>Divider</t>
        </is>
      </c>
      <c r="D17" s="27" t="inlineStr">
        <is>
          <t>Physical mobile, 200%/400% zoom, long labels, constrained width, vertical stretch,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manual-tests/divider.md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D-10</t>
        </is>
      </c>
      <c r="B18" s="26" t="inlineStr">
        <is>
          <t>Theme</t>
        </is>
      </c>
      <c r="C18" s="26" t="inlineStr">
        <is>
          <t>Divider</t>
        </is>
      </c>
      <c r="D18" s="27" t="inlineStr">
        <is>
          <t>Light, dark, forced colors, text spacing, and customized separators retain visible structural boundaries.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manual-tests/divider.md; tests/components/divider/visual.spec.ts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D-11</t>
        </is>
      </c>
      <c r="B19" s="26" t="inlineStr">
        <is>
          <t>Semantics</t>
        </is>
      </c>
      <c r="C19" s="26" t="inlineStr">
        <is>
          <t>Divider</t>
        </is>
      </c>
      <c r="D19" s="27" t="inlineStr">
        <is>
          <t>Decorative, semantic, labeled, horizontal, vertical, and composed output match the Atom-first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tests/components/divider/behavior.spec.ts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D-12</t>
        </is>
      </c>
      <c r="B20" s="26" t="inlineStr">
        <is>
          <t>Manual</t>
        </is>
      </c>
      <c r="C20" s="26" t="inlineStr">
        <is>
          <t>Divider</t>
        </is>
      </c>
      <c r="D20" s="27" t="inlineStr">
        <is>
          <t>The component-owned manual protocol passes every Divider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manual-tests/divider.md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D-13</t>
        </is>
      </c>
      <c r="B21" s="26" t="inlineStr">
        <is>
          <t>Docs</t>
        </is>
      </c>
      <c r="C21" s="26" t="inlineStr">
        <is>
          <t>Divider</t>
        </is>
      </c>
      <c r="D21" s="27" t="inlineStr">
        <is>
          <t>Source-backed usage, defaults, recipes, labels,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../docs/components/divider/README.md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D-14</t>
        </is>
      </c>
      <c r="B22" s="26" t="inlineStr">
        <is>
          <t>Changelog</t>
        </is>
      </c>
      <c r="C22" s="26" t="inlineStr">
        <is>
          <t>Divider</t>
        </is>
      </c>
      <c r="D22" s="27" t="inlineStr">
        <is>
          <t>Divider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../docs/components/divider/CHANGELOG.md;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D-15</t>
        </is>
      </c>
      <c r="B23" s="26" t="inlineStr">
        <is>
          <t>Consumer</t>
        </is>
      </c>
      <c r="C23" s="26" t="inlineStr">
        <is>
          <t>Divider</t>
        </is>
      </c>
      <c r="D23" s="27" t="inlineStr">
        <is>
          <t>The packed Consumer proves the public Divider subpath as a semantic workspace break between adjacent content groups.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D-16</t>
        </is>
      </c>
      <c r="B24" s="26" t="inlineStr">
        <is>
          <t>Playground</t>
        </is>
      </c>
      <c r="C24" s="26" t="inlineStr">
        <is>
          <t>Divider</t>
        </is>
      </c>
      <c r="D24" s="27" t="inlineStr">
        <is>
          <t>Divider replaces authored separator concepts while component edges, focus, diagnostics, shell chrome, and Surface boundaries retain their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../playground/docs/divider-adoption-audit.md; ../scripts/verify-playground-divider.mjs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D-17</t>
        </is>
      </c>
      <c r="B25" s="26" t="inlineStr">
        <is>
          <t>Package</t>
        </is>
      </c>
      <c r="C25" s="26" t="inlineStr">
        <is>
          <t>Divider</t>
        </is>
      </c>
      <c r="D25" s="27" t="inlineStr">
        <is>
          <t>Build, SSR, exports, CSS, tarball, React 18/19, packed Consumer, browser matrix, and Divider-adoption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../scripts/verify-playground-divider.mjs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SA-01</t>
        </is>
      </c>
      <c r="B9" s="26" t="inlineStr">
        <is>
          <t>Implementation</t>
        </is>
      </c>
      <c r="C9" s="26" t="inlineStr">
        <is>
          <t>Scroll Area</t>
        </is>
      </c>
      <c r="D9" s="27" t="inlineStr">
        <is>
          <t>Scroll Area renders Atom-backed Root and Viewport anatomy with forwarded refs and stable hooks.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../src/components/scroll-area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SA-02</t>
        </is>
      </c>
      <c r="B10" s="26" t="inlineStr">
        <is>
          <t>Exports</t>
        </is>
      </c>
      <c r="C10" s="26" t="inlineStr">
        <is>
          <t>Scroll Area</t>
        </is>
      </c>
      <c r="D10" s="27" t="inlineStr">
        <is>
          <t>Root exports and the Scroll Area subpath expose the compound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SA-03</t>
        </is>
      </c>
      <c r="B11" s="26" t="inlineStr">
        <is>
          <t>Types</t>
        </is>
      </c>
      <c r="C11" s="26" t="inlineStr">
        <is>
          <t>Scroll Area</t>
        </is>
      </c>
      <c r="D11" s="27" t="inlineStr">
        <is>
          <t>Orientation, gutter, visibility, composition,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../test/types/components/scroll-area.test.ts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SA-04</t>
        </is>
      </c>
      <c r="B12" s="26" t="inlineStr">
        <is>
          <t>CSS</t>
        </is>
      </c>
      <c r="C12" s="26" t="inlineStr">
        <is>
          <t>Scroll Area</t>
        </is>
      </c>
      <c r="D12" s="27" t="inlineStr">
        <is>
          <t>Static CSS ships axis ownership, gutter, visibility, focus, semantic colors,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../src/components/scroll-area/scroll-area.css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SA-05</t>
        </is>
      </c>
      <c r="B13" s="26" t="inlineStr">
        <is>
          <t>Unit</t>
        </is>
      </c>
      <c r="C13" s="26" t="inlineStr">
        <is>
          <t>Scroll Area</t>
        </is>
      </c>
      <c r="D13" s="27" t="inlineStr">
        <is>
          <t>Defaults, all closed recipes, semantics, forwarding, refs, and composition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../test/components/scroll-area/scroll-area.test.tsx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SA-06</t>
        </is>
      </c>
      <c r="B14" s="26" t="inlineStr">
        <is>
          <t>Browser</t>
        </is>
      </c>
      <c r="C14" s="26" t="inlineStr">
        <is>
          <t>Scroll Area</t>
        </is>
      </c>
      <c r="D14" s="27" t="inlineStr">
        <is>
          <t>Native vertical and horizontal movement, gutter, visibility, composition, refs,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tests/components/scroll-area/behavior.spec.ts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SA-07</t>
        </is>
      </c>
      <c r="B15" s="26" t="inlineStr">
        <is>
          <t>Accessibility</t>
        </is>
      </c>
      <c r="C15" s="26" t="inlineStr">
        <is>
          <t>Scroll Area</t>
        </is>
      </c>
      <c r="D15" s="27" t="inlineStr">
        <is>
          <t>Named focusable content, descendant reachability, focus visibility, containment,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tests/components/scroll-area/behavior.spec.ts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SA-08</t>
        </is>
      </c>
      <c r="B16" s="26" t="inlineStr">
        <is>
          <t>Visual</t>
        </is>
      </c>
      <c r="C16" s="26" t="inlineStr">
        <is>
          <t>Scroll Area</t>
        </is>
      </c>
      <c r="D16" s="27" t="inlineStr">
        <is>
          <t>Baselines cover defaults, axes, gutter, visibility,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tests/components/scroll-area/visual.spec.ts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Scroll Area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SA-09</t>
        </is>
      </c>
      <c r="B17" s="26" t="inlineStr">
        <is>
          <t>Responsive</t>
        </is>
      </c>
      <c r="C17" s="26" t="inlineStr">
        <is>
          <t>Scroll Area</t>
        </is>
      </c>
      <c r="D17" s="27" t="inlineStr">
        <is>
          <t>Physical mobile, zoom, RTL, writing mode, touch, and nested scroll handoff remain readable and usable.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manual-tests/scroll-area.md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SA-10</t>
        </is>
      </c>
      <c r="B18" s="26" t="inlineStr">
        <is>
          <t>Theme</t>
        </is>
      </c>
      <c r="C18" s="26" t="inlineStr">
        <is>
          <t>Scroll Area</t>
        </is>
      </c>
      <c r="D18" s="27" t="inlineStr">
        <is>
          <t>Light, dark, forced colors, interaction visibility, focus, and customized scrollbars remain visible.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manual-tests/scroll-area.md; tests/components/scroll-area/visual.spec.ts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SA-11</t>
        </is>
      </c>
      <c r="B19" s="26" t="inlineStr">
        <is>
          <t>Semantics</t>
        </is>
      </c>
      <c r="C19" s="26" t="inlineStr">
        <is>
          <t>Scroll Area</t>
        </is>
      </c>
      <c r="D19" s="27" t="inlineStr">
        <is>
          <t>Plain content opts into a named region while interactive descendants avoid a redundant viewport stop.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tests/components/scroll-area/behavior.spec.ts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SA-12</t>
        </is>
      </c>
      <c r="B20" s="26" t="inlineStr">
        <is>
          <t>Manual</t>
        </is>
      </c>
      <c r="C20" s="26" t="inlineStr">
        <is>
          <t>Scroll Area</t>
        </is>
      </c>
      <c r="D20" s="27" t="inlineStr">
        <is>
          <t>The component-owned protocol passes every Scroll Area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manual-tests/scroll-area.md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SA-13</t>
        </is>
      </c>
      <c r="B21" s="26" t="inlineStr">
        <is>
          <t>Docs</t>
        </is>
      </c>
      <c r="C21" s="26" t="inlineStr">
        <is>
          <t>Scroll Area</t>
        </is>
      </c>
      <c r="D21" s="27" t="inlineStr">
        <is>
          <t>Source-backed usage, defaults, axes, visibility, semantics, accessibility,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../docs/components/scroll-area/README.md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SA-14</t>
        </is>
      </c>
      <c r="B22" s="26" t="inlineStr">
        <is>
          <t>Changelog</t>
        </is>
      </c>
      <c r="C22" s="26" t="inlineStr">
        <is>
          <t>Scroll Area</t>
        </is>
      </c>
      <c r="D22" s="27" t="inlineStr">
        <is>
          <t>Scroll Area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../docs/components/scroll-area/CHANGELOG.md;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SA-15</t>
        </is>
      </c>
      <c r="B23" s="26" t="inlineStr">
        <is>
          <t>Consumer</t>
        </is>
      </c>
      <c r="C23" s="26" t="inlineStr">
        <is>
          <t>Scroll Area</t>
        </is>
      </c>
      <c r="D23" s="27" t="inlineStr">
        <is>
          <t>The packed Consumer proves the public subpath in a constrained native recent-activity region.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SA-16</t>
        </is>
      </c>
      <c r="B24" s="26" t="inlineStr">
        <is>
          <t>Playground</t>
        </is>
      </c>
      <c r="C24" s="26" t="inlineStr">
        <is>
          <t>Scroll Area</t>
        </is>
      </c>
      <c r="D24" s="27" t="inlineStr">
        <is>
          <t>Intentional shell and fixture scrolling adopt Scroll Area while clipping, diagnostics, and code retain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../playground/docs/scroll-area-adoption-audit.md; ../scripts/verify-playground-scroll-area.mjs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SA-17</t>
        </is>
      </c>
      <c r="B25" s="26" t="inlineStr">
        <is>
          <t>Package</t>
        </is>
      </c>
      <c r="C25" s="26" t="inlineStr">
        <is>
          <t>Scroll Area</t>
        </is>
      </c>
      <c r="D25" s="27" t="inlineStr">
        <is>
          <t>Build, SSR, exports, CSS, tarball, consumers, browser matrix,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../scripts/verify-consumers.mjs; ../scripts/verify-playground-scroll-area.mjs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2026-07-25T22:58:04Z</dcterms:modified>
  <cp:lastModifiedBy>Flowstack</cp:lastModifiedBy>
  <cp:revision>0</cp:revision>
</cp:coreProperties>
</file>