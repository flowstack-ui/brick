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Button" sheetId="3" state="visible" r:id="rId3"/>
    <sheet xmlns:r="http://schemas.openxmlformats.org/officeDocument/2006/relationships" name="Card" sheetId="4" state="visible" r:id="rId4"/>
    <sheet xmlns:r="http://schemas.openxmlformats.org/officeDocument/2006/relationships" name="Dialog" sheetId="5" state="visible" r:id="rId5"/>
    <sheet xmlns:r="http://schemas.openxmlformats.org/officeDocument/2006/relationships" name="_Lists" sheetId="6" state="hidden" r:id="rId6"/>
  </sheets>
  <definedNames>
    <definedName name="_xlnm.Print_Area" localSheetId="0">'Index'!$A$1:$N$10</definedName>
    <definedName name="_xlnm._FilterDatabase" localSheetId="1" hidden="1">'Instructions'!$A$4:$B$18</definedName>
    <definedName name="_xlnm.Print_Area" localSheetId="1">'Instructions'!$A$1:$B$18</definedName>
    <definedName name="_xlnm._FilterDatabase" localSheetId="2" hidden="1">'Button'!$A$8:$M$33</definedName>
    <definedName name="_xlnm.Print_Titles" localSheetId="2">'Button'!$1:$8</definedName>
    <definedName name="_xlnm.Print_Area" localSheetId="2">'Button'!$A$1:$M$33</definedName>
    <definedName name="_xlnm._FilterDatabase" localSheetId="3" hidden="1">'Card'!$A$8:$M$33</definedName>
    <definedName name="_xlnm.Print_Titles" localSheetId="3">'Card'!$1:$8</definedName>
    <definedName name="_xlnm.Print_Area" localSheetId="3">'Card'!$A$1:$M$33</definedName>
    <definedName name="_xlnm._FilterDatabase" localSheetId="4" hidden="1">'Dialog'!$A$8:$M$33</definedName>
    <definedName name="_xlnm.Print_Titles" localSheetId="4">'Dialog'!$1:$8</definedName>
    <definedName name="_xlnm.Print_Area" localSheetId="4">'Dialog'!$A$1:$M$33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color rgb="00526072"/>
      <sz val="10"/>
    </font>
    <font>
      <name val="Aptos"/>
      <b val="1"/>
      <color rgb="00FFFFFF"/>
      <sz val="10"/>
    </font>
    <font>
      <name val="Aptos"/>
      <b val="1"/>
      <color rgb="00172033"/>
      <sz val="10"/>
    </font>
    <font>
      <name val="Aptos"/>
      <color rgb="00172033"/>
      <sz val="10"/>
    </font>
    <font>
      <name val="Aptos"/>
      <b val="1"/>
      <color rgb="00526072"/>
      <sz val="9"/>
    </font>
    <font>
      <name val="Aptos Display"/>
      <b val="1"/>
      <color rgb="00172033"/>
      <sz val="12"/>
    </font>
    <font>
      <name val="Aptos"/>
      <i val="1"/>
      <color rgb="00526072"/>
      <sz val="9"/>
    </font>
    <font>
      <name val="Aptos"/>
      <color rgb="00172033"/>
      <sz val="9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172033"/>
      </patternFill>
    </fill>
    <fill>
      <patternFill patternType="solid">
        <fgColor rgb="002563EB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bottom style="thin">
        <color rgb="00CBD5E1"/>
      </bottom>
    </border>
  </borders>
  <cellStyleXfs count="2">
    <xf numFmtId="0" fontId="0" fillId="0" borderId="0"/>
    <xf numFmtId="0" fontId="1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9" fontId="7" fillId="0" borderId="0" pivotButton="0" quotePrefix="0" xfId="0"/>
    <xf numFmtId="0" fontId="3" fillId="3" borderId="0" applyAlignment="1" pivotButton="0" quotePrefix="0" xfId="0">
      <alignment vertical="center" wrapText="1"/>
    </xf>
    <xf numFmtId="0" fontId="9" fillId="0" borderId="1" applyAlignment="1" pivotButton="0" quotePrefix="0" xfId="1">
      <alignment vertical="center" wrapText="1"/>
    </xf>
    <xf numFmtId="0" fontId="9" fillId="0" borderId="1" applyAlignment="1" pivotButton="0" quotePrefix="0" xfId="0">
      <alignment vertical="center" wrapText="1"/>
    </xf>
    <xf numFmtId="9" fontId="9" fillId="0" borderId="1" applyAlignment="1" pivotButton="0" quotePrefix="0" xfId="0">
      <alignment vertical="center" wrapText="1"/>
    </xf>
    <xf numFmtId="0" fontId="4" fillId="4" borderId="0" pivotButton="0" quotePrefix="0" xfId="0"/>
    <xf numFmtId="0" fontId="5" fillId="4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9" fillId="0" borderId="1" applyAlignment="1" pivotButton="0" quotePrefix="0" xfId="0">
      <alignment vertical="top" wrapText="1"/>
    </xf>
    <xf numFmtId="1" fontId="9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7">
    <dxf>
      <font>
        <color rgb="00475569"/>
      </font>
      <fill>
        <patternFill patternType="solid">
          <fgColor rgb="00E2E8F0"/>
        </patternFill>
      </fill>
    </dxf>
    <dxf>
      <font>
        <color rgb="0092400E"/>
      </font>
      <fill>
        <patternFill patternType="solid">
          <fgColor rgb="00FEF3C7"/>
        </patternFill>
      </fill>
    </dxf>
    <dxf>
      <font>
        <color rgb="002563EB"/>
      </font>
      <fill>
        <patternFill patternType="solid">
          <fgColor rgb="00DBEAFE"/>
        </patternFill>
      </fill>
    </dxf>
    <dxf>
      <font>
        <color rgb="006D28D9"/>
      </font>
      <fill>
        <patternFill patternType="solid">
          <fgColor rgb="00EDE9FE"/>
        </patternFill>
      </fill>
    </dxf>
    <dxf>
      <font>
        <color rgb="00166534"/>
      </font>
      <fill>
        <patternFill patternType="solid">
          <fgColor rgb="00DCFCE7"/>
        </patternFill>
      </fill>
    </dxf>
    <dxf>
      <font>
        <color rgb="00991B1B"/>
      </font>
      <fill>
        <patternFill patternType="solid">
          <fgColor rgb="00FEE2E2"/>
        </patternFill>
      </fill>
    </dxf>
    <dxf>
      <font>
        <color rgb="00475569"/>
      </font>
      <fill>
        <patternFill patternType="solid">
          <fgColor rgb="00F8FA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overageIndex" displayName="CoverageIndex" ref="A7:N10" headerRowCount="1">
  <autoFilter ref="A7:N10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  <tableStyleInfo name="TableStyleMedium2" showRowStripes="1"/>
</table>
</file>

<file path=xl/tables/table2.xml><?xml version="1.0" encoding="utf-8"?>
<table xmlns="http://schemas.openxmlformats.org/spreadsheetml/2006/main" id="2" name="InstructionsTable" displayName="InstructionsTable" ref="A4:B18" headerRowCount="1">
  <autoFilter ref="A4:B18"/>
  <tableColumns count="2">
    <tableColumn id="1" name="Topic"/>
    <tableColumn id="2" name="Rule"/>
  </tableColumns>
  <tableStyleInfo name="TableStyleMedium2" showRowStripes="1"/>
</table>
</file>

<file path=xl/tables/table3.xml><?xml version="1.0" encoding="utf-8"?>
<table xmlns="http://schemas.openxmlformats.org/spreadsheetml/2006/main" id="3" name="ButtonEvidence" displayName="ButtonEvidence" ref="A8:M33" headerRowCount="1">
  <autoFilter ref="A8:M33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RowStripes="1"/>
</table>
</file>

<file path=xl/tables/table4.xml><?xml version="1.0" encoding="utf-8"?>
<table xmlns="http://schemas.openxmlformats.org/spreadsheetml/2006/main" id="4" name="CardEvidence" displayName="CardEvidence" ref="A8:M33" headerRowCount="1">
  <autoFilter ref="A8:M33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RowStripes="1"/>
</table>
</file>

<file path=xl/tables/table5.xml><?xml version="1.0" encoding="utf-8"?>
<table xmlns="http://schemas.openxmlformats.org/spreadsheetml/2006/main" id="5" name="DialogEvidence" displayName="DialogEvidence" ref="A8:M33" headerRowCount="1">
  <autoFilter ref="A8:M33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Button'!A1" TargetMode="External" Id="rId1"/><Relationship Type="http://schemas.openxmlformats.org/officeDocument/2006/relationships/hyperlink" Target="#'Card'!A1" TargetMode="External" Id="rId2"/><Relationship Type="http://schemas.openxmlformats.org/officeDocument/2006/relationships/hyperlink" Target="#'Dialog'!A1" TargetMode="External" Id="rId3"/><Relationship Type="http://schemas.openxmlformats.org/officeDocument/2006/relationships/table" Target="/xl/tables/table1.xml" Id="rId4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0" customWidth="1" min="4" max="4"/>
    <col width="14" customWidth="1" min="5" max="5"/>
    <col width="10" customWidth="1" min="6" max="6"/>
    <col width="10" customWidth="1" min="7" max="7"/>
    <col width="10" customWidth="1" min="8" max="8"/>
    <col width="16" customWidth="1" min="9" max="9"/>
    <col width="13" customWidth="1" min="10" max="10"/>
    <col width="15" customWidth="1" min="11" max="11"/>
    <col width="15" customWidth="1" min="12" max="12"/>
    <col width="16" customWidth="1" min="13" max="13"/>
    <col width="14" customWidth="1" min="14" max="14"/>
  </cols>
  <sheetData>
    <row r="1" ht="34" customHeight="1">
      <c r="A1" s="1" t="inlineStr">
        <is>
          <t>Brick Component Coverage Index</t>
        </is>
      </c>
    </row>
    <row r="2" ht="34" customHeight="1">
      <c r="A2" s="2" t="inlineStr">
        <is>
          <t>Formula-driven foundation tracker. Package completion, live-consumer cutover, and legacy retirement remain separate gates.</t>
        </is>
      </c>
    </row>
    <row r="4">
      <c r="A4" s="3" t="inlineStr">
        <is>
          <t>Reference components</t>
        </is>
      </c>
      <c r="B4" s="4">
        <f>COUNTA(A8:A10)</f>
        <v/>
      </c>
      <c r="C4" s="3" t="inlineStr">
        <is>
          <t>Complete</t>
        </is>
      </c>
      <c r="D4" s="4">
        <f>COUNTIF(M8:M10,"complete")</f>
        <v/>
      </c>
      <c r="E4" s="3" t="inlineStr">
        <is>
          <t>Blocked</t>
        </is>
      </c>
      <c r="F4" s="4">
        <f>SUM(H8:H10)</f>
        <v/>
      </c>
      <c r="G4" s="3" t="inlineStr">
        <is>
          <t>Overall</t>
        </is>
      </c>
      <c r="H4" s="5">
        <f>IFERROR(SUMPRODUCT(B8:B10,J8:J10)/SUM(B8:B10),0)</f>
        <v/>
      </c>
    </row>
    <row r="7" ht="34" customHeight="1">
      <c r="A7" s="6" t="inlineStr">
        <is>
          <t>Component</t>
        </is>
      </c>
      <c r="B7" s="6" t="inlineStr">
        <is>
          <t>Requirements</t>
        </is>
      </c>
      <c r="C7" s="6" t="inlineStr">
        <is>
          <t>Not started</t>
        </is>
      </c>
      <c r="D7" s="6" t="inlineStr">
        <is>
          <t>Partial</t>
        </is>
      </c>
      <c r="E7" s="6" t="inlineStr">
        <is>
          <t>Implemented</t>
        </is>
      </c>
      <c r="F7" s="6" t="inlineStr">
        <is>
          <t>Tested</t>
        </is>
      </c>
      <c r="G7" s="6" t="inlineStr">
        <is>
          <t>Verified</t>
        </is>
      </c>
      <c r="H7" s="6" t="inlineStr">
        <is>
          <t>Blocked</t>
        </is>
      </c>
      <c r="I7" s="6" t="inlineStr">
        <is>
          <t>Not applicable</t>
        </is>
      </c>
      <c r="J7" s="6" t="inlineStr">
        <is>
          <t>Completion</t>
        </is>
      </c>
      <c r="K7" s="6" t="inlineStr">
        <is>
          <t>Package gate</t>
        </is>
      </c>
      <c r="L7" s="6" t="inlineStr">
        <is>
          <t>Consumer gate</t>
        </is>
      </c>
      <c r="M7" s="6" t="inlineStr">
        <is>
          <t>Retirement gate</t>
        </is>
      </c>
      <c r="N7" s="6" t="inlineStr">
        <is>
          <t>Status</t>
        </is>
      </c>
    </row>
    <row r="8" ht="28" customHeight="1">
      <c r="A8" s="7" t="inlineStr">
        <is>
          <t>Button</t>
        </is>
      </c>
      <c r="B8" s="8">
        <f>COUNTA('Button'!A9:A33)</f>
        <v/>
      </c>
      <c r="C8" s="8">
        <f>COUNTIF('Button'!H9:H33,"not started")</f>
        <v/>
      </c>
      <c r="D8" s="8">
        <f>COUNTIF('Button'!H9:H33,"partial")</f>
        <v/>
      </c>
      <c r="E8" s="8">
        <f>COUNTIF('Button'!H9:H33,"implemented")</f>
        <v/>
      </c>
      <c r="F8" s="8">
        <f>COUNTIF('Button'!H9:H33,"tested")</f>
        <v/>
      </c>
      <c r="G8" s="8">
        <f>COUNTIF('Button'!H9:H33,"verified")</f>
        <v/>
      </c>
      <c r="H8" s="8">
        <f>COUNTIF('Button'!H9:H33,"blocked")</f>
        <v/>
      </c>
      <c r="I8" s="8">
        <f>COUNTIF('Button'!H9:H33,"not applicable")</f>
        <v/>
      </c>
      <c r="J8" s="9">
        <f>IFERROR(SUM('Button'!M9:M33)/SUM('Button'!L9:L33),0)</f>
        <v/>
      </c>
      <c r="K8" s="8">
        <f>IF(COUNTIFS('Button'!E9:E33,"package",'Button'!M9:M33,"&lt;1")=0,"complete","open")</f>
        <v/>
      </c>
      <c r="L8" s="8">
        <f>IF(COUNTIFS('Button'!E9:E33,"consumer",'Button'!M9:M33,"&lt;1")=0,"complete","open")</f>
        <v/>
      </c>
      <c r="M8" s="8">
        <f>IF(COUNTIFS('Button'!E9:E33,"retirement",'Button'!M9:M33,"&lt;1")=0,"complete","open")</f>
        <v/>
      </c>
      <c r="N8" s="8">
        <f>IF(H8&gt;0,"blocked",IF(AND(J8=1,K8="complete",L8="complete",M8="complete"),"complete",IF(J8=0,"not started","in progress")))</f>
        <v/>
      </c>
    </row>
    <row r="9" ht="28" customHeight="1">
      <c r="A9" s="7" t="inlineStr">
        <is>
          <t>Card</t>
        </is>
      </c>
      <c r="B9" s="8">
        <f>COUNTA('Card'!A9:A33)</f>
        <v/>
      </c>
      <c r="C9" s="8">
        <f>COUNTIF('Card'!H9:H33,"not started")</f>
        <v/>
      </c>
      <c r="D9" s="8">
        <f>COUNTIF('Card'!H9:H33,"partial")</f>
        <v/>
      </c>
      <c r="E9" s="8">
        <f>COUNTIF('Card'!H9:H33,"implemented")</f>
        <v/>
      </c>
      <c r="F9" s="8">
        <f>COUNTIF('Card'!H9:H33,"tested")</f>
        <v/>
      </c>
      <c r="G9" s="8">
        <f>COUNTIF('Card'!H9:H33,"verified")</f>
        <v/>
      </c>
      <c r="H9" s="8">
        <f>COUNTIF('Card'!H9:H33,"blocked")</f>
        <v/>
      </c>
      <c r="I9" s="8">
        <f>COUNTIF('Card'!H9:H33,"not applicable")</f>
        <v/>
      </c>
      <c r="J9" s="9">
        <f>IFERROR(SUM('Card'!M9:M33)/SUM('Card'!L9:L33),0)</f>
        <v/>
      </c>
      <c r="K9" s="8">
        <f>IF(COUNTIFS('Card'!E9:E33,"package",'Card'!M9:M33,"&lt;1")=0,"complete","open")</f>
        <v/>
      </c>
      <c r="L9" s="8">
        <f>IF(COUNTIFS('Card'!E9:E33,"consumer",'Card'!M9:M33,"&lt;1")=0,"complete","open")</f>
        <v/>
      </c>
      <c r="M9" s="8">
        <f>IF(COUNTIFS('Card'!E9:E33,"retirement",'Card'!M9:M33,"&lt;1")=0,"complete","open")</f>
        <v/>
      </c>
      <c r="N9" s="8">
        <f>IF(H9&gt;0,"blocked",IF(AND(J9=1,K9="complete",L9="complete",M9="complete"),"complete",IF(J9=0,"not started","in progress")))</f>
        <v/>
      </c>
    </row>
    <row r="10" ht="28" customHeight="1">
      <c r="A10" s="7" t="inlineStr">
        <is>
          <t>Dialog</t>
        </is>
      </c>
      <c r="B10" s="8">
        <f>COUNTA('Dialog'!A9:A33)</f>
        <v/>
      </c>
      <c r="C10" s="8">
        <f>COUNTIF('Dialog'!H9:H33,"not started")</f>
        <v/>
      </c>
      <c r="D10" s="8">
        <f>COUNTIF('Dialog'!H9:H33,"partial")</f>
        <v/>
      </c>
      <c r="E10" s="8">
        <f>COUNTIF('Dialog'!H9:H33,"implemented")</f>
        <v/>
      </c>
      <c r="F10" s="8">
        <f>COUNTIF('Dialog'!H9:H33,"tested")</f>
        <v/>
      </c>
      <c r="G10" s="8">
        <f>COUNTIF('Dialog'!H9:H33,"verified")</f>
        <v/>
      </c>
      <c r="H10" s="8">
        <f>COUNTIF('Dialog'!H9:H33,"blocked")</f>
        <v/>
      </c>
      <c r="I10" s="8">
        <f>COUNTIF('Dialog'!H9:H33,"not applicable")</f>
        <v/>
      </c>
      <c r="J10" s="9">
        <f>IFERROR(SUM('Dialog'!M9:M33)/SUM('Dialog'!L9:L33),0)</f>
        <v/>
      </c>
      <c r="K10" s="8">
        <f>IF(COUNTIFS('Dialog'!E9:E33,"package",'Dialog'!M9:M33,"&lt;1")=0,"complete","open")</f>
        <v/>
      </c>
      <c r="L10" s="8">
        <f>IF(COUNTIFS('Dialog'!E9:E33,"consumer",'Dialog'!M9:M33,"&lt;1")=0,"complete","open")</f>
        <v/>
      </c>
      <c r="M10" s="8">
        <f>IF(COUNTIFS('Dialog'!E9:E33,"retirement",'Dialog'!M9:M33,"&lt;1")=0,"complete","open")</f>
        <v/>
      </c>
      <c r="N10" s="8">
        <f>IF(H10&gt;0,"blocked",IF(AND(J10=1,K10="complete",L10="complete",M10="complete"),"complete",IF(J10=0,"not started","in progress")))</f>
        <v/>
      </c>
    </row>
  </sheetData>
  <mergeCells count="2">
    <mergeCell ref="A2:N2"/>
    <mergeCell ref="A1:N1"/>
  </mergeCells>
  <conditionalFormatting sqref="N8:N10">
    <cfRule type="expression" priority="1" dxfId="0">
      <formula>$N8="not started"</formula>
    </cfRule>
    <cfRule type="expression" priority="2" dxfId="1">
      <formula>$N8="partial"</formula>
    </cfRule>
    <cfRule type="expression" priority="3" dxfId="2">
      <formula>$N8="implemented"</formula>
    </cfRule>
    <cfRule type="expression" priority="4" dxfId="3">
      <formula>$N8="tested"</formula>
    </cfRule>
    <cfRule type="expression" priority="5" dxfId="4">
      <formula>$N8="verified"</formula>
    </cfRule>
    <cfRule type="expression" priority="6" dxfId="5">
      <formula>$N8="blocked"</formula>
    </cfRule>
    <cfRule type="expression" priority="7" dxfId="6">
      <formula>$N8="not applicable"</formula>
    </cfRule>
  </conditionalFormatting>
  <hyperlinks>
    <hyperlink xmlns:r="http://schemas.openxmlformats.org/officeDocument/2006/relationships" ref="A8" r:id="rId1"/>
    <hyperlink xmlns:r="http://schemas.openxmlformats.org/officeDocument/2006/relationships" ref="A9" r:id="rId2"/>
    <hyperlink xmlns:r="http://schemas.openxmlformats.org/officeDocument/2006/relationships" ref="A10" r:id="rId3"/>
  </hyperlink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5" customWidth="1" min="2" max="2"/>
  </cols>
  <sheetData>
    <row r="1" ht="34" customHeight="1">
      <c r="A1" s="1" t="inlineStr">
        <is>
          <t>Brick Component Coverage</t>
        </is>
      </c>
    </row>
    <row r="2" ht="34" customHeight="1">
      <c r="A2" s="2" t="inlineStr">
        <is>
          <t>A review index for implementation, automated evidence, human verification, consumer cutover, and Core retirement.</t>
        </is>
      </c>
    </row>
    <row r="4">
      <c r="A4" s="6" t="inlineStr">
        <is>
          <t>Topic</t>
        </is>
      </c>
      <c r="B4" s="6" t="inlineStr">
        <is>
          <t>Rule</t>
        </is>
      </c>
    </row>
    <row r="5" ht="30" customHeight="1">
      <c r="A5" s="10" t="inlineStr">
        <is>
          <t>Purpose</t>
        </is>
      </c>
      <c r="B5" s="11" t="inlineStr">
        <is>
          <t>The workbook makes missing component evidence visible. Source, tests, protocols, docs, and the Core ledger remain authoritative.</t>
        </is>
      </c>
    </row>
    <row r="6" ht="30" customHeight="1">
      <c r="A6" s="12" t="inlineStr">
        <is>
          <t>Status</t>
        </is>
      </c>
      <c r="B6" s="13" t="inlineStr">
        <is>
          <t>not started — required evidence does not exist yet</t>
        </is>
      </c>
    </row>
    <row r="7" ht="30" customHeight="1">
      <c r="A7" s="10" t="inlineStr">
        <is>
          <t>Status</t>
        </is>
      </c>
      <c r="B7" s="11" t="inlineStr">
        <is>
          <t>partial — some evidence exists but the requirement is incomplete</t>
        </is>
      </c>
    </row>
    <row r="8" ht="30" customHeight="1">
      <c r="A8" s="12" t="inlineStr">
        <is>
          <t>Status</t>
        </is>
      </c>
      <c r="B8" s="13" t="inlineStr">
        <is>
          <t>implemented — the required implementation or evidence exists</t>
        </is>
      </c>
    </row>
    <row r="9" ht="30" customHeight="1">
      <c r="A9" s="10" t="inlineStr">
        <is>
          <t>Status</t>
        </is>
      </c>
      <c r="B9" s="11" t="inlineStr">
        <is>
          <t>tested — the automated or repeatable check passes</t>
        </is>
      </c>
    </row>
    <row r="10" ht="30" customHeight="1">
      <c r="A10" s="12" t="inlineStr">
        <is>
          <t>Status</t>
        </is>
      </c>
      <c r="B10" s="13" t="inlineStr">
        <is>
          <t>verified — required human review also passed</t>
        </is>
      </c>
    </row>
    <row r="11" ht="30" customHeight="1">
      <c r="A11" s="10" t="inlineStr">
        <is>
          <t>Status</t>
        </is>
      </c>
      <c r="B11" s="11" t="inlineStr">
        <is>
          <t>blocked — progress requires a documented decision, dependency, or fix</t>
        </is>
      </c>
    </row>
    <row r="12" ht="30" customHeight="1">
      <c r="A12" s="12" t="inlineStr">
        <is>
          <t>Status</t>
        </is>
      </c>
      <c r="B12" s="13" t="inlineStr">
        <is>
          <t>not applicable — the approved brief excludes the requirement; record the reason</t>
        </is>
      </c>
    </row>
    <row r="13" ht="30" customHeight="1">
      <c r="A13" s="10" t="inlineStr">
        <is>
          <t>Completion</t>
        </is>
      </c>
      <c r="B13" s="11" t="inlineStr">
        <is>
          <t>Human-review rows resolve only at verified. Other rows resolve at tested or verified. A documented not-applicable row also resolves.</t>
        </is>
      </c>
    </row>
    <row r="14" ht="30" customHeight="1">
      <c r="A14" s="12" t="inlineStr">
        <is>
          <t>Package gate</t>
        </is>
      </c>
      <c r="B14" s="13" t="inlineStr">
        <is>
          <t>Implementation, playground, automated tests, manual evidence, and documentation are complete.</t>
        </is>
      </c>
    </row>
    <row r="15" ht="30" customHeight="1">
      <c r="A15" s="10" t="inlineStr">
        <is>
          <t>Consumer gate</t>
        </is>
      </c>
      <c r="B15" s="11" t="inlineStr">
        <is>
          <t>A live consumer uses the finished Brick component and the cutover is verified.</t>
        </is>
      </c>
    </row>
    <row r="16" ht="30" customHeight="1">
      <c r="A16" s="12" t="inlineStr">
        <is>
          <t>Retirement gate</t>
        </is>
      </c>
      <c r="B16" s="13" t="inlineStr">
        <is>
          <t>The authorized legacy Core slice and stale evidence are removed.</t>
        </is>
      </c>
    </row>
    <row r="17" ht="30" customHeight="1">
      <c r="A17" s="10" t="inlineStr">
        <is>
          <t>Anatomy</t>
        </is>
      </c>
      <c r="B17" s="11" t="inlineStr">
        <is>
          <t>Replace generic Component parts and add part-specific rows after the component brief is adopted.</t>
        </is>
      </c>
    </row>
    <row r="18" ht="30" customHeight="1">
      <c r="A18" s="12" t="inlineStr">
        <is>
          <t>Editing</t>
        </is>
      </c>
      <c r="B18" s="13" t="inlineStr">
        <is>
          <t>Use list values, keep evidence links short, record blocker and not-applicable reasons, recalculate, and visually inspect every changed sheet.</t>
        </is>
      </c>
    </row>
  </sheetData>
  <autoFilter ref="A4:B18"/>
  <mergeCells count="2">
    <mergeCell ref="A1:D1"/>
    <mergeCell ref="A2:D2"/>
  </mergeCells>
  <pageMargins left="0.75" right="0.75" top="1" bottom="1" header="0.5" footer="0.5"/>
  <pageSetup fitToHeight="1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54" customWidth="1" min="4" max="4"/>
    <col width="12" customWidth="1" min="5" max="5"/>
    <col width="16" customWidth="1" min="6" max="6"/>
    <col width="30" customWidth="1" min="7" max="7"/>
    <col width="18" customWidth="1" min="8" max="8"/>
    <col width="14" customWidth="1" min="9" max="9"/>
    <col width="15" customWidth="1" min="10" max="10"/>
    <col width="32" customWidth="1" min="11" max="11"/>
    <col width="9" customWidth="1" min="12" max="12"/>
    <col width="10" customWidth="1" min="13" max="13"/>
  </cols>
  <sheetData>
    <row r="1" ht="34" customHeight="1">
      <c r="A1" s="1" t="inlineStr">
        <is>
          <t>Button Evidence Matrix</t>
        </is>
      </c>
    </row>
    <row r="2" ht="34" customHeight="1">
      <c r="A2" s="2" t="inlineStr">
        <is>
          <t>Common requirements from Brick's adopted quality contract. Add approved anatomy and component-specific rows after the component brief lands.</t>
        </is>
      </c>
    </row>
    <row r="4">
      <c r="A4" s="3" t="inlineStr">
        <is>
          <t>Requirements</t>
        </is>
      </c>
      <c r="B4" s="4">
        <f>COUNTA(A9:A33)</f>
        <v/>
      </c>
      <c r="C4" s="3" t="inlineStr">
        <is>
          <t>Resolved</t>
        </is>
      </c>
      <c r="D4" s="4">
        <f>SUM(M9:M33)</f>
        <v/>
      </c>
      <c r="E4" s="3" t="inlineStr">
        <is>
          <t>Completion</t>
        </is>
      </c>
      <c r="F4" s="5">
        <f>IFERROR(D4/SUM(L9:L33),0)</f>
        <v/>
      </c>
      <c r="G4" s="3" t="inlineStr">
        <is>
          <t>Blocked</t>
        </is>
      </c>
      <c r="H4" s="4">
        <f>COUNTIF(H9:H33,"blocked")</f>
        <v/>
      </c>
      <c r="I4" s="3" t="inlineStr">
        <is>
          <t>Package gate</t>
        </is>
      </c>
      <c r="J4" s="4">
        <f>IF(COUNTIFS(E9:E33,"package",M9:M33,"&lt;1")=0,"complete","open")</f>
        <v/>
      </c>
      <c r="K4" s="3" t="inlineStr">
        <is>
          <t>Retirement gate</t>
        </is>
      </c>
      <c r="L4" s="4">
        <f>IF(COUNTIFS(E9:E33,"retirement",M9:M33,"&lt;1")=0,"complete","open")</f>
        <v/>
      </c>
    </row>
    <row r="6">
      <c r="A6" s="14" t="inlineStr">
        <is>
          <t>Completion is formula-driven. Human-review rows require verified; other rows require tested or verified. Not applicable requires a reason.</t>
        </is>
      </c>
    </row>
    <row r="8" ht="34" customHeight="1">
      <c r="A8" s="6" t="inlineStr">
        <is>
          <t>ID</t>
        </is>
      </c>
      <c r="B8" s="6" t="inlineStr">
        <is>
          <t>Area</t>
        </is>
      </c>
      <c r="C8" s="6" t="inlineStr">
        <is>
          <t>Part</t>
        </is>
      </c>
      <c r="D8" s="6" t="inlineStr">
        <is>
          <t>Requirement</t>
        </is>
      </c>
      <c r="E8" s="6" t="inlineStr">
        <is>
          <t>Gate</t>
        </is>
      </c>
      <c r="F8" s="6" t="inlineStr">
        <is>
          <t>Evidence type</t>
        </is>
      </c>
      <c r="G8" s="6" t="inlineStr">
        <is>
          <t>Evidence / link</t>
        </is>
      </c>
      <c r="H8" s="6" t="inlineStr">
        <is>
          <t>Status</t>
        </is>
      </c>
      <c r="I8" s="6" t="inlineStr">
        <is>
          <t>Human review?</t>
        </is>
      </c>
      <c r="J8" s="6" t="inlineStr">
        <is>
          <t>Last verified</t>
        </is>
      </c>
      <c r="K8" s="6" t="inlineStr">
        <is>
          <t>Blocker / N/A reason</t>
        </is>
      </c>
      <c r="L8" s="6" t="inlineStr">
        <is>
          <t>Weight</t>
        </is>
      </c>
      <c r="M8" s="6" t="inlineStr">
        <is>
          <t>Resolved</t>
        </is>
      </c>
    </row>
    <row r="9" ht="43" customHeight="1">
      <c r="A9" s="15" t="inlineStr">
        <is>
          <t>BUT-01</t>
        </is>
      </c>
      <c r="B9" s="15" t="inlineStr">
        <is>
          <t>Public API</t>
        </is>
      </c>
      <c r="C9" s="15" t="inlineStr">
        <is>
          <t>Component</t>
        </is>
      </c>
      <c r="D9" s="15" t="inlineStr">
        <is>
          <t>Implementation uses public Atom behavior without Core or local headless wrappers</t>
        </is>
      </c>
      <c r="E9" s="15" t="inlineStr">
        <is>
          <t>package</t>
        </is>
      </c>
      <c r="F9" s="15" t="inlineStr">
        <is>
          <t>source</t>
        </is>
      </c>
      <c r="G9" s="15" t="inlineStr"/>
      <c r="H9" s="15" t="inlineStr">
        <is>
          <t>not started</t>
        </is>
      </c>
      <c r="I9" s="15" t="inlineStr">
        <is>
          <t>no</t>
        </is>
      </c>
      <c r="J9" s="15" t="inlineStr"/>
      <c r="K9" s="15" t="inlineStr"/>
      <c r="L9" s="16" t="n">
        <v>1</v>
      </c>
      <c r="M9" s="16">
        <f>IF(H9="not applicable",IF(K9&lt;&gt;"",1,0),IF(I9="yes",IF(H9="verified",1,0),IF(OR(H9="tested",H9="verified"),1,0)))</f>
        <v/>
      </c>
    </row>
    <row r="10" ht="43" customHeight="1">
      <c r="A10" s="15" t="inlineStr">
        <is>
          <t>BUT-02</t>
        </is>
      </c>
      <c r="B10" s="15" t="inlineStr">
        <is>
          <t>Public API</t>
        </is>
      </c>
      <c r="C10" s="15" t="inlineStr">
        <is>
          <t>Component</t>
        </is>
      </c>
      <c r="D10" s="15" t="inlineStr">
        <is>
          <t>Public export and declaration surface match the approved brief</t>
        </is>
      </c>
      <c r="E10" s="15" t="inlineStr">
        <is>
          <t>package</t>
        </is>
      </c>
      <c r="F10" s="15" t="inlineStr">
        <is>
          <t>types</t>
        </is>
      </c>
      <c r="G10" s="15" t="inlineStr"/>
      <c r="H10" s="15" t="inlineStr">
        <is>
          <t>not started</t>
        </is>
      </c>
      <c r="I10" s="15" t="inlineStr">
        <is>
          <t>no</t>
        </is>
      </c>
      <c r="J10" s="15" t="inlineStr"/>
      <c r="K10" s="15" t="inlineStr"/>
      <c r="L10" s="16" t="n">
        <v>1</v>
      </c>
      <c r="M10" s="16">
        <f>IF(H10="not applicable",IF(K10&lt;&gt;"",1,0),IF(I10="yes",IF(H10="verified",1,0),IF(OR(H10="tested",H10="verified"),1,0)))</f>
        <v/>
      </c>
    </row>
    <row r="11" ht="43" customHeight="1">
      <c r="A11" s="15" t="inlineStr">
        <is>
          <t>BUT-03</t>
        </is>
      </c>
      <c r="B11" s="15" t="inlineStr">
        <is>
          <t>Public API</t>
        </is>
      </c>
      <c r="C11" s="15" t="inlineStr">
        <is>
          <t>Component</t>
        </is>
      </c>
      <c r="D11" s="15" t="inlineStr">
        <is>
          <t>Native props, refs, composition, and public slots follow the adopted API contract</t>
        </is>
      </c>
      <c r="E11" s="15" t="inlineStr">
        <is>
          <t>package</t>
        </is>
      </c>
      <c r="F11" s="15" t="inlineStr">
        <is>
          <t>types</t>
        </is>
      </c>
      <c r="G11" s="15" t="inlineStr"/>
      <c r="H11" s="15" t="inlineStr">
        <is>
          <t>not started</t>
        </is>
      </c>
      <c r="I11" s="15" t="inlineStr">
        <is>
          <t>no</t>
        </is>
      </c>
      <c r="J11" s="15" t="inlineStr"/>
      <c r="K11" s="15" t="inlineStr"/>
      <c r="L11" s="16" t="n">
        <v>1</v>
      </c>
      <c r="M11" s="16">
        <f>IF(H11="not applicable",IF(K11&lt;&gt;"",1,0),IF(I11="yes",IF(H11="verified",1,0),IF(OR(H11="tested",H11="verified"),1,0)))</f>
        <v/>
      </c>
    </row>
    <row r="12" ht="43" customHeight="1">
      <c r="A12" s="15" t="inlineStr">
        <is>
          <t>BUT-04</t>
        </is>
      </c>
      <c r="B12" s="15" t="inlineStr">
        <is>
          <t>Visual system</t>
        </is>
      </c>
      <c r="C12" s="15" t="inlineStr">
        <is>
          <t>Component</t>
        </is>
      </c>
      <c r="D12" s="15" t="inlineStr">
        <is>
          <t>Compiled CSS uses public brick classes, variables, layers, and semantic tokens</t>
        </is>
      </c>
      <c r="E12" s="15" t="inlineStr">
        <is>
          <t>package</t>
        </is>
      </c>
      <c r="F12" s="15" t="inlineStr">
        <is>
          <t>source</t>
        </is>
      </c>
      <c r="G12" s="15" t="inlineStr"/>
      <c r="H12" s="15" t="inlineStr">
        <is>
          <t>not started</t>
        </is>
      </c>
      <c r="I12" s="15" t="inlineStr">
        <is>
          <t>no</t>
        </is>
      </c>
      <c r="J12" s="15" t="inlineStr"/>
      <c r="K12" s="15" t="inlineStr"/>
      <c r="L12" s="16" t="n">
        <v>1</v>
      </c>
      <c r="M12" s="16">
        <f>IF(H12="not applicable",IF(K12&lt;&gt;"",1,0),IF(I12="yes",IF(H12="verified",1,0),IF(OR(H12="tested",H12="verified"),1,0)))</f>
        <v/>
      </c>
    </row>
    <row r="13" ht="43" customHeight="1">
      <c r="A13" s="15" t="inlineStr">
        <is>
          <t>BUT-05</t>
        </is>
      </c>
      <c r="B13" s="15" t="inlineStr">
        <is>
          <t>Visual system</t>
        </is>
      </c>
      <c r="C13" s="15" t="inlineStr">
        <is>
          <t>Component</t>
        </is>
      </c>
      <c r="D13" s="15" t="inlineStr">
        <is>
          <t>Default recipe and every approved visual option are implemented</t>
        </is>
      </c>
      <c r="E13" s="15" t="inlineStr">
        <is>
          <t>package</t>
        </is>
      </c>
      <c r="F13" s="15" t="inlineStr">
        <is>
          <t>source</t>
        </is>
      </c>
      <c r="G13" s="15" t="inlineStr"/>
      <c r="H13" s="15" t="inlineStr">
        <is>
          <t>not started</t>
        </is>
      </c>
      <c r="I13" s="15" t="inlineStr">
        <is>
          <t>yes</t>
        </is>
      </c>
      <c r="J13" s="15" t="inlineStr"/>
      <c r="K13" s="15" t="inlineStr"/>
      <c r="L13" s="16" t="n">
        <v>1</v>
      </c>
      <c r="M13" s="16">
        <f>IF(H13="not applicable",IF(K13&lt;&gt;"",1,0),IF(I13="yes",IF(H13="verified",1,0),IF(OR(H13="tested",H13="verified"),1,0)))</f>
        <v/>
      </c>
    </row>
    <row r="14" ht="43" customHeight="1">
      <c r="A14" s="15" t="inlineStr">
        <is>
          <t>BUT-06</t>
        </is>
      </c>
      <c r="B14" s="15" t="inlineStr">
        <is>
          <t>Playground</t>
        </is>
      </c>
      <c r="C14" s="15" t="inlineStr">
        <is>
          <t>Component</t>
        </is>
      </c>
      <c r="D14" s="15" t="inlineStr">
        <is>
          <t>Canonical overview and shortest finished state</t>
        </is>
      </c>
      <c r="E14" s="15" t="inlineStr">
        <is>
          <t>package</t>
        </is>
      </c>
      <c r="F14" s="15" t="inlineStr">
        <is>
          <t>playground</t>
        </is>
      </c>
      <c r="G14" s="15" t="inlineStr"/>
      <c r="H14" s="15" t="inlineStr">
        <is>
          <t>not started</t>
        </is>
      </c>
      <c r="I14" s="15" t="inlineStr">
        <is>
          <t>yes</t>
        </is>
      </c>
      <c r="J14" s="15" t="inlineStr"/>
      <c r="K14" s="15" t="inlineStr"/>
      <c r="L14" s="16" t="n">
        <v>1</v>
      </c>
      <c r="M14" s="16">
        <f>IF(H14="not applicable",IF(K14&lt;&gt;"",1,0),IF(I14="yes",IF(H14="verified",1,0),IF(OR(H14="tested",H14="verified"),1,0)))</f>
        <v/>
      </c>
    </row>
    <row r="15" ht="43" customHeight="1">
      <c r="A15" s="15" t="inlineStr">
        <is>
          <t>BUT-07</t>
        </is>
      </c>
      <c r="B15" s="15" t="inlineStr">
        <is>
          <t>Playground</t>
        </is>
      </c>
      <c r="C15" s="15" t="inlineStr">
        <is>
          <t>Component</t>
        </is>
      </c>
      <c r="D15" s="15" t="inlineStr">
        <is>
          <t>Every public recipe, size, and important state</t>
        </is>
      </c>
      <c r="E15" s="15" t="inlineStr">
        <is>
          <t>package</t>
        </is>
      </c>
      <c r="F15" s="15" t="inlineStr">
        <is>
          <t>playground</t>
        </is>
      </c>
      <c r="G15" s="15" t="inlineStr"/>
      <c r="H15" s="15" t="inlineStr">
        <is>
          <t>not started</t>
        </is>
      </c>
      <c r="I15" s="15" t="inlineStr">
        <is>
          <t>yes</t>
        </is>
      </c>
      <c r="J15" s="15" t="inlineStr"/>
      <c r="K15" s="15" t="inlineStr"/>
      <c r="L15" s="16" t="n">
        <v>1</v>
      </c>
      <c r="M15" s="16">
        <f>IF(H15="not applicable",IF(K15&lt;&gt;"",1,0),IF(I15="yes",IF(H15="verified",1,0),IF(OR(H15="tested",H15="verified"),1,0)))</f>
        <v/>
      </c>
    </row>
    <row r="16" ht="43" customHeight="1">
      <c r="A16" s="15" t="inlineStr">
        <is>
          <t>BUT-08</t>
        </is>
      </c>
      <c r="B16" s="15" t="inlineStr">
        <is>
          <t>Playground</t>
        </is>
      </c>
      <c r="C16" s="15" t="inlineStr">
        <is>
          <t>Component</t>
        </is>
      </c>
      <c r="D16" s="15" t="inlineStr">
        <is>
          <t>Mobile-first constrained viewport and intentional wide layout</t>
        </is>
      </c>
      <c r="E16" s="15" t="inlineStr">
        <is>
          <t>package</t>
        </is>
      </c>
      <c r="F16" s="15" t="inlineStr">
        <is>
          <t>playground</t>
        </is>
      </c>
      <c r="G16" s="15" t="inlineStr"/>
      <c r="H16" s="15" t="inlineStr">
        <is>
          <t>not started</t>
        </is>
      </c>
      <c r="I16" s="15" t="inlineStr">
        <is>
          <t>yes</t>
        </is>
      </c>
      <c r="J16" s="15" t="inlineStr"/>
      <c r="K16" s="15" t="inlineStr"/>
      <c r="L16" s="16" t="n">
        <v>1</v>
      </c>
      <c r="M16" s="16">
        <f>IF(H16="not applicable",IF(K16&lt;&gt;"",1,0),IF(I16="yes",IF(H16="verified",1,0),IF(OR(H16="tested",H16="verified"),1,0)))</f>
        <v/>
      </c>
    </row>
    <row r="17" ht="43" customHeight="1">
      <c r="A17" s="15" t="inlineStr">
        <is>
          <t>BUT-09</t>
        </is>
      </c>
      <c r="B17" s="15" t="inlineStr">
        <is>
          <t>Playground</t>
        </is>
      </c>
      <c r="C17" s="15" t="inlineStr">
        <is>
          <t>Component</t>
        </is>
      </c>
      <c r="D17" s="15" t="inlineStr">
        <is>
          <t>Light, dark, and relevant preference modes</t>
        </is>
      </c>
      <c r="E17" s="15" t="inlineStr">
        <is>
          <t>package</t>
        </is>
      </c>
      <c r="F17" s="15" t="inlineStr">
        <is>
          <t>playground</t>
        </is>
      </c>
      <c r="G17" s="15" t="inlineStr"/>
      <c r="H17" s="15" t="inlineStr">
        <is>
          <t>not started</t>
        </is>
      </c>
      <c r="I17" s="15" t="inlineStr">
        <is>
          <t>yes</t>
        </is>
      </c>
      <c r="J17" s="15" t="inlineStr"/>
      <c r="K17" s="15" t="inlineStr"/>
      <c r="L17" s="16" t="n">
        <v>1</v>
      </c>
      <c r="M17" s="16">
        <f>IF(H17="not applicable",IF(K17&lt;&gt;"",1,0),IF(I17="yes",IF(H17="verified",1,0),IF(OR(H17="tested",H17="verified"),1,0)))</f>
        <v/>
      </c>
    </row>
    <row r="18" ht="43" customHeight="1">
      <c r="A18" s="15" t="inlineStr">
        <is>
          <t>BUT-10</t>
        </is>
      </c>
      <c r="B18" s="15" t="inlineStr">
        <is>
          <t>Playground</t>
        </is>
      </c>
      <c r="C18" s="15" t="inlineStr">
        <is>
          <t>Component</t>
        </is>
      </c>
      <c r="D18" s="15" t="inlineStr">
        <is>
          <t>Long content, localization, zoom, and RTL stress</t>
        </is>
      </c>
      <c r="E18" s="15" t="inlineStr">
        <is>
          <t>package</t>
        </is>
      </c>
      <c r="F18" s="15" t="inlineStr">
        <is>
          <t>playground</t>
        </is>
      </c>
      <c r="G18" s="15" t="inlineStr"/>
      <c r="H18" s="15" t="inlineStr">
        <is>
          <t>not started</t>
        </is>
      </c>
      <c r="I18" s="15" t="inlineStr">
        <is>
          <t>yes</t>
        </is>
      </c>
      <c r="J18" s="15" t="inlineStr"/>
      <c r="K18" s="15" t="inlineStr"/>
      <c r="L18" s="16" t="n">
        <v>1</v>
      </c>
      <c r="M18" s="16">
        <f>IF(H18="not applicable",IF(K18&lt;&gt;"",1,0),IF(I18="yes",IF(H18="verified",1,0),IF(OR(H18="tested",H18="verified"),1,0)))</f>
        <v/>
      </c>
    </row>
    <row r="19" ht="43" customHeight="1">
      <c r="A19" s="15" t="inlineStr">
        <is>
          <t>BUT-11</t>
        </is>
      </c>
      <c r="B19" s="15" t="inlineStr">
        <is>
          <t>Playground</t>
        </is>
      </c>
      <c r="C19" s="15" t="inlineStr">
        <is>
          <t>Component</t>
        </is>
      </c>
      <c r="D19" s="15" t="inlineStr">
        <is>
          <t>Token, className, style, slot, and documented part customization</t>
        </is>
      </c>
      <c r="E19" s="15" t="inlineStr">
        <is>
          <t>package</t>
        </is>
      </c>
      <c r="F19" s="15" t="inlineStr">
        <is>
          <t>playground</t>
        </is>
      </c>
      <c r="G19" s="15" t="inlineStr"/>
      <c r="H19" s="15" t="inlineStr">
        <is>
          <t>not started</t>
        </is>
      </c>
      <c r="I19" s="15" t="inlineStr">
        <is>
          <t>yes</t>
        </is>
      </c>
      <c r="J19" s="15" t="inlineStr"/>
      <c r="K19" s="15" t="inlineStr"/>
      <c r="L19" s="16" t="n">
        <v>1</v>
      </c>
      <c r="M19" s="16">
        <f>IF(H19="not applicable",IF(K19&lt;&gt;"",1,0),IF(I19="yes",IF(H19="verified",1,0),IF(OR(H19="tested",H19="verified"),1,0)))</f>
        <v/>
      </c>
    </row>
    <row r="20" ht="43" customHeight="1">
      <c r="A20" s="15" t="inlineStr">
        <is>
          <t>BUT-12</t>
        </is>
      </c>
      <c r="B20" s="15" t="inlineStr">
        <is>
          <t>Playground</t>
        </is>
      </c>
      <c r="C20" s="15" t="inlineStr">
        <is>
          <t>Component</t>
        </is>
      </c>
      <c r="D20" s="15" t="inlineStr">
        <is>
          <t>Stable route and deterministic state inputs for browser tests</t>
        </is>
      </c>
      <c r="E20" s="15" t="inlineStr">
        <is>
          <t>package</t>
        </is>
      </c>
      <c r="F20" s="15" t="inlineStr">
        <is>
          <t>playground</t>
        </is>
      </c>
      <c r="G20" s="15" t="inlineStr"/>
      <c r="H20" s="15" t="inlineStr">
        <is>
          <t>not started</t>
        </is>
      </c>
      <c r="I20" s="15" t="inlineStr">
        <is>
          <t>no</t>
        </is>
      </c>
      <c r="J20" s="15" t="inlineStr"/>
      <c r="K20" s="15" t="inlineStr"/>
      <c r="L20" s="16" t="n">
        <v>1</v>
      </c>
      <c r="M20" s="16">
        <f>IF(H20="not applicable",IF(K20&lt;&gt;"",1,0),IF(I20="yes",IF(H20="verified",1,0),IF(OR(H20="tested",H20="verified"),1,0)))</f>
        <v/>
      </c>
    </row>
    <row r="21" ht="43" customHeight="1">
      <c r="A21" s="15" t="inlineStr">
        <is>
          <t>BUT-13</t>
        </is>
      </c>
      <c r="B21" s="15" t="inlineStr">
        <is>
          <t>Automated tests</t>
        </is>
      </c>
      <c r="C21" s="15" t="inlineStr">
        <is>
          <t>Component</t>
        </is>
      </c>
      <c r="D21" s="15" t="inlineStr">
        <is>
          <t>Vitest and Testing Library component contract tests</t>
        </is>
      </c>
      <c r="E21" s="15" t="inlineStr">
        <is>
          <t>package</t>
        </is>
      </c>
      <c r="F21" s="15" t="inlineStr">
        <is>
          <t>test</t>
        </is>
      </c>
      <c r="G21" s="15" t="inlineStr"/>
      <c r="H21" s="15" t="inlineStr">
        <is>
          <t>not started</t>
        </is>
      </c>
      <c r="I21" s="15" t="inlineStr">
        <is>
          <t>no</t>
        </is>
      </c>
      <c r="J21" s="15" t="inlineStr"/>
      <c r="K21" s="15" t="inlineStr"/>
      <c r="L21" s="16" t="n">
        <v>1</v>
      </c>
      <c r="M21" s="16">
        <f>IF(H21="not applicable",IF(K21&lt;&gt;"",1,0),IF(I21="yes",IF(H21="verified",1,0),IF(OR(H21="tested",H21="verified"),1,0)))</f>
        <v/>
      </c>
    </row>
    <row r="22" ht="43" customHeight="1">
      <c r="A22" s="15" t="inlineStr">
        <is>
          <t>BUT-14</t>
        </is>
      </c>
      <c r="B22" s="15" t="inlineStr">
        <is>
          <t>Automated tests</t>
        </is>
      </c>
      <c r="C22" s="15" t="inlineStr">
        <is>
          <t>Component</t>
        </is>
      </c>
      <c r="D22" s="15" t="inlineStr">
        <is>
          <t>Public type and declaration fixtures</t>
        </is>
      </c>
      <c r="E22" s="15" t="inlineStr">
        <is>
          <t>package</t>
        </is>
      </c>
      <c r="F22" s="15" t="inlineStr">
        <is>
          <t>test</t>
        </is>
      </c>
      <c r="G22" s="15" t="inlineStr"/>
      <c r="H22" s="15" t="inlineStr">
        <is>
          <t>not started</t>
        </is>
      </c>
      <c r="I22" s="15" t="inlineStr">
        <is>
          <t>no</t>
        </is>
      </c>
      <c r="J22" s="15" t="inlineStr"/>
      <c r="K22" s="15" t="inlineStr"/>
      <c r="L22" s="16" t="n">
        <v>1</v>
      </c>
      <c r="M22" s="16">
        <f>IF(H22="not applicable",IF(K22&lt;&gt;"",1,0),IF(I22="yes",IF(H22="verified",1,0),IF(OR(H22="tested",H22="verified"),1,0)))</f>
        <v/>
      </c>
    </row>
    <row r="23" ht="43" customHeight="1">
      <c r="A23" s="15" t="inlineStr">
        <is>
          <t>BUT-15</t>
        </is>
      </c>
      <c r="B23" s="15" t="inlineStr">
        <is>
          <t>Automated tests</t>
        </is>
      </c>
      <c r="C23" s="15" t="inlineStr">
        <is>
          <t>Component</t>
        </is>
      </c>
      <c r="D23" s="15" t="inlineStr">
        <is>
          <t>Playwright keyboard, pointer, focus, and state interactions</t>
        </is>
      </c>
      <c r="E23" s="15" t="inlineStr">
        <is>
          <t>package</t>
        </is>
      </c>
      <c r="F23" s="15" t="inlineStr">
        <is>
          <t>test</t>
        </is>
      </c>
      <c r="G23" s="15" t="inlineStr"/>
      <c r="H23" s="15" t="inlineStr">
        <is>
          <t>not started</t>
        </is>
      </c>
      <c r="I23" s="15" t="inlineStr">
        <is>
          <t>no</t>
        </is>
      </c>
      <c r="J23" s="15" t="inlineStr"/>
      <c r="K23" s="15" t="inlineStr"/>
      <c r="L23" s="16" t="n">
        <v>1</v>
      </c>
      <c r="M23" s="16">
        <f>IF(H23="not applicable",IF(K23&lt;&gt;"",1,0),IF(I23="yes",IF(H23="verified",1,0),IF(OR(H23="tested",H23="verified"),1,0)))</f>
        <v/>
      </c>
    </row>
    <row r="24" ht="43" customHeight="1">
      <c r="A24" s="15" t="inlineStr">
        <is>
          <t>BUT-16</t>
        </is>
      </c>
      <c r="B24" s="15" t="inlineStr">
        <is>
          <t>Automated tests</t>
        </is>
      </c>
      <c r="C24" s="15" t="inlineStr">
        <is>
          <t>Component</t>
        </is>
      </c>
      <c r="D24" s="15" t="inlineStr">
        <is>
          <t>Axe checks for canonical browser states</t>
        </is>
      </c>
      <c r="E24" s="15" t="inlineStr">
        <is>
          <t>package</t>
        </is>
      </c>
      <c r="F24" s="15" t="inlineStr">
        <is>
          <t>test</t>
        </is>
      </c>
      <c r="G24" s="15" t="inlineStr"/>
      <c r="H24" s="15" t="inlineStr">
        <is>
          <t>not started</t>
        </is>
      </c>
      <c r="I24" s="15" t="inlineStr">
        <is>
          <t>no</t>
        </is>
      </c>
      <c r="J24" s="15" t="inlineStr"/>
      <c r="K24" s="15" t="inlineStr"/>
      <c r="L24" s="16" t="n">
        <v>1</v>
      </c>
      <c r="M24" s="16">
        <f>IF(H24="not applicable",IF(K24&lt;&gt;"",1,0),IF(I24="yes",IF(H24="verified",1,0),IF(OR(H24="tested",H24="verified"),1,0)))</f>
        <v/>
      </c>
    </row>
    <row r="25" ht="43" customHeight="1">
      <c r="A25" s="15" t="inlineStr">
        <is>
          <t>BUT-17</t>
        </is>
      </c>
      <c r="B25" s="15" t="inlineStr">
        <is>
          <t>Automated tests</t>
        </is>
      </c>
      <c r="C25" s="15" t="inlineStr">
        <is>
          <t>Component</t>
        </is>
      </c>
      <c r="D25" s="15" t="inlineStr">
        <is>
          <t>Risk-based Chromium visual baselines reviewed</t>
        </is>
      </c>
      <c r="E25" s="15" t="inlineStr">
        <is>
          <t>package</t>
        </is>
      </c>
      <c r="F25" s="15" t="inlineStr">
        <is>
          <t>test</t>
        </is>
      </c>
      <c r="G25" s="15" t="inlineStr"/>
      <c r="H25" s="15" t="inlineStr">
        <is>
          <t>not started</t>
        </is>
      </c>
      <c r="I25" s="15" t="inlineStr">
        <is>
          <t>yes</t>
        </is>
      </c>
      <c r="J25" s="15" t="inlineStr"/>
      <c r="K25" s="15" t="inlineStr"/>
      <c r="L25" s="16" t="n">
        <v>1</v>
      </c>
      <c r="M25" s="16">
        <f>IF(H25="not applicable",IF(K25&lt;&gt;"",1,0),IF(I25="yes",IF(H25="verified",1,0),IF(OR(H25="tested",H25="verified"),1,0)))</f>
        <v/>
      </c>
    </row>
    <row r="26" ht="43" customHeight="1">
      <c r="A26" s="15" t="inlineStr">
        <is>
          <t>BUT-18</t>
        </is>
      </c>
      <c r="B26" s="15" t="inlineStr">
        <is>
          <t>Automated tests</t>
        </is>
      </c>
      <c r="C26" s="15" t="inlineStr">
        <is>
          <t>Component</t>
        </is>
      </c>
      <c r="D26" s="15" t="inlineStr">
        <is>
          <t>Relevant Chromium, Firefox, WebKit, and mobile-profile checks</t>
        </is>
      </c>
      <c r="E26" s="15" t="inlineStr">
        <is>
          <t>package</t>
        </is>
      </c>
      <c r="F26" s="15" t="inlineStr">
        <is>
          <t>test</t>
        </is>
      </c>
      <c r="G26" s="15" t="inlineStr"/>
      <c r="H26" s="15" t="inlineStr">
        <is>
          <t>not started</t>
        </is>
      </c>
      <c r="I26" s="15" t="inlineStr">
        <is>
          <t>no</t>
        </is>
      </c>
      <c r="J26" s="15" t="inlineStr"/>
      <c r="K26" s="15" t="inlineStr"/>
      <c r="L26" s="16" t="n">
        <v>1</v>
      </c>
      <c r="M26" s="16">
        <f>IF(H26="not applicable",IF(K26&lt;&gt;"",1,0),IF(I26="yes",IF(H26="verified",1,0),IF(OR(H26="tested",H26="verified"),1,0)))</f>
        <v/>
      </c>
    </row>
    <row r="27" ht="43" customHeight="1">
      <c r="A27" s="15" t="inlineStr">
        <is>
          <t>BUT-19</t>
        </is>
      </c>
      <c r="B27" s="15" t="inlineStr">
        <is>
          <t>Automated tests</t>
        </is>
      </c>
      <c r="C27" s="15" t="inlineStr">
        <is>
          <t>Component</t>
        </is>
      </c>
      <c r="D27" s="15" t="inlineStr">
        <is>
          <t>SSR or server-safe consumer behavior where applicable</t>
        </is>
      </c>
      <c r="E27" s="15" t="inlineStr">
        <is>
          <t>package</t>
        </is>
      </c>
      <c r="F27" s="15" t="inlineStr">
        <is>
          <t>test</t>
        </is>
      </c>
      <c r="G27" s="15" t="inlineStr"/>
      <c r="H27" s="15" t="inlineStr">
        <is>
          <t>not started</t>
        </is>
      </c>
      <c r="I27" s="15" t="inlineStr">
        <is>
          <t>no</t>
        </is>
      </c>
      <c r="J27" s="15" t="inlineStr"/>
      <c r="K27" s="15" t="inlineStr"/>
      <c r="L27" s="16" t="n">
        <v>1</v>
      </c>
      <c r="M27" s="16">
        <f>IF(H27="not applicable",IF(K27&lt;&gt;"",1,0),IF(I27="yes",IF(H27="verified",1,0),IF(OR(H27="tested",H27="verified"),1,0)))</f>
        <v/>
      </c>
    </row>
    <row r="28" ht="43" customHeight="1">
      <c r="A28" s="15" t="inlineStr">
        <is>
          <t>BUT-20</t>
        </is>
      </c>
      <c r="B28" s="15" t="inlineStr">
        <is>
          <t>Manual evidence</t>
        </is>
      </c>
      <c r="C28" s="15" t="inlineStr">
        <is>
          <t>Component</t>
        </is>
      </c>
      <c r="D28" s="15" t="inlineStr">
        <is>
          <t>Numbered component manual-test protocol is complete</t>
        </is>
      </c>
      <c r="E28" s="15" t="inlineStr">
        <is>
          <t>package</t>
        </is>
      </c>
      <c r="F28" s="15" t="inlineStr">
        <is>
          <t>manual</t>
        </is>
      </c>
      <c r="G28" s="15" t="inlineStr"/>
      <c r="H28" s="15" t="inlineStr">
        <is>
          <t>not started</t>
        </is>
      </c>
      <c r="I28" s="15" t="inlineStr">
        <is>
          <t>no</t>
        </is>
      </c>
      <c r="J28" s="15" t="inlineStr"/>
      <c r="K28" s="15" t="inlineStr"/>
      <c r="L28" s="16" t="n">
        <v>1</v>
      </c>
      <c r="M28" s="16">
        <f>IF(H28="not applicable",IF(K28&lt;&gt;"",1,0),IF(I28="yes",IF(H28="verified",1,0),IF(OR(H28="tested",H28="verified"),1,0)))</f>
        <v/>
      </c>
    </row>
    <row r="29" ht="43" customHeight="1">
      <c r="A29" s="15" t="inlineStr">
        <is>
          <t>BUT-21</t>
        </is>
      </c>
      <c r="B29" s="15" t="inlineStr">
        <is>
          <t>Manual evidence</t>
        </is>
      </c>
      <c r="C29" s="15" t="inlineStr">
        <is>
          <t>Component</t>
        </is>
      </c>
      <c r="D29" s="15" t="inlineStr">
        <is>
          <t>Latest required manual run is recorded and passes</t>
        </is>
      </c>
      <c r="E29" s="15" t="inlineStr">
        <is>
          <t>package</t>
        </is>
      </c>
      <c r="F29" s="15" t="inlineStr">
        <is>
          <t>manual</t>
        </is>
      </c>
      <c r="G29" s="15" t="inlineStr"/>
      <c r="H29" s="15" t="inlineStr">
        <is>
          <t>not started</t>
        </is>
      </c>
      <c r="I29" s="15" t="inlineStr">
        <is>
          <t>yes</t>
        </is>
      </c>
      <c r="J29" s="15" t="inlineStr"/>
      <c r="K29" s="15" t="inlineStr"/>
      <c r="L29" s="16" t="n">
        <v>1</v>
      </c>
      <c r="M29" s="16">
        <f>IF(H29="not applicable",IF(K29&lt;&gt;"",1,0),IF(I29="yes",IF(H29="verified",1,0),IF(OR(H29="tested",H29="verified"),1,0)))</f>
        <v/>
      </c>
    </row>
    <row r="30" ht="43" customHeight="1">
      <c r="A30" s="15" t="inlineStr">
        <is>
          <t>BUT-22</t>
        </is>
      </c>
      <c r="B30" s="15" t="inlineStr">
        <is>
          <t>Documentation</t>
        </is>
      </c>
      <c r="C30" s="15" t="inlineStr">
        <is>
          <t>Component</t>
        </is>
      </c>
      <c r="D30" s="15" t="inlineStr">
        <is>
          <t>Public component documentation follows the standard template</t>
        </is>
      </c>
      <c r="E30" s="15" t="inlineStr">
        <is>
          <t>package</t>
        </is>
      </c>
      <c r="F30" s="15" t="inlineStr">
        <is>
          <t>docs</t>
        </is>
      </c>
      <c r="G30" s="15" t="inlineStr"/>
      <c r="H30" s="15" t="inlineStr">
        <is>
          <t>not started</t>
        </is>
      </c>
      <c r="I30" s="15" t="inlineStr">
        <is>
          <t>yes</t>
        </is>
      </c>
      <c r="J30" s="15" t="inlineStr"/>
      <c r="K30" s="15" t="inlineStr"/>
      <c r="L30" s="16" t="n">
        <v>1</v>
      </c>
      <c r="M30" s="16">
        <f>IF(H30="not applicable",IF(K30&lt;&gt;"",1,0),IF(I30="yes",IF(H30="verified",1,0),IF(OR(H30="tested",H30="verified"),1,0)))</f>
        <v/>
      </c>
    </row>
    <row r="31" ht="43" customHeight="1">
      <c r="A31" s="15" t="inlineStr">
        <is>
          <t>BUT-23</t>
        </is>
      </c>
      <c r="B31" s="15" t="inlineStr">
        <is>
          <t>Documentation</t>
        </is>
      </c>
      <c r="C31" s="15" t="inlineStr">
        <is>
          <t>Component</t>
        </is>
      </c>
      <c r="D31" s="15" t="inlineStr">
        <is>
          <t>Component changelog and applicable package release notes are updated</t>
        </is>
      </c>
      <c r="E31" s="15" t="inlineStr">
        <is>
          <t>package</t>
        </is>
      </c>
      <c r="F31" s="15" t="inlineStr">
        <is>
          <t>docs</t>
        </is>
      </c>
      <c r="G31" s="15" t="inlineStr"/>
      <c r="H31" s="15" t="inlineStr">
        <is>
          <t>not started</t>
        </is>
      </c>
      <c r="I31" s="15" t="inlineStr">
        <is>
          <t>no</t>
        </is>
      </c>
      <c r="J31" s="15" t="inlineStr"/>
      <c r="K31" s="15" t="inlineStr"/>
      <c r="L31" s="16" t="n">
        <v>1</v>
      </c>
      <c r="M31" s="16">
        <f>IF(H31="not applicable",IF(K31&lt;&gt;"",1,0),IF(I31="yes",IF(H31="verified",1,0),IF(OR(H31="tested",H31="verified"),1,0)))</f>
        <v/>
      </c>
    </row>
    <row r="32" ht="43" customHeight="1">
      <c r="A32" s="15" t="inlineStr">
        <is>
          <t>BUT-24</t>
        </is>
      </c>
      <c r="B32" s="15" t="inlineStr">
        <is>
          <t>Consumer</t>
        </is>
      </c>
      <c r="C32" s="15" t="inlineStr">
        <is>
          <t>Component</t>
        </is>
      </c>
      <c r="D32" s="15" t="inlineStr">
        <is>
          <t>Live consumer cutover is verified without adding new legacy Core coupling</t>
        </is>
      </c>
      <c r="E32" s="15" t="inlineStr">
        <is>
          <t>consumer</t>
        </is>
      </c>
      <c r="F32" s="15" t="inlineStr">
        <is>
          <t>consumer</t>
        </is>
      </c>
      <c r="G32" s="15" t="inlineStr"/>
      <c r="H32" s="15" t="inlineStr">
        <is>
          <t>not started</t>
        </is>
      </c>
      <c r="I32" s="15" t="inlineStr">
        <is>
          <t>yes</t>
        </is>
      </c>
      <c r="J32" s="15" t="inlineStr"/>
      <c r="K32" s="15" t="inlineStr"/>
      <c r="L32" s="16" t="n">
        <v>1</v>
      </c>
      <c r="M32" s="16">
        <f>IF(H32="not applicable",IF(K32&lt;&gt;"",1,0),IF(I32="yes",IF(H32="verified",1,0),IF(OR(H32="tested",H32="verified"),1,0)))</f>
        <v/>
      </c>
    </row>
    <row r="33" ht="43" customHeight="1">
      <c r="A33" s="15" t="inlineStr">
        <is>
          <t>BUT-25</t>
        </is>
      </c>
      <c r="B33" s="15" t="inlineStr">
        <is>
          <t>Retirement</t>
        </is>
      </c>
      <c r="C33" s="15" t="inlineStr">
        <is>
          <t>Component</t>
        </is>
      </c>
      <c r="D33" s="15" t="inlineStr">
        <is>
          <t>Legacy Core slice and authorized stale consumer evidence are removed</t>
        </is>
      </c>
      <c r="E33" s="15" t="inlineStr">
        <is>
          <t>retirement</t>
        </is>
      </c>
      <c r="F33" s="15" t="inlineStr">
        <is>
          <t>removal</t>
        </is>
      </c>
      <c r="G33" s="15" t="inlineStr"/>
      <c r="H33" s="15" t="inlineStr">
        <is>
          <t>not started</t>
        </is>
      </c>
      <c r="I33" s="15" t="inlineStr">
        <is>
          <t>yes</t>
        </is>
      </c>
      <c r="J33" s="15" t="inlineStr"/>
      <c r="K33" s="15" t="inlineStr"/>
      <c r="L33" s="16" t="n">
        <v>1</v>
      </c>
      <c r="M33" s="16">
        <f>IF(H33="not applicable",IF(K33&lt;&gt;"",1,0),IF(I33="yes",IF(H33="verified",1,0),IF(OR(H33="tested",H33="verified"),1,0)))</f>
        <v/>
      </c>
    </row>
  </sheetData>
  <autoFilter ref="A8:M33"/>
  <mergeCells count="3">
    <mergeCell ref="A2:M2"/>
    <mergeCell ref="A6:M6"/>
    <mergeCell ref="A1:M1"/>
  </mergeCells>
  <conditionalFormatting sqref="H9:H33">
    <cfRule type="expression" priority="1" dxfId="0">
      <formula>$H9="not started"</formula>
    </cfRule>
    <cfRule type="expression" priority="2" dxfId="1">
      <formula>$H9="partial"</formula>
    </cfRule>
    <cfRule type="expression" priority="3" dxfId="2">
      <formula>$H9="implemented"</formula>
    </cfRule>
    <cfRule type="expression" priority="4" dxfId="3">
      <formula>$H9="tested"</formula>
    </cfRule>
    <cfRule type="expression" priority="5" dxfId="4">
      <formula>$H9="verified"</formula>
    </cfRule>
    <cfRule type="expression" priority="6" dxfId="5">
      <formula>$H9="blocked"</formula>
    </cfRule>
    <cfRule type="expression" priority="7" dxfId="6">
      <formula>$H9="not applicable"</formula>
    </cfRule>
  </conditionalFormatting>
  <dataValidations count="2">
    <dataValidation sqref="H9:H33" showDropDown="0" showInputMessage="0" showErrorMessage="0" allowBlank="0" type="list">
      <formula1>=_Lists!$A$1:$A$7</formula1>
    </dataValidation>
    <dataValidation sqref="I9:I33" showDropDown="0" showInputMessage="0" showErrorMessage="0" allowBlank="0" type="list">
      <formula1>=_Lists!$B$1:$B$2</formula1>
    </dataValidation>
  </dataValidation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54" customWidth="1" min="4" max="4"/>
    <col width="12" customWidth="1" min="5" max="5"/>
    <col width="16" customWidth="1" min="6" max="6"/>
    <col width="30" customWidth="1" min="7" max="7"/>
    <col width="18" customWidth="1" min="8" max="8"/>
    <col width="14" customWidth="1" min="9" max="9"/>
    <col width="15" customWidth="1" min="10" max="10"/>
    <col width="32" customWidth="1" min="11" max="11"/>
    <col width="9" customWidth="1" min="12" max="12"/>
    <col width="10" customWidth="1" min="13" max="13"/>
  </cols>
  <sheetData>
    <row r="1" ht="34" customHeight="1">
      <c r="A1" s="1" t="inlineStr">
        <is>
          <t>Card Evidence Matrix</t>
        </is>
      </c>
    </row>
    <row r="2" ht="34" customHeight="1">
      <c r="A2" s="2" t="inlineStr">
        <is>
          <t>Common requirements from Brick's adopted quality contract. Add approved anatomy and component-specific rows after the component brief lands.</t>
        </is>
      </c>
    </row>
    <row r="4">
      <c r="A4" s="3" t="inlineStr">
        <is>
          <t>Requirements</t>
        </is>
      </c>
      <c r="B4" s="4">
        <f>COUNTA(A9:A33)</f>
        <v/>
      </c>
      <c r="C4" s="3" t="inlineStr">
        <is>
          <t>Resolved</t>
        </is>
      </c>
      <c r="D4" s="4">
        <f>SUM(M9:M33)</f>
        <v/>
      </c>
      <c r="E4" s="3" t="inlineStr">
        <is>
          <t>Completion</t>
        </is>
      </c>
      <c r="F4" s="5">
        <f>IFERROR(D4/SUM(L9:L33),0)</f>
        <v/>
      </c>
      <c r="G4" s="3" t="inlineStr">
        <is>
          <t>Blocked</t>
        </is>
      </c>
      <c r="H4" s="4">
        <f>COUNTIF(H9:H33,"blocked")</f>
        <v/>
      </c>
      <c r="I4" s="3" t="inlineStr">
        <is>
          <t>Package gate</t>
        </is>
      </c>
      <c r="J4" s="4">
        <f>IF(COUNTIFS(E9:E33,"package",M9:M33,"&lt;1")=0,"complete","open")</f>
        <v/>
      </c>
      <c r="K4" s="3" t="inlineStr">
        <is>
          <t>Retirement gate</t>
        </is>
      </c>
      <c r="L4" s="4">
        <f>IF(COUNTIFS(E9:E33,"retirement",M9:M33,"&lt;1")=0,"complete","open")</f>
        <v/>
      </c>
    </row>
    <row r="6">
      <c r="A6" s="14" t="inlineStr">
        <is>
          <t>Completion is formula-driven. Human-review rows require verified; other rows require tested or verified. Not applicable requires a reason.</t>
        </is>
      </c>
    </row>
    <row r="8" ht="34" customHeight="1">
      <c r="A8" s="6" t="inlineStr">
        <is>
          <t>ID</t>
        </is>
      </c>
      <c r="B8" s="6" t="inlineStr">
        <is>
          <t>Area</t>
        </is>
      </c>
      <c r="C8" s="6" t="inlineStr">
        <is>
          <t>Part</t>
        </is>
      </c>
      <c r="D8" s="6" t="inlineStr">
        <is>
          <t>Requirement</t>
        </is>
      </c>
      <c r="E8" s="6" t="inlineStr">
        <is>
          <t>Gate</t>
        </is>
      </c>
      <c r="F8" s="6" t="inlineStr">
        <is>
          <t>Evidence type</t>
        </is>
      </c>
      <c r="G8" s="6" t="inlineStr">
        <is>
          <t>Evidence / link</t>
        </is>
      </c>
      <c r="H8" s="6" t="inlineStr">
        <is>
          <t>Status</t>
        </is>
      </c>
      <c r="I8" s="6" t="inlineStr">
        <is>
          <t>Human review?</t>
        </is>
      </c>
      <c r="J8" s="6" t="inlineStr">
        <is>
          <t>Last verified</t>
        </is>
      </c>
      <c r="K8" s="6" t="inlineStr">
        <is>
          <t>Blocker / N/A reason</t>
        </is>
      </c>
      <c r="L8" s="6" t="inlineStr">
        <is>
          <t>Weight</t>
        </is>
      </c>
      <c r="M8" s="6" t="inlineStr">
        <is>
          <t>Resolved</t>
        </is>
      </c>
    </row>
    <row r="9" ht="43" customHeight="1">
      <c r="A9" s="15" t="inlineStr">
        <is>
          <t>CAR-01</t>
        </is>
      </c>
      <c r="B9" s="15" t="inlineStr">
        <is>
          <t>Public API</t>
        </is>
      </c>
      <c r="C9" s="15" t="inlineStr">
        <is>
          <t>Component</t>
        </is>
      </c>
      <c r="D9" s="15" t="inlineStr">
        <is>
          <t>Implementation uses public Atom behavior without Core or local headless wrappers</t>
        </is>
      </c>
      <c r="E9" s="15" t="inlineStr">
        <is>
          <t>package</t>
        </is>
      </c>
      <c r="F9" s="15" t="inlineStr">
        <is>
          <t>source</t>
        </is>
      </c>
      <c r="G9" s="15" t="inlineStr"/>
      <c r="H9" s="15" t="inlineStr">
        <is>
          <t>not started</t>
        </is>
      </c>
      <c r="I9" s="15" t="inlineStr">
        <is>
          <t>no</t>
        </is>
      </c>
      <c r="J9" s="15" t="inlineStr"/>
      <c r="K9" s="15" t="inlineStr"/>
      <c r="L9" s="16" t="n">
        <v>1</v>
      </c>
      <c r="M9" s="16">
        <f>IF(H9="not applicable",IF(K9&lt;&gt;"",1,0),IF(I9="yes",IF(H9="verified",1,0),IF(OR(H9="tested",H9="verified"),1,0)))</f>
        <v/>
      </c>
    </row>
    <row r="10" ht="43" customHeight="1">
      <c r="A10" s="15" t="inlineStr">
        <is>
          <t>CAR-02</t>
        </is>
      </c>
      <c r="B10" s="15" t="inlineStr">
        <is>
          <t>Public API</t>
        </is>
      </c>
      <c r="C10" s="15" t="inlineStr">
        <is>
          <t>Component</t>
        </is>
      </c>
      <c r="D10" s="15" t="inlineStr">
        <is>
          <t>Public export and declaration surface match the approved brief</t>
        </is>
      </c>
      <c r="E10" s="15" t="inlineStr">
        <is>
          <t>package</t>
        </is>
      </c>
      <c r="F10" s="15" t="inlineStr">
        <is>
          <t>types</t>
        </is>
      </c>
      <c r="G10" s="15" t="inlineStr"/>
      <c r="H10" s="15" t="inlineStr">
        <is>
          <t>not started</t>
        </is>
      </c>
      <c r="I10" s="15" t="inlineStr">
        <is>
          <t>no</t>
        </is>
      </c>
      <c r="J10" s="15" t="inlineStr"/>
      <c r="K10" s="15" t="inlineStr"/>
      <c r="L10" s="16" t="n">
        <v>1</v>
      </c>
      <c r="M10" s="16">
        <f>IF(H10="not applicable",IF(K10&lt;&gt;"",1,0),IF(I10="yes",IF(H10="verified",1,0),IF(OR(H10="tested",H10="verified"),1,0)))</f>
        <v/>
      </c>
    </row>
    <row r="11" ht="43" customHeight="1">
      <c r="A11" s="15" t="inlineStr">
        <is>
          <t>CAR-03</t>
        </is>
      </c>
      <c r="B11" s="15" t="inlineStr">
        <is>
          <t>Public API</t>
        </is>
      </c>
      <c r="C11" s="15" t="inlineStr">
        <is>
          <t>Component</t>
        </is>
      </c>
      <c r="D11" s="15" t="inlineStr">
        <is>
          <t>Native props, refs, composition, and public slots follow the adopted API contract</t>
        </is>
      </c>
      <c r="E11" s="15" t="inlineStr">
        <is>
          <t>package</t>
        </is>
      </c>
      <c r="F11" s="15" t="inlineStr">
        <is>
          <t>types</t>
        </is>
      </c>
      <c r="G11" s="15" t="inlineStr"/>
      <c r="H11" s="15" t="inlineStr">
        <is>
          <t>not started</t>
        </is>
      </c>
      <c r="I11" s="15" t="inlineStr">
        <is>
          <t>no</t>
        </is>
      </c>
      <c r="J11" s="15" t="inlineStr"/>
      <c r="K11" s="15" t="inlineStr"/>
      <c r="L11" s="16" t="n">
        <v>1</v>
      </c>
      <c r="M11" s="16">
        <f>IF(H11="not applicable",IF(K11&lt;&gt;"",1,0),IF(I11="yes",IF(H11="verified",1,0),IF(OR(H11="tested",H11="verified"),1,0)))</f>
        <v/>
      </c>
    </row>
    <row r="12" ht="43" customHeight="1">
      <c r="A12" s="15" t="inlineStr">
        <is>
          <t>CAR-04</t>
        </is>
      </c>
      <c r="B12" s="15" t="inlineStr">
        <is>
          <t>Visual system</t>
        </is>
      </c>
      <c r="C12" s="15" t="inlineStr">
        <is>
          <t>Component</t>
        </is>
      </c>
      <c r="D12" s="15" t="inlineStr">
        <is>
          <t>Compiled CSS uses public brick classes, variables, layers, and semantic tokens</t>
        </is>
      </c>
      <c r="E12" s="15" t="inlineStr">
        <is>
          <t>package</t>
        </is>
      </c>
      <c r="F12" s="15" t="inlineStr">
        <is>
          <t>source</t>
        </is>
      </c>
      <c r="G12" s="15" t="inlineStr"/>
      <c r="H12" s="15" t="inlineStr">
        <is>
          <t>not started</t>
        </is>
      </c>
      <c r="I12" s="15" t="inlineStr">
        <is>
          <t>no</t>
        </is>
      </c>
      <c r="J12" s="15" t="inlineStr"/>
      <c r="K12" s="15" t="inlineStr"/>
      <c r="L12" s="16" t="n">
        <v>1</v>
      </c>
      <c r="M12" s="16">
        <f>IF(H12="not applicable",IF(K12&lt;&gt;"",1,0),IF(I12="yes",IF(H12="verified",1,0),IF(OR(H12="tested",H12="verified"),1,0)))</f>
        <v/>
      </c>
    </row>
    <row r="13" ht="43" customHeight="1">
      <c r="A13" s="15" t="inlineStr">
        <is>
          <t>CAR-05</t>
        </is>
      </c>
      <c r="B13" s="15" t="inlineStr">
        <is>
          <t>Visual system</t>
        </is>
      </c>
      <c r="C13" s="15" t="inlineStr">
        <is>
          <t>Component</t>
        </is>
      </c>
      <c r="D13" s="15" t="inlineStr">
        <is>
          <t>Default recipe and every approved visual option are implemented</t>
        </is>
      </c>
      <c r="E13" s="15" t="inlineStr">
        <is>
          <t>package</t>
        </is>
      </c>
      <c r="F13" s="15" t="inlineStr">
        <is>
          <t>source</t>
        </is>
      </c>
      <c r="G13" s="15" t="inlineStr"/>
      <c r="H13" s="15" t="inlineStr">
        <is>
          <t>not started</t>
        </is>
      </c>
      <c r="I13" s="15" t="inlineStr">
        <is>
          <t>yes</t>
        </is>
      </c>
      <c r="J13" s="15" t="inlineStr"/>
      <c r="K13" s="15" t="inlineStr"/>
      <c r="L13" s="16" t="n">
        <v>1</v>
      </c>
      <c r="M13" s="16">
        <f>IF(H13="not applicable",IF(K13&lt;&gt;"",1,0),IF(I13="yes",IF(H13="verified",1,0),IF(OR(H13="tested",H13="verified"),1,0)))</f>
        <v/>
      </c>
    </row>
    <row r="14" ht="43" customHeight="1">
      <c r="A14" s="15" t="inlineStr">
        <is>
          <t>CAR-06</t>
        </is>
      </c>
      <c r="B14" s="15" t="inlineStr">
        <is>
          <t>Playground</t>
        </is>
      </c>
      <c r="C14" s="15" t="inlineStr">
        <is>
          <t>Component</t>
        </is>
      </c>
      <c r="D14" s="15" t="inlineStr">
        <is>
          <t>Canonical overview and shortest finished state</t>
        </is>
      </c>
      <c r="E14" s="15" t="inlineStr">
        <is>
          <t>package</t>
        </is>
      </c>
      <c r="F14" s="15" t="inlineStr">
        <is>
          <t>playground</t>
        </is>
      </c>
      <c r="G14" s="15" t="inlineStr"/>
      <c r="H14" s="15" t="inlineStr">
        <is>
          <t>not started</t>
        </is>
      </c>
      <c r="I14" s="15" t="inlineStr">
        <is>
          <t>yes</t>
        </is>
      </c>
      <c r="J14" s="15" t="inlineStr"/>
      <c r="K14" s="15" t="inlineStr"/>
      <c r="L14" s="16" t="n">
        <v>1</v>
      </c>
      <c r="M14" s="16">
        <f>IF(H14="not applicable",IF(K14&lt;&gt;"",1,0),IF(I14="yes",IF(H14="verified",1,0),IF(OR(H14="tested",H14="verified"),1,0)))</f>
        <v/>
      </c>
    </row>
    <row r="15" ht="43" customHeight="1">
      <c r="A15" s="15" t="inlineStr">
        <is>
          <t>CAR-07</t>
        </is>
      </c>
      <c r="B15" s="15" t="inlineStr">
        <is>
          <t>Playground</t>
        </is>
      </c>
      <c r="C15" s="15" t="inlineStr">
        <is>
          <t>Component</t>
        </is>
      </c>
      <c r="D15" s="15" t="inlineStr">
        <is>
          <t>Every public recipe, size, and important state</t>
        </is>
      </c>
      <c r="E15" s="15" t="inlineStr">
        <is>
          <t>package</t>
        </is>
      </c>
      <c r="F15" s="15" t="inlineStr">
        <is>
          <t>playground</t>
        </is>
      </c>
      <c r="G15" s="15" t="inlineStr"/>
      <c r="H15" s="15" t="inlineStr">
        <is>
          <t>not started</t>
        </is>
      </c>
      <c r="I15" s="15" t="inlineStr">
        <is>
          <t>yes</t>
        </is>
      </c>
      <c r="J15" s="15" t="inlineStr"/>
      <c r="K15" s="15" t="inlineStr"/>
      <c r="L15" s="16" t="n">
        <v>1</v>
      </c>
      <c r="M15" s="16">
        <f>IF(H15="not applicable",IF(K15&lt;&gt;"",1,0),IF(I15="yes",IF(H15="verified",1,0),IF(OR(H15="tested",H15="verified"),1,0)))</f>
        <v/>
      </c>
    </row>
    <row r="16" ht="43" customHeight="1">
      <c r="A16" s="15" t="inlineStr">
        <is>
          <t>CAR-08</t>
        </is>
      </c>
      <c r="B16" s="15" t="inlineStr">
        <is>
          <t>Playground</t>
        </is>
      </c>
      <c r="C16" s="15" t="inlineStr">
        <is>
          <t>Component</t>
        </is>
      </c>
      <c r="D16" s="15" t="inlineStr">
        <is>
          <t>Mobile-first constrained viewport and intentional wide layout</t>
        </is>
      </c>
      <c r="E16" s="15" t="inlineStr">
        <is>
          <t>package</t>
        </is>
      </c>
      <c r="F16" s="15" t="inlineStr">
        <is>
          <t>playground</t>
        </is>
      </c>
      <c r="G16" s="15" t="inlineStr"/>
      <c r="H16" s="15" t="inlineStr">
        <is>
          <t>not started</t>
        </is>
      </c>
      <c r="I16" s="15" t="inlineStr">
        <is>
          <t>yes</t>
        </is>
      </c>
      <c r="J16" s="15" t="inlineStr"/>
      <c r="K16" s="15" t="inlineStr"/>
      <c r="L16" s="16" t="n">
        <v>1</v>
      </c>
      <c r="M16" s="16">
        <f>IF(H16="not applicable",IF(K16&lt;&gt;"",1,0),IF(I16="yes",IF(H16="verified",1,0),IF(OR(H16="tested",H16="verified"),1,0)))</f>
        <v/>
      </c>
    </row>
    <row r="17" ht="43" customHeight="1">
      <c r="A17" s="15" t="inlineStr">
        <is>
          <t>CAR-09</t>
        </is>
      </c>
      <c r="B17" s="15" t="inlineStr">
        <is>
          <t>Playground</t>
        </is>
      </c>
      <c r="C17" s="15" t="inlineStr">
        <is>
          <t>Component</t>
        </is>
      </c>
      <c r="D17" s="15" t="inlineStr">
        <is>
          <t>Light, dark, and relevant preference modes</t>
        </is>
      </c>
      <c r="E17" s="15" t="inlineStr">
        <is>
          <t>package</t>
        </is>
      </c>
      <c r="F17" s="15" t="inlineStr">
        <is>
          <t>playground</t>
        </is>
      </c>
      <c r="G17" s="15" t="inlineStr"/>
      <c r="H17" s="15" t="inlineStr">
        <is>
          <t>not started</t>
        </is>
      </c>
      <c r="I17" s="15" t="inlineStr">
        <is>
          <t>yes</t>
        </is>
      </c>
      <c r="J17" s="15" t="inlineStr"/>
      <c r="K17" s="15" t="inlineStr"/>
      <c r="L17" s="16" t="n">
        <v>1</v>
      </c>
      <c r="M17" s="16">
        <f>IF(H17="not applicable",IF(K17&lt;&gt;"",1,0),IF(I17="yes",IF(H17="verified",1,0),IF(OR(H17="tested",H17="verified"),1,0)))</f>
        <v/>
      </c>
    </row>
    <row r="18" ht="43" customHeight="1">
      <c r="A18" s="15" t="inlineStr">
        <is>
          <t>CAR-10</t>
        </is>
      </c>
      <c r="B18" s="15" t="inlineStr">
        <is>
          <t>Playground</t>
        </is>
      </c>
      <c r="C18" s="15" t="inlineStr">
        <is>
          <t>Component</t>
        </is>
      </c>
      <c r="D18" s="15" t="inlineStr">
        <is>
          <t>Long content, localization, zoom, and RTL stress</t>
        </is>
      </c>
      <c r="E18" s="15" t="inlineStr">
        <is>
          <t>package</t>
        </is>
      </c>
      <c r="F18" s="15" t="inlineStr">
        <is>
          <t>playground</t>
        </is>
      </c>
      <c r="G18" s="15" t="inlineStr"/>
      <c r="H18" s="15" t="inlineStr">
        <is>
          <t>not started</t>
        </is>
      </c>
      <c r="I18" s="15" t="inlineStr">
        <is>
          <t>yes</t>
        </is>
      </c>
      <c r="J18" s="15" t="inlineStr"/>
      <c r="K18" s="15" t="inlineStr"/>
      <c r="L18" s="16" t="n">
        <v>1</v>
      </c>
      <c r="M18" s="16">
        <f>IF(H18="not applicable",IF(K18&lt;&gt;"",1,0),IF(I18="yes",IF(H18="verified",1,0),IF(OR(H18="tested",H18="verified"),1,0)))</f>
        <v/>
      </c>
    </row>
    <row r="19" ht="43" customHeight="1">
      <c r="A19" s="15" t="inlineStr">
        <is>
          <t>CAR-11</t>
        </is>
      </c>
      <c r="B19" s="15" t="inlineStr">
        <is>
          <t>Playground</t>
        </is>
      </c>
      <c r="C19" s="15" t="inlineStr">
        <is>
          <t>Component</t>
        </is>
      </c>
      <c r="D19" s="15" t="inlineStr">
        <is>
          <t>Token, className, style, slot, and documented part customization</t>
        </is>
      </c>
      <c r="E19" s="15" t="inlineStr">
        <is>
          <t>package</t>
        </is>
      </c>
      <c r="F19" s="15" t="inlineStr">
        <is>
          <t>playground</t>
        </is>
      </c>
      <c r="G19" s="15" t="inlineStr"/>
      <c r="H19" s="15" t="inlineStr">
        <is>
          <t>not started</t>
        </is>
      </c>
      <c r="I19" s="15" t="inlineStr">
        <is>
          <t>yes</t>
        </is>
      </c>
      <c r="J19" s="15" t="inlineStr"/>
      <c r="K19" s="15" t="inlineStr"/>
      <c r="L19" s="16" t="n">
        <v>1</v>
      </c>
      <c r="M19" s="16">
        <f>IF(H19="not applicable",IF(K19&lt;&gt;"",1,0),IF(I19="yes",IF(H19="verified",1,0),IF(OR(H19="tested",H19="verified"),1,0)))</f>
        <v/>
      </c>
    </row>
    <row r="20" ht="43" customHeight="1">
      <c r="A20" s="15" t="inlineStr">
        <is>
          <t>CAR-12</t>
        </is>
      </c>
      <c r="B20" s="15" t="inlineStr">
        <is>
          <t>Playground</t>
        </is>
      </c>
      <c r="C20" s="15" t="inlineStr">
        <is>
          <t>Component</t>
        </is>
      </c>
      <c r="D20" s="15" t="inlineStr">
        <is>
          <t>Stable route and deterministic state inputs for browser tests</t>
        </is>
      </c>
      <c r="E20" s="15" t="inlineStr">
        <is>
          <t>package</t>
        </is>
      </c>
      <c r="F20" s="15" t="inlineStr">
        <is>
          <t>playground</t>
        </is>
      </c>
      <c r="G20" s="15" t="inlineStr"/>
      <c r="H20" s="15" t="inlineStr">
        <is>
          <t>not started</t>
        </is>
      </c>
      <c r="I20" s="15" t="inlineStr">
        <is>
          <t>no</t>
        </is>
      </c>
      <c r="J20" s="15" t="inlineStr"/>
      <c r="K20" s="15" t="inlineStr"/>
      <c r="L20" s="16" t="n">
        <v>1</v>
      </c>
      <c r="M20" s="16">
        <f>IF(H20="not applicable",IF(K20&lt;&gt;"",1,0),IF(I20="yes",IF(H20="verified",1,0),IF(OR(H20="tested",H20="verified"),1,0)))</f>
        <v/>
      </c>
    </row>
    <row r="21" ht="43" customHeight="1">
      <c r="A21" s="15" t="inlineStr">
        <is>
          <t>CAR-13</t>
        </is>
      </c>
      <c r="B21" s="15" t="inlineStr">
        <is>
          <t>Automated tests</t>
        </is>
      </c>
      <c r="C21" s="15" t="inlineStr">
        <is>
          <t>Component</t>
        </is>
      </c>
      <c r="D21" s="15" t="inlineStr">
        <is>
          <t>Vitest and Testing Library component contract tests</t>
        </is>
      </c>
      <c r="E21" s="15" t="inlineStr">
        <is>
          <t>package</t>
        </is>
      </c>
      <c r="F21" s="15" t="inlineStr">
        <is>
          <t>test</t>
        </is>
      </c>
      <c r="G21" s="15" t="inlineStr"/>
      <c r="H21" s="15" t="inlineStr">
        <is>
          <t>not started</t>
        </is>
      </c>
      <c r="I21" s="15" t="inlineStr">
        <is>
          <t>no</t>
        </is>
      </c>
      <c r="J21" s="15" t="inlineStr"/>
      <c r="K21" s="15" t="inlineStr"/>
      <c r="L21" s="16" t="n">
        <v>1</v>
      </c>
      <c r="M21" s="16">
        <f>IF(H21="not applicable",IF(K21&lt;&gt;"",1,0),IF(I21="yes",IF(H21="verified",1,0),IF(OR(H21="tested",H21="verified"),1,0)))</f>
        <v/>
      </c>
    </row>
    <row r="22" ht="43" customHeight="1">
      <c r="A22" s="15" t="inlineStr">
        <is>
          <t>CAR-14</t>
        </is>
      </c>
      <c r="B22" s="15" t="inlineStr">
        <is>
          <t>Automated tests</t>
        </is>
      </c>
      <c r="C22" s="15" t="inlineStr">
        <is>
          <t>Component</t>
        </is>
      </c>
      <c r="D22" s="15" t="inlineStr">
        <is>
          <t>Public type and declaration fixtures</t>
        </is>
      </c>
      <c r="E22" s="15" t="inlineStr">
        <is>
          <t>package</t>
        </is>
      </c>
      <c r="F22" s="15" t="inlineStr">
        <is>
          <t>test</t>
        </is>
      </c>
      <c r="G22" s="15" t="inlineStr"/>
      <c r="H22" s="15" t="inlineStr">
        <is>
          <t>not started</t>
        </is>
      </c>
      <c r="I22" s="15" t="inlineStr">
        <is>
          <t>no</t>
        </is>
      </c>
      <c r="J22" s="15" t="inlineStr"/>
      <c r="K22" s="15" t="inlineStr"/>
      <c r="L22" s="16" t="n">
        <v>1</v>
      </c>
      <c r="M22" s="16">
        <f>IF(H22="not applicable",IF(K22&lt;&gt;"",1,0),IF(I22="yes",IF(H22="verified",1,0),IF(OR(H22="tested",H22="verified"),1,0)))</f>
        <v/>
      </c>
    </row>
    <row r="23" ht="43" customHeight="1">
      <c r="A23" s="15" t="inlineStr">
        <is>
          <t>CAR-15</t>
        </is>
      </c>
      <c r="B23" s="15" t="inlineStr">
        <is>
          <t>Automated tests</t>
        </is>
      </c>
      <c r="C23" s="15" t="inlineStr">
        <is>
          <t>Component</t>
        </is>
      </c>
      <c r="D23" s="15" t="inlineStr">
        <is>
          <t>Playwright keyboard, pointer, focus, and state interactions</t>
        </is>
      </c>
      <c r="E23" s="15" t="inlineStr">
        <is>
          <t>package</t>
        </is>
      </c>
      <c r="F23" s="15" t="inlineStr">
        <is>
          <t>test</t>
        </is>
      </c>
      <c r="G23" s="15" t="inlineStr"/>
      <c r="H23" s="15" t="inlineStr">
        <is>
          <t>not started</t>
        </is>
      </c>
      <c r="I23" s="15" t="inlineStr">
        <is>
          <t>no</t>
        </is>
      </c>
      <c r="J23" s="15" t="inlineStr"/>
      <c r="K23" s="15" t="inlineStr"/>
      <c r="L23" s="16" t="n">
        <v>1</v>
      </c>
      <c r="M23" s="16">
        <f>IF(H23="not applicable",IF(K23&lt;&gt;"",1,0),IF(I23="yes",IF(H23="verified",1,0),IF(OR(H23="tested",H23="verified"),1,0)))</f>
        <v/>
      </c>
    </row>
    <row r="24" ht="43" customHeight="1">
      <c r="A24" s="15" t="inlineStr">
        <is>
          <t>CAR-16</t>
        </is>
      </c>
      <c r="B24" s="15" t="inlineStr">
        <is>
          <t>Automated tests</t>
        </is>
      </c>
      <c r="C24" s="15" t="inlineStr">
        <is>
          <t>Component</t>
        </is>
      </c>
      <c r="D24" s="15" t="inlineStr">
        <is>
          <t>Axe checks for canonical browser states</t>
        </is>
      </c>
      <c r="E24" s="15" t="inlineStr">
        <is>
          <t>package</t>
        </is>
      </c>
      <c r="F24" s="15" t="inlineStr">
        <is>
          <t>test</t>
        </is>
      </c>
      <c r="G24" s="15" t="inlineStr"/>
      <c r="H24" s="15" t="inlineStr">
        <is>
          <t>not started</t>
        </is>
      </c>
      <c r="I24" s="15" t="inlineStr">
        <is>
          <t>no</t>
        </is>
      </c>
      <c r="J24" s="15" t="inlineStr"/>
      <c r="K24" s="15" t="inlineStr"/>
      <c r="L24" s="16" t="n">
        <v>1</v>
      </c>
      <c r="M24" s="16">
        <f>IF(H24="not applicable",IF(K24&lt;&gt;"",1,0),IF(I24="yes",IF(H24="verified",1,0),IF(OR(H24="tested",H24="verified"),1,0)))</f>
        <v/>
      </c>
    </row>
    <row r="25" ht="43" customHeight="1">
      <c r="A25" s="15" t="inlineStr">
        <is>
          <t>CAR-17</t>
        </is>
      </c>
      <c r="B25" s="15" t="inlineStr">
        <is>
          <t>Automated tests</t>
        </is>
      </c>
      <c r="C25" s="15" t="inlineStr">
        <is>
          <t>Component</t>
        </is>
      </c>
      <c r="D25" s="15" t="inlineStr">
        <is>
          <t>Risk-based Chromium visual baselines reviewed</t>
        </is>
      </c>
      <c r="E25" s="15" t="inlineStr">
        <is>
          <t>package</t>
        </is>
      </c>
      <c r="F25" s="15" t="inlineStr">
        <is>
          <t>test</t>
        </is>
      </c>
      <c r="G25" s="15" t="inlineStr"/>
      <c r="H25" s="15" t="inlineStr">
        <is>
          <t>not started</t>
        </is>
      </c>
      <c r="I25" s="15" t="inlineStr">
        <is>
          <t>yes</t>
        </is>
      </c>
      <c r="J25" s="15" t="inlineStr"/>
      <c r="K25" s="15" t="inlineStr"/>
      <c r="L25" s="16" t="n">
        <v>1</v>
      </c>
      <c r="M25" s="16">
        <f>IF(H25="not applicable",IF(K25&lt;&gt;"",1,0),IF(I25="yes",IF(H25="verified",1,0),IF(OR(H25="tested",H25="verified"),1,0)))</f>
        <v/>
      </c>
    </row>
    <row r="26" ht="43" customHeight="1">
      <c r="A26" s="15" t="inlineStr">
        <is>
          <t>CAR-18</t>
        </is>
      </c>
      <c r="B26" s="15" t="inlineStr">
        <is>
          <t>Automated tests</t>
        </is>
      </c>
      <c r="C26" s="15" t="inlineStr">
        <is>
          <t>Component</t>
        </is>
      </c>
      <c r="D26" s="15" t="inlineStr">
        <is>
          <t>Relevant Chromium, Firefox, WebKit, and mobile-profile checks</t>
        </is>
      </c>
      <c r="E26" s="15" t="inlineStr">
        <is>
          <t>package</t>
        </is>
      </c>
      <c r="F26" s="15" t="inlineStr">
        <is>
          <t>test</t>
        </is>
      </c>
      <c r="G26" s="15" t="inlineStr"/>
      <c r="H26" s="15" t="inlineStr">
        <is>
          <t>not started</t>
        </is>
      </c>
      <c r="I26" s="15" t="inlineStr">
        <is>
          <t>no</t>
        </is>
      </c>
      <c r="J26" s="15" t="inlineStr"/>
      <c r="K26" s="15" t="inlineStr"/>
      <c r="L26" s="16" t="n">
        <v>1</v>
      </c>
      <c r="M26" s="16">
        <f>IF(H26="not applicable",IF(K26&lt;&gt;"",1,0),IF(I26="yes",IF(H26="verified",1,0),IF(OR(H26="tested",H26="verified"),1,0)))</f>
        <v/>
      </c>
    </row>
    <row r="27" ht="43" customHeight="1">
      <c r="A27" s="15" t="inlineStr">
        <is>
          <t>CAR-19</t>
        </is>
      </c>
      <c r="B27" s="15" t="inlineStr">
        <is>
          <t>Automated tests</t>
        </is>
      </c>
      <c r="C27" s="15" t="inlineStr">
        <is>
          <t>Component</t>
        </is>
      </c>
      <c r="D27" s="15" t="inlineStr">
        <is>
          <t>SSR or server-safe consumer behavior where applicable</t>
        </is>
      </c>
      <c r="E27" s="15" t="inlineStr">
        <is>
          <t>package</t>
        </is>
      </c>
      <c r="F27" s="15" t="inlineStr">
        <is>
          <t>test</t>
        </is>
      </c>
      <c r="G27" s="15" t="inlineStr"/>
      <c r="H27" s="15" t="inlineStr">
        <is>
          <t>not started</t>
        </is>
      </c>
      <c r="I27" s="15" t="inlineStr">
        <is>
          <t>no</t>
        </is>
      </c>
      <c r="J27" s="15" t="inlineStr"/>
      <c r="K27" s="15" t="inlineStr"/>
      <c r="L27" s="16" t="n">
        <v>1</v>
      </c>
      <c r="M27" s="16">
        <f>IF(H27="not applicable",IF(K27&lt;&gt;"",1,0),IF(I27="yes",IF(H27="verified",1,0),IF(OR(H27="tested",H27="verified"),1,0)))</f>
        <v/>
      </c>
    </row>
    <row r="28" ht="43" customHeight="1">
      <c r="A28" s="15" t="inlineStr">
        <is>
          <t>CAR-20</t>
        </is>
      </c>
      <c r="B28" s="15" t="inlineStr">
        <is>
          <t>Manual evidence</t>
        </is>
      </c>
      <c r="C28" s="15" t="inlineStr">
        <is>
          <t>Component</t>
        </is>
      </c>
      <c r="D28" s="15" t="inlineStr">
        <is>
          <t>Numbered component manual-test protocol is complete</t>
        </is>
      </c>
      <c r="E28" s="15" t="inlineStr">
        <is>
          <t>package</t>
        </is>
      </c>
      <c r="F28" s="15" t="inlineStr">
        <is>
          <t>manual</t>
        </is>
      </c>
      <c r="G28" s="15" t="inlineStr"/>
      <c r="H28" s="15" t="inlineStr">
        <is>
          <t>not started</t>
        </is>
      </c>
      <c r="I28" s="15" t="inlineStr">
        <is>
          <t>no</t>
        </is>
      </c>
      <c r="J28" s="15" t="inlineStr"/>
      <c r="K28" s="15" t="inlineStr"/>
      <c r="L28" s="16" t="n">
        <v>1</v>
      </c>
      <c r="M28" s="16">
        <f>IF(H28="not applicable",IF(K28&lt;&gt;"",1,0),IF(I28="yes",IF(H28="verified",1,0),IF(OR(H28="tested",H28="verified"),1,0)))</f>
        <v/>
      </c>
    </row>
    <row r="29" ht="43" customHeight="1">
      <c r="A29" s="15" t="inlineStr">
        <is>
          <t>CAR-21</t>
        </is>
      </c>
      <c r="B29" s="15" t="inlineStr">
        <is>
          <t>Manual evidence</t>
        </is>
      </c>
      <c r="C29" s="15" t="inlineStr">
        <is>
          <t>Component</t>
        </is>
      </c>
      <c r="D29" s="15" t="inlineStr">
        <is>
          <t>Latest required manual run is recorded and passes</t>
        </is>
      </c>
      <c r="E29" s="15" t="inlineStr">
        <is>
          <t>package</t>
        </is>
      </c>
      <c r="F29" s="15" t="inlineStr">
        <is>
          <t>manual</t>
        </is>
      </c>
      <c r="G29" s="15" t="inlineStr"/>
      <c r="H29" s="15" t="inlineStr">
        <is>
          <t>not started</t>
        </is>
      </c>
      <c r="I29" s="15" t="inlineStr">
        <is>
          <t>yes</t>
        </is>
      </c>
      <c r="J29" s="15" t="inlineStr"/>
      <c r="K29" s="15" t="inlineStr"/>
      <c r="L29" s="16" t="n">
        <v>1</v>
      </c>
      <c r="M29" s="16">
        <f>IF(H29="not applicable",IF(K29&lt;&gt;"",1,0),IF(I29="yes",IF(H29="verified",1,0),IF(OR(H29="tested",H29="verified"),1,0)))</f>
        <v/>
      </c>
    </row>
    <row r="30" ht="43" customHeight="1">
      <c r="A30" s="15" t="inlineStr">
        <is>
          <t>CAR-22</t>
        </is>
      </c>
      <c r="B30" s="15" t="inlineStr">
        <is>
          <t>Documentation</t>
        </is>
      </c>
      <c r="C30" s="15" t="inlineStr">
        <is>
          <t>Component</t>
        </is>
      </c>
      <c r="D30" s="15" t="inlineStr">
        <is>
          <t>Public component documentation follows the standard template</t>
        </is>
      </c>
      <c r="E30" s="15" t="inlineStr">
        <is>
          <t>package</t>
        </is>
      </c>
      <c r="F30" s="15" t="inlineStr">
        <is>
          <t>docs</t>
        </is>
      </c>
      <c r="G30" s="15" t="inlineStr"/>
      <c r="H30" s="15" t="inlineStr">
        <is>
          <t>not started</t>
        </is>
      </c>
      <c r="I30" s="15" t="inlineStr">
        <is>
          <t>yes</t>
        </is>
      </c>
      <c r="J30" s="15" t="inlineStr"/>
      <c r="K30" s="15" t="inlineStr"/>
      <c r="L30" s="16" t="n">
        <v>1</v>
      </c>
      <c r="M30" s="16">
        <f>IF(H30="not applicable",IF(K30&lt;&gt;"",1,0),IF(I30="yes",IF(H30="verified",1,0),IF(OR(H30="tested",H30="verified"),1,0)))</f>
        <v/>
      </c>
    </row>
    <row r="31" ht="43" customHeight="1">
      <c r="A31" s="15" t="inlineStr">
        <is>
          <t>CAR-23</t>
        </is>
      </c>
      <c r="B31" s="15" t="inlineStr">
        <is>
          <t>Documentation</t>
        </is>
      </c>
      <c r="C31" s="15" t="inlineStr">
        <is>
          <t>Component</t>
        </is>
      </c>
      <c r="D31" s="15" t="inlineStr">
        <is>
          <t>Component changelog and applicable package release notes are updated</t>
        </is>
      </c>
      <c r="E31" s="15" t="inlineStr">
        <is>
          <t>package</t>
        </is>
      </c>
      <c r="F31" s="15" t="inlineStr">
        <is>
          <t>docs</t>
        </is>
      </c>
      <c r="G31" s="15" t="inlineStr"/>
      <c r="H31" s="15" t="inlineStr">
        <is>
          <t>not started</t>
        </is>
      </c>
      <c r="I31" s="15" t="inlineStr">
        <is>
          <t>no</t>
        </is>
      </c>
      <c r="J31" s="15" t="inlineStr"/>
      <c r="K31" s="15" t="inlineStr"/>
      <c r="L31" s="16" t="n">
        <v>1</v>
      </c>
      <c r="M31" s="16">
        <f>IF(H31="not applicable",IF(K31&lt;&gt;"",1,0),IF(I31="yes",IF(H31="verified",1,0),IF(OR(H31="tested",H31="verified"),1,0)))</f>
        <v/>
      </c>
    </row>
    <row r="32" ht="43" customHeight="1">
      <c r="A32" s="15" t="inlineStr">
        <is>
          <t>CAR-24</t>
        </is>
      </c>
      <c r="B32" s="15" t="inlineStr">
        <is>
          <t>Consumer</t>
        </is>
      </c>
      <c r="C32" s="15" t="inlineStr">
        <is>
          <t>Component</t>
        </is>
      </c>
      <c r="D32" s="15" t="inlineStr">
        <is>
          <t>Live consumer cutover is verified without adding new legacy Core coupling</t>
        </is>
      </c>
      <c r="E32" s="15" t="inlineStr">
        <is>
          <t>consumer</t>
        </is>
      </c>
      <c r="F32" s="15" t="inlineStr">
        <is>
          <t>consumer</t>
        </is>
      </c>
      <c r="G32" s="15" t="inlineStr"/>
      <c r="H32" s="15" t="inlineStr">
        <is>
          <t>not started</t>
        </is>
      </c>
      <c r="I32" s="15" t="inlineStr">
        <is>
          <t>yes</t>
        </is>
      </c>
      <c r="J32" s="15" t="inlineStr"/>
      <c r="K32" s="15" t="inlineStr"/>
      <c r="L32" s="16" t="n">
        <v>1</v>
      </c>
      <c r="M32" s="16">
        <f>IF(H32="not applicable",IF(K32&lt;&gt;"",1,0),IF(I32="yes",IF(H32="verified",1,0),IF(OR(H32="tested",H32="verified"),1,0)))</f>
        <v/>
      </c>
    </row>
    <row r="33" ht="43" customHeight="1">
      <c r="A33" s="15" t="inlineStr">
        <is>
          <t>CAR-25</t>
        </is>
      </c>
      <c r="B33" s="15" t="inlineStr">
        <is>
          <t>Retirement</t>
        </is>
      </c>
      <c r="C33" s="15" t="inlineStr">
        <is>
          <t>Component</t>
        </is>
      </c>
      <c r="D33" s="15" t="inlineStr">
        <is>
          <t>Legacy Core slice and authorized stale consumer evidence are removed</t>
        </is>
      </c>
      <c r="E33" s="15" t="inlineStr">
        <is>
          <t>retirement</t>
        </is>
      </c>
      <c r="F33" s="15" t="inlineStr">
        <is>
          <t>removal</t>
        </is>
      </c>
      <c r="G33" s="15" t="inlineStr"/>
      <c r="H33" s="15" t="inlineStr">
        <is>
          <t>not started</t>
        </is>
      </c>
      <c r="I33" s="15" t="inlineStr">
        <is>
          <t>yes</t>
        </is>
      </c>
      <c r="J33" s="15" t="inlineStr"/>
      <c r="K33" s="15" t="inlineStr"/>
      <c r="L33" s="16" t="n">
        <v>1</v>
      </c>
      <c r="M33" s="16">
        <f>IF(H33="not applicable",IF(K33&lt;&gt;"",1,0),IF(I33="yes",IF(H33="verified",1,0),IF(OR(H33="tested",H33="verified"),1,0)))</f>
        <v/>
      </c>
    </row>
  </sheetData>
  <autoFilter ref="A8:M33"/>
  <mergeCells count="3">
    <mergeCell ref="A2:M2"/>
    <mergeCell ref="A6:M6"/>
    <mergeCell ref="A1:M1"/>
  </mergeCells>
  <conditionalFormatting sqref="H9:H33">
    <cfRule type="expression" priority="1" dxfId="0">
      <formula>$H9="not started"</formula>
    </cfRule>
    <cfRule type="expression" priority="2" dxfId="1">
      <formula>$H9="partial"</formula>
    </cfRule>
    <cfRule type="expression" priority="3" dxfId="2">
      <formula>$H9="implemented"</formula>
    </cfRule>
    <cfRule type="expression" priority="4" dxfId="3">
      <formula>$H9="tested"</formula>
    </cfRule>
    <cfRule type="expression" priority="5" dxfId="4">
      <formula>$H9="verified"</formula>
    </cfRule>
    <cfRule type="expression" priority="6" dxfId="5">
      <formula>$H9="blocked"</formula>
    </cfRule>
    <cfRule type="expression" priority="7" dxfId="6">
      <formula>$H9="not applicable"</formula>
    </cfRule>
  </conditionalFormatting>
  <dataValidations count="2">
    <dataValidation sqref="H9:H33" showDropDown="0" showInputMessage="0" showErrorMessage="0" allowBlank="0" type="list">
      <formula1>=_Lists!$A$1:$A$7</formula1>
    </dataValidation>
    <dataValidation sqref="I9:I33" showDropDown="0" showInputMessage="0" showErrorMessage="0" allowBlank="0" type="list">
      <formula1>=_Lists!$B$1:$B$2</formula1>
    </dataValidation>
  </dataValidation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54" customWidth="1" min="4" max="4"/>
    <col width="12" customWidth="1" min="5" max="5"/>
    <col width="16" customWidth="1" min="6" max="6"/>
    <col width="30" customWidth="1" min="7" max="7"/>
    <col width="18" customWidth="1" min="8" max="8"/>
    <col width="14" customWidth="1" min="9" max="9"/>
    <col width="15" customWidth="1" min="10" max="10"/>
    <col width="32" customWidth="1" min="11" max="11"/>
    <col width="9" customWidth="1" min="12" max="12"/>
    <col width="10" customWidth="1" min="13" max="13"/>
  </cols>
  <sheetData>
    <row r="1" ht="34" customHeight="1">
      <c r="A1" s="1" t="inlineStr">
        <is>
          <t>Dialog Evidence Matrix</t>
        </is>
      </c>
    </row>
    <row r="2" ht="34" customHeight="1">
      <c r="A2" s="2" t="inlineStr">
        <is>
          <t>Common requirements from Brick's adopted quality contract. Add approved anatomy and component-specific rows after the component brief lands.</t>
        </is>
      </c>
    </row>
    <row r="4">
      <c r="A4" s="3" t="inlineStr">
        <is>
          <t>Requirements</t>
        </is>
      </c>
      <c r="B4" s="4">
        <f>COUNTA(A9:A33)</f>
        <v/>
      </c>
      <c r="C4" s="3" t="inlineStr">
        <is>
          <t>Resolved</t>
        </is>
      </c>
      <c r="D4" s="4">
        <f>SUM(M9:M33)</f>
        <v/>
      </c>
      <c r="E4" s="3" t="inlineStr">
        <is>
          <t>Completion</t>
        </is>
      </c>
      <c r="F4" s="5">
        <f>IFERROR(D4/SUM(L9:L33),0)</f>
        <v/>
      </c>
      <c r="G4" s="3" t="inlineStr">
        <is>
          <t>Blocked</t>
        </is>
      </c>
      <c r="H4" s="4">
        <f>COUNTIF(H9:H33,"blocked")</f>
        <v/>
      </c>
      <c r="I4" s="3" t="inlineStr">
        <is>
          <t>Package gate</t>
        </is>
      </c>
      <c r="J4" s="4">
        <f>IF(COUNTIFS(E9:E33,"package",M9:M33,"&lt;1")=0,"complete","open")</f>
        <v/>
      </c>
      <c r="K4" s="3" t="inlineStr">
        <is>
          <t>Retirement gate</t>
        </is>
      </c>
      <c r="L4" s="4">
        <f>IF(COUNTIFS(E9:E33,"retirement",M9:M33,"&lt;1")=0,"complete","open")</f>
        <v/>
      </c>
    </row>
    <row r="6">
      <c r="A6" s="14" t="inlineStr">
        <is>
          <t>Completion is formula-driven. Human-review rows require verified; other rows require tested or verified. Not applicable requires a reason.</t>
        </is>
      </c>
    </row>
    <row r="8" ht="34" customHeight="1">
      <c r="A8" s="6" t="inlineStr">
        <is>
          <t>ID</t>
        </is>
      </c>
      <c r="B8" s="6" t="inlineStr">
        <is>
          <t>Area</t>
        </is>
      </c>
      <c r="C8" s="6" t="inlineStr">
        <is>
          <t>Part</t>
        </is>
      </c>
      <c r="D8" s="6" t="inlineStr">
        <is>
          <t>Requirement</t>
        </is>
      </c>
      <c r="E8" s="6" t="inlineStr">
        <is>
          <t>Gate</t>
        </is>
      </c>
      <c r="F8" s="6" t="inlineStr">
        <is>
          <t>Evidence type</t>
        </is>
      </c>
      <c r="G8" s="6" t="inlineStr">
        <is>
          <t>Evidence / link</t>
        </is>
      </c>
      <c r="H8" s="6" t="inlineStr">
        <is>
          <t>Status</t>
        </is>
      </c>
      <c r="I8" s="6" t="inlineStr">
        <is>
          <t>Human review?</t>
        </is>
      </c>
      <c r="J8" s="6" t="inlineStr">
        <is>
          <t>Last verified</t>
        </is>
      </c>
      <c r="K8" s="6" t="inlineStr">
        <is>
          <t>Blocker / N/A reason</t>
        </is>
      </c>
      <c r="L8" s="6" t="inlineStr">
        <is>
          <t>Weight</t>
        </is>
      </c>
      <c r="M8" s="6" t="inlineStr">
        <is>
          <t>Resolved</t>
        </is>
      </c>
    </row>
    <row r="9" ht="43" customHeight="1">
      <c r="A9" s="15" t="inlineStr">
        <is>
          <t>DIA-01</t>
        </is>
      </c>
      <c r="B9" s="15" t="inlineStr">
        <is>
          <t>Public API</t>
        </is>
      </c>
      <c r="C9" s="15" t="inlineStr">
        <is>
          <t>Component</t>
        </is>
      </c>
      <c r="D9" s="15" t="inlineStr">
        <is>
          <t>Implementation uses public Atom behavior without Core or local headless wrappers</t>
        </is>
      </c>
      <c r="E9" s="15" t="inlineStr">
        <is>
          <t>package</t>
        </is>
      </c>
      <c r="F9" s="15" t="inlineStr">
        <is>
          <t>source</t>
        </is>
      </c>
      <c r="G9" s="15" t="inlineStr"/>
      <c r="H9" s="15" t="inlineStr">
        <is>
          <t>not started</t>
        </is>
      </c>
      <c r="I9" s="15" t="inlineStr">
        <is>
          <t>no</t>
        </is>
      </c>
      <c r="J9" s="15" t="inlineStr"/>
      <c r="K9" s="15" t="inlineStr"/>
      <c r="L9" s="16" t="n">
        <v>1</v>
      </c>
      <c r="M9" s="16">
        <f>IF(H9="not applicable",IF(K9&lt;&gt;"",1,0),IF(I9="yes",IF(H9="verified",1,0),IF(OR(H9="tested",H9="verified"),1,0)))</f>
        <v/>
      </c>
    </row>
    <row r="10" ht="43" customHeight="1">
      <c r="A10" s="15" t="inlineStr">
        <is>
          <t>DIA-02</t>
        </is>
      </c>
      <c r="B10" s="15" t="inlineStr">
        <is>
          <t>Public API</t>
        </is>
      </c>
      <c r="C10" s="15" t="inlineStr">
        <is>
          <t>Component</t>
        </is>
      </c>
      <c r="D10" s="15" t="inlineStr">
        <is>
          <t>Public export and declaration surface match the approved brief</t>
        </is>
      </c>
      <c r="E10" s="15" t="inlineStr">
        <is>
          <t>package</t>
        </is>
      </c>
      <c r="F10" s="15" t="inlineStr">
        <is>
          <t>types</t>
        </is>
      </c>
      <c r="G10" s="15" t="inlineStr"/>
      <c r="H10" s="15" t="inlineStr">
        <is>
          <t>not started</t>
        </is>
      </c>
      <c r="I10" s="15" t="inlineStr">
        <is>
          <t>no</t>
        </is>
      </c>
      <c r="J10" s="15" t="inlineStr"/>
      <c r="K10" s="15" t="inlineStr"/>
      <c r="L10" s="16" t="n">
        <v>1</v>
      </c>
      <c r="M10" s="16">
        <f>IF(H10="not applicable",IF(K10&lt;&gt;"",1,0),IF(I10="yes",IF(H10="verified",1,0),IF(OR(H10="tested",H10="verified"),1,0)))</f>
        <v/>
      </c>
    </row>
    <row r="11" ht="43" customHeight="1">
      <c r="A11" s="15" t="inlineStr">
        <is>
          <t>DIA-03</t>
        </is>
      </c>
      <c r="B11" s="15" t="inlineStr">
        <is>
          <t>Public API</t>
        </is>
      </c>
      <c r="C11" s="15" t="inlineStr">
        <is>
          <t>Component</t>
        </is>
      </c>
      <c r="D11" s="15" t="inlineStr">
        <is>
          <t>Native props, refs, composition, and public slots follow the adopted API contract</t>
        </is>
      </c>
      <c r="E11" s="15" t="inlineStr">
        <is>
          <t>package</t>
        </is>
      </c>
      <c r="F11" s="15" t="inlineStr">
        <is>
          <t>types</t>
        </is>
      </c>
      <c r="G11" s="15" t="inlineStr"/>
      <c r="H11" s="15" t="inlineStr">
        <is>
          <t>not started</t>
        </is>
      </c>
      <c r="I11" s="15" t="inlineStr">
        <is>
          <t>no</t>
        </is>
      </c>
      <c r="J11" s="15" t="inlineStr"/>
      <c r="K11" s="15" t="inlineStr"/>
      <c r="L11" s="16" t="n">
        <v>1</v>
      </c>
      <c r="M11" s="16">
        <f>IF(H11="not applicable",IF(K11&lt;&gt;"",1,0),IF(I11="yes",IF(H11="verified",1,0),IF(OR(H11="tested",H11="verified"),1,0)))</f>
        <v/>
      </c>
    </row>
    <row r="12" ht="43" customHeight="1">
      <c r="A12" s="15" t="inlineStr">
        <is>
          <t>DIA-04</t>
        </is>
      </c>
      <c r="B12" s="15" t="inlineStr">
        <is>
          <t>Visual system</t>
        </is>
      </c>
      <c r="C12" s="15" t="inlineStr">
        <is>
          <t>Component</t>
        </is>
      </c>
      <c r="D12" s="15" t="inlineStr">
        <is>
          <t>Compiled CSS uses public brick classes, variables, layers, and semantic tokens</t>
        </is>
      </c>
      <c r="E12" s="15" t="inlineStr">
        <is>
          <t>package</t>
        </is>
      </c>
      <c r="F12" s="15" t="inlineStr">
        <is>
          <t>source</t>
        </is>
      </c>
      <c r="G12" s="15" t="inlineStr"/>
      <c r="H12" s="15" t="inlineStr">
        <is>
          <t>not started</t>
        </is>
      </c>
      <c r="I12" s="15" t="inlineStr">
        <is>
          <t>no</t>
        </is>
      </c>
      <c r="J12" s="15" t="inlineStr"/>
      <c r="K12" s="15" t="inlineStr"/>
      <c r="L12" s="16" t="n">
        <v>1</v>
      </c>
      <c r="M12" s="16">
        <f>IF(H12="not applicable",IF(K12&lt;&gt;"",1,0),IF(I12="yes",IF(H12="verified",1,0),IF(OR(H12="tested",H12="verified"),1,0)))</f>
        <v/>
      </c>
    </row>
    <row r="13" ht="43" customHeight="1">
      <c r="A13" s="15" t="inlineStr">
        <is>
          <t>DIA-05</t>
        </is>
      </c>
      <c r="B13" s="15" t="inlineStr">
        <is>
          <t>Visual system</t>
        </is>
      </c>
      <c r="C13" s="15" t="inlineStr">
        <is>
          <t>Component</t>
        </is>
      </c>
      <c r="D13" s="15" t="inlineStr">
        <is>
          <t>Default recipe and every approved visual option are implemented</t>
        </is>
      </c>
      <c r="E13" s="15" t="inlineStr">
        <is>
          <t>package</t>
        </is>
      </c>
      <c r="F13" s="15" t="inlineStr">
        <is>
          <t>source</t>
        </is>
      </c>
      <c r="G13" s="15" t="inlineStr"/>
      <c r="H13" s="15" t="inlineStr">
        <is>
          <t>not started</t>
        </is>
      </c>
      <c r="I13" s="15" t="inlineStr">
        <is>
          <t>yes</t>
        </is>
      </c>
      <c r="J13" s="15" t="inlineStr"/>
      <c r="K13" s="15" t="inlineStr"/>
      <c r="L13" s="16" t="n">
        <v>1</v>
      </c>
      <c r="M13" s="16">
        <f>IF(H13="not applicable",IF(K13&lt;&gt;"",1,0),IF(I13="yes",IF(H13="verified",1,0),IF(OR(H13="tested",H13="verified"),1,0)))</f>
        <v/>
      </c>
    </row>
    <row r="14" ht="43" customHeight="1">
      <c r="A14" s="15" t="inlineStr">
        <is>
          <t>DIA-06</t>
        </is>
      </c>
      <c r="B14" s="15" t="inlineStr">
        <is>
          <t>Playground</t>
        </is>
      </c>
      <c r="C14" s="15" t="inlineStr">
        <is>
          <t>Component</t>
        </is>
      </c>
      <c r="D14" s="15" t="inlineStr">
        <is>
          <t>Canonical overview and shortest finished state</t>
        </is>
      </c>
      <c r="E14" s="15" t="inlineStr">
        <is>
          <t>package</t>
        </is>
      </c>
      <c r="F14" s="15" t="inlineStr">
        <is>
          <t>playground</t>
        </is>
      </c>
      <c r="G14" s="15" t="inlineStr"/>
      <c r="H14" s="15" t="inlineStr">
        <is>
          <t>not started</t>
        </is>
      </c>
      <c r="I14" s="15" t="inlineStr">
        <is>
          <t>yes</t>
        </is>
      </c>
      <c r="J14" s="15" t="inlineStr"/>
      <c r="K14" s="15" t="inlineStr"/>
      <c r="L14" s="16" t="n">
        <v>1</v>
      </c>
      <c r="M14" s="16">
        <f>IF(H14="not applicable",IF(K14&lt;&gt;"",1,0),IF(I14="yes",IF(H14="verified",1,0),IF(OR(H14="tested",H14="verified"),1,0)))</f>
        <v/>
      </c>
    </row>
    <row r="15" ht="43" customHeight="1">
      <c r="A15" s="15" t="inlineStr">
        <is>
          <t>DIA-07</t>
        </is>
      </c>
      <c r="B15" s="15" t="inlineStr">
        <is>
          <t>Playground</t>
        </is>
      </c>
      <c r="C15" s="15" t="inlineStr">
        <is>
          <t>Component</t>
        </is>
      </c>
      <c r="D15" s="15" t="inlineStr">
        <is>
          <t>Every public recipe, size, and important state</t>
        </is>
      </c>
      <c r="E15" s="15" t="inlineStr">
        <is>
          <t>package</t>
        </is>
      </c>
      <c r="F15" s="15" t="inlineStr">
        <is>
          <t>playground</t>
        </is>
      </c>
      <c r="G15" s="15" t="inlineStr"/>
      <c r="H15" s="15" t="inlineStr">
        <is>
          <t>not started</t>
        </is>
      </c>
      <c r="I15" s="15" t="inlineStr">
        <is>
          <t>yes</t>
        </is>
      </c>
      <c r="J15" s="15" t="inlineStr"/>
      <c r="K15" s="15" t="inlineStr"/>
      <c r="L15" s="16" t="n">
        <v>1</v>
      </c>
      <c r="M15" s="16">
        <f>IF(H15="not applicable",IF(K15&lt;&gt;"",1,0),IF(I15="yes",IF(H15="verified",1,0),IF(OR(H15="tested",H15="verified"),1,0)))</f>
        <v/>
      </c>
    </row>
    <row r="16" ht="43" customHeight="1">
      <c r="A16" s="15" t="inlineStr">
        <is>
          <t>DIA-08</t>
        </is>
      </c>
      <c r="B16" s="15" t="inlineStr">
        <is>
          <t>Playground</t>
        </is>
      </c>
      <c r="C16" s="15" t="inlineStr">
        <is>
          <t>Component</t>
        </is>
      </c>
      <c r="D16" s="15" t="inlineStr">
        <is>
          <t>Mobile-first constrained viewport and intentional wide layout</t>
        </is>
      </c>
      <c r="E16" s="15" t="inlineStr">
        <is>
          <t>package</t>
        </is>
      </c>
      <c r="F16" s="15" t="inlineStr">
        <is>
          <t>playground</t>
        </is>
      </c>
      <c r="G16" s="15" t="inlineStr"/>
      <c r="H16" s="15" t="inlineStr">
        <is>
          <t>not started</t>
        </is>
      </c>
      <c r="I16" s="15" t="inlineStr">
        <is>
          <t>yes</t>
        </is>
      </c>
      <c r="J16" s="15" t="inlineStr"/>
      <c r="K16" s="15" t="inlineStr"/>
      <c r="L16" s="16" t="n">
        <v>1</v>
      </c>
      <c r="M16" s="16">
        <f>IF(H16="not applicable",IF(K16&lt;&gt;"",1,0),IF(I16="yes",IF(H16="verified",1,0),IF(OR(H16="tested",H16="verified"),1,0)))</f>
        <v/>
      </c>
    </row>
    <row r="17" ht="43" customHeight="1">
      <c r="A17" s="15" t="inlineStr">
        <is>
          <t>DIA-09</t>
        </is>
      </c>
      <c r="B17" s="15" t="inlineStr">
        <is>
          <t>Playground</t>
        </is>
      </c>
      <c r="C17" s="15" t="inlineStr">
        <is>
          <t>Component</t>
        </is>
      </c>
      <c r="D17" s="15" t="inlineStr">
        <is>
          <t>Light, dark, and relevant preference modes</t>
        </is>
      </c>
      <c r="E17" s="15" t="inlineStr">
        <is>
          <t>package</t>
        </is>
      </c>
      <c r="F17" s="15" t="inlineStr">
        <is>
          <t>playground</t>
        </is>
      </c>
      <c r="G17" s="15" t="inlineStr"/>
      <c r="H17" s="15" t="inlineStr">
        <is>
          <t>not started</t>
        </is>
      </c>
      <c r="I17" s="15" t="inlineStr">
        <is>
          <t>yes</t>
        </is>
      </c>
      <c r="J17" s="15" t="inlineStr"/>
      <c r="K17" s="15" t="inlineStr"/>
      <c r="L17" s="16" t="n">
        <v>1</v>
      </c>
      <c r="M17" s="16">
        <f>IF(H17="not applicable",IF(K17&lt;&gt;"",1,0),IF(I17="yes",IF(H17="verified",1,0),IF(OR(H17="tested",H17="verified"),1,0)))</f>
        <v/>
      </c>
    </row>
    <row r="18" ht="43" customHeight="1">
      <c r="A18" s="15" t="inlineStr">
        <is>
          <t>DIA-10</t>
        </is>
      </c>
      <c r="B18" s="15" t="inlineStr">
        <is>
          <t>Playground</t>
        </is>
      </c>
      <c r="C18" s="15" t="inlineStr">
        <is>
          <t>Component</t>
        </is>
      </c>
      <c r="D18" s="15" t="inlineStr">
        <is>
          <t>Long content, localization, zoom, and RTL stress</t>
        </is>
      </c>
      <c r="E18" s="15" t="inlineStr">
        <is>
          <t>package</t>
        </is>
      </c>
      <c r="F18" s="15" t="inlineStr">
        <is>
          <t>playground</t>
        </is>
      </c>
      <c r="G18" s="15" t="inlineStr"/>
      <c r="H18" s="15" t="inlineStr">
        <is>
          <t>not started</t>
        </is>
      </c>
      <c r="I18" s="15" t="inlineStr">
        <is>
          <t>yes</t>
        </is>
      </c>
      <c r="J18" s="15" t="inlineStr"/>
      <c r="K18" s="15" t="inlineStr"/>
      <c r="L18" s="16" t="n">
        <v>1</v>
      </c>
      <c r="M18" s="16">
        <f>IF(H18="not applicable",IF(K18&lt;&gt;"",1,0),IF(I18="yes",IF(H18="verified",1,0),IF(OR(H18="tested",H18="verified"),1,0)))</f>
        <v/>
      </c>
    </row>
    <row r="19" ht="43" customHeight="1">
      <c r="A19" s="15" t="inlineStr">
        <is>
          <t>DIA-11</t>
        </is>
      </c>
      <c r="B19" s="15" t="inlineStr">
        <is>
          <t>Playground</t>
        </is>
      </c>
      <c r="C19" s="15" t="inlineStr">
        <is>
          <t>Component</t>
        </is>
      </c>
      <c r="D19" s="15" t="inlineStr">
        <is>
          <t>Token, className, style, slot, and documented part customization</t>
        </is>
      </c>
      <c r="E19" s="15" t="inlineStr">
        <is>
          <t>package</t>
        </is>
      </c>
      <c r="F19" s="15" t="inlineStr">
        <is>
          <t>playground</t>
        </is>
      </c>
      <c r="G19" s="15" t="inlineStr"/>
      <c r="H19" s="15" t="inlineStr">
        <is>
          <t>not started</t>
        </is>
      </c>
      <c r="I19" s="15" t="inlineStr">
        <is>
          <t>yes</t>
        </is>
      </c>
      <c r="J19" s="15" t="inlineStr"/>
      <c r="K19" s="15" t="inlineStr"/>
      <c r="L19" s="16" t="n">
        <v>1</v>
      </c>
      <c r="M19" s="16">
        <f>IF(H19="not applicable",IF(K19&lt;&gt;"",1,0),IF(I19="yes",IF(H19="verified",1,0),IF(OR(H19="tested",H19="verified"),1,0)))</f>
        <v/>
      </c>
    </row>
    <row r="20" ht="43" customHeight="1">
      <c r="A20" s="15" t="inlineStr">
        <is>
          <t>DIA-12</t>
        </is>
      </c>
      <c r="B20" s="15" t="inlineStr">
        <is>
          <t>Playground</t>
        </is>
      </c>
      <c r="C20" s="15" t="inlineStr">
        <is>
          <t>Component</t>
        </is>
      </c>
      <c r="D20" s="15" t="inlineStr">
        <is>
          <t>Stable route and deterministic state inputs for browser tests</t>
        </is>
      </c>
      <c r="E20" s="15" t="inlineStr">
        <is>
          <t>package</t>
        </is>
      </c>
      <c r="F20" s="15" t="inlineStr">
        <is>
          <t>playground</t>
        </is>
      </c>
      <c r="G20" s="15" t="inlineStr"/>
      <c r="H20" s="15" t="inlineStr">
        <is>
          <t>not started</t>
        </is>
      </c>
      <c r="I20" s="15" t="inlineStr">
        <is>
          <t>no</t>
        </is>
      </c>
      <c r="J20" s="15" t="inlineStr"/>
      <c r="K20" s="15" t="inlineStr"/>
      <c r="L20" s="16" t="n">
        <v>1</v>
      </c>
      <c r="M20" s="16">
        <f>IF(H20="not applicable",IF(K20&lt;&gt;"",1,0),IF(I20="yes",IF(H20="verified",1,0),IF(OR(H20="tested",H20="verified"),1,0)))</f>
        <v/>
      </c>
    </row>
    <row r="21" ht="43" customHeight="1">
      <c r="A21" s="15" t="inlineStr">
        <is>
          <t>DIA-13</t>
        </is>
      </c>
      <c r="B21" s="15" t="inlineStr">
        <is>
          <t>Automated tests</t>
        </is>
      </c>
      <c r="C21" s="15" t="inlineStr">
        <is>
          <t>Component</t>
        </is>
      </c>
      <c r="D21" s="15" t="inlineStr">
        <is>
          <t>Vitest and Testing Library component contract tests</t>
        </is>
      </c>
      <c r="E21" s="15" t="inlineStr">
        <is>
          <t>package</t>
        </is>
      </c>
      <c r="F21" s="15" t="inlineStr">
        <is>
          <t>test</t>
        </is>
      </c>
      <c r="G21" s="15" t="inlineStr"/>
      <c r="H21" s="15" t="inlineStr">
        <is>
          <t>not started</t>
        </is>
      </c>
      <c r="I21" s="15" t="inlineStr">
        <is>
          <t>no</t>
        </is>
      </c>
      <c r="J21" s="15" t="inlineStr"/>
      <c r="K21" s="15" t="inlineStr"/>
      <c r="L21" s="16" t="n">
        <v>1</v>
      </c>
      <c r="M21" s="16">
        <f>IF(H21="not applicable",IF(K21&lt;&gt;"",1,0),IF(I21="yes",IF(H21="verified",1,0),IF(OR(H21="tested",H21="verified"),1,0)))</f>
        <v/>
      </c>
    </row>
    <row r="22" ht="43" customHeight="1">
      <c r="A22" s="15" t="inlineStr">
        <is>
          <t>DIA-14</t>
        </is>
      </c>
      <c r="B22" s="15" t="inlineStr">
        <is>
          <t>Automated tests</t>
        </is>
      </c>
      <c r="C22" s="15" t="inlineStr">
        <is>
          <t>Component</t>
        </is>
      </c>
      <c r="D22" s="15" t="inlineStr">
        <is>
          <t>Public type and declaration fixtures</t>
        </is>
      </c>
      <c r="E22" s="15" t="inlineStr">
        <is>
          <t>package</t>
        </is>
      </c>
      <c r="F22" s="15" t="inlineStr">
        <is>
          <t>test</t>
        </is>
      </c>
      <c r="G22" s="15" t="inlineStr"/>
      <c r="H22" s="15" t="inlineStr">
        <is>
          <t>not started</t>
        </is>
      </c>
      <c r="I22" s="15" t="inlineStr">
        <is>
          <t>no</t>
        </is>
      </c>
      <c r="J22" s="15" t="inlineStr"/>
      <c r="K22" s="15" t="inlineStr"/>
      <c r="L22" s="16" t="n">
        <v>1</v>
      </c>
      <c r="M22" s="16">
        <f>IF(H22="not applicable",IF(K22&lt;&gt;"",1,0),IF(I22="yes",IF(H22="verified",1,0),IF(OR(H22="tested",H22="verified"),1,0)))</f>
        <v/>
      </c>
    </row>
    <row r="23" ht="43" customHeight="1">
      <c r="A23" s="15" t="inlineStr">
        <is>
          <t>DIA-15</t>
        </is>
      </c>
      <c r="B23" s="15" t="inlineStr">
        <is>
          <t>Automated tests</t>
        </is>
      </c>
      <c r="C23" s="15" t="inlineStr">
        <is>
          <t>Component</t>
        </is>
      </c>
      <c r="D23" s="15" t="inlineStr">
        <is>
          <t>Playwright keyboard, pointer, focus, and state interactions</t>
        </is>
      </c>
      <c r="E23" s="15" t="inlineStr">
        <is>
          <t>package</t>
        </is>
      </c>
      <c r="F23" s="15" t="inlineStr">
        <is>
          <t>test</t>
        </is>
      </c>
      <c r="G23" s="15" t="inlineStr"/>
      <c r="H23" s="15" t="inlineStr">
        <is>
          <t>not started</t>
        </is>
      </c>
      <c r="I23" s="15" t="inlineStr">
        <is>
          <t>no</t>
        </is>
      </c>
      <c r="J23" s="15" t="inlineStr"/>
      <c r="K23" s="15" t="inlineStr"/>
      <c r="L23" s="16" t="n">
        <v>1</v>
      </c>
      <c r="M23" s="16">
        <f>IF(H23="not applicable",IF(K23&lt;&gt;"",1,0),IF(I23="yes",IF(H23="verified",1,0),IF(OR(H23="tested",H23="verified"),1,0)))</f>
        <v/>
      </c>
    </row>
    <row r="24" ht="43" customHeight="1">
      <c r="A24" s="15" t="inlineStr">
        <is>
          <t>DIA-16</t>
        </is>
      </c>
      <c r="B24" s="15" t="inlineStr">
        <is>
          <t>Automated tests</t>
        </is>
      </c>
      <c r="C24" s="15" t="inlineStr">
        <is>
          <t>Component</t>
        </is>
      </c>
      <c r="D24" s="15" t="inlineStr">
        <is>
          <t>Axe checks for canonical browser states</t>
        </is>
      </c>
      <c r="E24" s="15" t="inlineStr">
        <is>
          <t>package</t>
        </is>
      </c>
      <c r="F24" s="15" t="inlineStr">
        <is>
          <t>test</t>
        </is>
      </c>
      <c r="G24" s="15" t="inlineStr"/>
      <c r="H24" s="15" t="inlineStr">
        <is>
          <t>not started</t>
        </is>
      </c>
      <c r="I24" s="15" t="inlineStr">
        <is>
          <t>no</t>
        </is>
      </c>
      <c r="J24" s="15" t="inlineStr"/>
      <c r="K24" s="15" t="inlineStr"/>
      <c r="L24" s="16" t="n">
        <v>1</v>
      </c>
      <c r="M24" s="16">
        <f>IF(H24="not applicable",IF(K24&lt;&gt;"",1,0),IF(I24="yes",IF(H24="verified",1,0),IF(OR(H24="tested",H24="verified"),1,0)))</f>
        <v/>
      </c>
    </row>
    <row r="25" ht="43" customHeight="1">
      <c r="A25" s="15" t="inlineStr">
        <is>
          <t>DIA-17</t>
        </is>
      </c>
      <c r="B25" s="15" t="inlineStr">
        <is>
          <t>Automated tests</t>
        </is>
      </c>
      <c r="C25" s="15" t="inlineStr">
        <is>
          <t>Component</t>
        </is>
      </c>
      <c r="D25" s="15" t="inlineStr">
        <is>
          <t>Risk-based Chromium visual baselines reviewed</t>
        </is>
      </c>
      <c r="E25" s="15" t="inlineStr">
        <is>
          <t>package</t>
        </is>
      </c>
      <c r="F25" s="15" t="inlineStr">
        <is>
          <t>test</t>
        </is>
      </c>
      <c r="G25" s="15" t="inlineStr"/>
      <c r="H25" s="15" t="inlineStr">
        <is>
          <t>not started</t>
        </is>
      </c>
      <c r="I25" s="15" t="inlineStr">
        <is>
          <t>yes</t>
        </is>
      </c>
      <c r="J25" s="15" t="inlineStr"/>
      <c r="K25" s="15" t="inlineStr"/>
      <c r="L25" s="16" t="n">
        <v>1</v>
      </c>
      <c r="M25" s="16">
        <f>IF(H25="not applicable",IF(K25&lt;&gt;"",1,0),IF(I25="yes",IF(H25="verified",1,0),IF(OR(H25="tested",H25="verified"),1,0)))</f>
        <v/>
      </c>
    </row>
    <row r="26" ht="43" customHeight="1">
      <c r="A26" s="15" t="inlineStr">
        <is>
          <t>DIA-18</t>
        </is>
      </c>
      <c r="B26" s="15" t="inlineStr">
        <is>
          <t>Automated tests</t>
        </is>
      </c>
      <c r="C26" s="15" t="inlineStr">
        <is>
          <t>Component</t>
        </is>
      </c>
      <c r="D26" s="15" t="inlineStr">
        <is>
          <t>Relevant Chromium, Firefox, WebKit, and mobile-profile checks</t>
        </is>
      </c>
      <c r="E26" s="15" t="inlineStr">
        <is>
          <t>package</t>
        </is>
      </c>
      <c r="F26" s="15" t="inlineStr">
        <is>
          <t>test</t>
        </is>
      </c>
      <c r="G26" s="15" t="inlineStr"/>
      <c r="H26" s="15" t="inlineStr">
        <is>
          <t>not started</t>
        </is>
      </c>
      <c r="I26" s="15" t="inlineStr">
        <is>
          <t>no</t>
        </is>
      </c>
      <c r="J26" s="15" t="inlineStr"/>
      <c r="K26" s="15" t="inlineStr"/>
      <c r="L26" s="16" t="n">
        <v>1</v>
      </c>
      <c r="M26" s="16">
        <f>IF(H26="not applicable",IF(K26&lt;&gt;"",1,0),IF(I26="yes",IF(H26="verified",1,0),IF(OR(H26="tested",H26="verified"),1,0)))</f>
        <v/>
      </c>
    </row>
    <row r="27" ht="43" customHeight="1">
      <c r="A27" s="15" t="inlineStr">
        <is>
          <t>DIA-19</t>
        </is>
      </c>
      <c r="B27" s="15" t="inlineStr">
        <is>
          <t>Automated tests</t>
        </is>
      </c>
      <c r="C27" s="15" t="inlineStr">
        <is>
          <t>Component</t>
        </is>
      </c>
      <c r="D27" s="15" t="inlineStr">
        <is>
          <t>SSR or server-safe consumer behavior where applicable</t>
        </is>
      </c>
      <c r="E27" s="15" t="inlineStr">
        <is>
          <t>package</t>
        </is>
      </c>
      <c r="F27" s="15" t="inlineStr">
        <is>
          <t>test</t>
        </is>
      </c>
      <c r="G27" s="15" t="inlineStr"/>
      <c r="H27" s="15" t="inlineStr">
        <is>
          <t>not started</t>
        </is>
      </c>
      <c r="I27" s="15" t="inlineStr">
        <is>
          <t>no</t>
        </is>
      </c>
      <c r="J27" s="15" t="inlineStr"/>
      <c r="K27" s="15" t="inlineStr"/>
      <c r="L27" s="16" t="n">
        <v>1</v>
      </c>
      <c r="M27" s="16">
        <f>IF(H27="not applicable",IF(K27&lt;&gt;"",1,0),IF(I27="yes",IF(H27="verified",1,0),IF(OR(H27="tested",H27="verified"),1,0)))</f>
        <v/>
      </c>
    </row>
    <row r="28" ht="43" customHeight="1">
      <c r="A28" s="15" t="inlineStr">
        <is>
          <t>DIA-20</t>
        </is>
      </c>
      <c r="B28" s="15" t="inlineStr">
        <is>
          <t>Manual evidence</t>
        </is>
      </c>
      <c r="C28" s="15" t="inlineStr">
        <is>
          <t>Component</t>
        </is>
      </c>
      <c r="D28" s="15" t="inlineStr">
        <is>
          <t>Numbered component manual-test protocol is complete</t>
        </is>
      </c>
      <c r="E28" s="15" t="inlineStr">
        <is>
          <t>package</t>
        </is>
      </c>
      <c r="F28" s="15" t="inlineStr">
        <is>
          <t>manual</t>
        </is>
      </c>
      <c r="G28" s="15" t="inlineStr"/>
      <c r="H28" s="15" t="inlineStr">
        <is>
          <t>not started</t>
        </is>
      </c>
      <c r="I28" s="15" t="inlineStr">
        <is>
          <t>no</t>
        </is>
      </c>
      <c r="J28" s="15" t="inlineStr"/>
      <c r="K28" s="15" t="inlineStr"/>
      <c r="L28" s="16" t="n">
        <v>1</v>
      </c>
      <c r="M28" s="16">
        <f>IF(H28="not applicable",IF(K28&lt;&gt;"",1,0),IF(I28="yes",IF(H28="verified",1,0),IF(OR(H28="tested",H28="verified"),1,0)))</f>
        <v/>
      </c>
    </row>
    <row r="29" ht="43" customHeight="1">
      <c r="A29" s="15" t="inlineStr">
        <is>
          <t>DIA-21</t>
        </is>
      </c>
      <c r="B29" s="15" t="inlineStr">
        <is>
          <t>Manual evidence</t>
        </is>
      </c>
      <c r="C29" s="15" t="inlineStr">
        <is>
          <t>Component</t>
        </is>
      </c>
      <c r="D29" s="15" t="inlineStr">
        <is>
          <t>Latest required manual run is recorded and passes</t>
        </is>
      </c>
      <c r="E29" s="15" t="inlineStr">
        <is>
          <t>package</t>
        </is>
      </c>
      <c r="F29" s="15" t="inlineStr">
        <is>
          <t>manual</t>
        </is>
      </c>
      <c r="G29" s="15" t="inlineStr"/>
      <c r="H29" s="15" t="inlineStr">
        <is>
          <t>not started</t>
        </is>
      </c>
      <c r="I29" s="15" t="inlineStr">
        <is>
          <t>yes</t>
        </is>
      </c>
      <c r="J29" s="15" t="inlineStr"/>
      <c r="K29" s="15" t="inlineStr"/>
      <c r="L29" s="16" t="n">
        <v>1</v>
      </c>
      <c r="M29" s="16">
        <f>IF(H29="not applicable",IF(K29&lt;&gt;"",1,0),IF(I29="yes",IF(H29="verified",1,0),IF(OR(H29="tested",H29="verified"),1,0)))</f>
        <v/>
      </c>
    </row>
    <row r="30" ht="43" customHeight="1">
      <c r="A30" s="15" t="inlineStr">
        <is>
          <t>DIA-22</t>
        </is>
      </c>
      <c r="B30" s="15" t="inlineStr">
        <is>
          <t>Documentation</t>
        </is>
      </c>
      <c r="C30" s="15" t="inlineStr">
        <is>
          <t>Component</t>
        </is>
      </c>
      <c r="D30" s="15" t="inlineStr">
        <is>
          <t>Public component documentation follows the standard template</t>
        </is>
      </c>
      <c r="E30" s="15" t="inlineStr">
        <is>
          <t>package</t>
        </is>
      </c>
      <c r="F30" s="15" t="inlineStr">
        <is>
          <t>docs</t>
        </is>
      </c>
      <c r="G30" s="15" t="inlineStr"/>
      <c r="H30" s="15" t="inlineStr">
        <is>
          <t>not started</t>
        </is>
      </c>
      <c r="I30" s="15" t="inlineStr">
        <is>
          <t>yes</t>
        </is>
      </c>
      <c r="J30" s="15" t="inlineStr"/>
      <c r="K30" s="15" t="inlineStr"/>
      <c r="L30" s="16" t="n">
        <v>1</v>
      </c>
      <c r="M30" s="16">
        <f>IF(H30="not applicable",IF(K30&lt;&gt;"",1,0),IF(I30="yes",IF(H30="verified",1,0),IF(OR(H30="tested",H30="verified"),1,0)))</f>
        <v/>
      </c>
    </row>
    <row r="31" ht="43" customHeight="1">
      <c r="A31" s="15" t="inlineStr">
        <is>
          <t>DIA-23</t>
        </is>
      </c>
      <c r="B31" s="15" t="inlineStr">
        <is>
          <t>Documentation</t>
        </is>
      </c>
      <c r="C31" s="15" t="inlineStr">
        <is>
          <t>Component</t>
        </is>
      </c>
      <c r="D31" s="15" t="inlineStr">
        <is>
          <t>Component changelog and applicable package release notes are updated</t>
        </is>
      </c>
      <c r="E31" s="15" t="inlineStr">
        <is>
          <t>package</t>
        </is>
      </c>
      <c r="F31" s="15" t="inlineStr">
        <is>
          <t>docs</t>
        </is>
      </c>
      <c r="G31" s="15" t="inlineStr"/>
      <c r="H31" s="15" t="inlineStr">
        <is>
          <t>not started</t>
        </is>
      </c>
      <c r="I31" s="15" t="inlineStr">
        <is>
          <t>no</t>
        </is>
      </c>
      <c r="J31" s="15" t="inlineStr"/>
      <c r="K31" s="15" t="inlineStr"/>
      <c r="L31" s="16" t="n">
        <v>1</v>
      </c>
      <c r="M31" s="16">
        <f>IF(H31="not applicable",IF(K31&lt;&gt;"",1,0),IF(I31="yes",IF(H31="verified",1,0),IF(OR(H31="tested",H31="verified"),1,0)))</f>
        <v/>
      </c>
    </row>
    <row r="32" ht="43" customHeight="1">
      <c r="A32" s="15" t="inlineStr">
        <is>
          <t>DIA-24</t>
        </is>
      </c>
      <c r="B32" s="15" t="inlineStr">
        <is>
          <t>Consumer</t>
        </is>
      </c>
      <c r="C32" s="15" t="inlineStr">
        <is>
          <t>Component</t>
        </is>
      </c>
      <c r="D32" s="15" t="inlineStr">
        <is>
          <t>Live consumer cutover is verified without adding new legacy Core coupling</t>
        </is>
      </c>
      <c r="E32" s="15" t="inlineStr">
        <is>
          <t>consumer</t>
        </is>
      </c>
      <c r="F32" s="15" t="inlineStr">
        <is>
          <t>consumer</t>
        </is>
      </c>
      <c r="G32" s="15" t="inlineStr"/>
      <c r="H32" s="15" t="inlineStr">
        <is>
          <t>not started</t>
        </is>
      </c>
      <c r="I32" s="15" t="inlineStr">
        <is>
          <t>yes</t>
        </is>
      </c>
      <c r="J32" s="15" t="inlineStr"/>
      <c r="K32" s="15" t="inlineStr"/>
      <c r="L32" s="16" t="n">
        <v>1</v>
      </c>
      <c r="M32" s="16">
        <f>IF(H32="not applicable",IF(K32&lt;&gt;"",1,0),IF(I32="yes",IF(H32="verified",1,0),IF(OR(H32="tested",H32="verified"),1,0)))</f>
        <v/>
      </c>
    </row>
    <row r="33" ht="43" customHeight="1">
      <c r="A33" s="15" t="inlineStr">
        <is>
          <t>DIA-25</t>
        </is>
      </c>
      <c r="B33" s="15" t="inlineStr">
        <is>
          <t>Retirement</t>
        </is>
      </c>
      <c r="C33" s="15" t="inlineStr">
        <is>
          <t>Component</t>
        </is>
      </c>
      <c r="D33" s="15" t="inlineStr">
        <is>
          <t>Legacy Core slice and authorized stale consumer evidence are removed</t>
        </is>
      </c>
      <c r="E33" s="15" t="inlineStr">
        <is>
          <t>retirement</t>
        </is>
      </c>
      <c r="F33" s="15" t="inlineStr">
        <is>
          <t>removal</t>
        </is>
      </c>
      <c r="G33" s="15" t="inlineStr"/>
      <c r="H33" s="15" t="inlineStr">
        <is>
          <t>not started</t>
        </is>
      </c>
      <c r="I33" s="15" t="inlineStr">
        <is>
          <t>yes</t>
        </is>
      </c>
      <c r="J33" s="15" t="inlineStr"/>
      <c r="K33" s="15" t="inlineStr"/>
      <c r="L33" s="16" t="n">
        <v>1</v>
      </c>
      <c r="M33" s="16">
        <f>IF(H33="not applicable",IF(K33&lt;&gt;"",1,0),IF(I33="yes",IF(H33="verified",1,0),IF(OR(H33="tested",H33="verified"),1,0)))</f>
        <v/>
      </c>
    </row>
  </sheetData>
  <autoFilter ref="A8:M33"/>
  <mergeCells count="3">
    <mergeCell ref="A2:M2"/>
    <mergeCell ref="A6:M6"/>
    <mergeCell ref="A1:M1"/>
  </mergeCells>
  <conditionalFormatting sqref="H9:H33">
    <cfRule type="expression" priority="1" dxfId="0">
      <formula>$H9="not started"</formula>
    </cfRule>
    <cfRule type="expression" priority="2" dxfId="1">
      <formula>$H9="partial"</formula>
    </cfRule>
    <cfRule type="expression" priority="3" dxfId="2">
      <formula>$H9="implemented"</formula>
    </cfRule>
    <cfRule type="expression" priority="4" dxfId="3">
      <formula>$H9="tested"</formula>
    </cfRule>
    <cfRule type="expression" priority="5" dxfId="4">
      <formula>$H9="verified"</formula>
    </cfRule>
    <cfRule type="expression" priority="6" dxfId="5">
      <formula>$H9="blocked"</formula>
    </cfRule>
    <cfRule type="expression" priority="7" dxfId="6">
      <formula>$H9="not applicable"</formula>
    </cfRule>
  </conditionalFormatting>
  <dataValidations count="2">
    <dataValidation sqref="H9:H33" showDropDown="0" showInputMessage="0" showErrorMessage="0" allowBlank="0" type="list">
      <formula1>=_Lists!$A$1:$A$7</formula1>
    </dataValidation>
    <dataValidation sqref="I9:I33" showDropDown="0" showInputMessage="0" showErrorMessage="0" allowBlank="0" type="list">
      <formula1>=_Lists!$B$1:$B$2</formula1>
    </dataValidation>
  </dataValidation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 started</t>
        </is>
      </c>
      <c r="B1" t="inlineStr">
        <is>
          <t>yes</t>
        </is>
      </c>
    </row>
    <row r="2">
      <c r="A2" t="inlineStr">
        <is>
          <t>partial</t>
        </is>
      </c>
      <c r="B2" t="inlineStr">
        <is>
          <t>no</t>
        </is>
      </c>
    </row>
    <row r="3">
      <c r="A3" t="inlineStr">
        <is>
          <t>implemented</t>
        </is>
      </c>
    </row>
    <row r="4">
      <c r="A4" t="inlineStr">
        <is>
          <t>tested</t>
        </is>
      </c>
    </row>
    <row r="5">
      <c r="A5" t="inlineStr">
        <is>
          <t>verified</t>
        </is>
      </c>
    </row>
    <row r="6">
      <c r="A6" t="inlineStr">
        <is>
          <t>blocked</t>
        </is>
      </c>
    </row>
    <row r="7">
      <c r="A7" t="inlineStr">
        <is>
          <t>not applicable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 UI</dc:creator>
  <dc:title xmlns:dc="http://purl.org/dc/elements/1.1/">Brick Component Coverage</dc:title>
  <dc:subject xmlns:dc="http://purl.org/dc/elements/1.1/">Reference component quality and retirement evidence</dc:subject>
  <dcterms:created xmlns:dcterms="http://purl.org/dc/terms/" xmlns:xsi="http://www.w3.org/2001/XMLSchema-instance" xsi:type="dcterms:W3CDTF">2026-07-16T17:23:54Z</dcterms:created>
  <dcterms:modified xmlns:dcterms="http://purl.org/dc/terms/" xmlns:xsi="http://www.w3.org/2001/XMLSchema-instance" xsi:type="dcterms:W3CDTF">2026-07-16T17:23:54Z</dcterms:modified>
</cp:coreProperties>
</file>