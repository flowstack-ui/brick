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.xml" ContentType="application/vnd.openxmlformats-officedocument.spreadsheetml.table+xml"/>
  <Override PartName="/xl/tables/table23.xml" ContentType="application/vnd.openxmlformats-officedocument.spreadsheetml.table+xml"/>
  <Override PartName="/xl/tables/table1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20.xml" ContentType="application/vnd.openxmlformats-officedocument.spreadsheetml.table+xml"/>
  <Override PartName="/xl/tables/table6.xml" ContentType="application/vnd.openxmlformats-officedocument.spreadsheetml.table+xml"/>
  <Override PartName="/xl/tables/table21.xml" ContentType="application/vnd.openxmlformats-officedocument.spreadsheetml.table+xml"/>
  <Override PartName="/xl/tables/table17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11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8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41.xml" ContentType="application/vnd.openxmlformats-officedocument.spreadsheetml.worksheet+xml"/>
  <Override PartName="/xl/worksheets/sheet6.xml" ContentType="application/vnd.openxmlformats-officedocument.spreadsheetml.worksheet+xml"/>
  <Override PartName="/xl/worksheets/sheet19.xml" ContentType="application/vnd.openxmlformats-officedocument.spreadsheetml.worksheet+xml"/>
  <Override PartName="/xl/worksheets/sheet35.xml" ContentType="application/vnd.openxmlformats-officedocument.spreadsheetml.worksheet+xml"/>
  <Override PartName="/xl/worksheets/sheet11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33.xml" ContentType="application/vnd.openxmlformats-officedocument.spreadsheetml.worksheet+xml"/>
  <Override PartName="/xl/worksheets/sheet21.xml" ContentType="application/vnd.openxmlformats-officedocument.spreadsheetml.worksheet+xml"/>
  <Override PartName="/xl/worksheets/sheet23.xml" ContentType="application/vnd.openxmlformats-officedocument.spreadsheetml.worksheet+xml"/>
  <Override PartName="/xl/worksheets/sheet31.xml" ContentType="application/vnd.openxmlformats-officedocument.spreadsheetml.worksheet+xml"/>
  <Override PartName="/xl/worksheets/sheet46.xml" ContentType="application/vnd.openxmlformats-officedocument.spreadsheetml.worksheet+xml"/>
  <Override PartName="/xl/worksheets/sheet32.xml" ContentType="application/vnd.openxmlformats-officedocument.spreadsheetml.worksheet+xml"/>
  <Override PartName="/xl/worksheets/sheet34.xml" ContentType="application/vnd.openxmlformats-officedocument.spreadsheetml.worksheet+xml"/>
  <Override PartName="/xl/worksheets/sheet3.xml" ContentType="application/vnd.openxmlformats-officedocument.spreadsheetml.worksheet+xml"/>
  <Override PartName="/xl/worksheets/sheet36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4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8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55.xml" ContentType="application/vnd.openxmlformats-officedocument.spreadsheetml.worksheet+xml"/>
  <Override PartName="/xl/worksheets/sheet49.xml" ContentType="application/vnd.openxmlformats-officedocument.spreadsheetml.worksheet+xml"/>
  <Override PartName="/xl/worksheets/sheet47.xml" ContentType="application/vnd.openxmlformats-officedocument.spreadsheetml.worksheet+xml"/>
  <Override PartName="/xl/worksheets/sheet12.xml" ContentType="application/vnd.openxmlformats-officedocument.spreadsheetml.worksheet+xml"/>
  <Override PartName="/xl/worksheets/sheet50.xml" ContentType="application/vnd.openxmlformats-officedocument.spreadsheetml.worksheet+xml"/>
  <Override PartName="/xl/worksheets/sheet3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3.xml" ContentType="application/vnd.openxmlformats-officedocument.spreadsheetml.worksheet+xml"/>
  <Override PartName="/xl/worksheets/sheet28.xml" ContentType="application/vnd.openxmlformats-officedocument.spreadsheetml.worksheet+xml"/>
  <Override PartName="/xl/worksheets/sheet54.xml" ContentType="application/vnd.openxmlformats-officedocument.spreadsheetml.worksheet+xml"/>
  <Override PartName="/xl/worksheets/sheet52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Tooltip" sheetId="27" state="visible" r:id="rId29"/>
    <sheet name="Grid" sheetId="28" state="visible" r:id="rId30"/>
    <sheet name="Container" sheetId="29" state="visible" r:id="rId31"/>
    <sheet name="Surface" sheetId="30" state="visible" r:id="rId32"/>
    <sheet name="Divider" sheetId="31" state="visible" r:id="rId33"/>
    <sheet name="Scroll Area" sheetId="32" state="visible" r:id="rId34"/>
    <sheet name="Code" sheetId="33" state="visible" r:id="rId35"/>
    <sheet name="Code Block" sheetId="34" state="visible" r:id="rId36"/>
    <sheet name="Nav List" sheetId="35" state="visible" r:id="rId37"/>
    <sheet name="Sidebar" sheetId="36" state="visible" r:id="rId38"/>
    <sheet name="Icon" sheetId="37" state="visible" r:id="rId39"/>
    <sheet name="Image" sheetId="38" state="visible" r:id="rId40"/>
    <sheet name="List" sheetId="39" state="visible" r:id="rId41"/>
    <sheet name="Select" sheetId="40" state="visible" r:id="rId42"/>
    <sheet name="Multi Select" sheetId="41" state="visible" r:id="rId43"/>
    <sheet name="Textarea" sheetId="42" state="visible" r:id="rId44"/>
    <sheet name="Radio Group" sheetId="43" state="visible" r:id="rId45"/>
    <sheet name="Switch" sheetId="44" state="visible" r:id="rId46"/>
    <sheet name="Breadcrumb" sheetId="45" state="visible" r:id="rId47"/>
    <sheet name="Tabs" sheetId="46" state="visible" r:id="rId48"/>
    <sheet name="Skeleton" sheetId="47" state="visible" r:id="rId49"/>
    <sheet name="Dropdown Menu" sheetId="48" state="visible" r:id="rId50"/>
    <sheet name="Context Menu" sheetId="49" state="visible" r:id="rId51"/>
    <sheet name="Menubar" sheetId="50" state="visible" r:id="rId52"/>
    <sheet name="Navigation Menu" sheetId="51" state="visible" r:id="rId53"/>
    <sheet name="Bottom Navigation" sheetId="52" state="visible" r:id="rId54"/>
    <sheet name="Visually Hidden" sheetId="53" state="visible" r:id="rId55"/>
    <sheet name="Collapsible" sheetId="54" state="visible" r:id="rId56"/>
    <sheet name="Accordion" sheetId="55" state="visible" r:id="rId57"/>
    <sheet name="Toast" sheetId="56" state="visible" r:id="rId58"/>
  </sheets>
  <definedNames>
    <definedName function="false" hidden="true" localSheetId="51" name="_xlnm._FilterDatabase" vbProcedure="false">'Bottom Navigation'!$A$8:$M$36</definedName>
    <definedName function="false" hidden="true" localSheetId="53" name="_xlnm._FilterDatabase" vbProcedure="false">Collapsible!$A$8:$M$33</definedName>
    <definedName function="false" hidden="false" localSheetId="0" name="_xlnm.Print_Area" vbProcedure="false">Index!$A$1:$M$60</definedName>
    <definedName function="false" hidden="true" localSheetId="0" name="_xlnm._FilterDatabase" vbProcedure="false">Index!$A$7:$M$60</definedName>
    <definedName function="false" hidden="true" localSheetId="42" name="_xlnm._FilterDatabase" vbProcedure="false">'Radio Group'!$A$8:$M$28</definedName>
    <definedName function="false" hidden="true" localSheetId="39" name="_xlnm._FilterDatabase" vbProcedure="false">Select!$A$8:$M$30</definedName>
    <definedName function="false" hidden="true" localSheetId="46" name="_xlnm._FilterDatabase" vbProcedure="false">Skeleton!$A$8:$M$30</definedName>
    <definedName function="false" hidden="true" localSheetId="45" name="_xlnm._FilterDatabase" vbProcedure="false">Tabs!$A$8:$M$31</definedName>
    <definedName function="false" hidden="true" localSheetId="41" name="_xlnm._FilterDatabase" vbProcedure="false">Textarea!$A$8:$M$30</definedName>
    <definedName function="false" hidden="false" localSheetId="55" name="_xlnm.Print_Area" vbProcedure="false">Toast!$A$1:$M$39</definedName>
    <definedName function="false" hidden="false" localSheetId="55" name="_xlnm.Print_Titles" vbProcedure="false">Toast!$1:$8</definedName>
    <definedName function="false" hidden="true" localSheetId="55" name="_xlnm._FilterDatabase" vbProcedure="false">Toast!$A$8:$M$39</definedName>
    <definedName function="false" hidden="true" localSheetId="52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<sst xmlns="http://schemas.openxmlformats.org/spreadsheetml/2006/main" count="10386" uniqueCount="2481">
  <si>
    <t xml:space="preserve">Brick Component Coverage</t>
  </si>
  <si>
    <t xml:space="preserve">Components</t>
  </si>
  <si>
    <t xml:space="preserve">Complete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</si>
  <si>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</si>
  <si>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</si>
  <si>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</si>
  <si>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</si>
  <si>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</si>
  <si>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</si>
  <si>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</si>
  <si>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</si>
  <si>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Blocked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</si>
  <si>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</si>
  <si>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</si>
  <si>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</si>
  <si>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</si>
  <si>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</si>
  <si>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</si>
  <si>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</si>
  <si>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</si>
  <si>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</si>
  <si>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</si>
  <si>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</si>
  <si>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</si>
  <si>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</si>
  <si>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</si>
  <si>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</si>
  <si>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</si>
  <si>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</si>
  <si>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</si>
  <si>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</si>
  <si>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</si>
  <si>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</si>
  <si>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</si>
  <si>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</si>
  <si>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</si>
  <si>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</si>
  <si>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</si>
  <si>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</si>
  <si>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</si>
  <si>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</si>
  <si>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</si>
  <si>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</si>
  <si>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</si>
  <si>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</si>
  <si>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</si>
  <si>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</si>
  <si>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</si>
  <si>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</si>
  <si>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</si>
  <si>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</si>
  <si>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</si>
  <si>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</si>
  <si>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</si>
  <si>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</si>
  <si>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</si>
  <si>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</si>
  <si>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</si>
  <si>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</si>
  <si>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</si>
  <si>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</si>
  <si>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</si>
  <si>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</si>
  <si>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</si>
  <si>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</si>
  <si>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</si>
  <si>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</si>
  <si>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</si>
  <si>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</si>
  <si>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</si>
  <si>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</si>
  <si>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</si>
  <si>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</si>
  <si>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</si>
  <si>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</si>
  <si>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</si>
  <si>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exported public component owns one sheet. Family integration never replaces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</si>
  <si>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</si>
  <si>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</si>
  <si>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</si>
  <si>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</si>
  <si>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</si>
  <si>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</si>
  <si>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</si>
  <si>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</si>
  <si>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</si>
  <si>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</si>
  <si>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</si>
  <si>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</si>
  <si>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</si>
  <si>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</si>
  <si>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</si>
  <si>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The owner confirmed every current component protocol completed on 2026-07-24.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</si>
  <si>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</si>
  <si>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</si>
  <si>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</si>
  <si>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</si>
  <si>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</si>
  <si>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</si>
  <si>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</si>
  <si>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</si>
  <si>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</si>
  <si>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</si>
  <si>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</si>
  <si>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</si>
  <si>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</si>
  <si>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</si>
  <si>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</si>
  <si>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</si>
  <si>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</si>
  <si>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</si>
  <si>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</si>
  <si>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</si>
  <si>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</si>
  <si>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</si>
  <si>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</si>
  <si>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</si>
  <si>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</si>
  <si>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</si>
  <si>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</si>
  <si>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</si>
  <si>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</si>
  <si>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</si>
  <si>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</si>
  <si>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</si>
  <si>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</si>
  <si>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</si>
  <si>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</si>
  <si>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</si>
  <si>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</si>
  <si>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</si>
  <si>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</si>
  <si>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</si>
  <si>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</si>
  <si>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</si>
  <si>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</si>
  <si>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</si>
  <si>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</si>
  <si>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</si>
  <si>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</si>
  <si>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</si>
  <si>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</si>
  <si>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</si>
  <si>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</si>
  <si>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</si>
  <si>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</si>
  <si>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</si>
  <si>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</si>
  <si>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</si>
  <si>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</si>
  <si>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</si>
  <si>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</si>
  <si>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</si>
  <si>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</si>
  <si>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</si>
  <si>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</si>
  <si>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</si>
  <si>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</si>
  <si>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</si>
  <si>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</si>
  <si>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</si>
  <si>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</si>
  <si>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</si>
  <si>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</si>
  <si>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</si>
  <si>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</si>
  <si>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</si>
  <si>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</si>
  <si>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</si>
  <si>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</si>
  <si>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</si>
  <si>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</si>
  <si>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</si>
  <si>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</si>
  <si>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</si>
  <si>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</si>
  <si>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</si>
  <si>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</si>
  <si>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</si>
  <si>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</si>
  <si>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</si>
  <si>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</si>
  <si>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</si>
  <si>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</si>
  <si>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</si>
  <si>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</si>
  <si>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</si>
  <si>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</si>
  <si>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</si>
  <si>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</si>
  <si>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</si>
  <si>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</si>
  <si>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</si>
  <si>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</si>
  <si>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</si>
  <si>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</si>
  <si>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</si>
  <si>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</si>
  <si>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</si>
  <si>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</si>
  <si>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</si>
  <si>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</si>
  <si>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</si>
  <si>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</si>
  <si>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</si>
  <si>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</si>
  <si>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</si>
  <si>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</si>
  <si>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</si>
  <si>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</si>
  <si>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</si>
  <si>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</si>
  <si>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</si>
  <si>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</si>
  <si>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</si>
  <si>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</si>
  <si>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</si>
  <si>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</si>
  <si>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</si>
  <si>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</si>
  <si>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</si>
  <si>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</si>
  <si>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</si>
  <si>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</si>
  <si>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</si>
  <si>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</si>
  <si>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</si>
  <si>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</si>
  <si>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</si>
  <si>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</si>
  <si>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</si>
  <si>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</si>
  <si>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</si>
  <si>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</si>
  <si>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</si>
  <si>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</si>
  <si>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</si>
  <si>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</si>
  <si>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</si>
  <si>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</si>
  <si>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</si>
  <si>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</si>
  <si>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</si>
  <si>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</si>
  <si>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</si>
  <si>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</si>
  <si>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</si>
  <si>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</si>
  <si>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</si>
  <si>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</si>
  <si>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</si>
  <si>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</si>
  <si>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</si>
  <si>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</si>
  <si>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</si>
  <si>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</si>
  <si>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</si>
  <si>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</si>
  <si>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</si>
  <si>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</si>
  <si>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</si>
  <si>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</si>
  <si>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</si>
  <si>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</si>
  <si>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</si>
  <si>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</si>
  <si>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</si>
  <si>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</si>
  <si>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</si>
  <si>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</si>
  <si>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</si>
  <si>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</si>
  <si>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</si>
  <si>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</si>
  <si>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</si>
  <si>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</si>
  <si>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</si>
  <si>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</si>
  <si>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</si>
  <si>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</si>
  <si>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</si>
  <si>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</si>
  <si>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</si>
  <si>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</si>
  <si>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</si>
  <si>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</si>
  <si>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</si>
  <si>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</si>
  <si>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</si>
  <si>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</si>
  <si>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</si>
  <si>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</si>
  <si>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</si>
  <si>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</si>
  <si>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</si>
  <si>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</si>
  <si>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</si>
  <si>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</si>
  <si>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</si>
  <si>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</si>
  <si>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</si>
  <si>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</si>
  <si>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</si>
  <si>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</si>
  <si>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</si>
  <si>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</si>
  <si>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</si>
  <si>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</si>
  <si>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</si>
  <si>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</si>
  <si>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</si>
  <si>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</si>
  <si>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</si>
  <si>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</si>
  <si>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</si>
  <si>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</si>
  <si>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</si>
  <si>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</si>
  <si>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</si>
  <si>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</si>
  <si>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</si>
  <si>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</si>
  <si>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</si>
  <si>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</si>
  <si>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</si>
  <si>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</si>
  <si>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</si>
  <si>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</si>
  <si>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</si>
  <si>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</si>
  <si>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</si>
  <si>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</si>
  <si>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</si>
  <si>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</si>
  <si>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</si>
  <si>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</si>
  <si>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</si>
  <si>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</si>
  <si>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</si>
  <si>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</si>
  <si>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</si>
  <si>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</si>
  <si>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</si>
  <si>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</si>
  <si>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</si>
  <si>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</si>
  <si>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</si>
  <si>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</si>
  <si>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</si>
  <si>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</si>
  <si>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</si>
  <si>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</si>
  <si>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</si>
  <si>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</si>
  <si>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</si>
  <si>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</si>
  <si>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</si>
  <si>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</si>
  <si>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</si>
  <si>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</si>
  <si>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</si>
  <si>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</si>
  <si>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</si>
  <si>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</si>
  <si>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</si>
  <si>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</si>
  <si>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</si>
  <si>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</si>
  <si>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</si>
  <si>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</si>
  <si>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</si>
  <si>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</si>
  <si>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</si>
  <si>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</si>
  <si>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</si>
  <si>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</si>
  <si>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</si>
  <si>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</si>
  <si>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</si>
  <si>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</si>
  <si>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</si>
  <si>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</si>
  <si>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</si>
  <si>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</si>
  <si>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</si>
  <si>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</si>
  <si>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</si>
  <si>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</si>
  <si>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</si>
  <si>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</si>
  <si>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</si>
  <si>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</si>
  <si>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</si>
  <si>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</si>
  <si>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</si>
  <si>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</si>
  <si>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</si>
  <si>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</si>
  <si>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</si>
  <si>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</si>
  <si>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</si>
  <si>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</si>
  <si>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</si>
  <si>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</si>
  <si>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</si>
  <si>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</si>
  <si>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</si>
  <si>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</si>
  <si>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</si>
  <si>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</si>
  <si>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</si>
  <si>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</si>
  <si>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</si>
  <si>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</si>
  <si>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</si>
  <si>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</si>
  <si>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</si>
  <si>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</si>
  <si>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</si>
  <si>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</si>
  <si>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</si>
  <si>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</si>
  <si>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</si>
  <si>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</si>
  <si>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</si>
  <si>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</si>
  <si>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</si>
  <si>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</si>
  <si>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</si>
  <si>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</si>
  <si>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</si>
  <si>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</si>
  <si>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</si>
  <si>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</si>
  <si>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</si>
  <si>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</si>
  <si>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</si>
  <si>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</si>
  <si>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</si>
  <si>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</si>
  <si>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</si>
  <si>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</si>
  <si>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</si>
  <si>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</si>
  <si>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</si>
  <si>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</si>
  <si>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</si>
  <si>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</si>
  <si>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</si>
  <si>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</si>
  <si>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</si>
  <si>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</si>
  <si>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</si>
  <si>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</si>
  <si>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</si>
  <si>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</si>
  <si>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</si>
  <si>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</si>
  <si>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</si>
  <si>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</si>
  <si>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</si>
  <si>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</si>
  <si>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</si>
  <si>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</si>
  <si>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</si>
  <si>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</si>
  <si>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</si>
  <si>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</si>
  <si>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</si>
  <si>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</si>
  <si>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</si>
  <si>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</si>
  <si>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</si>
  <si>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</si>
  <si>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</si>
  <si>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</si>
  <si>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</si>
  <si>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</si>
  <si>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</si>
  <si>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</si>
  <si>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</si>
  <si>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</si>
  <si>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</si>
  <si>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</si>
  <si>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</si>
  <si>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</si>
  <si>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</si>
  <si>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</si>
  <si>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</si>
  <si>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</si>
  <si>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</si>
  <si>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</si>
  <si>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</si>
  <si>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</si>
  <si>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</si>
  <si>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</si>
  <si>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</si>
  <si>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</si>
  <si>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</si>
  <si>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</si>
  <si>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</si>
  <si>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</si>
  <si>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</si>
  <si>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</si>
  <si>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</si>
  <si>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</si>
  <si>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</si>
  <si>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</si>
  <si>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</si>
  <si>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</si>
  <si>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</si>
  <si>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</si>
  <si>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</si>
  <si>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</si>
  <si>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</si>
  <si>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</si>
  <si>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</si>
  <si>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</si>
  <si>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</si>
  <si>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</si>
  <si>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</si>
  <si>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</si>
  <si>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</si>
  <si>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</si>
  <si>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</si>
  <si>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</si>
  <si>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</si>
  <si>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</si>
  <si>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</si>
  <si>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</si>
  <si>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</si>
  <si>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</si>
  <si>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</si>
  <si>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</si>
  <si>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</si>
  <si>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</si>
  <si>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</si>
  <si>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</si>
  <si>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</si>
  <si>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</si>
  <si>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</si>
  <si>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</si>
  <si>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</si>
  <si>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</si>
  <si>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</si>
  <si>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</si>
  <si>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</si>
  <si>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</si>
  <si>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</si>
  <si>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</si>
  <si>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</si>
  <si>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</si>
  <si>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</si>
  <si>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</si>
  <si>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</si>
  <si>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</si>
  <si>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</si>
  <si>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</si>
  <si>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</si>
  <si>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</si>
  <si>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</si>
  <si>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</si>
  <si>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</si>
  <si>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</si>
  <si>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</si>
  <si>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</si>
  <si>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</si>
  <si>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</si>
  <si>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</si>
  <si>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</si>
  <si>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</si>
  <si>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</si>
  <si>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</si>
  <si>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</si>
  <si>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</si>
  <si>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</si>
  <si>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</si>
  <si>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</si>
  <si>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</si>
  <si>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</si>
  <si>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</si>
  <si>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</si>
  <si>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</si>
  <si>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</si>
  <si>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</si>
  <si>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</si>
  <si>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</si>
  <si>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</si>
  <si>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</si>
  <si>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</si>
  <si>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</si>
  <si>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</si>
  <si>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</si>
  <si>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</si>
  <si>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</si>
  <si>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</si>
  <si>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</si>
  <si>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</si>
  <si>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</si>
  <si>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</si>
  <si>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</si>
  <si>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</si>
  <si>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</si>
  <si>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</si>
  <si>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</si>
  <si>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</si>
  <si>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</si>
  <si>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</si>
  <si>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</si>
  <si>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</si>
  <si>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</si>
  <si>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</si>
  <si>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0.7.0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</si>
  <si>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</si>
  <si>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</si>
  <si>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</si>
  <si>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</si>
  <si>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</si>
  <si>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</si>
  <si>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</si>
  <si>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</si>
  <si>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</si>
  <si>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</si>
  <si>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</si>
  <si>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</si>
  <si>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</si>
  <si>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</si>
  <si>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</si>
  <si>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</si>
  <si>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</si>
  <si>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</si>
  <si>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</si>
  <si>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</si>
  <si>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</si>
  <si>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</si>
  <si>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</si>
  <si>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</si>
  <si>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</si>
  <si>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</si>
  <si>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</si>
  <si>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</si>
  <si>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</si>
  <si>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</si>
  <si>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</si>
  <si>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</si>
  <si>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</si>
  <si>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</si>
  <si>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</si>
  <si>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</si>
  <si>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</si>
  <si>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</si>
  <si>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</si>
  <si>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</si>
  <si>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</si>
  <si>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</si>
  <si>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</si>
  <si>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</si>
  <si>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</si>
  <si>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</si>
  <si>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</si>
  <si>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</si>
  <si>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</si>
  <si>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</si>
  <si>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</si>
  <si>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</si>
  <si>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</si>
  <si>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</si>
  <si>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</si>
  <si>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</si>
  <si>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</si>
  <si>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</si>
  <si>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</si>
  <si>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</si>
  <si>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</si>
  <si>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</si>
  <si>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</si>
  <si>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</si>
  <si>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</si>
  <si>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</si>
  <si>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</si>
  <si>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</si>
  <si>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</si>
  <si>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</si>
  <si>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</si>
  <si>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</si>
  <si>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</si>
  <si>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</si>
  <si>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</si>
  <si>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</si>
  <si>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</si>
  <si>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</si>
  <si>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</si>
  <si>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</si>
  <si>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</si>
  <si>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</si>
  <si>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</si>
  <si>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</si>
  <si>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</si>
  <si>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</si>
  <si>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</si>
  <si>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</si>
  <si>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</si>
  <si>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</si>
  <si>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</si>
  <si>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</si>
  <si>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</si>
  <si>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</si>
  <si>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</si>
  <si>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</si>
  <si>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</si>
  <si>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</si>
  <si>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</si>
  <si>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</si>
  <si>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</si>
  <si>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</si>
  <si>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</si>
  <si>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</si>
  <si>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</si>
  <si>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</si>
  <si>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</si>
  <si>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</si>
  <si>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</si>
  <si>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</si>
  <si>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</si>
  <si>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</si>
  <si>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</si>
  <si>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</si>
  <si>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</si>
  <si>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</si>
  <si>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</si>
  <si>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</si>
  <si>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</si>
  <si>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</si>
  <si>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</si>
  <si>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</si>
  <si>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</si>
  <si>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</si>
  <si>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</si>
  <si>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</si>
  <si>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</si>
  <si>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</si>
  <si>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</si>
  <si>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</si>
  <si>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</si>
  <si>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</si>
  <si>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</si>
  <si>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</si>
  <si>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</si>
  <si>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</si>
  <si>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</si>
  <si>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</si>
  <si>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</si>
  <si>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</si>
  <si>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</si>
  <si>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</si>
  <si>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</si>
  <si>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</si>
  <si>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</si>
  <si>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</si>
  <si>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</si>
  <si>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</si>
  <si>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</si>
  <si>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</si>
  <si>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</si>
  <si>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Hosts, direction, gap, alignment, distribution, wrapping, native props, refs, and exclusions type-check.</t>
  </si>
  <si>
    <t xml:space="preserve">../test/types/components/stack.test.ts</t>
  </si>
  <si>
    <t xml:space="preserve">S-04</t>
  </si>
  <si>
    <t xml:space="preserve">Root</t>
  </si>
  <si>
    <t xml:space="preserve">Static CSS ships flex layout, zero-through-six tokenized gaps, logical alignment, distribution, wrapping, and min-inline containment.</t>
  </si>
  <si>
    <t xml:space="preserve">../src/components/stack/stack.css; ../src/styles/tokens.tokens.json</t>
  </si>
  <si>
    <t xml:space="preserve">S-05</t>
  </si>
  <si>
    <t xml:space="preserve">Defaults, family direction locks, every closed recipe, semantic hosts, native pass-through, hooks, events, and refs pass focused tests.</t>
  </si>
  <si>
    <t xml:space="preserve">../test/components/stack/stack.test.tsx</t>
  </si>
  <si>
    <t xml:space="preserve">S-06</t>
  </si>
  <si>
    <t xml:space="preserve">Real-browser axes, exact gaps, alignment, distribution, wrapping, containment, semantics, refs, output, and customization pass.</t>
  </si>
  <si>
    <t xml:space="preserve">tests/components/stack/behavior.spec.ts</t>
  </si>
  <si>
    <t xml:space="preserve">S-07</t>
  </si>
  <si>
    <t xml:space="preserve">Source order, semantic hosts, RTL logic, reflow containment, and axe checks pass without Stack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</si>
  <si>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</si>
  <si>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</si>
  <si>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</si>
  <si>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</si>
  <si>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</si>
  <si>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</si>
  <si>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</si>
  <si>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</si>
  <si>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</si>
  <si>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</si>
  <si>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</si>
  <si>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</si>
  <si>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</si>
  <si>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semantic host, authored native attribute, DOM order, and rendered-output example match the public contract.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</si>
  <si>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</si>
  <si>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</si>
  <si>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</si>
  <si>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</si>
  <si>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defaults, recipes, semantics, accessibility, CSS, and API documentation pass component checks.</t>
  </si>
  <si>
    <t xml:space="preserve">../docs/components/stack/README.md</t>
  </si>
  <si>
    <t xml:space="preserve">S-14</t>
  </si>
  <si>
    <t xml:space="preserve">Stack owns a public component changelog and the package changelog records the family addition.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</si>
  <si>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</si>
  <si>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</si>
  <si>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</si>
  <si>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</si>
  <si>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</si>
  <si>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</si>
  <si>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</si>
  <si>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</si>
  <si>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</si>
  <si>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</si>
  <si>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</si>
  <si>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</si>
  <si>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</si>
  <si>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</si>
  <si>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</si>
  <si>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</si>
  <si>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</si>
  <si>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</si>
  <si>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</si>
  <si>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</si>
  <si>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</si>
  <si>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G-01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</si>
  <si>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</si>
  <si>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</si>
  <si>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</si>
  <si>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G-02</t>
  </si>
  <si>
    <t xml:space="preserve">Root exports and the public Grid subpath expose the frozen compound runtime and all public Grid types.</t>
  </si>
  <si>
    <t xml:space="preserve">G-03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</si>
  <si>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</si>
  <si>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</si>
  <si>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G-04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</si>
  <si>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</si>
  <si>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</si>
  <si>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G-05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</si>
  <si>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</si>
  <si>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</si>
  <si>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G-06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</si>
  <si>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</si>
  <si>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</si>
  <si>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G-07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</si>
  <si>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</si>
  <si>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</si>
  <si>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G-08</t>
  </si>
  <si>
    <t xml:space="preserve">Authored semantics, DOM and focus order, RTL logic, reflow containment, and axe pass without Grid inventing interactive grid semantics.</t>
  </si>
  <si>
    <t xml:space="preserve">G-09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</si>
  <si>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</si>
  <si>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</si>
  <si>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</si>
  <si>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G-10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</si>
  <si>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</si>
  <si>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</si>
  <si>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G-11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</si>
  <si>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</si>
  <si>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</si>
  <si>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G-12</t>
  </si>
  <si>
    <t xml:space="preserve">Supported semantic hosts, authored attributes, source order, rendered output, slots, and data hooks match the public contract.</t>
  </si>
  <si>
    <t xml:space="preserve">G-13</t>
  </si>
  <si>
    <t xml:space="preserve">The component-owned manual protocol passes every Grid playground scenario.</t>
  </si>
  <si>
    <t xml:space="preserve">G-14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</si>
  <si>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</si>
  <si>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</si>
  <si>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G-15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</si>
  <si>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</si>
  <si>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</si>
  <si>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G-16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</si>
  <si>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</si>
  <si>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</si>
  <si>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</si>
  <si>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</si>
  <si>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</si>
  <si>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</si>
  <si>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</si>
  <si>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</si>
  <si>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</si>
  <si>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</si>
  <si>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</si>
  <si>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</si>
  <si>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</si>
  <si>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</si>
  <si>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</si>
  <si>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</si>
  <si>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</si>
  <si>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</si>
  <si>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</si>
  <si>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</si>
  <si>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</si>
  <si>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</si>
  <si>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</si>
  <si>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</si>
  <si>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</si>
  <si>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</si>
  <si>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</si>
  <si>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</si>
  <si>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</si>
  <si>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</si>
  <si>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</si>
  <si>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</si>
  <si>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</si>
  <si>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</si>
  <si>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</si>
  <si>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</si>
  <si>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</si>
  <si>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</si>
  <si>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</si>
  <si>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</si>
  <si>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</si>
  <si>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</si>
  <si>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</si>
  <si>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</si>
  <si>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insets, native props, refs, and rejected composition props type-check.</t>
  </si>
  <si>
    <t xml:space="preserve">../test/types/components/surface.test.ts</t>
  </si>
  <si>
    <t xml:space="preserve">Static CSS ships semantic levels, independent border, elevation, radius, inset, forced-color handling, and public variable overrides.</t>
  </si>
  <si>
    <t xml:space="preserve">../src/components/surface/surface.css</t>
  </si>
  <si>
    <t xml:space="preserve">Defaults, every recipe, semantic hosts, pass-through, hooks, events, refs, and exclusions pass focused tests.</t>
  </si>
  <si>
    <t xml:space="preserve">../test/components/surface/surface.test.tsx</t>
  </si>
  <si>
    <t xml:space="preserve">Real-browser levels, borders, elevations, radii, insets,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</si>
  <si>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</si>
  <si>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</si>
  <si>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inset,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</si>
  <si>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</si>
  <si>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</si>
  <si>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Physical mobile, 200%/400% zoom, constrained content, long copy, nesting, and RTL remain readable and contained.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</si>
  <si>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</si>
  <si>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</si>
  <si>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</si>
  <si>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</si>
  <si>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</si>
  <si>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usage, defaults, recipes, semantics, accessibility, composition, CSS, customization, and API documentation pass checks.</t>
  </si>
  <si>
    <t xml:space="preserve">../docs/components/surface/README.md</t>
  </si>
  <si>
    <t xml:space="preserve">Surface owns a public component changelog and the package changelog records the component addition.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</si>
  <si>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</si>
  <si>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</si>
  <si>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</si>
  <si>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</si>
  <si>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</si>
  <si>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</si>
  <si>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</si>
  <si>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</si>
  <si>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</si>
  <si>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</si>
  <si>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</si>
  <si>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</si>
  <si>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</si>
  <si>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</si>
  <si>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</si>
  <si>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</si>
  <si>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</si>
  <si>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</si>
  <si>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</si>
  <si>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</si>
  <si>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</si>
  <si>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</si>
  <si>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</si>
  <si>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</si>
  <si>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</si>
  <si>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</si>
  <si>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</si>
  <si>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</si>
  <si>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</si>
  <si>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</si>
  <si>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</si>
  <si>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</si>
  <si>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</si>
  <si>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</si>
  <si>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</si>
  <si>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</si>
  <si>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</si>
  <si>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</si>
  <si>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</si>
  <si>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</si>
  <si>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</si>
  <si>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</si>
  <si>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</si>
  <si>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</si>
  <si>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</si>
  <si>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</si>
  <si>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</si>
  <si>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</si>
  <si>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</si>
  <si>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</si>
  <si>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</si>
  <si>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</si>
  <si>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</si>
  <si>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</si>
  <si>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</si>
  <si>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</si>
  <si>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</si>
  <si>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</si>
  <si>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</si>
  <si>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</si>
  <si>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</si>
  <si>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</si>
  <si>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</si>
  <si>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</si>
  <si>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</si>
  <si>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</si>
  <si>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</si>
  <si>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</si>
  <si>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</si>
  <si>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</si>
  <si>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</si>
  <si>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</si>
  <si>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</si>
  <si>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</si>
  <si>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</si>
  <si>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</si>
  <si>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</si>
  <si>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</si>
  <si>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</si>
  <si>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</si>
  <si>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</si>
  <si>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</si>
  <si>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</si>
  <si>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</si>
  <si>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</si>
  <si>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</si>
  <si>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</si>
  <si>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</si>
  <si>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</si>
  <si>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</si>
  <si>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</si>
  <si>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</si>
  <si>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</si>
  <si>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</si>
  <si>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</si>
  <si>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</si>
  <si>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</si>
  <si>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</si>
  <si>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</si>
  <si>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</si>
  <si>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</si>
  <si>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</si>
  <si>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</si>
  <si>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</si>
  <si>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</si>
  <si>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</si>
  <si>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</si>
  <si>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</si>
  <si>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</si>
  <si>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</si>
  <si>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</si>
  <si>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</si>
  <si>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</si>
  <si>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</si>
  <si>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</si>
  <si>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</si>
  <si>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</si>
  <si>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</si>
  <si>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</si>
  <si>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</si>
  <si>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</si>
  <si>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</si>
  <si>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</si>
  <si>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</si>
  <si>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</si>
  <si>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</si>
  <si>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</si>
  <si>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</si>
  <si>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</si>
  <si>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</si>
  <si>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</si>
  <si>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</si>
  <si>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</si>
  <si>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</si>
  <si>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</si>
  <si>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</si>
  <si>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</si>
  <si>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</si>
  <si>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</si>
  <si>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</si>
  <si>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</si>
  <si>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</si>
  <si>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</si>
  <si>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</si>
  <si>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</si>
  <si>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</si>
  <si>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</si>
  <si>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</si>
  <si>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</si>
  <si>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</si>
  <si>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</si>
  <si>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</si>
  <si>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</si>
  <si>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</si>
  <si>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</si>
  <si>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</si>
  <si>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</si>
  <si>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</si>
  <si>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</si>
  <si>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</si>
  <si>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</si>
  <si>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</si>
  <si>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</si>
  <si>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</si>
  <si>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</si>
  <si>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</si>
  <si>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</si>
  <si>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</si>
  <si>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</si>
  <si>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</si>
  <si>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</si>
  <si>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</si>
  <si>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</si>
  <si>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</si>
  <si>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</si>
  <si>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</si>
  <si>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</si>
  <si>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</si>
  <si>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</si>
  <si>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</si>
  <si>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</si>
  <si>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</si>
  <si>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</si>
  <si>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</si>
  <si>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</si>
  <si>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</si>
  <si>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</si>
  <si>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</si>
  <si>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</si>
  <si>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</si>
  <si>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</si>
  <si>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</si>
  <si>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</si>
  <si>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</si>
  <si>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</si>
  <si>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</si>
  <si>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</si>
  <si>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</si>
  <si>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</si>
  <si>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</si>
  <si>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</si>
  <si>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</si>
  <si>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</si>
  <si>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</si>
  <si>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</si>
  <si>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</si>
  <si>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</si>
  <si>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</si>
  <si>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</si>
  <si>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</si>
  <si>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</si>
  <si>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</si>
  <si>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</si>
  <si>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</si>
  <si>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</si>
  <si>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</si>
  <si>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</si>
  <si>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</si>
  <si>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</si>
  <si>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</si>
  <si>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</si>
  <si>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</si>
  <si>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</si>
  <si>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</si>
  <si>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</si>
  <si>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</si>
  <si>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</si>
  <si>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</si>
  <si>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</si>
  <si>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0.8.0.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</si>
  <si>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</si>
  <si>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</si>
  <si>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</si>
  <si>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</si>
  <si>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</si>
  <si>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</si>
  <si>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</si>
  <si>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</si>
  <si>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</si>
  <si>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</si>
  <si>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</si>
  <si>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</si>
  <si>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</si>
  <si>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</si>
  <si>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</si>
  <si>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</si>
  <si>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</si>
  <si>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</si>
  <si>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</si>
  <si>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</si>
  <si>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</si>
  <si>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</si>
  <si>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</si>
  <si>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</si>
  <si>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</si>
  <si>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</si>
  <si>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</si>
  <si>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</si>
  <si>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</si>
  <si>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</si>
  <si>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</si>
  <si>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</si>
  <si>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</si>
  <si>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</si>
  <si>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</si>
  <si>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</si>
  <si>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</si>
  <si>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</si>
  <si>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</si>
  <si>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</si>
  <si>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</si>
  <si>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</si>
  <si>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</si>
  <si>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</si>
  <si>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</si>
  <si>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</si>
  <si>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</si>
  <si>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</si>
  <si>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</si>
  <si>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</si>
  <si>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</si>
  <si>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</si>
  <si>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</si>
  <si>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</si>
  <si>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</si>
  <si>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</si>
  <si>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</si>
  <si>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</si>
  <si>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</si>
  <si>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</si>
  <si>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</si>
  <si>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</si>
  <si>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</si>
  <si>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</si>
  <si>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</si>
  <si>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</si>
  <si>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</si>
  <si>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</si>
  <si>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</si>
  <si>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</si>
  <si>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</si>
  <si>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</si>
  <si>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</si>
  <si>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</si>
  <si>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</si>
  <si>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</si>
  <si>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</si>
  <si>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</si>
  <si>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</si>
  <si>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</si>
  <si>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</si>
  <si>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</si>
  <si>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</si>
  <si>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</si>
  <si>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</si>
  <si>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</si>
  <si>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</si>
  <si>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</si>
  <si>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</si>
  <si>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</si>
  <si>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</si>
  <si>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</si>
  <si>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</si>
  <si>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</si>
  <si>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</si>
  <si>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</si>
  <si>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</si>
  <si>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</si>
  <si>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</si>
  <si>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</si>
  <si>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</si>
  <si>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</si>
  <si>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</si>
  <si>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</si>
  <si>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</si>
  <si>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</si>
  <si>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</si>
  <si>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</si>
  <si>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</si>
  <si>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</si>
  <si>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</si>
  <si>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</si>
  <si>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</si>
  <si>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</si>
  <si>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</si>
  <si>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</si>
  <si>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</si>
  <si>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</si>
  <si>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</si>
  <si>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</si>
  <si>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</si>
  <si>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</si>
  <si>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</si>
  <si>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</si>
  <si>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</si>
  <si>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</si>
  <si>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</si>
  <si>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</si>
  <si>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</si>
  <si>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</si>
  <si>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</si>
  <si>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</si>
  <si>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</si>
  <si>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</si>
  <si>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</si>
  <si>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</si>
  <si>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</si>
  <si>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</si>
  <si>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</si>
  <si>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</si>
  <si>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</si>
  <si>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</si>
  <si>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</si>
  <si>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</si>
  <si>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</si>
  <si>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</si>
  <si>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</si>
  <si>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</si>
  <si>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</si>
  <si>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</si>
  <si>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</si>
  <si>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</si>
  <si>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</si>
  <si>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</si>
  <si>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</si>
  <si>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</si>
  <si>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</si>
  <si>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</si>
  <si>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</si>
  <si>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</si>
  <si>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</si>
  <si>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</si>
  <si>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</si>
  <si>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</si>
  <si>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</si>
  <si>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</si>
  <si>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</si>
  <si>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</si>
  <si>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</si>
  <si>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</si>
  <si>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</si>
  <si>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</si>
  <si>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</si>
  <si>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</si>
  <si>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</si>
  <si>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</si>
  <si>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</si>
  <si>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</si>
  <si>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</si>
  <si>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</si>
  <si>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</si>
  <si>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</si>
  <si>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</si>
  <si>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</si>
  <si>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</si>
  <si>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</si>
  <si>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</si>
  <si>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</si>
  <si>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</si>
  <si>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</si>
  <si>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</si>
  <si>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</si>
  <si>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</si>
  <si>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</si>
  <si>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</si>
  <si>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</si>
  <si>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</si>
  <si>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</si>
  <si>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</si>
  <si>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</si>
  <si>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</si>
  <si>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</si>
  <si>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</si>
  <si>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</si>
  <si>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0.9.1,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</si>
  <si>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</si>
  <si>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</si>
  <si>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</si>
  <si>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</si>
  <si>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</si>
  <si>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0.9.3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</si>
  <si>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</si>
  <si>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</si>
  <si>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</si>
  <si>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</si>
  <si>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</si>
  <si>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</si>
  <si>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</si>
  <si>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</si>
  <si>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</si>
  <si>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</si>
  <si>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</si>
  <si>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</si>
  <si>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</si>
  <si>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</si>
  <si>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</si>
  <si>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</si>
  <si>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</si>
  <si>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</si>
  <si>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</si>
  <si>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0.9.3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</si>
  <si>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</si>
  <si>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</si>
  <si>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</si>
  <si>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</si>
  <si>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</si>
  <si>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</si>
  <si>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</si>
  <si>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</si>
  <si>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</si>
  <si>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</si>
  <si>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</si>
  <si>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</si>
  <si>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</si>
  <si>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</si>
  <si>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</si>
  <si>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</si>
  <si>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</si>
  <si>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0.9.3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</si>
  <si>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</si>
  <si>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</si>
  <si>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</si>
  <si>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</si>
  <si>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</si>
  <si>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</si>
  <si>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</si>
  <si>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</si>
  <si>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</si>
  <si>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</si>
  <si>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</si>
  <si>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</si>
  <si>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</si>
  <si>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</si>
  <si>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</si>
  <si>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</si>
  <si>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</si>
  <si>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</si>
  <si>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</si>
  <si>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</si>
  <si>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</si>
  <si>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</si>
  <si>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</si>
  <si>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</si>
  <si>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0.10.1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</si>
  <si>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</si>
  <si>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</si>
  <si>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</si>
  <si>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</si>
  <si>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</si>
  <si>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</si>
  <si>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</si>
  <si>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</si>
  <si>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</si>
  <si>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</si>
  <si>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</si>
  <si>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</si>
  <si>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</si>
  <si>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</si>
  <si>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</si>
  <si>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</si>
  <si>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</si>
  <si>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0.10.1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</si>
  <si>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</si>
  <si>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</si>
  <si>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</si>
  <si>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</si>
  <si>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</si>
  <si>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</si>
  <si>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</si>
  <si>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</si>
  <si>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</si>
  <si>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</si>
  <si>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</si>
  <si>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</si>
  <si>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0.10.1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</si>
  <si>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</si>
  <si>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</si>
  <si>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</si>
  <si>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</si>
  <si>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</si>
  <si>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</si>
  <si>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</si>
  <si>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</si>
  <si>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</si>
  <si>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</si>
  <si>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</si>
  <si>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</si>
  <si>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</si>
  <si>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</si>
  <si>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</si>
  <si>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</si>
  <si>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0.10.1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</si>
  <si>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</si>
  <si>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</si>
  <si>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</si>
  <si>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</si>
  <si>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</si>
  <si>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</si>
  <si>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</si>
  <si>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</si>
  <si>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</si>
  <si>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</si>
  <si>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</si>
  <si>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</si>
  <si>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</si>
  <si>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</si>
  <si>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</si>
  <si>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</si>
  <si>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</si>
  <si>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</si>
  <si>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</si>
  <si>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</si>
  <si>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</si>
  <si>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</si>
  <si>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0.10.1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</si>
  <si>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</si>
  <si>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</si>
  <si>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</si>
  <si>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</si>
  <si>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</si>
  <si>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</si>
  <si>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</si>
  <si>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</si>
  <si>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</si>
  <si>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</si>
  <si>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</si>
  <si>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</si>
  <si>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</si>
  <si>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</si>
  <si>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</si>
  <si>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</si>
  <si>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</si>
  <si>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</si>
  <si>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</si>
  <si>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</si>
  <si>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</si>
  <si>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</si>
  <si>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</si>
  <si>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</si>
  <si>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</si>
  <si>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</si>
  <si>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</si>
  <si>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</si>
  <si>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</si>
  <si>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</si>
  <si>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</si>
  <si>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</si>
  <si>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</si>
  <si>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</si>
  <si>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</si>
  <si>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</si>
  <si>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</si>
  <si>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</si>
  <si>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</si>
  <si>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</si>
  <si>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</si>
  <si>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0.11.0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</si>
  <si>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</si>
  <si>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</si>
  <si>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</si>
  <si>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</si>
  <si>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</si>
  <si>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</si>
  <si>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</si>
  <si>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</si>
  <si>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</si>
  <si>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</si>
  <si>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</si>
  <si>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</si>
  <si>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</si>
  <si>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</si>
  <si>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</si>
  <si>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</si>
  <si>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</si>
  <si>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</si>
  <si>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</si>
  <si>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</si>
  <si>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</si>
  <si>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</si>
  <si>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</si>
  <si>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</si>
  <si>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</si>
  <si>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</si>
  <si>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</si>
  <si>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</si>
  <si>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</si>
  <si>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</si>
  <si>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</si>
  <si>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</si>
  <si>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</si>
  <si>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</si>
  <si>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</si>
  <si>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</si>
  <si>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</si>
  <si>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</si>
  <si>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</si>
  <si>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</si>
  <si>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</si>
  <si>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</si>
  <si>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</si>
  <si>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</si>
  <si>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</si>
  <si>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</si>
  <si>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</si>
  <si>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</si>
  <si>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</si>
  <si>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</si>
  <si>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</si>
  <si>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</si>
  <si>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</si>
  <si>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</si>
  <si>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</si>
  <si>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</si>
  <si>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</si>
  <si>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</si>
  <si>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</si>
  <si>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</si>
  <si>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0.11.1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</si>
  <si>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</si>
  <si>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</si>
  <si>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</si>
  <si>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</si>
  <si>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</si>
  <si>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</si>
  <si>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</si>
  <si>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</si>
  <si>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</si>
  <si>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</si>
  <si>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</si>
  <si>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</si>
  <si>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</si>
  <si>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</si>
  <si>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</si>
  <si>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</si>
  <si>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</si>
  <si>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</si>
  <si>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</si>
  <si>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</si>
  <si>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</si>
  <si>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</si>
  <si>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</si>
  <si>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</si>
  <si>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</si>
  <si>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</si>
  <si>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</si>
  <si>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</si>
  <si>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</si>
  <si>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</si>
  <si>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</si>
  <si>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</si>
  <si>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</si>
  <si>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</si>
  <si>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</si>
  <si>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</si>
  <si>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</si>
  <si>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</si>
  <si>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</si>
  <si>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</si>
  <si>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</si>
  <si>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</si>
  <si>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</si>
  <si>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</si>
  <si>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</si>
  <si>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</si>
  <si>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</si>
  <si>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</si>
  <si>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</si>
  <si>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</si>
  <si>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</si>
  <si>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</si>
  <si>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0.11.1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</si>
  <si>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</si>
  <si>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</si>
  <si>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</si>
  <si>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</si>
  <si>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</si>
  <si>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</si>
  <si>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</si>
  <si>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</si>
  <si>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</si>
  <si>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</si>
  <si>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</si>
  <si>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</si>
  <si>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</si>
  <si>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</si>
  <si>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</si>
  <si>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</si>
  <si>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</si>
  <si>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</si>
  <si>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</si>
  <si>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</si>
  <si>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</si>
  <si>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</si>
  <si>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</si>
  <si>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</si>
  <si>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</si>
  <si>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</si>
  <si>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</si>
  <si>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</si>
  <si>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</si>
  <si>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</si>
  <si>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</si>
  <si>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</si>
  <si>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</si>
  <si>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</si>
  <si>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</si>
  <si>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</si>
  <si>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</si>
  <si>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</si>
  <si>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</si>
  <si>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</si>
  <si>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</si>
  <si>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</si>
  <si>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</si>
  <si>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</si>
  <si>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</si>
  <si>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</si>
  <si>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</si>
  <si>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</si>
  <si>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</si>
  <si>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</si>
  <si>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</si>
  <si>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</si>
  <si>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</si>
  <si>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</si>
  <si>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</si>
  <si>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</si>
  <si>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</si>
  <si>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</si>
  <si>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</si>
  <si>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</si>
  <si>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</si>
  <si>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</si>
  <si>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</si>
  <si>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</si>
  <si>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</si>
  <si>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</si>
  <si>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</si>
  <si>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</si>
  <si>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0.11.1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</si>
  <si>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</si>
  <si>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</si>
  <si>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</si>
  <si>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0.11.1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</si>
  <si>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</si>
  <si>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</si>
  <si>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</si>
  <si>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</si>
  <si>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</si>
  <si>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</si>
  <si>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</si>
  <si>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</si>
  <si>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size/variant recipes plus Atom props, controlled state, orientation, composition, native props, and refs type-check.</t>
  </si>
  <si>
    <t xml:space="preserve">../test/types/components/tabs.test.ts</t>
  </si>
  <si>
    <t xml:space="preserve">TB-05</t>
  </si>
  <si>
    <t xml:space="preserve">Static CSS ships layouts, four recipes, sizes, states, overflow, RTL, forced-color, reduced-motion, and public-variable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</si>
  <si>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</si>
  <si>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</si>
  <si>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</si>
  <si>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</si>
  <si>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</si>
  <si>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</si>
  <si>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</si>
  <si>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</si>
  <si>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</si>
  <si>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</si>
  <si>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</si>
  <si>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</si>
  <si>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</si>
  <si>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</si>
  <si>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</si>
  <si>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Root/List/Trigger</t>
  </si>
  <si>
    <t xml:space="preserve">Vertical orientation changes physical layout and arrow axis; fullWidth distributes horizontal triggers equally.</t>
  </si>
  <si>
    <t xml:space="preserve">tests/components/tabs/behavior.spec.ts; tests/components/tabs/visual.spec.ts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</si>
  <si>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</si>
  <si>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</si>
  <si>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</si>
  <si>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TB-11</t>
  </si>
  <si>
    <t xml:space="preserve">Activation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</si>
  <si>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</si>
  <si>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</si>
  <si>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</si>
  <si>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hidden, and focusable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</si>
  <si>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</si>
  <si>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</si>
  <si>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</si>
  <si>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</si>
  <si>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</si>
  <si>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</si>
  <si>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</si>
  <si>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</si>
  <si>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Constrained horizontal lists stay one row and scroll rather than wrap; vertical semantic orientation is not changed by CSS.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</si>
  <si>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</si>
  <si>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</si>
  <si>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</si>
  <si>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</si>
  <si>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</si>
  <si>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</si>
  <si>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</si>
  <si>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</si>
  <si>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</si>
  <si>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</si>
  <si>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</si>
  <si>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</si>
  <si>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API, recipes, accessibility, responsive behavior, composition, CSS, customization, and evidence are documented.</t>
  </si>
  <si>
    <t xml:space="preserve">../docs/components/tabs/README.md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</si>
  <si>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</si>
  <si>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</si>
  <si>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</si>
  <si>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</si>
  <si>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</si>
  <si>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</si>
  <si>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Consumer, configured browsers, docs, and exact Atom dependency pass.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</si>
  <si>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</si>
  <si>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</si>
  <si>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</si>
  <si>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</si>
  <si>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</si>
  <si>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</si>
  <si>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</si>
  <si>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</si>
  <si>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</si>
  <si>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</si>
  <si>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</si>
  <si>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</si>
  <si>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</si>
  <si>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</si>
  <si>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</si>
  <si>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</si>
  <si>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</si>
  <si>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</si>
  <si>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</si>
  <si>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</si>
  <si>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</si>
  <si>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</si>
  <si>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</si>
  <si>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</si>
  <si>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</si>
  <si>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</si>
  <si>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</si>
  <si>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</si>
  <si>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</si>
  <si>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</si>
  <si>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</si>
  <si>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</si>
  <si>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</si>
  <si>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</si>
  <si>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</si>
  <si>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</si>
  <si>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</si>
  <si>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</si>
  <si>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</si>
  <si>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</si>
  <si>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</si>
  <si>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</si>
  <si>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</si>
  <si>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</si>
  <si>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</si>
  <si>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Appearance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</si>
  <si>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</si>
  <si>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</si>
  <si>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</si>
  <si>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</si>
  <si>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</si>
  <si>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</si>
  <si>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</si>
  <si>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</si>
  <si>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</si>
  <si>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</si>
  <si>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</si>
  <si>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</si>
  <si>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</si>
  <si>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</si>
  <si>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</si>
  <si>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</si>
  <si>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</si>
  <si>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</si>
  <si>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</si>
  <si>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</si>
  <si>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</si>
  <si>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</si>
  <si>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</si>
  <si>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0.12.1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</si>
  <si>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</si>
  <si>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</si>
  <si>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</si>
  <si>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</si>
  <si>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</si>
  <si>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</si>
  <si>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</si>
  <si>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</si>
  <si>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</si>
  <si>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</si>
  <si>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</si>
  <si>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</si>
  <si>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</si>
  <si>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</si>
  <si>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</si>
  <si>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</si>
  <si>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</si>
  <si>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</si>
  <si>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</si>
  <si>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</si>
  <si>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</si>
  <si>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</si>
  <si>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</si>
  <si>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</si>
  <si>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</si>
  <si>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</si>
  <si>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</si>
  <si>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</si>
  <si>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</si>
  <si>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</si>
  <si>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</si>
  <si>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</si>
  <si>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</si>
  <si>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</si>
  <si>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</si>
  <si>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</si>
  <si>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</si>
  <si>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</si>
  <si>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</si>
  <si>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</si>
  <si>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</si>
  <si>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</si>
  <si>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</si>
  <si>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</si>
  <si>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</si>
  <si>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</si>
  <si>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</si>
  <si>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</si>
  <si>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</si>
  <si>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</si>
  <si>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</si>
  <si>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</si>
  <si>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</si>
  <si>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</si>
  <si>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</si>
  <si>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</si>
  <si>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</si>
  <si>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</si>
  <si>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</si>
  <si>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</si>
  <si>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</si>
  <si>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</si>
  <si>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</si>
  <si>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</si>
  <si>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</si>
  <si>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</si>
  <si>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</si>
  <si>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</si>
  <si>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Context Menu Evidence</t>
  </si>
  <si>
    <t xml:space="preserve">CM-01</t>
  </si>
  <si>
    <t xml:space="preserve">Brick styles released Atom 0.12.1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</si>
  <si>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</si>
  <si>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</si>
  <si>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</si>
  <si>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</si>
  <si>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</si>
  <si>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</si>
  <si>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</si>
  <si>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</si>
  <si>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</si>
  <si>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</si>
  <si>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</si>
  <si>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</si>
  <si>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</si>
  <si>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</si>
  <si>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</si>
  <si>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</si>
  <si>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</si>
  <si>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</si>
  <si>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</si>
  <si>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</si>
  <si>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</si>
  <si>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</si>
  <si>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</si>
  <si>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</si>
  <si>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</si>
  <si>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</si>
  <si>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</si>
  <si>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</si>
  <si>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</si>
  <si>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</si>
  <si>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</si>
  <si>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</si>
  <si>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</si>
  <si>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</si>
  <si>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</si>
  <si>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</si>
  <si>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</si>
  <si>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</si>
  <si>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</si>
  <si>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</si>
  <si>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</si>
  <si>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</si>
  <si>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</si>
  <si>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</si>
  <si>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</si>
  <si>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</si>
  <si>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</si>
  <si>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</si>
  <si>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</si>
  <si>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</si>
  <si>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</si>
  <si>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</si>
  <si>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</si>
  <si>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</si>
  <si>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</si>
  <si>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</si>
  <si>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0.12.1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</si>
  <si>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</si>
  <si>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</si>
  <si>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</si>
  <si>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</si>
  <si>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</si>
  <si>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</si>
  <si>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</si>
  <si>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</si>
  <si>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</si>
  <si>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</si>
  <si>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</si>
  <si>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</si>
  <si>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</si>
  <si>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</si>
  <si>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</si>
  <si>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</si>
  <si>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</si>
  <si>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</si>
  <si>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</si>
  <si>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</si>
  <si>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</si>
  <si>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</si>
  <si>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</si>
  <si>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</si>
  <si>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</si>
  <si>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</si>
  <si>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</si>
  <si>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</si>
  <si>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</si>
  <si>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</si>
  <si>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</si>
  <si>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</si>
  <si>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</si>
  <si>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</si>
  <si>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</si>
  <si>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</si>
  <si>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</si>
  <si>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</si>
  <si>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</si>
  <si>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</si>
  <si>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</si>
  <si>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</si>
  <si>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</si>
  <si>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0.12.1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</si>
  <si>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</si>
  <si>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</si>
  <si>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../test/components/navigation-menu/navigation-menu.test.tsx</t>
  </si>
  <si>
    <t xml:space="preserve">NM-03</t>
  </si>
  <si>
    <t xml:space="preserve">NavigationMenu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</si>
  <si>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</si>
  <si>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</si>
  <si>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</si>
  <si>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</si>
  <si>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</si>
  <si>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</si>
  <si>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</si>
  <si>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</si>
  <si>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</si>
  <si>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</si>
  <si>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</si>
  <si>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</si>
  <si>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</si>
  <si>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</si>
  <si>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</si>
  <si>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</si>
  <si>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</si>
  <si>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Horizontal and vertical orientation change layout and keyboard axis together.</t>
  </si>
  <si>
    <t xml:space="preserve">NM-10</t>
  </si>
  <si>
    <t xml:space="preserve">Viewport</t>
  </si>
  <si>
    <t xml:space="preserve">Content/Viewport/Indicator</t>
  </si>
  <si>
    <t xml:space="preserve">Measured rich content, active trigger indicator, and viewport geometry follow Atom state.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</si>
  <si>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</si>
  <si>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</si>
  <si>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</si>
  <si>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</si>
  <si>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</si>
  <si>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</si>
  <si>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</si>
  <si>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</si>
  <si>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</si>
  <si>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</si>
  <si>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</si>
  <si>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</si>
  <si>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</si>
  <si>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</si>
  <si>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</si>
  <si>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</si>
  <si>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</si>
  <si>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</si>
  <si>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</si>
  <si>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</si>
  <si>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</si>
  <si>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0.13.0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</si>
  <si>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</si>
  <si>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</si>
  <si>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</si>
  <si>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</si>
  <si>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</si>
  <si>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</si>
  <si>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</si>
  <si>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</si>
  <si>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</si>
  <si>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</si>
  <si>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</si>
  <si>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</si>
  <si>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</si>
  <si>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</si>
  <si>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</si>
  <si>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</si>
  <si>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</si>
  <si>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</si>
  <si>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</si>
  <si>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</si>
  <si>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</si>
  <si>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</si>
  <si>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</si>
  <si>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</si>
  <si>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</si>
  <si>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</si>
  <si>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</si>
  <si>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</si>
  <si>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</si>
  <si>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</si>
  <si>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</si>
  <si>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</si>
  <si>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</si>
  <si>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</si>
  <si>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</si>
  <si>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</si>
  <si>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</si>
  <si>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</si>
  <si>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</si>
  <si>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</si>
  <si>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</si>
  <si>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</si>
  <si>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</si>
  <si>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</si>
  <si>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</si>
  <si>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</si>
  <si>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</si>
  <si>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</si>
  <si>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</si>
  <si>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</si>
  <si>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</si>
  <si>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</si>
  <si>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</si>
  <si>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</si>
  <si>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</si>
  <si>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</si>
  <si>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</si>
  <si>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</si>
  <si>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</si>
  <si>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</si>
  <si>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</si>
  <si>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</si>
  <si>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</si>
  <si>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</si>
  <si>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</si>
  <si>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</si>
  <si>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</si>
  <si>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</si>
  <si>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</si>
  <si>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</si>
  <si>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</si>
  <si>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</si>
  <si>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</si>
  <si>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</si>
  <si>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</si>
  <si>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</si>
  <si>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</si>
  <si>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</si>
  <si>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0.13.0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</si>
  <si>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</si>
  <si>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</si>
  <si>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</si>
  <si>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0.13.0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</si>
  <si>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</si>
  <si>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</si>
  <si>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</si>
  <si>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</si>
  <si>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</si>
  <si>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</si>
  <si>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</si>
  <si>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</si>
  <si>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</si>
  <si>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</si>
  <si>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</si>
  <si>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</si>
  <si>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</si>
  <si>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</si>
  <si>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</si>
  <si>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</si>
  <si>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</si>
  <si>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</si>
  <si>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</si>
  <si>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</si>
  <si>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</si>
  <si>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</si>
  <si>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</si>
  <si>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</si>
  <si>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</si>
  <si>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</si>
  <si>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</si>
  <si>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</si>
  <si>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</si>
  <si>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</si>
  <si>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</si>
  <si>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</si>
  <si>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</si>
  <si>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</si>
  <si>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</si>
  <si>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</si>
  <si>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</si>
  <si>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</si>
  <si>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</si>
  <si>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</si>
  <si>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</si>
  <si>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</si>
  <si>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</si>
  <si>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</si>
  <si>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</si>
  <si>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</si>
  <si>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</si>
  <si>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</si>
  <si>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</si>
  <si>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</si>
  <si>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</si>
  <si>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</si>
  <si>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0.13.0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</si>
  <si>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</si>
  <si>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</si>
  <si>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</si>
  <si>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</si>
  <si>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</si>
  <si>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</si>
  <si>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</si>
  <si>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</si>
  <si>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</si>
  <si>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</si>
  <si>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</si>
  <si>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</si>
  <si>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</si>
  <si>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</si>
  <si>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</si>
  <si>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</si>
  <si>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</si>
  <si>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</si>
  <si>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</si>
  <si>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</si>
  <si>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</si>
  <si>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</si>
  <si>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</si>
  <si>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</si>
  <si>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</si>
  <si>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</si>
  <si>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</si>
  <si>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</si>
  <si>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</si>
  <si>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</si>
  <si>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</si>
  <si>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</si>
  <si>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</si>
  <si>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</si>
  <si>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</si>
  <si>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</si>
  <si>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</si>
  <si>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</si>
  <si>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</si>
  <si>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</si>
  <si>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</si>
  <si>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</si>
  <si>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</si>
  <si>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</si>
  <si>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</si>
  <si>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</si>
  <si>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</si>
  <si>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</si>
  <si>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</si>
  <si>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</si>
  <si>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</si>
  <si>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</si>
  <si>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</si>
  <si>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</si>
  <si>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</si>
  <si>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</si>
  <si>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</si>
  <si>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</si>
  <si>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</si>
  <si>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</si>
  <si>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</si>
  <si>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</si>
  <si>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</si>
  <si>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</si>
  <si>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</si>
  <si>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</si>
  <si>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</si>
  <si>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0.14.0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</si>
  <si>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</si>
  <si>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</si>
  <si>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</si>
  <si>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</si>
  <si>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</si>
  <si>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</si>
  <si>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</si>
  <si>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</si>
  <si>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</si>
  <si>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</si>
  <si>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</si>
  <si>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</si>
  <si>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</si>
  <si>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</si>
  <si>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</si>
  <si>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</si>
  <si>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</si>
  <si>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</si>
  <si>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</si>
  <si>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</si>
  <si>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</si>
  <si>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</si>
  <si>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</si>
  <si>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</si>
  <si>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</si>
  <si>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</si>
  <si>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</si>
  <si>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</si>
  <si>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</si>
  <si>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</si>
  <si>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</si>
  <si>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</si>
  <si>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</si>
  <si>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</si>
  <si>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</si>
  <si>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</si>
  <si>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</si>
  <si>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</si>
  <si>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</si>
  <si>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</si>
  <si>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</si>
  <si>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</si>
  <si>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</si>
  <si>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</si>
  <si>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</si>
  <si>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</si>
  <si>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</si>
  <si>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</si>
  <si>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</si>
  <si>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</si>
  <si>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</si>
  <si>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</si>
  <si>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</si>
  <si>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</si>
  <si>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</si>
  <si>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</si>
  <si>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</si>
  <si>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</si>
  <si>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</si>
  <si>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</si>
  <si>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</si>
  <si>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</si>
  <si>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</si>
  <si>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</si>
  <si>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</si>
  <si>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</si>
  <si>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</si>
  <si>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</si>
  <si>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</si>
  <si>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</si>
  <si>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</si>
  <si>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</si>
  <si>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</si>
  <si>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</si>
  <si>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0.15.0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</si>
  <si>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</si>
  <si>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</si>
  <si>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</si>
  <si>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</si>
  <si>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</si>
  <si>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</si>
  <si>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</si>
  <si>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</si>
  <si>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</si>
  <si>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</si>
  <si>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</si>
  <si>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</si>
  <si>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</si>
  <si>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</si>
  <si>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</si>
  <si>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</si>
  <si>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</si>
  <si>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</si>
  <si>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</si>
  <si>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</si>
  <si>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</si>
  <si>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</si>
  <si>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</si>
  <si>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</si>
  <si>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</si>
  <si>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</si>
  <si>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</si>
  <si>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</si>
  <si>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</si>
  <si>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</si>
  <si>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</si>
  <si>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</si>
  <si>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</si>
  <si>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</si>
  <si>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</si>
  <si>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</si>
  <si>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</si>
  <si>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</si>
  <si>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</si>
  <si>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</si>
  <si>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</si>
  <si>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</si>
  <si>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</si>
  <si>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</si>
  <si>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</si>
  <si>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</si>
  <si>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</si>
  <si>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</si>
  <si>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</si>
  <si>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</si>
  <si>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</si>
  <si>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</si>
  <si>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</si>
  <si>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</si>
  <si>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</si>
  <si>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</si>
  <si>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</si>
  <si>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</si>
  <si>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</si>
  <si>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</si>
  <si>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</si>
  <si>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</si>
  <si>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</si>
  <si>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</si>
  <si>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</si>
  <si>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</si>
  <si>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</si>
  <si>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</si>
  <si>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</si>
  <si>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</si>
  <si>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</si>
  <si>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</si>
  <si>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</si>
  <si>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</si>
  <si>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</si>
  <si>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</si>
  <si>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</si>
  <si>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</si>
  <si>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</si>
  <si>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</si>
  <si>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</si>
  <si>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</si>
  <si>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</si>
  <si>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</si>
  <si>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</si>
  <si>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</si>
  <si>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</si>
  <si>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</si>
  <si>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</si>
  <si>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</si>
  <si>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</si>
  <si>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</si>
  <si>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</si>
  <si>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</si>
  <si>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</si>
  <si>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</si>
  <si>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</si>
  <si>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</si>
  <si>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</si>
  <si>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</si>
  <si>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</si>
  <si>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</si>
  <si>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</si>
  <si>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</si>
  <si>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</si>
  <si>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</si>
  <si>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0.15.0 dependency pass in GitHub Actions run 30316339713.</t>
  </si>
  <si>
    <t xml:space="preserve">../test/package/package.test.mjs; ../test/package/ssr.test.mjs; ../scripts/verify-package.mjs; ../scripts/verify-consumers.mjs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</si>
</sst>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60" headerRowCount="1" totalsRowCount="0" totalsRowShown="0">
  <autoFilter ref="A7:M60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3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4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tr">
        <f aca="false">"Current package evidence across "&amp;B4&amp;" independently exported components."</f>
        <v>Current package evidence across 53 independently exported components.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1</v>
      </c>
      <c r="B4" s="6" t="n">
        <f aca="false">COUNTA(A8:A60)</f>
        <v>53</v>
      </c>
      <c r="D4" s="5" t="s">
        <v>2</v>
      </c>
      <c r="E4" s="6" t="n">
        <f aca="false">COUNTIF(M8:M60,"complete")</f>
        <v>1</v>
      </c>
      <c r="G4" s="5" t="n">
        <f aca="false">COUNTIF(M8:M60,"blocked")</f>
        <v>0</v>
      </c>
      <c r="H4" s="6" t="n">
        <f aca="false">COUNTIF(M8:M59,"blocked")</f>
        <v>0</v>
      </c>
      <c r="J4" s="5" t="s">
        <v>3</v>
      </c>
      <c r="K4" s="7" t="n">
        <f aca="false">IF(B4=0,0,E4/B4)</f>
        <v>0.0188679245283019</v>
      </c>
    </row>
    <row r="7" customFormat="false" ht="15" hidden="false" customHeight="true" outlineLevel="0" collapsed="false">
      <c r="A7" s="8" t="s">
        <v>4</v>
      </c>
      <c r="B7" s="8" t="s">
        <v>5</v>
      </c>
      <c r="C7" s="8" t="s">
        <v>6</v>
      </c>
      <c r="D7" s="8" t="s">
        <v>7</v>
      </c>
      <c r="E7" s="8" t="s">
        <v>8</v>
      </c>
      <c r="F7" s="8" t="s">
        <v>9</v>
      </c>
      <c r="G7" s="8" t="s">
        <v>10</v>
      </c>
      <c r="H7" s="8" t="s">
        <v>11</v>
      </c>
      <c r="I7" s="8" t="s">
        <v>12</v>
      </c>
      <c r="J7" s="9" t="s">
        <v>13</v>
      </c>
      <c r="K7" s="8" t="s">
        <v>14</v>
      </c>
      <c r="L7" s="8" t="s">
        <v>15</v>
      </c>
      <c r="M7" s="8" t="s">
        <v>3</v>
      </c>
    </row>
    <row r="8" customFormat="false" ht="24" hidden="false" customHeight="true" outlineLevel="0" collapsed="false">
      <c r="A8" s="1" t="s">
        <v>16</v>
      </c>
      <c r="B8" s="1" t="n">
        <f aca="true">INDIRECT("'"&amp;A8&amp;"'!B4")</f>
        <v>16</v>
      </c>
      <c r="C8" s="1" t="n">
        <f aca="true">COUNTIF(INDIRECT("'"&amp;A8&amp;"'!H9:H200"),"not started")</f>
        <v>0</v>
      </c>
      <c r="D8" s="1" t="n">
        <f aca="true">COUNTIF(INDIRECT("'"&amp;A8&amp;"'!H9:H200"),"partial")</f>
        <v>0</v>
      </c>
      <c r="E8" s="1" t="n">
        <f aca="true">COUNTIF(INDIRECT("'"&amp;A8&amp;"'!H9:H200"),"implemented")</f>
        <v>0</v>
      </c>
      <c r="F8" s="1" t="n">
        <f aca="true">COUNTIF(INDIRECT("'"&amp;A8&amp;"'!H9:H200"),"tested")</f>
        <v>11</v>
      </c>
      <c r="G8" s="1" t="n">
        <f aca="true">COUNTIF(INDIRECT("'"&amp;A8&amp;"'!H9:H200"),"verified")</f>
        <v>5</v>
      </c>
      <c r="H8" s="1" t="n">
        <f aca="true">COUNTIF(INDIRECT("'"&amp;A8&amp;"'!H9:H200"),"blocked")</f>
        <v>0</v>
      </c>
      <c r="I8" s="1" t="n">
        <f aca="true">COUNTIF(INDIRECT("'"&amp;A8&amp;"'!H9:H200"),"not applicable")</f>
        <v>0</v>
      </c>
      <c r="J8" s="2" t="n">
        <f aca="true">INDIRECT("'"&amp;A8&amp;"'!H4")</f>
        <v>1</v>
      </c>
      <c r="K8" s="1" t="n">
        <f aca="true">INDIRECT("'"&amp;A8&amp;"'!K4")</f>
        <v>0</v>
      </c>
      <c r="L8" s="1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17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18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19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20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21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22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23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24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25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26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27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28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29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30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31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32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33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34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35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36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37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38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39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40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41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42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43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44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45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46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47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48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49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50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51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52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53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54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55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56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INDIRECT("'"&amp;A48&amp;"'!B5")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57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INDIRECT("'"&amp;A49&amp;"'!B5")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58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59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60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61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62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63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64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65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66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67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68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</sheetData>
  <autoFilter ref="A7:M60"/>
  <mergeCells count="2">
    <mergeCell ref="A1:M1"/>
    <mergeCell ref="A2:M2"/>
  </mergeCells>
  <conditionalFormatting sqref="M8:M57">
    <cfRule type="containsText" priority="2" operator="containsText" aboveAverage="0" equalAverage="0" bottom="0" percent="0" rank="0" text="complete" dxfId="3">
      <formula>NOT(ISERROR(SEARCH("complete",M8)))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69</v>
      </c>
      <c r="B1" s="3"/>
      <c r="C1" s="3"/>
      <c r="D1" s="3"/>
    </row>
    <row r="2" customFormat="false" ht="27.75" hidden="false" customHeight="true" outlineLevel="0" collapsed="false">
      <c r="A2" s="4" t="s">
        <v>70</v>
      </c>
      <c r="B2" s="4"/>
      <c r="C2" s="4"/>
      <c r="D2" s="4"/>
    </row>
    <row r="3" customFormat="false" ht="15" hidden="false" customHeight="true" outlineLevel="0" collapsed="false">
      <c r="A3" s="8" t="s">
        <v>71</v>
      </c>
      <c r="B3" s="8" t="s">
        <v>72</v>
      </c>
    </row>
    <row r="4" customFormat="false" ht="30" hidden="false" customHeight="true" outlineLevel="0" collapsed="false">
      <c r="A4" s="1" t="s">
        <v>73</v>
      </c>
      <c r="B4" s="1" t="s">
        <v>74</v>
      </c>
    </row>
    <row r="5" customFormat="false" ht="30" hidden="false" customHeight="true" outlineLevel="0" collapsed="false">
      <c r="A5" s="1" t="s">
        <v>75</v>
      </c>
      <c r="B5" s="1" t="s">
        <v>76</v>
      </c>
    </row>
    <row r="6" customFormat="false" ht="30" hidden="false" customHeight="true" outlineLevel="0" collapsed="false">
      <c r="A6" s="1" t="s">
        <v>77</v>
      </c>
      <c r="B6" s="1" t="s">
        <v>78</v>
      </c>
    </row>
    <row r="7" customFormat="false" ht="30" hidden="false" customHeight="true" outlineLevel="0" collapsed="false">
      <c r="A7" s="1" t="s">
        <v>79</v>
      </c>
      <c r="B7" s="1" t="s">
        <v>80</v>
      </c>
    </row>
    <row r="8" customFormat="false" ht="30" hidden="false" customHeight="true" outlineLevel="0" collapsed="false">
      <c r="A8" s="1" t="s">
        <v>81</v>
      </c>
      <c r="B8" s="1" t="s">
        <v>82</v>
      </c>
    </row>
    <row r="9" customFormat="false" ht="30" hidden="false" customHeight="true" outlineLevel="0" collapsed="false">
      <c r="A9" s="1" t="s">
        <v>83</v>
      </c>
      <c r="B9" s="1" t="s">
        <v>84</v>
      </c>
    </row>
    <row r="10" customFormat="false" ht="30" hidden="false" customHeight="true" outlineLevel="0" collapsed="false">
      <c r="A10" s="1" t="s">
        <v>85</v>
      </c>
      <c r="B10" s="1" t="s">
        <v>86</v>
      </c>
    </row>
    <row r="11" customFormat="false" ht="30" hidden="false" customHeight="true" outlineLevel="0" collapsed="false">
      <c r="A11" s="1" t="s">
        <v>87</v>
      </c>
      <c r="B11" s="1" t="s">
        <v>88</v>
      </c>
    </row>
    <row r="12" customFormat="false" ht="30" hidden="false" customHeight="true" outlineLevel="0" collapsed="false">
      <c r="A12" s="1" t="s">
        <v>89</v>
      </c>
      <c r="B12" s="1" t="s">
        <v>90</v>
      </c>
    </row>
    <row r="13" customFormat="false" ht="30" hidden="false" customHeight="true" outlineLevel="0" collapsed="false">
      <c r="A13" s="1" t="s">
        <v>91</v>
      </c>
      <c r="B13" s="1" t="s">
        <v>92</v>
      </c>
    </row>
    <row r="14" customFormat="false" ht="30" hidden="false" customHeight="true" outlineLevel="0" collapsed="false">
      <c r="A14" s="1" t="s">
        <v>93</v>
      </c>
      <c r="B14" s="1" t="s">
        <v>94</v>
      </c>
    </row>
    <row r="15" customFormat="false" ht="30" hidden="false" customHeight="true" outlineLevel="0" collapsed="false">
      <c r="A15" s="1" t="s">
        <v>95</v>
      </c>
      <c r="B15" s="1" t="s">
        <v>96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77</v>
      </c>
      <c r="B1" s="1" t="s">
        <v>97</v>
      </c>
    </row>
    <row r="2" customFormat="false" ht="15" hidden="false" customHeight="true" outlineLevel="0" collapsed="false">
      <c r="A2" s="1" t="s">
        <v>79</v>
      </c>
      <c r="B2" s="1" t="s">
        <v>98</v>
      </c>
    </row>
    <row r="3" customFormat="false" ht="15" hidden="false" customHeight="true" outlineLevel="0" collapsed="false">
      <c r="A3" s="1" t="s">
        <v>81</v>
      </c>
    </row>
    <row r="4" customFormat="false" ht="15" hidden="false" customHeight="true" outlineLevel="0" collapsed="false">
      <c r="A4" s="1" t="s">
        <v>83</v>
      </c>
    </row>
    <row r="5" customFormat="false" ht="15" hidden="false" customHeight="true" outlineLevel="0" collapsed="false">
      <c r="A5" s="1" t="s">
        <v>85</v>
      </c>
    </row>
    <row r="6" customFormat="false" ht="15" hidden="false" customHeight="true" outlineLevel="0" collapsed="false">
      <c r="A6" s="1" t="s">
        <v>87</v>
      </c>
    </row>
    <row r="7" customFormat="false" ht="15" hidden="false" customHeight="true" outlineLevel="0" collapsed="false">
      <c r="A7" s="1" t="s">
        <v>89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101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102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115</v>
      </c>
      <c r="B9" s="1" t="s">
        <v>116</v>
      </c>
      <c r="C9" s="1" t="s">
        <v>117</v>
      </c>
      <c r="D9" s="1" t="s">
        <v>118</v>
      </c>
      <c r="E9" s="1" t="s">
        <v>119</v>
      </c>
      <c r="F9" s="1" t="s">
        <v>120</v>
      </c>
      <c r="G9" s="1" t="s">
        <v>121</v>
      </c>
      <c r="H9" s="8" t="s">
        <v>83</v>
      </c>
      <c r="I9" s="8" t="s">
        <v>98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122</v>
      </c>
      <c r="B10" s="1" t="s">
        <v>123</v>
      </c>
      <c r="C10" s="1" t="s">
        <v>117</v>
      </c>
      <c r="D10" s="1" t="s">
        <v>124</v>
      </c>
      <c r="E10" s="1" t="s">
        <v>119</v>
      </c>
      <c r="F10" s="1" t="s">
        <v>119</v>
      </c>
      <c r="G10" s="1" t="s">
        <v>125</v>
      </c>
      <c r="H10" s="8" t="s">
        <v>83</v>
      </c>
      <c r="I10" s="8" t="s">
        <v>98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126</v>
      </c>
      <c r="B11" s="1" t="s">
        <v>127</v>
      </c>
      <c r="C11" s="1" t="s">
        <v>117</v>
      </c>
      <c r="D11" s="1" t="s">
        <v>128</v>
      </c>
      <c r="E11" s="1" t="s">
        <v>119</v>
      </c>
      <c r="F11" s="1" t="s">
        <v>129</v>
      </c>
      <c r="G11" s="1" t="s">
        <v>130</v>
      </c>
      <c r="H11" s="8" t="s">
        <v>83</v>
      </c>
      <c r="I11" s="8" t="s">
        <v>98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131</v>
      </c>
      <c r="B12" s="1" t="s">
        <v>132</v>
      </c>
      <c r="C12" s="1" t="s">
        <v>117</v>
      </c>
      <c r="D12" s="1" t="s">
        <v>133</v>
      </c>
      <c r="E12" s="1" t="s">
        <v>119</v>
      </c>
      <c r="F12" s="1" t="s">
        <v>134</v>
      </c>
      <c r="G12" s="1" t="s">
        <v>135</v>
      </c>
      <c r="H12" s="8" t="s">
        <v>83</v>
      </c>
      <c r="I12" s="8" t="s">
        <v>98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136</v>
      </c>
      <c r="B13" s="1" t="s">
        <v>137</v>
      </c>
      <c r="C13" s="1" t="s">
        <v>117</v>
      </c>
      <c r="D13" s="1" t="s">
        <v>138</v>
      </c>
      <c r="E13" s="1" t="s">
        <v>119</v>
      </c>
      <c r="F13" s="1" t="s">
        <v>139</v>
      </c>
      <c r="G13" s="1" t="s">
        <v>140</v>
      </c>
      <c r="H13" s="8" t="s">
        <v>83</v>
      </c>
      <c r="I13" s="8" t="s">
        <v>98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141</v>
      </c>
      <c r="B14" s="1" t="s">
        <v>142</v>
      </c>
      <c r="C14" s="1" t="s">
        <v>117</v>
      </c>
      <c r="D14" s="1" t="s">
        <v>143</v>
      </c>
      <c r="E14" s="1" t="s">
        <v>119</v>
      </c>
      <c r="F14" s="1" t="s">
        <v>144</v>
      </c>
      <c r="G14" s="1" t="s">
        <v>145</v>
      </c>
      <c r="H14" s="8" t="s">
        <v>83</v>
      </c>
      <c r="I14" s="8" t="s">
        <v>98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146</v>
      </c>
      <c r="B15" s="1" t="s">
        <v>147</v>
      </c>
      <c r="C15" s="1" t="s">
        <v>117</v>
      </c>
      <c r="D15" s="1" t="s">
        <v>148</v>
      </c>
      <c r="E15" s="1" t="s">
        <v>119</v>
      </c>
      <c r="F15" s="1" t="s">
        <v>149</v>
      </c>
      <c r="G15" s="1" t="s">
        <v>150</v>
      </c>
      <c r="H15" s="8" t="s">
        <v>83</v>
      </c>
      <c r="I15" s="8" t="s">
        <v>98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151</v>
      </c>
      <c r="B16" s="1" t="s">
        <v>152</v>
      </c>
      <c r="C16" s="1" t="s">
        <v>117</v>
      </c>
      <c r="D16" s="1" t="s">
        <v>153</v>
      </c>
      <c r="E16" s="1" t="s">
        <v>119</v>
      </c>
      <c r="F16" s="1" t="s">
        <v>154</v>
      </c>
      <c r="G16" s="1" t="s">
        <v>155</v>
      </c>
      <c r="H16" s="8" t="s">
        <v>85</v>
      </c>
      <c r="I16" s="8" t="s">
        <v>97</v>
      </c>
      <c r="J16" s="10" t="n">
        <v>46227</v>
      </c>
      <c r="K16" s="1" t="s">
        <v>156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157</v>
      </c>
      <c r="B17" s="1" t="s">
        <v>158</v>
      </c>
      <c r="C17" s="1" t="s">
        <v>117</v>
      </c>
      <c r="D17" s="1" t="s">
        <v>159</v>
      </c>
      <c r="E17" s="1" t="s">
        <v>119</v>
      </c>
      <c r="F17" s="1" t="s">
        <v>160</v>
      </c>
      <c r="G17" s="1" t="s">
        <v>161</v>
      </c>
      <c r="H17" s="8" t="s">
        <v>85</v>
      </c>
      <c r="I17" s="8" t="s">
        <v>97</v>
      </c>
      <c r="J17" s="10" t="n">
        <v>46227</v>
      </c>
      <c r="K17" s="1" t="s">
        <v>162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163</v>
      </c>
      <c r="B18" s="1" t="s">
        <v>164</v>
      </c>
      <c r="C18" s="1" t="s">
        <v>117</v>
      </c>
      <c r="D18" s="1" t="s">
        <v>165</v>
      </c>
      <c r="E18" s="1" t="s">
        <v>119</v>
      </c>
      <c r="F18" s="1" t="s">
        <v>160</v>
      </c>
      <c r="G18" s="1" t="s">
        <v>161</v>
      </c>
      <c r="H18" s="8" t="s">
        <v>85</v>
      </c>
      <c r="I18" s="8" t="s">
        <v>97</v>
      </c>
      <c r="J18" s="10" t="n">
        <v>46227</v>
      </c>
      <c r="K18" s="1" t="s">
        <v>162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166</v>
      </c>
      <c r="B19" s="1" t="s">
        <v>167</v>
      </c>
      <c r="C19" s="1" t="s">
        <v>117</v>
      </c>
      <c r="D19" s="1" t="s">
        <v>168</v>
      </c>
      <c r="E19" s="1" t="s">
        <v>119</v>
      </c>
      <c r="F19" s="1" t="s">
        <v>160</v>
      </c>
      <c r="G19" s="1" t="s">
        <v>169</v>
      </c>
      <c r="H19" s="8" t="s">
        <v>85</v>
      </c>
      <c r="I19" s="8" t="s">
        <v>97</v>
      </c>
      <c r="J19" s="10" t="n">
        <v>46227</v>
      </c>
      <c r="K19" s="1" t="s">
        <v>170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171</v>
      </c>
      <c r="B20" s="1" t="s">
        <v>172</v>
      </c>
      <c r="C20" s="1" t="s">
        <v>117</v>
      </c>
      <c r="D20" s="1" t="s">
        <v>173</v>
      </c>
      <c r="E20" s="1" t="s">
        <v>119</v>
      </c>
      <c r="F20" s="1" t="s">
        <v>160</v>
      </c>
      <c r="G20" s="1" t="s">
        <v>161</v>
      </c>
      <c r="H20" s="8" t="s">
        <v>85</v>
      </c>
      <c r="I20" s="8" t="s">
        <v>97</v>
      </c>
      <c r="J20" s="10" t="n">
        <v>46227</v>
      </c>
      <c r="K20" s="1" t="s">
        <v>174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175</v>
      </c>
      <c r="B21" s="1" t="s">
        <v>176</v>
      </c>
      <c r="C21" s="1" t="s">
        <v>117</v>
      </c>
      <c r="D21" s="1" t="s">
        <v>177</v>
      </c>
      <c r="E21" s="1" t="s">
        <v>119</v>
      </c>
      <c r="F21" s="1" t="s">
        <v>178</v>
      </c>
      <c r="G21" s="1" t="s">
        <v>179</v>
      </c>
      <c r="H21" s="8" t="s">
        <v>83</v>
      </c>
      <c r="I21" s="8" t="s">
        <v>98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180</v>
      </c>
      <c r="B22" s="1" t="s">
        <v>181</v>
      </c>
      <c r="C22" s="1" t="s">
        <v>117</v>
      </c>
      <c r="D22" s="1" t="s">
        <v>182</v>
      </c>
      <c r="E22" s="1" t="s">
        <v>119</v>
      </c>
      <c r="F22" s="1" t="s">
        <v>178</v>
      </c>
      <c r="G22" s="1" t="s">
        <v>183</v>
      </c>
      <c r="H22" s="8" t="s">
        <v>83</v>
      </c>
      <c r="I22" s="8" t="s">
        <v>98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184</v>
      </c>
      <c r="B23" s="1" t="s">
        <v>185</v>
      </c>
      <c r="C23" s="1" t="s">
        <v>117</v>
      </c>
      <c r="D23" s="1" t="s">
        <v>186</v>
      </c>
      <c r="E23" s="1" t="s">
        <v>187</v>
      </c>
      <c r="F23" s="1" t="s">
        <v>187</v>
      </c>
      <c r="G23" s="1" t="s">
        <v>188</v>
      </c>
      <c r="H23" s="8" t="s">
        <v>83</v>
      </c>
      <c r="I23" s="8" t="s">
        <v>98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189</v>
      </c>
      <c r="B24" s="1" t="s">
        <v>190</v>
      </c>
      <c r="C24" s="1" t="s">
        <v>117</v>
      </c>
      <c r="D24" s="1" t="s">
        <v>191</v>
      </c>
      <c r="E24" s="1" t="s">
        <v>119</v>
      </c>
      <c r="F24" s="1" t="s">
        <v>119</v>
      </c>
      <c r="G24" s="1" t="s">
        <v>192</v>
      </c>
      <c r="H24" s="8" t="s">
        <v>83</v>
      </c>
      <c r="I24" s="8" t="s">
        <v>98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101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102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194</v>
      </c>
      <c r="B9" s="1" t="s">
        <v>116</v>
      </c>
      <c r="C9" s="1" t="s">
        <v>195</v>
      </c>
      <c r="D9" s="1" t="s">
        <v>118</v>
      </c>
      <c r="E9" s="1" t="s">
        <v>119</v>
      </c>
      <c r="F9" s="1" t="s">
        <v>120</v>
      </c>
      <c r="G9" s="1" t="s">
        <v>196</v>
      </c>
      <c r="H9" s="8" t="s">
        <v>83</v>
      </c>
      <c r="I9" s="8" t="s">
        <v>98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197</v>
      </c>
      <c r="B10" s="1" t="s">
        <v>123</v>
      </c>
      <c r="C10" s="1" t="s">
        <v>195</v>
      </c>
      <c r="D10" s="1" t="s">
        <v>124</v>
      </c>
      <c r="E10" s="1" t="s">
        <v>119</v>
      </c>
      <c r="F10" s="1" t="s">
        <v>119</v>
      </c>
      <c r="G10" s="1" t="s">
        <v>125</v>
      </c>
      <c r="H10" s="8" t="s">
        <v>83</v>
      </c>
      <c r="I10" s="8" t="s">
        <v>98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198</v>
      </c>
      <c r="B11" s="1" t="s">
        <v>127</v>
      </c>
      <c r="C11" s="1" t="s">
        <v>195</v>
      </c>
      <c r="D11" s="1" t="s">
        <v>128</v>
      </c>
      <c r="E11" s="1" t="s">
        <v>119</v>
      </c>
      <c r="F11" s="1" t="s">
        <v>129</v>
      </c>
      <c r="G11" s="1" t="s">
        <v>199</v>
      </c>
      <c r="H11" s="8" t="s">
        <v>83</v>
      </c>
      <c r="I11" s="8" t="s">
        <v>98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200</v>
      </c>
      <c r="B12" s="1" t="s">
        <v>132</v>
      </c>
      <c r="C12" s="1" t="s">
        <v>195</v>
      </c>
      <c r="D12" s="1" t="s">
        <v>133</v>
      </c>
      <c r="E12" s="1" t="s">
        <v>119</v>
      </c>
      <c r="F12" s="1" t="s">
        <v>134</v>
      </c>
      <c r="G12" s="1" t="s">
        <v>201</v>
      </c>
      <c r="H12" s="8" t="s">
        <v>83</v>
      </c>
      <c r="I12" s="8" t="s">
        <v>98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202</v>
      </c>
      <c r="B13" s="1" t="s">
        <v>137</v>
      </c>
      <c r="C13" s="1" t="s">
        <v>195</v>
      </c>
      <c r="D13" s="1" t="s">
        <v>138</v>
      </c>
      <c r="E13" s="1" t="s">
        <v>119</v>
      </c>
      <c r="F13" s="1" t="s">
        <v>139</v>
      </c>
      <c r="G13" s="1" t="s">
        <v>203</v>
      </c>
      <c r="H13" s="8" t="s">
        <v>83</v>
      </c>
      <c r="I13" s="8" t="s">
        <v>98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204</v>
      </c>
      <c r="B14" s="1" t="s">
        <v>142</v>
      </c>
      <c r="C14" s="1" t="s">
        <v>195</v>
      </c>
      <c r="D14" s="1" t="s">
        <v>143</v>
      </c>
      <c r="E14" s="1" t="s">
        <v>119</v>
      </c>
      <c r="F14" s="1" t="s">
        <v>144</v>
      </c>
      <c r="G14" s="1" t="s">
        <v>205</v>
      </c>
      <c r="H14" s="8" t="s">
        <v>83</v>
      </c>
      <c r="I14" s="8" t="s">
        <v>98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206</v>
      </c>
      <c r="B15" s="1" t="s">
        <v>147</v>
      </c>
      <c r="C15" s="1" t="s">
        <v>195</v>
      </c>
      <c r="D15" s="1" t="s">
        <v>148</v>
      </c>
      <c r="E15" s="1" t="s">
        <v>119</v>
      </c>
      <c r="F15" s="1" t="s">
        <v>149</v>
      </c>
      <c r="G15" s="1" t="s">
        <v>207</v>
      </c>
      <c r="H15" s="8" t="s">
        <v>83</v>
      </c>
      <c r="I15" s="8" t="s">
        <v>98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208</v>
      </c>
      <c r="B16" s="1" t="s">
        <v>152</v>
      </c>
      <c r="C16" s="1" t="s">
        <v>195</v>
      </c>
      <c r="D16" s="1" t="s">
        <v>153</v>
      </c>
      <c r="E16" s="1" t="s">
        <v>119</v>
      </c>
      <c r="F16" s="1" t="s">
        <v>154</v>
      </c>
      <c r="G16" s="1" t="s">
        <v>209</v>
      </c>
      <c r="H16" s="8" t="s">
        <v>85</v>
      </c>
      <c r="I16" s="8" t="s">
        <v>97</v>
      </c>
      <c r="J16" s="10" t="n">
        <v>46227</v>
      </c>
      <c r="K16" s="1" t="s">
        <v>156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210</v>
      </c>
      <c r="B17" s="1" t="s">
        <v>158</v>
      </c>
      <c r="C17" s="1" t="s">
        <v>195</v>
      </c>
      <c r="D17" s="1" t="s">
        <v>159</v>
      </c>
      <c r="E17" s="1" t="s">
        <v>119</v>
      </c>
      <c r="F17" s="1" t="s">
        <v>160</v>
      </c>
      <c r="G17" s="1" t="s">
        <v>211</v>
      </c>
      <c r="H17" s="8" t="s">
        <v>85</v>
      </c>
      <c r="I17" s="8" t="s">
        <v>97</v>
      </c>
      <c r="J17" s="10" t="n">
        <v>46227</v>
      </c>
      <c r="K17" s="1" t="s">
        <v>162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212</v>
      </c>
      <c r="B18" s="1" t="s">
        <v>164</v>
      </c>
      <c r="C18" s="1" t="s">
        <v>195</v>
      </c>
      <c r="D18" s="1" t="s">
        <v>165</v>
      </c>
      <c r="E18" s="1" t="s">
        <v>119</v>
      </c>
      <c r="F18" s="1" t="s">
        <v>160</v>
      </c>
      <c r="G18" s="1" t="s">
        <v>211</v>
      </c>
      <c r="H18" s="8" t="s">
        <v>85</v>
      </c>
      <c r="I18" s="8" t="s">
        <v>97</v>
      </c>
      <c r="J18" s="10" t="n">
        <v>46227</v>
      </c>
      <c r="K18" s="1" t="s">
        <v>162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213</v>
      </c>
      <c r="B19" s="1" t="s">
        <v>167</v>
      </c>
      <c r="C19" s="1" t="s">
        <v>195</v>
      </c>
      <c r="D19" s="1" t="s">
        <v>168</v>
      </c>
      <c r="E19" s="1" t="s">
        <v>119</v>
      </c>
      <c r="F19" s="1" t="s">
        <v>160</v>
      </c>
      <c r="G19" s="1" t="s">
        <v>214</v>
      </c>
      <c r="H19" s="8" t="s">
        <v>85</v>
      </c>
      <c r="I19" s="8" t="s">
        <v>97</v>
      </c>
      <c r="J19" s="10" t="n">
        <v>46227</v>
      </c>
      <c r="K19" s="1" t="s">
        <v>170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215</v>
      </c>
      <c r="B20" s="1" t="s">
        <v>172</v>
      </c>
      <c r="C20" s="1" t="s">
        <v>195</v>
      </c>
      <c r="D20" s="1" t="s">
        <v>173</v>
      </c>
      <c r="E20" s="1" t="s">
        <v>119</v>
      </c>
      <c r="F20" s="1" t="s">
        <v>160</v>
      </c>
      <c r="G20" s="1" t="s">
        <v>211</v>
      </c>
      <c r="H20" s="8" t="s">
        <v>85</v>
      </c>
      <c r="I20" s="8" t="s">
        <v>97</v>
      </c>
      <c r="J20" s="10" t="n">
        <v>46227</v>
      </c>
      <c r="K20" s="1" t="s">
        <v>174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216</v>
      </c>
      <c r="B21" s="1" t="s">
        <v>176</v>
      </c>
      <c r="C21" s="1" t="s">
        <v>195</v>
      </c>
      <c r="D21" s="1" t="s">
        <v>177</v>
      </c>
      <c r="E21" s="1" t="s">
        <v>119</v>
      </c>
      <c r="F21" s="1" t="s">
        <v>178</v>
      </c>
      <c r="G21" s="1" t="s">
        <v>217</v>
      </c>
      <c r="H21" s="8" t="s">
        <v>83</v>
      </c>
      <c r="I21" s="8" t="s">
        <v>98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218</v>
      </c>
      <c r="B22" s="1" t="s">
        <v>181</v>
      </c>
      <c r="C22" s="1" t="s">
        <v>195</v>
      </c>
      <c r="D22" s="1" t="s">
        <v>182</v>
      </c>
      <c r="E22" s="1" t="s">
        <v>119</v>
      </c>
      <c r="F22" s="1" t="s">
        <v>178</v>
      </c>
      <c r="G22" s="1" t="s">
        <v>219</v>
      </c>
      <c r="H22" s="8" t="s">
        <v>83</v>
      </c>
      <c r="I22" s="8" t="s">
        <v>98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220</v>
      </c>
      <c r="B23" s="1" t="s">
        <v>185</v>
      </c>
      <c r="C23" s="1" t="s">
        <v>195</v>
      </c>
      <c r="D23" s="1" t="s">
        <v>186</v>
      </c>
      <c r="E23" s="1" t="s">
        <v>187</v>
      </c>
      <c r="F23" s="1" t="s">
        <v>187</v>
      </c>
      <c r="G23" s="1" t="s">
        <v>188</v>
      </c>
      <c r="H23" s="8" t="s">
        <v>83</v>
      </c>
      <c r="I23" s="8" t="s">
        <v>98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221</v>
      </c>
      <c r="B24" s="1" t="s">
        <v>190</v>
      </c>
      <c r="C24" s="1" t="s">
        <v>195</v>
      </c>
      <c r="D24" s="1" t="s">
        <v>191</v>
      </c>
      <c r="E24" s="1" t="s">
        <v>119</v>
      </c>
      <c r="F24" s="1" t="s">
        <v>119</v>
      </c>
      <c r="G24" s="1" t="s">
        <v>192</v>
      </c>
      <c r="H24" s="8" t="s">
        <v>83</v>
      </c>
      <c r="I24" s="8" t="s">
        <v>98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101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102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223</v>
      </c>
      <c r="B9" s="1" t="s">
        <v>116</v>
      </c>
      <c r="C9" s="1" t="s">
        <v>18</v>
      </c>
      <c r="D9" s="1" t="s">
        <v>118</v>
      </c>
      <c r="E9" s="1" t="s">
        <v>119</v>
      </c>
      <c r="F9" s="1" t="s">
        <v>120</v>
      </c>
      <c r="G9" s="1" t="s">
        <v>224</v>
      </c>
      <c r="H9" s="8" t="s">
        <v>83</v>
      </c>
      <c r="I9" s="8" t="s">
        <v>98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225</v>
      </c>
      <c r="B10" s="1" t="s">
        <v>123</v>
      </c>
      <c r="C10" s="1" t="s">
        <v>18</v>
      </c>
      <c r="D10" s="1" t="s">
        <v>124</v>
      </c>
      <c r="E10" s="1" t="s">
        <v>119</v>
      </c>
      <c r="F10" s="1" t="s">
        <v>119</v>
      </c>
      <c r="G10" s="1" t="s">
        <v>125</v>
      </c>
      <c r="H10" s="8" t="s">
        <v>83</v>
      </c>
      <c r="I10" s="8" t="s">
        <v>98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226</v>
      </c>
      <c r="B11" s="1" t="s">
        <v>127</v>
      </c>
      <c r="C11" s="1" t="s">
        <v>18</v>
      </c>
      <c r="D11" s="1" t="s">
        <v>128</v>
      </c>
      <c r="E11" s="1" t="s">
        <v>119</v>
      </c>
      <c r="F11" s="1" t="s">
        <v>129</v>
      </c>
      <c r="G11" s="1" t="s">
        <v>227</v>
      </c>
      <c r="H11" s="8" t="s">
        <v>83</v>
      </c>
      <c r="I11" s="8" t="s">
        <v>98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228</v>
      </c>
      <c r="B12" s="1" t="s">
        <v>132</v>
      </c>
      <c r="C12" s="1" t="s">
        <v>18</v>
      </c>
      <c r="D12" s="1" t="s">
        <v>133</v>
      </c>
      <c r="E12" s="1" t="s">
        <v>119</v>
      </c>
      <c r="F12" s="1" t="s">
        <v>134</v>
      </c>
      <c r="G12" s="1" t="s">
        <v>229</v>
      </c>
      <c r="H12" s="8" t="s">
        <v>83</v>
      </c>
      <c r="I12" s="8" t="s">
        <v>98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230</v>
      </c>
      <c r="B13" s="1" t="s">
        <v>137</v>
      </c>
      <c r="C13" s="1" t="s">
        <v>18</v>
      </c>
      <c r="D13" s="1" t="s">
        <v>138</v>
      </c>
      <c r="E13" s="1" t="s">
        <v>119</v>
      </c>
      <c r="F13" s="1" t="s">
        <v>139</v>
      </c>
      <c r="G13" s="1" t="s">
        <v>231</v>
      </c>
      <c r="H13" s="8" t="s">
        <v>83</v>
      </c>
      <c r="I13" s="8" t="s">
        <v>98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232</v>
      </c>
      <c r="B14" s="1" t="s">
        <v>142</v>
      </c>
      <c r="C14" s="1" t="s">
        <v>18</v>
      </c>
      <c r="D14" s="1" t="s">
        <v>143</v>
      </c>
      <c r="E14" s="1" t="s">
        <v>119</v>
      </c>
      <c r="F14" s="1" t="s">
        <v>144</v>
      </c>
      <c r="G14" s="1" t="s">
        <v>233</v>
      </c>
      <c r="H14" s="8" t="s">
        <v>83</v>
      </c>
      <c r="I14" s="8" t="s">
        <v>98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234</v>
      </c>
      <c r="B15" s="1" t="s">
        <v>147</v>
      </c>
      <c r="C15" s="1" t="s">
        <v>18</v>
      </c>
      <c r="D15" s="1" t="s">
        <v>148</v>
      </c>
      <c r="E15" s="1" t="s">
        <v>119</v>
      </c>
      <c r="F15" s="1" t="s">
        <v>149</v>
      </c>
      <c r="G15" s="1" t="s">
        <v>235</v>
      </c>
      <c r="H15" s="8" t="s">
        <v>83</v>
      </c>
      <c r="I15" s="8" t="s">
        <v>98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236</v>
      </c>
      <c r="B16" s="1" t="s">
        <v>152</v>
      </c>
      <c r="C16" s="1" t="s">
        <v>18</v>
      </c>
      <c r="D16" s="1" t="s">
        <v>153</v>
      </c>
      <c r="E16" s="1" t="s">
        <v>119</v>
      </c>
      <c r="F16" s="1" t="s">
        <v>154</v>
      </c>
      <c r="G16" s="1" t="s">
        <v>237</v>
      </c>
      <c r="H16" s="8" t="s">
        <v>85</v>
      </c>
      <c r="I16" s="8" t="s">
        <v>97</v>
      </c>
      <c r="J16" s="10" t="n">
        <v>46227</v>
      </c>
      <c r="K16" s="1" t="s">
        <v>156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238</v>
      </c>
      <c r="B17" s="1" t="s">
        <v>158</v>
      </c>
      <c r="C17" s="1" t="s">
        <v>18</v>
      </c>
      <c r="D17" s="1" t="s">
        <v>159</v>
      </c>
      <c r="E17" s="1" t="s">
        <v>119</v>
      </c>
      <c r="F17" s="1" t="s">
        <v>160</v>
      </c>
      <c r="G17" s="1" t="s">
        <v>239</v>
      </c>
      <c r="H17" s="8" t="s">
        <v>85</v>
      </c>
      <c r="I17" s="8" t="s">
        <v>97</v>
      </c>
      <c r="J17" s="10" t="n">
        <v>46227</v>
      </c>
      <c r="K17" s="1" t="s">
        <v>162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240</v>
      </c>
      <c r="B18" s="1" t="s">
        <v>164</v>
      </c>
      <c r="C18" s="1" t="s">
        <v>18</v>
      </c>
      <c r="D18" s="1" t="s">
        <v>165</v>
      </c>
      <c r="E18" s="1" t="s">
        <v>119</v>
      </c>
      <c r="F18" s="1" t="s">
        <v>160</v>
      </c>
      <c r="G18" s="1" t="s">
        <v>239</v>
      </c>
      <c r="H18" s="8" t="s">
        <v>85</v>
      </c>
      <c r="I18" s="8" t="s">
        <v>97</v>
      </c>
      <c r="J18" s="10" t="n">
        <v>46227</v>
      </c>
      <c r="K18" s="1" t="s">
        <v>162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241</v>
      </c>
      <c r="B19" s="1" t="s">
        <v>167</v>
      </c>
      <c r="C19" s="1" t="s">
        <v>18</v>
      </c>
      <c r="D19" s="1" t="s">
        <v>168</v>
      </c>
      <c r="E19" s="1" t="s">
        <v>119</v>
      </c>
      <c r="F19" s="1" t="s">
        <v>160</v>
      </c>
      <c r="G19" s="1" t="s">
        <v>242</v>
      </c>
      <c r="H19" s="8" t="s">
        <v>85</v>
      </c>
      <c r="I19" s="8" t="s">
        <v>97</v>
      </c>
      <c r="J19" s="10" t="n">
        <v>46227</v>
      </c>
      <c r="K19" s="1" t="s">
        <v>170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243</v>
      </c>
      <c r="B20" s="1" t="s">
        <v>172</v>
      </c>
      <c r="C20" s="1" t="s">
        <v>18</v>
      </c>
      <c r="D20" s="1" t="s">
        <v>173</v>
      </c>
      <c r="E20" s="1" t="s">
        <v>119</v>
      </c>
      <c r="F20" s="1" t="s">
        <v>160</v>
      </c>
      <c r="G20" s="1" t="s">
        <v>239</v>
      </c>
      <c r="H20" s="8" t="s">
        <v>85</v>
      </c>
      <c r="I20" s="8" t="s">
        <v>97</v>
      </c>
      <c r="J20" s="10" t="n">
        <v>46227</v>
      </c>
      <c r="K20" s="1" t="s">
        <v>174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244</v>
      </c>
      <c r="B21" s="1" t="s">
        <v>176</v>
      </c>
      <c r="C21" s="1" t="s">
        <v>18</v>
      </c>
      <c r="D21" s="1" t="s">
        <v>177</v>
      </c>
      <c r="E21" s="1" t="s">
        <v>119</v>
      </c>
      <c r="F21" s="1" t="s">
        <v>178</v>
      </c>
      <c r="G21" s="1" t="s">
        <v>245</v>
      </c>
      <c r="H21" s="8" t="s">
        <v>83</v>
      </c>
      <c r="I21" s="8" t="s">
        <v>98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246</v>
      </c>
      <c r="B22" s="1" t="s">
        <v>181</v>
      </c>
      <c r="C22" s="1" t="s">
        <v>18</v>
      </c>
      <c r="D22" s="1" t="s">
        <v>182</v>
      </c>
      <c r="E22" s="1" t="s">
        <v>119</v>
      </c>
      <c r="F22" s="1" t="s">
        <v>178</v>
      </c>
      <c r="G22" s="1" t="s">
        <v>247</v>
      </c>
      <c r="H22" s="8" t="s">
        <v>83</v>
      </c>
      <c r="I22" s="8" t="s">
        <v>98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248</v>
      </c>
      <c r="B23" s="1" t="s">
        <v>185</v>
      </c>
      <c r="C23" s="1" t="s">
        <v>18</v>
      </c>
      <c r="D23" s="1" t="s">
        <v>186</v>
      </c>
      <c r="E23" s="1" t="s">
        <v>187</v>
      </c>
      <c r="F23" s="1" t="s">
        <v>187</v>
      </c>
      <c r="G23" s="1" t="s">
        <v>188</v>
      </c>
      <c r="H23" s="8" t="s">
        <v>83</v>
      </c>
      <c r="I23" s="8" t="s">
        <v>98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249</v>
      </c>
      <c r="B24" s="1" t="s">
        <v>190</v>
      </c>
      <c r="C24" s="1" t="s">
        <v>18</v>
      </c>
      <c r="D24" s="1" t="s">
        <v>191</v>
      </c>
      <c r="E24" s="1" t="s">
        <v>119</v>
      </c>
      <c r="F24" s="1" t="s">
        <v>119</v>
      </c>
      <c r="G24" s="1" t="s">
        <v>192</v>
      </c>
      <c r="H24" s="8" t="s">
        <v>83</v>
      </c>
      <c r="I24" s="8" t="s">
        <v>98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101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102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251</v>
      </c>
      <c r="B9" s="1" t="s">
        <v>116</v>
      </c>
      <c r="C9" s="1" t="s">
        <v>19</v>
      </c>
      <c r="D9" s="1" t="s">
        <v>118</v>
      </c>
      <c r="E9" s="1" t="s">
        <v>119</v>
      </c>
      <c r="F9" s="1" t="s">
        <v>120</v>
      </c>
      <c r="G9" s="1" t="s">
        <v>252</v>
      </c>
      <c r="H9" s="8" t="s">
        <v>83</v>
      </c>
      <c r="I9" s="8" t="s">
        <v>98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253</v>
      </c>
      <c r="B10" s="1" t="s">
        <v>123</v>
      </c>
      <c r="C10" s="1" t="s">
        <v>19</v>
      </c>
      <c r="D10" s="1" t="s">
        <v>124</v>
      </c>
      <c r="E10" s="1" t="s">
        <v>119</v>
      </c>
      <c r="F10" s="1" t="s">
        <v>119</v>
      </c>
      <c r="G10" s="1" t="s">
        <v>125</v>
      </c>
      <c r="H10" s="8" t="s">
        <v>83</v>
      </c>
      <c r="I10" s="8" t="s">
        <v>98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254</v>
      </c>
      <c r="B11" s="1" t="s">
        <v>127</v>
      </c>
      <c r="C11" s="1" t="s">
        <v>19</v>
      </c>
      <c r="D11" s="1" t="s">
        <v>128</v>
      </c>
      <c r="E11" s="1" t="s">
        <v>119</v>
      </c>
      <c r="F11" s="1" t="s">
        <v>129</v>
      </c>
      <c r="G11" s="1" t="s">
        <v>255</v>
      </c>
      <c r="H11" s="8" t="s">
        <v>83</v>
      </c>
      <c r="I11" s="8" t="s">
        <v>98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256</v>
      </c>
      <c r="B12" s="1" t="s">
        <v>132</v>
      </c>
      <c r="C12" s="1" t="s">
        <v>19</v>
      </c>
      <c r="D12" s="1" t="s">
        <v>133</v>
      </c>
      <c r="E12" s="1" t="s">
        <v>119</v>
      </c>
      <c r="F12" s="1" t="s">
        <v>134</v>
      </c>
      <c r="G12" s="1" t="s">
        <v>257</v>
      </c>
      <c r="H12" s="8" t="s">
        <v>83</v>
      </c>
      <c r="I12" s="8" t="s">
        <v>98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258</v>
      </c>
      <c r="B13" s="1" t="s">
        <v>137</v>
      </c>
      <c r="C13" s="1" t="s">
        <v>19</v>
      </c>
      <c r="D13" s="1" t="s">
        <v>138</v>
      </c>
      <c r="E13" s="1" t="s">
        <v>119</v>
      </c>
      <c r="F13" s="1" t="s">
        <v>139</v>
      </c>
      <c r="G13" s="1" t="s">
        <v>259</v>
      </c>
      <c r="H13" s="8" t="s">
        <v>83</v>
      </c>
      <c r="I13" s="8" t="s">
        <v>98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260</v>
      </c>
      <c r="B14" s="1" t="s">
        <v>142</v>
      </c>
      <c r="C14" s="1" t="s">
        <v>19</v>
      </c>
      <c r="D14" s="1" t="s">
        <v>143</v>
      </c>
      <c r="E14" s="1" t="s">
        <v>119</v>
      </c>
      <c r="F14" s="1" t="s">
        <v>144</v>
      </c>
      <c r="G14" s="1" t="s">
        <v>261</v>
      </c>
      <c r="H14" s="8" t="s">
        <v>83</v>
      </c>
      <c r="I14" s="8" t="s">
        <v>98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262</v>
      </c>
      <c r="B15" s="1" t="s">
        <v>147</v>
      </c>
      <c r="C15" s="1" t="s">
        <v>19</v>
      </c>
      <c r="D15" s="1" t="s">
        <v>148</v>
      </c>
      <c r="E15" s="1" t="s">
        <v>119</v>
      </c>
      <c r="F15" s="1" t="s">
        <v>149</v>
      </c>
      <c r="G15" s="1" t="s">
        <v>263</v>
      </c>
      <c r="H15" s="8" t="s">
        <v>83</v>
      </c>
      <c r="I15" s="8" t="s">
        <v>98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264</v>
      </c>
      <c r="B16" s="1" t="s">
        <v>152</v>
      </c>
      <c r="C16" s="1" t="s">
        <v>19</v>
      </c>
      <c r="D16" s="1" t="s">
        <v>153</v>
      </c>
      <c r="E16" s="1" t="s">
        <v>119</v>
      </c>
      <c r="F16" s="1" t="s">
        <v>154</v>
      </c>
      <c r="G16" s="1" t="s">
        <v>265</v>
      </c>
      <c r="H16" s="8" t="s">
        <v>85</v>
      </c>
      <c r="I16" s="8" t="s">
        <v>97</v>
      </c>
      <c r="J16" s="10" t="n">
        <v>46227</v>
      </c>
      <c r="K16" s="1" t="s">
        <v>156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266</v>
      </c>
      <c r="B17" s="1" t="s">
        <v>158</v>
      </c>
      <c r="C17" s="1" t="s">
        <v>19</v>
      </c>
      <c r="D17" s="1" t="s">
        <v>159</v>
      </c>
      <c r="E17" s="1" t="s">
        <v>119</v>
      </c>
      <c r="F17" s="1" t="s">
        <v>160</v>
      </c>
      <c r="G17" s="1" t="s">
        <v>267</v>
      </c>
      <c r="H17" s="8" t="s">
        <v>85</v>
      </c>
      <c r="I17" s="8" t="s">
        <v>97</v>
      </c>
      <c r="J17" s="10" t="n">
        <v>46227</v>
      </c>
      <c r="K17" s="1" t="s">
        <v>162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268</v>
      </c>
      <c r="B18" s="1" t="s">
        <v>164</v>
      </c>
      <c r="C18" s="1" t="s">
        <v>19</v>
      </c>
      <c r="D18" s="1" t="s">
        <v>165</v>
      </c>
      <c r="E18" s="1" t="s">
        <v>119</v>
      </c>
      <c r="F18" s="1" t="s">
        <v>160</v>
      </c>
      <c r="G18" s="1" t="s">
        <v>267</v>
      </c>
      <c r="H18" s="8" t="s">
        <v>85</v>
      </c>
      <c r="I18" s="8" t="s">
        <v>97</v>
      </c>
      <c r="J18" s="10" t="n">
        <v>46227</v>
      </c>
      <c r="K18" s="1" t="s">
        <v>162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269</v>
      </c>
      <c r="B19" s="1" t="s">
        <v>167</v>
      </c>
      <c r="C19" s="1" t="s">
        <v>19</v>
      </c>
      <c r="D19" s="1" t="s">
        <v>168</v>
      </c>
      <c r="E19" s="1" t="s">
        <v>119</v>
      </c>
      <c r="F19" s="1" t="s">
        <v>160</v>
      </c>
      <c r="G19" s="1" t="s">
        <v>270</v>
      </c>
      <c r="H19" s="8" t="s">
        <v>85</v>
      </c>
      <c r="I19" s="8" t="s">
        <v>97</v>
      </c>
      <c r="J19" s="10" t="n">
        <v>46227</v>
      </c>
      <c r="K19" s="1" t="s">
        <v>170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271</v>
      </c>
      <c r="B20" s="1" t="s">
        <v>172</v>
      </c>
      <c r="C20" s="1" t="s">
        <v>19</v>
      </c>
      <c r="D20" s="1" t="s">
        <v>173</v>
      </c>
      <c r="E20" s="1" t="s">
        <v>119</v>
      </c>
      <c r="F20" s="1" t="s">
        <v>160</v>
      </c>
      <c r="G20" s="1" t="s">
        <v>267</v>
      </c>
      <c r="H20" s="8" t="s">
        <v>85</v>
      </c>
      <c r="I20" s="8" t="s">
        <v>97</v>
      </c>
      <c r="J20" s="10" t="n">
        <v>46227</v>
      </c>
      <c r="K20" s="1" t="s">
        <v>174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272</v>
      </c>
      <c r="B21" s="1" t="s">
        <v>176</v>
      </c>
      <c r="C21" s="1" t="s">
        <v>19</v>
      </c>
      <c r="D21" s="1" t="s">
        <v>177</v>
      </c>
      <c r="E21" s="1" t="s">
        <v>119</v>
      </c>
      <c r="F21" s="1" t="s">
        <v>178</v>
      </c>
      <c r="G21" s="1" t="s">
        <v>273</v>
      </c>
      <c r="H21" s="8" t="s">
        <v>83</v>
      </c>
      <c r="I21" s="8" t="s">
        <v>98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274</v>
      </c>
      <c r="B22" s="1" t="s">
        <v>181</v>
      </c>
      <c r="C22" s="1" t="s">
        <v>19</v>
      </c>
      <c r="D22" s="1" t="s">
        <v>182</v>
      </c>
      <c r="E22" s="1" t="s">
        <v>119</v>
      </c>
      <c r="F22" s="1" t="s">
        <v>178</v>
      </c>
      <c r="G22" s="1" t="s">
        <v>275</v>
      </c>
      <c r="H22" s="8" t="s">
        <v>83</v>
      </c>
      <c r="I22" s="8" t="s">
        <v>98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276</v>
      </c>
      <c r="B23" s="1" t="s">
        <v>185</v>
      </c>
      <c r="C23" s="1" t="s">
        <v>19</v>
      </c>
      <c r="D23" s="1" t="s">
        <v>186</v>
      </c>
      <c r="E23" s="1" t="s">
        <v>187</v>
      </c>
      <c r="F23" s="1" t="s">
        <v>187</v>
      </c>
      <c r="G23" s="1" t="s">
        <v>188</v>
      </c>
      <c r="H23" s="8" t="s">
        <v>83</v>
      </c>
      <c r="I23" s="8" t="s">
        <v>98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277</v>
      </c>
      <c r="B24" s="1" t="s">
        <v>190</v>
      </c>
      <c r="C24" s="1" t="s">
        <v>19</v>
      </c>
      <c r="D24" s="1" t="s">
        <v>191</v>
      </c>
      <c r="E24" s="1" t="s">
        <v>119</v>
      </c>
      <c r="F24" s="1" t="s">
        <v>119</v>
      </c>
      <c r="G24" s="1" t="s">
        <v>192</v>
      </c>
      <c r="H24" s="8" t="s">
        <v>83</v>
      </c>
      <c r="I24" s="8" t="s">
        <v>98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101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102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251</v>
      </c>
      <c r="B9" s="1" t="s">
        <v>116</v>
      </c>
      <c r="C9" s="1" t="s">
        <v>20</v>
      </c>
      <c r="D9" s="1" t="s">
        <v>118</v>
      </c>
      <c r="E9" s="1" t="s">
        <v>119</v>
      </c>
      <c r="F9" s="1" t="s">
        <v>120</v>
      </c>
      <c r="G9" s="1" t="s">
        <v>279</v>
      </c>
      <c r="H9" s="8" t="s">
        <v>83</v>
      </c>
      <c r="I9" s="8" t="s">
        <v>98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253</v>
      </c>
      <c r="B10" s="1" t="s">
        <v>123</v>
      </c>
      <c r="C10" s="1" t="s">
        <v>20</v>
      </c>
      <c r="D10" s="1" t="s">
        <v>124</v>
      </c>
      <c r="E10" s="1" t="s">
        <v>119</v>
      </c>
      <c r="F10" s="1" t="s">
        <v>119</v>
      </c>
      <c r="G10" s="1" t="s">
        <v>125</v>
      </c>
      <c r="H10" s="8" t="s">
        <v>83</v>
      </c>
      <c r="I10" s="8" t="s">
        <v>98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254</v>
      </c>
      <c r="B11" s="1" t="s">
        <v>127</v>
      </c>
      <c r="C11" s="1" t="s">
        <v>20</v>
      </c>
      <c r="D11" s="1" t="s">
        <v>128</v>
      </c>
      <c r="E11" s="1" t="s">
        <v>119</v>
      </c>
      <c r="F11" s="1" t="s">
        <v>129</v>
      </c>
      <c r="G11" s="1" t="s">
        <v>280</v>
      </c>
      <c r="H11" s="8" t="s">
        <v>83</v>
      </c>
      <c r="I11" s="8" t="s">
        <v>98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256</v>
      </c>
      <c r="B12" s="1" t="s">
        <v>132</v>
      </c>
      <c r="C12" s="1" t="s">
        <v>20</v>
      </c>
      <c r="D12" s="1" t="s">
        <v>133</v>
      </c>
      <c r="E12" s="1" t="s">
        <v>119</v>
      </c>
      <c r="F12" s="1" t="s">
        <v>134</v>
      </c>
      <c r="G12" s="1" t="s">
        <v>281</v>
      </c>
      <c r="H12" s="8" t="s">
        <v>83</v>
      </c>
      <c r="I12" s="8" t="s">
        <v>98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258</v>
      </c>
      <c r="B13" s="1" t="s">
        <v>137</v>
      </c>
      <c r="C13" s="1" t="s">
        <v>20</v>
      </c>
      <c r="D13" s="1" t="s">
        <v>138</v>
      </c>
      <c r="E13" s="1" t="s">
        <v>119</v>
      </c>
      <c r="F13" s="1" t="s">
        <v>139</v>
      </c>
      <c r="G13" s="1" t="s">
        <v>282</v>
      </c>
      <c r="H13" s="8" t="s">
        <v>83</v>
      </c>
      <c r="I13" s="8" t="s">
        <v>98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260</v>
      </c>
      <c r="B14" s="1" t="s">
        <v>142</v>
      </c>
      <c r="C14" s="1" t="s">
        <v>20</v>
      </c>
      <c r="D14" s="1" t="s">
        <v>143</v>
      </c>
      <c r="E14" s="1" t="s">
        <v>119</v>
      </c>
      <c r="F14" s="1" t="s">
        <v>144</v>
      </c>
      <c r="G14" s="1" t="s">
        <v>283</v>
      </c>
      <c r="H14" s="8" t="s">
        <v>83</v>
      </c>
      <c r="I14" s="8" t="s">
        <v>98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262</v>
      </c>
      <c r="B15" s="1" t="s">
        <v>147</v>
      </c>
      <c r="C15" s="1" t="s">
        <v>20</v>
      </c>
      <c r="D15" s="1" t="s">
        <v>148</v>
      </c>
      <c r="E15" s="1" t="s">
        <v>119</v>
      </c>
      <c r="F15" s="1" t="s">
        <v>149</v>
      </c>
      <c r="G15" s="1" t="s">
        <v>284</v>
      </c>
      <c r="H15" s="8" t="s">
        <v>83</v>
      </c>
      <c r="I15" s="8" t="s">
        <v>98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264</v>
      </c>
      <c r="B16" s="1" t="s">
        <v>152</v>
      </c>
      <c r="C16" s="1" t="s">
        <v>20</v>
      </c>
      <c r="D16" s="1" t="s">
        <v>153</v>
      </c>
      <c r="E16" s="1" t="s">
        <v>119</v>
      </c>
      <c r="F16" s="1" t="s">
        <v>154</v>
      </c>
      <c r="G16" s="1" t="s">
        <v>285</v>
      </c>
      <c r="H16" s="8" t="s">
        <v>85</v>
      </c>
      <c r="I16" s="8" t="s">
        <v>97</v>
      </c>
      <c r="J16" s="10" t="n">
        <v>46227</v>
      </c>
      <c r="K16" s="1" t="s">
        <v>156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266</v>
      </c>
      <c r="B17" s="1" t="s">
        <v>158</v>
      </c>
      <c r="C17" s="1" t="s">
        <v>20</v>
      </c>
      <c r="D17" s="1" t="s">
        <v>159</v>
      </c>
      <c r="E17" s="1" t="s">
        <v>119</v>
      </c>
      <c r="F17" s="1" t="s">
        <v>160</v>
      </c>
      <c r="G17" s="1" t="s">
        <v>286</v>
      </c>
      <c r="H17" s="8" t="s">
        <v>85</v>
      </c>
      <c r="I17" s="8" t="s">
        <v>97</v>
      </c>
      <c r="J17" s="10" t="n">
        <v>46227</v>
      </c>
      <c r="K17" s="1" t="s">
        <v>162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268</v>
      </c>
      <c r="B18" s="1" t="s">
        <v>164</v>
      </c>
      <c r="C18" s="1" t="s">
        <v>20</v>
      </c>
      <c r="D18" s="1" t="s">
        <v>165</v>
      </c>
      <c r="E18" s="1" t="s">
        <v>119</v>
      </c>
      <c r="F18" s="1" t="s">
        <v>160</v>
      </c>
      <c r="G18" s="1" t="s">
        <v>286</v>
      </c>
      <c r="H18" s="8" t="s">
        <v>85</v>
      </c>
      <c r="I18" s="8" t="s">
        <v>97</v>
      </c>
      <c r="J18" s="10" t="n">
        <v>46227</v>
      </c>
      <c r="K18" s="1" t="s">
        <v>162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269</v>
      </c>
      <c r="B19" s="1" t="s">
        <v>167</v>
      </c>
      <c r="C19" s="1" t="s">
        <v>20</v>
      </c>
      <c r="D19" s="1" t="s">
        <v>168</v>
      </c>
      <c r="E19" s="1" t="s">
        <v>119</v>
      </c>
      <c r="F19" s="1" t="s">
        <v>160</v>
      </c>
      <c r="G19" s="1" t="s">
        <v>287</v>
      </c>
      <c r="H19" s="8" t="s">
        <v>85</v>
      </c>
      <c r="I19" s="8" t="s">
        <v>97</v>
      </c>
      <c r="J19" s="10" t="n">
        <v>46227</v>
      </c>
      <c r="K19" s="1" t="s">
        <v>170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271</v>
      </c>
      <c r="B20" s="1" t="s">
        <v>172</v>
      </c>
      <c r="C20" s="1" t="s">
        <v>20</v>
      </c>
      <c r="D20" s="1" t="s">
        <v>173</v>
      </c>
      <c r="E20" s="1" t="s">
        <v>119</v>
      </c>
      <c r="F20" s="1" t="s">
        <v>160</v>
      </c>
      <c r="G20" s="1" t="s">
        <v>286</v>
      </c>
      <c r="H20" s="8" t="s">
        <v>85</v>
      </c>
      <c r="I20" s="8" t="s">
        <v>97</v>
      </c>
      <c r="J20" s="10" t="n">
        <v>46227</v>
      </c>
      <c r="K20" s="1" t="s">
        <v>174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272</v>
      </c>
      <c r="B21" s="1" t="s">
        <v>176</v>
      </c>
      <c r="C21" s="1" t="s">
        <v>20</v>
      </c>
      <c r="D21" s="1" t="s">
        <v>177</v>
      </c>
      <c r="E21" s="1" t="s">
        <v>119</v>
      </c>
      <c r="F21" s="1" t="s">
        <v>178</v>
      </c>
      <c r="G21" s="1" t="s">
        <v>288</v>
      </c>
      <c r="H21" s="8" t="s">
        <v>83</v>
      </c>
      <c r="I21" s="8" t="s">
        <v>98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274</v>
      </c>
      <c r="B22" s="1" t="s">
        <v>181</v>
      </c>
      <c r="C22" s="1" t="s">
        <v>20</v>
      </c>
      <c r="D22" s="1" t="s">
        <v>182</v>
      </c>
      <c r="E22" s="1" t="s">
        <v>119</v>
      </c>
      <c r="F22" s="1" t="s">
        <v>178</v>
      </c>
      <c r="G22" s="1" t="s">
        <v>289</v>
      </c>
      <c r="H22" s="8" t="s">
        <v>83</v>
      </c>
      <c r="I22" s="8" t="s">
        <v>98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276</v>
      </c>
      <c r="B23" s="1" t="s">
        <v>185</v>
      </c>
      <c r="C23" s="1" t="s">
        <v>20</v>
      </c>
      <c r="D23" s="1" t="s">
        <v>186</v>
      </c>
      <c r="E23" s="1" t="s">
        <v>187</v>
      </c>
      <c r="F23" s="1" t="s">
        <v>187</v>
      </c>
      <c r="G23" s="1" t="s">
        <v>188</v>
      </c>
      <c r="H23" s="8" t="s">
        <v>83</v>
      </c>
      <c r="I23" s="8" t="s">
        <v>98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277</v>
      </c>
      <c r="B24" s="1" t="s">
        <v>190</v>
      </c>
      <c r="C24" s="1" t="s">
        <v>20</v>
      </c>
      <c r="D24" s="1" t="s">
        <v>191</v>
      </c>
      <c r="E24" s="1" t="s">
        <v>119</v>
      </c>
      <c r="F24" s="1" t="s">
        <v>119</v>
      </c>
      <c r="G24" s="1" t="s">
        <v>192</v>
      </c>
      <c r="H24" s="8" t="s">
        <v>83</v>
      </c>
      <c r="I24" s="8" t="s">
        <v>98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101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102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291</v>
      </c>
      <c r="B9" s="1" t="s">
        <v>116</v>
      </c>
      <c r="C9" s="1" t="s">
        <v>21</v>
      </c>
      <c r="D9" s="1" t="s">
        <v>118</v>
      </c>
      <c r="E9" s="1" t="s">
        <v>119</v>
      </c>
      <c r="F9" s="1" t="s">
        <v>120</v>
      </c>
      <c r="G9" s="1" t="s">
        <v>292</v>
      </c>
      <c r="H9" s="8" t="s">
        <v>83</v>
      </c>
      <c r="I9" s="8" t="s">
        <v>98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293</v>
      </c>
      <c r="B10" s="1" t="s">
        <v>123</v>
      </c>
      <c r="C10" s="1" t="s">
        <v>21</v>
      </c>
      <c r="D10" s="1" t="s">
        <v>124</v>
      </c>
      <c r="E10" s="1" t="s">
        <v>119</v>
      </c>
      <c r="F10" s="1" t="s">
        <v>119</v>
      </c>
      <c r="G10" s="1" t="s">
        <v>125</v>
      </c>
      <c r="H10" s="8" t="s">
        <v>83</v>
      </c>
      <c r="I10" s="8" t="s">
        <v>98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294</v>
      </c>
      <c r="B11" s="1" t="s">
        <v>127</v>
      </c>
      <c r="C11" s="1" t="s">
        <v>21</v>
      </c>
      <c r="D11" s="1" t="s">
        <v>128</v>
      </c>
      <c r="E11" s="1" t="s">
        <v>119</v>
      </c>
      <c r="F11" s="1" t="s">
        <v>129</v>
      </c>
      <c r="G11" s="1" t="s">
        <v>295</v>
      </c>
      <c r="H11" s="8" t="s">
        <v>83</v>
      </c>
      <c r="I11" s="8" t="s">
        <v>98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296</v>
      </c>
      <c r="B12" s="1" t="s">
        <v>132</v>
      </c>
      <c r="C12" s="1" t="s">
        <v>21</v>
      </c>
      <c r="D12" s="1" t="s">
        <v>133</v>
      </c>
      <c r="E12" s="1" t="s">
        <v>119</v>
      </c>
      <c r="F12" s="1" t="s">
        <v>134</v>
      </c>
      <c r="G12" s="1" t="s">
        <v>297</v>
      </c>
      <c r="H12" s="8" t="s">
        <v>83</v>
      </c>
      <c r="I12" s="8" t="s">
        <v>98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298</v>
      </c>
      <c r="B13" s="1" t="s">
        <v>137</v>
      </c>
      <c r="C13" s="1" t="s">
        <v>21</v>
      </c>
      <c r="D13" s="1" t="s">
        <v>138</v>
      </c>
      <c r="E13" s="1" t="s">
        <v>119</v>
      </c>
      <c r="F13" s="1" t="s">
        <v>139</v>
      </c>
      <c r="G13" s="1" t="s">
        <v>299</v>
      </c>
      <c r="H13" s="8" t="s">
        <v>83</v>
      </c>
      <c r="I13" s="8" t="s">
        <v>98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300</v>
      </c>
      <c r="B14" s="1" t="s">
        <v>142</v>
      </c>
      <c r="C14" s="1" t="s">
        <v>21</v>
      </c>
      <c r="D14" s="1" t="s">
        <v>143</v>
      </c>
      <c r="E14" s="1" t="s">
        <v>119</v>
      </c>
      <c r="F14" s="1" t="s">
        <v>144</v>
      </c>
      <c r="G14" s="1" t="s">
        <v>301</v>
      </c>
      <c r="H14" s="8" t="s">
        <v>83</v>
      </c>
      <c r="I14" s="8" t="s">
        <v>98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302</v>
      </c>
      <c r="B15" s="1" t="s">
        <v>147</v>
      </c>
      <c r="C15" s="1" t="s">
        <v>21</v>
      </c>
      <c r="D15" s="1" t="s">
        <v>148</v>
      </c>
      <c r="E15" s="1" t="s">
        <v>119</v>
      </c>
      <c r="F15" s="1" t="s">
        <v>149</v>
      </c>
      <c r="G15" s="1" t="s">
        <v>303</v>
      </c>
      <c r="H15" s="8" t="s">
        <v>83</v>
      </c>
      <c r="I15" s="8" t="s">
        <v>98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304</v>
      </c>
      <c r="B16" s="1" t="s">
        <v>152</v>
      </c>
      <c r="C16" s="1" t="s">
        <v>21</v>
      </c>
      <c r="D16" s="1" t="s">
        <v>153</v>
      </c>
      <c r="E16" s="1" t="s">
        <v>119</v>
      </c>
      <c r="F16" s="1" t="s">
        <v>154</v>
      </c>
      <c r="G16" s="1" t="s">
        <v>305</v>
      </c>
      <c r="H16" s="8" t="s">
        <v>85</v>
      </c>
      <c r="I16" s="8" t="s">
        <v>97</v>
      </c>
      <c r="J16" s="10" t="n">
        <v>46227</v>
      </c>
      <c r="K16" s="1" t="s">
        <v>156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306</v>
      </c>
      <c r="B17" s="1" t="s">
        <v>158</v>
      </c>
      <c r="C17" s="1" t="s">
        <v>21</v>
      </c>
      <c r="D17" s="1" t="s">
        <v>159</v>
      </c>
      <c r="E17" s="1" t="s">
        <v>119</v>
      </c>
      <c r="F17" s="1" t="s">
        <v>160</v>
      </c>
      <c r="G17" s="1" t="s">
        <v>307</v>
      </c>
      <c r="H17" s="8" t="s">
        <v>85</v>
      </c>
      <c r="I17" s="8" t="s">
        <v>97</v>
      </c>
      <c r="J17" s="10" t="n">
        <v>46227</v>
      </c>
      <c r="K17" s="1" t="s">
        <v>162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308</v>
      </c>
      <c r="B18" s="1" t="s">
        <v>164</v>
      </c>
      <c r="C18" s="1" t="s">
        <v>21</v>
      </c>
      <c r="D18" s="1" t="s">
        <v>165</v>
      </c>
      <c r="E18" s="1" t="s">
        <v>119</v>
      </c>
      <c r="F18" s="1" t="s">
        <v>160</v>
      </c>
      <c r="G18" s="1" t="s">
        <v>307</v>
      </c>
      <c r="H18" s="8" t="s">
        <v>85</v>
      </c>
      <c r="I18" s="8" t="s">
        <v>97</v>
      </c>
      <c r="J18" s="10" t="n">
        <v>46227</v>
      </c>
      <c r="K18" s="1" t="s">
        <v>162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309</v>
      </c>
      <c r="B19" s="1" t="s">
        <v>167</v>
      </c>
      <c r="C19" s="1" t="s">
        <v>21</v>
      </c>
      <c r="D19" s="1" t="s">
        <v>168</v>
      </c>
      <c r="E19" s="1" t="s">
        <v>119</v>
      </c>
      <c r="F19" s="1" t="s">
        <v>160</v>
      </c>
      <c r="G19" s="1" t="s">
        <v>310</v>
      </c>
      <c r="H19" s="8" t="s">
        <v>85</v>
      </c>
      <c r="I19" s="8" t="s">
        <v>97</v>
      </c>
      <c r="J19" s="10" t="n">
        <v>46227</v>
      </c>
      <c r="K19" s="1" t="s">
        <v>170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311</v>
      </c>
      <c r="B20" s="1" t="s">
        <v>172</v>
      </c>
      <c r="C20" s="1" t="s">
        <v>21</v>
      </c>
      <c r="D20" s="1" t="s">
        <v>173</v>
      </c>
      <c r="E20" s="1" t="s">
        <v>119</v>
      </c>
      <c r="F20" s="1" t="s">
        <v>160</v>
      </c>
      <c r="G20" s="1" t="s">
        <v>307</v>
      </c>
      <c r="H20" s="8" t="s">
        <v>85</v>
      </c>
      <c r="I20" s="8" t="s">
        <v>97</v>
      </c>
      <c r="J20" s="10" t="n">
        <v>46227</v>
      </c>
      <c r="K20" s="1" t="s">
        <v>174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312</v>
      </c>
      <c r="B21" s="1" t="s">
        <v>176</v>
      </c>
      <c r="C21" s="1" t="s">
        <v>21</v>
      </c>
      <c r="D21" s="1" t="s">
        <v>177</v>
      </c>
      <c r="E21" s="1" t="s">
        <v>119</v>
      </c>
      <c r="F21" s="1" t="s">
        <v>178</v>
      </c>
      <c r="G21" s="1" t="s">
        <v>313</v>
      </c>
      <c r="H21" s="8" t="s">
        <v>83</v>
      </c>
      <c r="I21" s="8" t="s">
        <v>98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314</v>
      </c>
      <c r="B22" s="1" t="s">
        <v>181</v>
      </c>
      <c r="C22" s="1" t="s">
        <v>21</v>
      </c>
      <c r="D22" s="1" t="s">
        <v>182</v>
      </c>
      <c r="E22" s="1" t="s">
        <v>119</v>
      </c>
      <c r="F22" s="1" t="s">
        <v>178</v>
      </c>
      <c r="G22" s="1" t="s">
        <v>315</v>
      </c>
      <c r="H22" s="8" t="s">
        <v>83</v>
      </c>
      <c r="I22" s="8" t="s">
        <v>98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316</v>
      </c>
      <c r="B23" s="1" t="s">
        <v>185</v>
      </c>
      <c r="C23" s="1" t="s">
        <v>21</v>
      </c>
      <c r="D23" s="1" t="s">
        <v>186</v>
      </c>
      <c r="E23" s="1" t="s">
        <v>187</v>
      </c>
      <c r="F23" s="1" t="s">
        <v>187</v>
      </c>
      <c r="G23" s="1" t="s">
        <v>188</v>
      </c>
      <c r="H23" s="8" t="s">
        <v>83</v>
      </c>
      <c r="I23" s="8" t="s">
        <v>98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317</v>
      </c>
      <c r="B24" s="1" t="s">
        <v>190</v>
      </c>
      <c r="C24" s="1" t="s">
        <v>21</v>
      </c>
      <c r="D24" s="1" t="s">
        <v>191</v>
      </c>
      <c r="E24" s="1" t="s">
        <v>119</v>
      </c>
      <c r="F24" s="1" t="s">
        <v>119</v>
      </c>
      <c r="G24" s="1" t="s">
        <v>192</v>
      </c>
      <c r="H24" s="8" t="s">
        <v>83</v>
      </c>
      <c r="I24" s="8" t="s">
        <v>98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101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102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291</v>
      </c>
      <c r="B9" s="1" t="s">
        <v>116</v>
      </c>
      <c r="C9" s="1" t="s">
        <v>22</v>
      </c>
      <c r="D9" s="1" t="s">
        <v>118</v>
      </c>
      <c r="E9" s="1" t="s">
        <v>119</v>
      </c>
      <c r="F9" s="1" t="s">
        <v>120</v>
      </c>
      <c r="G9" s="1" t="s">
        <v>319</v>
      </c>
      <c r="H9" s="8" t="s">
        <v>83</v>
      </c>
      <c r="I9" s="8" t="s">
        <v>98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293</v>
      </c>
      <c r="B10" s="1" t="s">
        <v>123</v>
      </c>
      <c r="C10" s="1" t="s">
        <v>22</v>
      </c>
      <c r="D10" s="1" t="s">
        <v>124</v>
      </c>
      <c r="E10" s="1" t="s">
        <v>119</v>
      </c>
      <c r="F10" s="1" t="s">
        <v>119</v>
      </c>
      <c r="G10" s="1" t="s">
        <v>125</v>
      </c>
      <c r="H10" s="8" t="s">
        <v>83</v>
      </c>
      <c r="I10" s="8" t="s">
        <v>98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294</v>
      </c>
      <c r="B11" s="1" t="s">
        <v>127</v>
      </c>
      <c r="C11" s="1" t="s">
        <v>22</v>
      </c>
      <c r="D11" s="1" t="s">
        <v>128</v>
      </c>
      <c r="E11" s="1" t="s">
        <v>119</v>
      </c>
      <c r="F11" s="1" t="s">
        <v>129</v>
      </c>
      <c r="G11" s="1" t="s">
        <v>320</v>
      </c>
      <c r="H11" s="8" t="s">
        <v>83</v>
      </c>
      <c r="I11" s="8" t="s">
        <v>98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296</v>
      </c>
      <c r="B12" s="1" t="s">
        <v>132</v>
      </c>
      <c r="C12" s="1" t="s">
        <v>22</v>
      </c>
      <c r="D12" s="1" t="s">
        <v>133</v>
      </c>
      <c r="E12" s="1" t="s">
        <v>119</v>
      </c>
      <c r="F12" s="1" t="s">
        <v>134</v>
      </c>
      <c r="G12" s="1" t="s">
        <v>321</v>
      </c>
      <c r="H12" s="8" t="s">
        <v>83</v>
      </c>
      <c r="I12" s="8" t="s">
        <v>98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298</v>
      </c>
      <c r="B13" s="1" t="s">
        <v>137</v>
      </c>
      <c r="C13" s="1" t="s">
        <v>22</v>
      </c>
      <c r="D13" s="1" t="s">
        <v>138</v>
      </c>
      <c r="E13" s="1" t="s">
        <v>119</v>
      </c>
      <c r="F13" s="1" t="s">
        <v>139</v>
      </c>
      <c r="G13" s="1" t="s">
        <v>322</v>
      </c>
      <c r="H13" s="8" t="s">
        <v>83</v>
      </c>
      <c r="I13" s="8" t="s">
        <v>98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300</v>
      </c>
      <c r="B14" s="1" t="s">
        <v>142</v>
      </c>
      <c r="C14" s="1" t="s">
        <v>22</v>
      </c>
      <c r="D14" s="1" t="s">
        <v>143</v>
      </c>
      <c r="E14" s="1" t="s">
        <v>119</v>
      </c>
      <c r="F14" s="1" t="s">
        <v>144</v>
      </c>
      <c r="G14" s="1" t="s">
        <v>323</v>
      </c>
      <c r="H14" s="8" t="s">
        <v>83</v>
      </c>
      <c r="I14" s="8" t="s">
        <v>98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302</v>
      </c>
      <c r="B15" s="1" t="s">
        <v>147</v>
      </c>
      <c r="C15" s="1" t="s">
        <v>22</v>
      </c>
      <c r="D15" s="1" t="s">
        <v>148</v>
      </c>
      <c r="E15" s="1" t="s">
        <v>119</v>
      </c>
      <c r="F15" s="1" t="s">
        <v>149</v>
      </c>
      <c r="G15" s="1" t="s">
        <v>324</v>
      </c>
      <c r="H15" s="8" t="s">
        <v>83</v>
      </c>
      <c r="I15" s="8" t="s">
        <v>98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304</v>
      </c>
      <c r="B16" s="1" t="s">
        <v>152</v>
      </c>
      <c r="C16" s="1" t="s">
        <v>22</v>
      </c>
      <c r="D16" s="1" t="s">
        <v>153</v>
      </c>
      <c r="E16" s="1" t="s">
        <v>119</v>
      </c>
      <c r="F16" s="1" t="s">
        <v>154</v>
      </c>
      <c r="G16" s="1" t="s">
        <v>325</v>
      </c>
      <c r="H16" s="8" t="s">
        <v>85</v>
      </c>
      <c r="I16" s="8" t="s">
        <v>97</v>
      </c>
      <c r="J16" s="10" t="n">
        <v>46227</v>
      </c>
      <c r="K16" s="1" t="s">
        <v>156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306</v>
      </c>
      <c r="B17" s="1" t="s">
        <v>158</v>
      </c>
      <c r="C17" s="1" t="s">
        <v>22</v>
      </c>
      <c r="D17" s="1" t="s">
        <v>159</v>
      </c>
      <c r="E17" s="1" t="s">
        <v>119</v>
      </c>
      <c r="F17" s="1" t="s">
        <v>160</v>
      </c>
      <c r="G17" s="1" t="s">
        <v>326</v>
      </c>
      <c r="H17" s="8" t="s">
        <v>85</v>
      </c>
      <c r="I17" s="8" t="s">
        <v>97</v>
      </c>
      <c r="J17" s="10" t="n">
        <v>46227</v>
      </c>
      <c r="K17" s="1" t="s">
        <v>162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308</v>
      </c>
      <c r="B18" s="1" t="s">
        <v>164</v>
      </c>
      <c r="C18" s="1" t="s">
        <v>22</v>
      </c>
      <c r="D18" s="1" t="s">
        <v>165</v>
      </c>
      <c r="E18" s="1" t="s">
        <v>119</v>
      </c>
      <c r="F18" s="1" t="s">
        <v>160</v>
      </c>
      <c r="G18" s="1" t="s">
        <v>326</v>
      </c>
      <c r="H18" s="8" t="s">
        <v>85</v>
      </c>
      <c r="I18" s="8" t="s">
        <v>97</v>
      </c>
      <c r="J18" s="10" t="n">
        <v>46227</v>
      </c>
      <c r="K18" s="1" t="s">
        <v>162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309</v>
      </c>
      <c r="B19" s="1" t="s">
        <v>167</v>
      </c>
      <c r="C19" s="1" t="s">
        <v>22</v>
      </c>
      <c r="D19" s="1" t="s">
        <v>168</v>
      </c>
      <c r="E19" s="1" t="s">
        <v>119</v>
      </c>
      <c r="F19" s="1" t="s">
        <v>160</v>
      </c>
      <c r="G19" s="1" t="s">
        <v>327</v>
      </c>
      <c r="H19" s="8" t="s">
        <v>85</v>
      </c>
      <c r="I19" s="8" t="s">
        <v>97</v>
      </c>
      <c r="J19" s="10" t="n">
        <v>46227</v>
      </c>
      <c r="K19" s="1" t="s">
        <v>170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311</v>
      </c>
      <c r="B20" s="1" t="s">
        <v>172</v>
      </c>
      <c r="C20" s="1" t="s">
        <v>22</v>
      </c>
      <c r="D20" s="1" t="s">
        <v>173</v>
      </c>
      <c r="E20" s="1" t="s">
        <v>119</v>
      </c>
      <c r="F20" s="1" t="s">
        <v>160</v>
      </c>
      <c r="G20" s="1" t="s">
        <v>326</v>
      </c>
      <c r="H20" s="8" t="s">
        <v>85</v>
      </c>
      <c r="I20" s="8" t="s">
        <v>97</v>
      </c>
      <c r="J20" s="10" t="n">
        <v>46227</v>
      </c>
      <c r="K20" s="1" t="s">
        <v>174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312</v>
      </c>
      <c r="B21" s="1" t="s">
        <v>176</v>
      </c>
      <c r="C21" s="1" t="s">
        <v>22</v>
      </c>
      <c r="D21" s="1" t="s">
        <v>177</v>
      </c>
      <c r="E21" s="1" t="s">
        <v>119</v>
      </c>
      <c r="F21" s="1" t="s">
        <v>178</v>
      </c>
      <c r="G21" s="1" t="s">
        <v>328</v>
      </c>
      <c r="H21" s="8" t="s">
        <v>83</v>
      </c>
      <c r="I21" s="8" t="s">
        <v>98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314</v>
      </c>
      <c r="B22" s="1" t="s">
        <v>181</v>
      </c>
      <c r="C22" s="1" t="s">
        <v>22</v>
      </c>
      <c r="D22" s="1" t="s">
        <v>182</v>
      </c>
      <c r="E22" s="1" t="s">
        <v>119</v>
      </c>
      <c r="F22" s="1" t="s">
        <v>178</v>
      </c>
      <c r="G22" s="1" t="s">
        <v>329</v>
      </c>
      <c r="H22" s="8" t="s">
        <v>83</v>
      </c>
      <c r="I22" s="8" t="s">
        <v>98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316</v>
      </c>
      <c r="B23" s="1" t="s">
        <v>185</v>
      </c>
      <c r="C23" s="1" t="s">
        <v>22</v>
      </c>
      <c r="D23" s="1" t="s">
        <v>186</v>
      </c>
      <c r="E23" s="1" t="s">
        <v>187</v>
      </c>
      <c r="F23" s="1" t="s">
        <v>187</v>
      </c>
      <c r="G23" s="1" t="s">
        <v>188</v>
      </c>
      <c r="H23" s="8" t="s">
        <v>83</v>
      </c>
      <c r="I23" s="8" t="s">
        <v>98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317</v>
      </c>
      <c r="B24" s="1" t="s">
        <v>190</v>
      </c>
      <c r="C24" s="1" t="s">
        <v>22</v>
      </c>
      <c r="D24" s="1" t="s">
        <v>191</v>
      </c>
      <c r="E24" s="1" t="s">
        <v>119</v>
      </c>
      <c r="F24" s="1" t="s">
        <v>119</v>
      </c>
      <c r="G24" s="1" t="s">
        <v>192</v>
      </c>
      <c r="H24" s="8" t="s">
        <v>83</v>
      </c>
      <c r="I24" s="8" t="s">
        <v>98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101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102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331</v>
      </c>
      <c r="B9" s="1" t="s">
        <v>116</v>
      </c>
      <c r="C9" s="1" t="s">
        <v>332</v>
      </c>
      <c r="D9" s="1" t="s">
        <v>118</v>
      </c>
      <c r="E9" s="1" t="s">
        <v>119</v>
      </c>
      <c r="F9" s="1" t="s">
        <v>120</v>
      </c>
      <c r="G9" s="1" t="s">
        <v>333</v>
      </c>
      <c r="H9" s="8" t="s">
        <v>83</v>
      </c>
      <c r="I9" s="8" t="s">
        <v>98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334</v>
      </c>
      <c r="B10" s="1" t="s">
        <v>123</v>
      </c>
      <c r="C10" s="1" t="s">
        <v>332</v>
      </c>
      <c r="D10" s="1" t="s">
        <v>124</v>
      </c>
      <c r="E10" s="1" t="s">
        <v>119</v>
      </c>
      <c r="F10" s="1" t="s">
        <v>119</v>
      </c>
      <c r="G10" s="1" t="s">
        <v>125</v>
      </c>
      <c r="H10" s="8" t="s">
        <v>83</v>
      </c>
      <c r="I10" s="8" t="s">
        <v>98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335</v>
      </c>
      <c r="B11" s="1" t="s">
        <v>127</v>
      </c>
      <c r="C11" s="1" t="s">
        <v>332</v>
      </c>
      <c r="D11" s="1" t="s">
        <v>128</v>
      </c>
      <c r="E11" s="1" t="s">
        <v>119</v>
      </c>
      <c r="F11" s="1" t="s">
        <v>129</v>
      </c>
      <c r="G11" s="1" t="s">
        <v>336</v>
      </c>
      <c r="H11" s="8" t="s">
        <v>83</v>
      </c>
      <c r="I11" s="8" t="s">
        <v>98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337</v>
      </c>
      <c r="B12" s="1" t="s">
        <v>132</v>
      </c>
      <c r="C12" s="1" t="s">
        <v>332</v>
      </c>
      <c r="D12" s="1" t="s">
        <v>133</v>
      </c>
      <c r="E12" s="1" t="s">
        <v>119</v>
      </c>
      <c r="F12" s="1" t="s">
        <v>134</v>
      </c>
      <c r="G12" s="1" t="s">
        <v>338</v>
      </c>
      <c r="H12" s="8" t="s">
        <v>83</v>
      </c>
      <c r="I12" s="8" t="s">
        <v>98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339</v>
      </c>
      <c r="B13" s="1" t="s">
        <v>137</v>
      </c>
      <c r="C13" s="1" t="s">
        <v>332</v>
      </c>
      <c r="D13" s="1" t="s">
        <v>138</v>
      </c>
      <c r="E13" s="1" t="s">
        <v>119</v>
      </c>
      <c r="F13" s="1" t="s">
        <v>139</v>
      </c>
      <c r="G13" s="1" t="s">
        <v>340</v>
      </c>
      <c r="H13" s="8" t="s">
        <v>83</v>
      </c>
      <c r="I13" s="8" t="s">
        <v>98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341</v>
      </c>
      <c r="B14" s="1" t="s">
        <v>142</v>
      </c>
      <c r="C14" s="1" t="s">
        <v>332</v>
      </c>
      <c r="D14" s="1" t="s">
        <v>143</v>
      </c>
      <c r="E14" s="1" t="s">
        <v>119</v>
      </c>
      <c r="F14" s="1" t="s">
        <v>144</v>
      </c>
      <c r="G14" s="1" t="s">
        <v>342</v>
      </c>
      <c r="H14" s="8" t="s">
        <v>83</v>
      </c>
      <c r="I14" s="8" t="s">
        <v>98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343</v>
      </c>
      <c r="B15" s="1" t="s">
        <v>147</v>
      </c>
      <c r="C15" s="1" t="s">
        <v>332</v>
      </c>
      <c r="D15" s="1" t="s">
        <v>148</v>
      </c>
      <c r="E15" s="1" t="s">
        <v>119</v>
      </c>
      <c r="F15" s="1" t="s">
        <v>149</v>
      </c>
      <c r="G15" s="1" t="s">
        <v>344</v>
      </c>
      <c r="H15" s="8" t="s">
        <v>83</v>
      </c>
      <c r="I15" s="8" t="s">
        <v>98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345</v>
      </c>
      <c r="B16" s="1" t="s">
        <v>152</v>
      </c>
      <c r="C16" s="1" t="s">
        <v>332</v>
      </c>
      <c r="D16" s="1" t="s">
        <v>153</v>
      </c>
      <c r="E16" s="1" t="s">
        <v>119</v>
      </c>
      <c r="F16" s="1" t="s">
        <v>154</v>
      </c>
      <c r="G16" s="1" t="s">
        <v>346</v>
      </c>
      <c r="H16" s="8" t="s">
        <v>85</v>
      </c>
      <c r="I16" s="8" t="s">
        <v>97</v>
      </c>
      <c r="J16" s="10" t="n">
        <v>46227</v>
      </c>
      <c r="K16" s="1" t="s">
        <v>156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347</v>
      </c>
      <c r="B17" s="1" t="s">
        <v>158</v>
      </c>
      <c r="C17" s="1" t="s">
        <v>332</v>
      </c>
      <c r="D17" s="1" t="s">
        <v>159</v>
      </c>
      <c r="E17" s="1" t="s">
        <v>119</v>
      </c>
      <c r="F17" s="1" t="s">
        <v>160</v>
      </c>
      <c r="G17" s="1" t="s">
        <v>348</v>
      </c>
      <c r="H17" s="8" t="s">
        <v>85</v>
      </c>
      <c r="I17" s="8" t="s">
        <v>97</v>
      </c>
      <c r="J17" s="10" t="n">
        <v>46227</v>
      </c>
      <c r="K17" s="1" t="s">
        <v>162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349</v>
      </c>
      <c r="B18" s="1" t="s">
        <v>164</v>
      </c>
      <c r="C18" s="1" t="s">
        <v>332</v>
      </c>
      <c r="D18" s="1" t="s">
        <v>165</v>
      </c>
      <c r="E18" s="1" t="s">
        <v>119</v>
      </c>
      <c r="F18" s="1" t="s">
        <v>160</v>
      </c>
      <c r="G18" s="1" t="s">
        <v>348</v>
      </c>
      <c r="H18" s="8" t="s">
        <v>85</v>
      </c>
      <c r="I18" s="8" t="s">
        <v>97</v>
      </c>
      <c r="J18" s="10" t="n">
        <v>46227</v>
      </c>
      <c r="K18" s="1" t="s">
        <v>162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350</v>
      </c>
      <c r="B19" s="1" t="s">
        <v>167</v>
      </c>
      <c r="C19" s="1" t="s">
        <v>332</v>
      </c>
      <c r="D19" s="1" t="s">
        <v>168</v>
      </c>
      <c r="E19" s="1" t="s">
        <v>119</v>
      </c>
      <c r="F19" s="1" t="s">
        <v>160</v>
      </c>
      <c r="G19" s="1" t="s">
        <v>351</v>
      </c>
      <c r="H19" s="8" t="s">
        <v>85</v>
      </c>
      <c r="I19" s="8" t="s">
        <v>97</v>
      </c>
      <c r="J19" s="10" t="n">
        <v>46227</v>
      </c>
      <c r="K19" s="1" t="s">
        <v>170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352</v>
      </c>
      <c r="B20" s="1" t="s">
        <v>172</v>
      </c>
      <c r="C20" s="1" t="s">
        <v>332</v>
      </c>
      <c r="D20" s="1" t="s">
        <v>173</v>
      </c>
      <c r="E20" s="1" t="s">
        <v>119</v>
      </c>
      <c r="F20" s="1" t="s">
        <v>160</v>
      </c>
      <c r="G20" s="1" t="s">
        <v>348</v>
      </c>
      <c r="H20" s="8" t="s">
        <v>85</v>
      </c>
      <c r="I20" s="8" t="s">
        <v>97</v>
      </c>
      <c r="J20" s="10" t="n">
        <v>46227</v>
      </c>
      <c r="K20" s="1" t="s">
        <v>174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353</v>
      </c>
      <c r="B21" s="1" t="s">
        <v>176</v>
      </c>
      <c r="C21" s="1" t="s">
        <v>332</v>
      </c>
      <c r="D21" s="1" t="s">
        <v>177</v>
      </c>
      <c r="E21" s="1" t="s">
        <v>119</v>
      </c>
      <c r="F21" s="1" t="s">
        <v>178</v>
      </c>
      <c r="G21" s="1" t="s">
        <v>354</v>
      </c>
      <c r="H21" s="8" t="s">
        <v>83</v>
      </c>
      <c r="I21" s="8" t="s">
        <v>98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355</v>
      </c>
      <c r="B22" s="1" t="s">
        <v>181</v>
      </c>
      <c r="C22" s="1" t="s">
        <v>332</v>
      </c>
      <c r="D22" s="1" t="s">
        <v>182</v>
      </c>
      <c r="E22" s="1" t="s">
        <v>119</v>
      </c>
      <c r="F22" s="1" t="s">
        <v>178</v>
      </c>
      <c r="G22" s="1" t="s">
        <v>356</v>
      </c>
      <c r="H22" s="8" t="s">
        <v>83</v>
      </c>
      <c r="I22" s="8" t="s">
        <v>98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357</v>
      </c>
      <c r="B23" s="1" t="s">
        <v>185</v>
      </c>
      <c r="C23" s="1" t="s">
        <v>332</v>
      </c>
      <c r="D23" s="1" t="s">
        <v>186</v>
      </c>
      <c r="E23" s="1" t="s">
        <v>187</v>
      </c>
      <c r="F23" s="1" t="s">
        <v>187</v>
      </c>
      <c r="G23" s="1" t="s">
        <v>188</v>
      </c>
      <c r="H23" s="8" t="s">
        <v>83</v>
      </c>
      <c r="I23" s="8" t="s">
        <v>98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358</v>
      </c>
      <c r="B24" s="1" t="s">
        <v>190</v>
      </c>
      <c r="C24" s="1" t="s">
        <v>332</v>
      </c>
      <c r="D24" s="1" t="s">
        <v>191</v>
      </c>
      <c r="E24" s="1" t="s">
        <v>119</v>
      </c>
      <c r="F24" s="1" t="s">
        <v>119</v>
      </c>
      <c r="G24" s="1" t="s">
        <v>192</v>
      </c>
      <c r="H24" s="8" t="s">
        <v>83</v>
      </c>
      <c r="I24" s="8" t="s">
        <v>98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101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102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360</v>
      </c>
      <c r="B9" s="1" t="s">
        <v>116</v>
      </c>
      <c r="C9" s="1" t="s">
        <v>24</v>
      </c>
      <c r="D9" s="1" t="s">
        <v>118</v>
      </c>
      <c r="E9" s="1" t="s">
        <v>119</v>
      </c>
      <c r="F9" s="1" t="s">
        <v>120</v>
      </c>
      <c r="G9" s="1" t="s">
        <v>361</v>
      </c>
      <c r="H9" s="8" t="s">
        <v>83</v>
      </c>
      <c r="I9" s="8" t="s">
        <v>98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362</v>
      </c>
      <c r="B10" s="1" t="s">
        <v>123</v>
      </c>
      <c r="C10" s="1" t="s">
        <v>24</v>
      </c>
      <c r="D10" s="1" t="s">
        <v>124</v>
      </c>
      <c r="E10" s="1" t="s">
        <v>119</v>
      </c>
      <c r="F10" s="1" t="s">
        <v>119</v>
      </c>
      <c r="G10" s="1" t="s">
        <v>125</v>
      </c>
      <c r="H10" s="8" t="s">
        <v>83</v>
      </c>
      <c r="I10" s="8" t="s">
        <v>98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363</v>
      </c>
      <c r="B11" s="1" t="s">
        <v>127</v>
      </c>
      <c r="C11" s="1" t="s">
        <v>24</v>
      </c>
      <c r="D11" s="1" t="s">
        <v>128</v>
      </c>
      <c r="E11" s="1" t="s">
        <v>119</v>
      </c>
      <c r="F11" s="1" t="s">
        <v>129</v>
      </c>
      <c r="G11" s="1" t="s">
        <v>364</v>
      </c>
      <c r="H11" s="8" t="s">
        <v>83</v>
      </c>
      <c r="I11" s="8" t="s">
        <v>98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365</v>
      </c>
      <c r="B12" s="1" t="s">
        <v>132</v>
      </c>
      <c r="C12" s="1" t="s">
        <v>24</v>
      </c>
      <c r="D12" s="1" t="s">
        <v>133</v>
      </c>
      <c r="E12" s="1" t="s">
        <v>119</v>
      </c>
      <c r="F12" s="1" t="s">
        <v>134</v>
      </c>
      <c r="G12" s="1" t="s">
        <v>366</v>
      </c>
      <c r="H12" s="8" t="s">
        <v>83</v>
      </c>
      <c r="I12" s="8" t="s">
        <v>98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367</v>
      </c>
      <c r="B13" s="1" t="s">
        <v>137</v>
      </c>
      <c r="C13" s="1" t="s">
        <v>24</v>
      </c>
      <c r="D13" s="1" t="s">
        <v>138</v>
      </c>
      <c r="E13" s="1" t="s">
        <v>119</v>
      </c>
      <c r="F13" s="1" t="s">
        <v>139</v>
      </c>
      <c r="G13" s="1" t="s">
        <v>368</v>
      </c>
      <c r="H13" s="8" t="s">
        <v>83</v>
      </c>
      <c r="I13" s="8" t="s">
        <v>98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369</v>
      </c>
      <c r="B14" s="1" t="s">
        <v>142</v>
      </c>
      <c r="C14" s="1" t="s">
        <v>24</v>
      </c>
      <c r="D14" s="1" t="s">
        <v>143</v>
      </c>
      <c r="E14" s="1" t="s">
        <v>119</v>
      </c>
      <c r="F14" s="1" t="s">
        <v>144</v>
      </c>
      <c r="G14" s="1" t="s">
        <v>370</v>
      </c>
      <c r="H14" s="8" t="s">
        <v>83</v>
      </c>
      <c r="I14" s="8" t="s">
        <v>98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371</v>
      </c>
      <c r="B15" s="1" t="s">
        <v>147</v>
      </c>
      <c r="C15" s="1" t="s">
        <v>24</v>
      </c>
      <c r="D15" s="1" t="s">
        <v>148</v>
      </c>
      <c r="E15" s="1" t="s">
        <v>119</v>
      </c>
      <c r="F15" s="1" t="s">
        <v>149</v>
      </c>
      <c r="G15" s="1" t="s">
        <v>372</v>
      </c>
      <c r="H15" s="8" t="s">
        <v>83</v>
      </c>
      <c r="I15" s="8" t="s">
        <v>98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373</v>
      </c>
      <c r="B16" s="1" t="s">
        <v>152</v>
      </c>
      <c r="C16" s="1" t="s">
        <v>24</v>
      </c>
      <c r="D16" s="1" t="s">
        <v>153</v>
      </c>
      <c r="E16" s="1" t="s">
        <v>119</v>
      </c>
      <c r="F16" s="1" t="s">
        <v>154</v>
      </c>
      <c r="G16" s="1" t="s">
        <v>374</v>
      </c>
      <c r="H16" s="8" t="s">
        <v>85</v>
      </c>
      <c r="I16" s="8" t="s">
        <v>97</v>
      </c>
      <c r="J16" s="10" t="n">
        <v>46227</v>
      </c>
      <c r="K16" s="1" t="s">
        <v>156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375</v>
      </c>
      <c r="B17" s="1" t="s">
        <v>158</v>
      </c>
      <c r="C17" s="1" t="s">
        <v>24</v>
      </c>
      <c r="D17" s="1" t="s">
        <v>159</v>
      </c>
      <c r="E17" s="1" t="s">
        <v>119</v>
      </c>
      <c r="F17" s="1" t="s">
        <v>160</v>
      </c>
      <c r="G17" s="1" t="s">
        <v>376</v>
      </c>
      <c r="H17" s="8" t="s">
        <v>85</v>
      </c>
      <c r="I17" s="8" t="s">
        <v>97</v>
      </c>
      <c r="J17" s="10" t="n">
        <v>46227</v>
      </c>
      <c r="K17" s="1" t="s">
        <v>162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377</v>
      </c>
      <c r="B18" s="1" t="s">
        <v>164</v>
      </c>
      <c r="C18" s="1" t="s">
        <v>24</v>
      </c>
      <c r="D18" s="1" t="s">
        <v>165</v>
      </c>
      <c r="E18" s="1" t="s">
        <v>119</v>
      </c>
      <c r="F18" s="1" t="s">
        <v>160</v>
      </c>
      <c r="G18" s="1" t="s">
        <v>376</v>
      </c>
      <c r="H18" s="8" t="s">
        <v>85</v>
      </c>
      <c r="I18" s="8" t="s">
        <v>97</v>
      </c>
      <c r="J18" s="10" t="n">
        <v>46227</v>
      </c>
      <c r="K18" s="1" t="s">
        <v>162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378</v>
      </c>
      <c r="B19" s="1" t="s">
        <v>167</v>
      </c>
      <c r="C19" s="1" t="s">
        <v>24</v>
      </c>
      <c r="D19" s="1" t="s">
        <v>168</v>
      </c>
      <c r="E19" s="1" t="s">
        <v>119</v>
      </c>
      <c r="F19" s="1" t="s">
        <v>160</v>
      </c>
      <c r="G19" s="1" t="s">
        <v>379</v>
      </c>
      <c r="H19" s="8" t="s">
        <v>85</v>
      </c>
      <c r="I19" s="8" t="s">
        <v>97</v>
      </c>
      <c r="J19" s="10" t="n">
        <v>46227</v>
      </c>
      <c r="K19" s="1" t="s">
        <v>170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380</v>
      </c>
      <c r="B20" s="1" t="s">
        <v>172</v>
      </c>
      <c r="C20" s="1" t="s">
        <v>24</v>
      </c>
      <c r="D20" s="1" t="s">
        <v>173</v>
      </c>
      <c r="E20" s="1" t="s">
        <v>119</v>
      </c>
      <c r="F20" s="1" t="s">
        <v>160</v>
      </c>
      <c r="G20" s="1" t="s">
        <v>376</v>
      </c>
      <c r="H20" s="8" t="s">
        <v>85</v>
      </c>
      <c r="I20" s="8" t="s">
        <v>97</v>
      </c>
      <c r="J20" s="10" t="n">
        <v>46227</v>
      </c>
      <c r="K20" s="1" t="s">
        <v>174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381</v>
      </c>
      <c r="B21" s="1" t="s">
        <v>176</v>
      </c>
      <c r="C21" s="1" t="s">
        <v>24</v>
      </c>
      <c r="D21" s="1" t="s">
        <v>177</v>
      </c>
      <c r="E21" s="1" t="s">
        <v>119</v>
      </c>
      <c r="F21" s="1" t="s">
        <v>178</v>
      </c>
      <c r="G21" s="1" t="s">
        <v>382</v>
      </c>
      <c r="H21" s="8" t="s">
        <v>83</v>
      </c>
      <c r="I21" s="8" t="s">
        <v>98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383</v>
      </c>
      <c r="B22" s="1" t="s">
        <v>181</v>
      </c>
      <c r="C22" s="1" t="s">
        <v>24</v>
      </c>
      <c r="D22" s="1" t="s">
        <v>182</v>
      </c>
      <c r="E22" s="1" t="s">
        <v>119</v>
      </c>
      <c r="F22" s="1" t="s">
        <v>178</v>
      </c>
      <c r="G22" s="1" t="s">
        <v>384</v>
      </c>
      <c r="H22" s="8" t="s">
        <v>83</v>
      </c>
      <c r="I22" s="8" t="s">
        <v>98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385</v>
      </c>
      <c r="B23" s="1" t="s">
        <v>185</v>
      </c>
      <c r="C23" s="1" t="s">
        <v>24</v>
      </c>
      <c r="D23" s="1" t="s">
        <v>186</v>
      </c>
      <c r="E23" s="1" t="s">
        <v>187</v>
      </c>
      <c r="F23" s="1" t="s">
        <v>187</v>
      </c>
      <c r="G23" s="1" t="s">
        <v>188</v>
      </c>
      <c r="H23" s="8" t="s">
        <v>83</v>
      </c>
      <c r="I23" s="8" t="s">
        <v>98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386</v>
      </c>
      <c r="B24" s="1" t="s">
        <v>190</v>
      </c>
      <c r="C24" s="1" t="s">
        <v>24</v>
      </c>
      <c r="D24" s="1" t="s">
        <v>191</v>
      </c>
      <c r="E24" s="1" t="s">
        <v>119</v>
      </c>
      <c r="F24" s="1" t="s">
        <v>119</v>
      </c>
      <c r="G24" s="1" t="s">
        <v>192</v>
      </c>
      <c r="H24" s="8" t="s">
        <v>83</v>
      </c>
      <c r="I24" s="8" t="s">
        <v>98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101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102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360</v>
      </c>
      <c r="B9" s="1" t="s">
        <v>116</v>
      </c>
      <c r="C9" s="1" t="s">
        <v>25</v>
      </c>
      <c r="D9" s="1" t="s">
        <v>118</v>
      </c>
      <c r="E9" s="1" t="s">
        <v>119</v>
      </c>
      <c r="F9" s="1" t="s">
        <v>120</v>
      </c>
      <c r="G9" s="1" t="s">
        <v>388</v>
      </c>
      <c r="H9" s="8" t="s">
        <v>83</v>
      </c>
      <c r="I9" s="8" t="s">
        <v>98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362</v>
      </c>
      <c r="B10" s="1" t="s">
        <v>123</v>
      </c>
      <c r="C10" s="1" t="s">
        <v>25</v>
      </c>
      <c r="D10" s="1" t="s">
        <v>124</v>
      </c>
      <c r="E10" s="1" t="s">
        <v>119</v>
      </c>
      <c r="F10" s="1" t="s">
        <v>119</v>
      </c>
      <c r="G10" s="1" t="s">
        <v>125</v>
      </c>
      <c r="H10" s="8" t="s">
        <v>83</v>
      </c>
      <c r="I10" s="8" t="s">
        <v>98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363</v>
      </c>
      <c r="B11" s="1" t="s">
        <v>127</v>
      </c>
      <c r="C11" s="1" t="s">
        <v>25</v>
      </c>
      <c r="D11" s="1" t="s">
        <v>128</v>
      </c>
      <c r="E11" s="1" t="s">
        <v>119</v>
      </c>
      <c r="F11" s="1" t="s">
        <v>129</v>
      </c>
      <c r="G11" s="1" t="s">
        <v>389</v>
      </c>
      <c r="H11" s="8" t="s">
        <v>83</v>
      </c>
      <c r="I11" s="8" t="s">
        <v>98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365</v>
      </c>
      <c r="B12" s="1" t="s">
        <v>132</v>
      </c>
      <c r="C12" s="1" t="s">
        <v>25</v>
      </c>
      <c r="D12" s="1" t="s">
        <v>133</v>
      </c>
      <c r="E12" s="1" t="s">
        <v>119</v>
      </c>
      <c r="F12" s="1" t="s">
        <v>134</v>
      </c>
      <c r="G12" s="1" t="s">
        <v>390</v>
      </c>
      <c r="H12" s="8" t="s">
        <v>83</v>
      </c>
      <c r="I12" s="8" t="s">
        <v>98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367</v>
      </c>
      <c r="B13" s="1" t="s">
        <v>137</v>
      </c>
      <c r="C13" s="1" t="s">
        <v>25</v>
      </c>
      <c r="D13" s="1" t="s">
        <v>138</v>
      </c>
      <c r="E13" s="1" t="s">
        <v>119</v>
      </c>
      <c r="F13" s="1" t="s">
        <v>139</v>
      </c>
      <c r="G13" s="1" t="s">
        <v>391</v>
      </c>
      <c r="H13" s="8" t="s">
        <v>83</v>
      </c>
      <c r="I13" s="8" t="s">
        <v>98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369</v>
      </c>
      <c r="B14" s="1" t="s">
        <v>142</v>
      </c>
      <c r="C14" s="1" t="s">
        <v>25</v>
      </c>
      <c r="D14" s="1" t="s">
        <v>143</v>
      </c>
      <c r="E14" s="1" t="s">
        <v>119</v>
      </c>
      <c r="F14" s="1" t="s">
        <v>144</v>
      </c>
      <c r="G14" s="1" t="s">
        <v>392</v>
      </c>
      <c r="H14" s="8" t="s">
        <v>83</v>
      </c>
      <c r="I14" s="8" t="s">
        <v>98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371</v>
      </c>
      <c r="B15" s="1" t="s">
        <v>147</v>
      </c>
      <c r="C15" s="1" t="s">
        <v>25</v>
      </c>
      <c r="D15" s="1" t="s">
        <v>148</v>
      </c>
      <c r="E15" s="1" t="s">
        <v>119</v>
      </c>
      <c r="F15" s="1" t="s">
        <v>149</v>
      </c>
      <c r="G15" s="1" t="s">
        <v>393</v>
      </c>
      <c r="H15" s="8" t="s">
        <v>83</v>
      </c>
      <c r="I15" s="8" t="s">
        <v>98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373</v>
      </c>
      <c r="B16" s="1" t="s">
        <v>152</v>
      </c>
      <c r="C16" s="1" t="s">
        <v>25</v>
      </c>
      <c r="D16" s="1" t="s">
        <v>153</v>
      </c>
      <c r="E16" s="1" t="s">
        <v>119</v>
      </c>
      <c r="F16" s="1" t="s">
        <v>154</v>
      </c>
      <c r="G16" s="1" t="s">
        <v>394</v>
      </c>
      <c r="H16" s="8" t="s">
        <v>85</v>
      </c>
      <c r="I16" s="8" t="s">
        <v>97</v>
      </c>
      <c r="J16" s="10" t="n">
        <v>46227</v>
      </c>
      <c r="K16" s="1" t="s">
        <v>156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375</v>
      </c>
      <c r="B17" s="1" t="s">
        <v>158</v>
      </c>
      <c r="C17" s="1" t="s">
        <v>25</v>
      </c>
      <c r="D17" s="1" t="s">
        <v>159</v>
      </c>
      <c r="E17" s="1" t="s">
        <v>119</v>
      </c>
      <c r="F17" s="1" t="s">
        <v>160</v>
      </c>
      <c r="G17" s="1" t="s">
        <v>395</v>
      </c>
      <c r="H17" s="8" t="s">
        <v>85</v>
      </c>
      <c r="I17" s="8" t="s">
        <v>97</v>
      </c>
      <c r="J17" s="10" t="n">
        <v>46227</v>
      </c>
      <c r="K17" s="1" t="s">
        <v>162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377</v>
      </c>
      <c r="B18" s="1" t="s">
        <v>164</v>
      </c>
      <c r="C18" s="1" t="s">
        <v>25</v>
      </c>
      <c r="D18" s="1" t="s">
        <v>165</v>
      </c>
      <c r="E18" s="1" t="s">
        <v>119</v>
      </c>
      <c r="F18" s="1" t="s">
        <v>160</v>
      </c>
      <c r="G18" s="1" t="s">
        <v>395</v>
      </c>
      <c r="H18" s="8" t="s">
        <v>85</v>
      </c>
      <c r="I18" s="8" t="s">
        <v>97</v>
      </c>
      <c r="J18" s="10" t="n">
        <v>46227</v>
      </c>
      <c r="K18" s="1" t="s">
        <v>162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378</v>
      </c>
      <c r="B19" s="1" t="s">
        <v>167</v>
      </c>
      <c r="C19" s="1" t="s">
        <v>25</v>
      </c>
      <c r="D19" s="1" t="s">
        <v>168</v>
      </c>
      <c r="E19" s="1" t="s">
        <v>119</v>
      </c>
      <c r="F19" s="1" t="s">
        <v>160</v>
      </c>
      <c r="G19" s="1" t="s">
        <v>396</v>
      </c>
      <c r="H19" s="8" t="s">
        <v>85</v>
      </c>
      <c r="I19" s="8" t="s">
        <v>97</v>
      </c>
      <c r="J19" s="10" t="n">
        <v>46227</v>
      </c>
      <c r="K19" s="1" t="s">
        <v>170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380</v>
      </c>
      <c r="B20" s="1" t="s">
        <v>172</v>
      </c>
      <c r="C20" s="1" t="s">
        <v>25</v>
      </c>
      <c r="D20" s="1" t="s">
        <v>173</v>
      </c>
      <c r="E20" s="1" t="s">
        <v>119</v>
      </c>
      <c r="F20" s="1" t="s">
        <v>160</v>
      </c>
      <c r="G20" s="1" t="s">
        <v>395</v>
      </c>
      <c r="H20" s="8" t="s">
        <v>85</v>
      </c>
      <c r="I20" s="8" t="s">
        <v>97</v>
      </c>
      <c r="J20" s="10" t="n">
        <v>46227</v>
      </c>
      <c r="K20" s="1" t="s">
        <v>174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381</v>
      </c>
      <c r="B21" s="1" t="s">
        <v>176</v>
      </c>
      <c r="C21" s="1" t="s">
        <v>25</v>
      </c>
      <c r="D21" s="1" t="s">
        <v>177</v>
      </c>
      <c r="E21" s="1" t="s">
        <v>119</v>
      </c>
      <c r="F21" s="1" t="s">
        <v>178</v>
      </c>
      <c r="G21" s="1" t="s">
        <v>397</v>
      </c>
      <c r="H21" s="8" t="s">
        <v>83</v>
      </c>
      <c r="I21" s="8" t="s">
        <v>98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383</v>
      </c>
      <c r="B22" s="1" t="s">
        <v>181</v>
      </c>
      <c r="C22" s="1" t="s">
        <v>25</v>
      </c>
      <c r="D22" s="1" t="s">
        <v>182</v>
      </c>
      <c r="E22" s="1" t="s">
        <v>119</v>
      </c>
      <c r="F22" s="1" t="s">
        <v>178</v>
      </c>
      <c r="G22" s="1" t="s">
        <v>398</v>
      </c>
      <c r="H22" s="8" t="s">
        <v>83</v>
      </c>
      <c r="I22" s="8" t="s">
        <v>98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385</v>
      </c>
      <c r="B23" s="1" t="s">
        <v>185</v>
      </c>
      <c r="C23" s="1" t="s">
        <v>25</v>
      </c>
      <c r="D23" s="1" t="s">
        <v>186</v>
      </c>
      <c r="E23" s="1" t="s">
        <v>187</v>
      </c>
      <c r="F23" s="1" t="s">
        <v>187</v>
      </c>
      <c r="G23" s="1" t="s">
        <v>188</v>
      </c>
      <c r="H23" s="8" t="s">
        <v>83</v>
      </c>
      <c r="I23" s="8" t="s">
        <v>98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386</v>
      </c>
      <c r="B24" s="1" t="s">
        <v>190</v>
      </c>
      <c r="C24" s="1" t="s">
        <v>25</v>
      </c>
      <c r="D24" s="1" t="s">
        <v>191</v>
      </c>
      <c r="E24" s="1" t="s">
        <v>119</v>
      </c>
      <c r="F24" s="1" t="s">
        <v>119</v>
      </c>
      <c r="G24" s="1" t="s">
        <v>192</v>
      </c>
      <c r="H24" s="8" t="s">
        <v>83</v>
      </c>
      <c r="I24" s="8" t="s">
        <v>98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101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102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400</v>
      </c>
      <c r="B9" s="1" t="s">
        <v>116</v>
      </c>
      <c r="C9" s="1" t="s">
        <v>26</v>
      </c>
      <c r="D9" s="1" t="s">
        <v>118</v>
      </c>
      <c r="E9" s="1" t="s">
        <v>119</v>
      </c>
      <c r="F9" s="1" t="s">
        <v>120</v>
      </c>
      <c r="G9" s="1" t="s">
        <v>401</v>
      </c>
      <c r="H9" s="8" t="s">
        <v>83</v>
      </c>
      <c r="I9" s="8" t="s">
        <v>98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402</v>
      </c>
      <c r="B10" s="1" t="s">
        <v>123</v>
      </c>
      <c r="C10" s="1" t="s">
        <v>26</v>
      </c>
      <c r="D10" s="1" t="s">
        <v>124</v>
      </c>
      <c r="E10" s="1" t="s">
        <v>119</v>
      </c>
      <c r="F10" s="1" t="s">
        <v>119</v>
      </c>
      <c r="G10" s="1" t="s">
        <v>125</v>
      </c>
      <c r="H10" s="8" t="s">
        <v>83</v>
      </c>
      <c r="I10" s="8" t="s">
        <v>98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403</v>
      </c>
      <c r="B11" s="1" t="s">
        <v>127</v>
      </c>
      <c r="C11" s="1" t="s">
        <v>26</v>
      </c>
      <c r="D11" s="1" t="s">
        <v>128</v>
      </c>
      <c r="E11" s="1" t="s">
        <v>119</v>
      </c>
      <c r="F11" s="1" t="s">
        <v>129</v>
      </c>
      <c r="G11" s="1" t="s">
        <v>404</v>
      </c>
      <c r="H11" s="8" t="s">
        <v>83</v>
      </c>
      <c r="I11" s="8" t="s">
        <v>98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405</v>
      </c>
      <c r="B12" s="1" t="s">
        <v>132</v>
      </c>
      <c r="C12" s="1" t="s">
        <v>26</v>
      </c>
      <c r="D12" s="1" t="s">
        <v>133</v>
      </c>
      <c r="E12" s="1" t="s">
        <v>119</v>
      </c>
      <c r="F12" s="1" t="s">
        <v>134</v>
      </c>
      <c r="G12" s="1" t="s">
        <v>406</v>
      </c>
      <c r="H12" s="8" t="s">
        <v>83</v>
      </c>
      <c r="I12" s="8" t="s">
        <v>98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407</v>
      </c>
      <c r="B13" s="1" t="s">
        <v>137</v>
      </c>
      <c r="C13" s="1" t="s">
        <v>26</v>
      </c>
      <c r="D13" s="1" t="s">
        <v>138</v>
      </c>
      <c r="E13" s="1" t="s">
        <v>119</v>
      </c>
      <c r="F13" s="1" t="s">
        <v>139</v>
      </c>
      <c r="G13" s="1" t="s">
        <v>408</v>
      </c>
      <c r="H13" s="8" t="s">
        <v>83</v>
      </c>
      <c r="I13" s="8" t="s">
        <v>98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409</v>
      </c>
      <c r="B14" s="1" t="s">
        <v>142</v>
      </c>
      <c r="C14" s="1" t="s">
        <v>26</v>
      </c>
      <c r="D14" s="1" t="s">
        <v>143</v>
      </c>
      <c r="E14" s="1" t="s">
        <v>119</v>
      </c>
      <c r="F14" s="1" t="s">
        <v>144</v>
      </c>
      <c r="G14" s="1" t="s">
        <v>410</v>
      </c>
      <c r="H14" s="8" t="s">
        <v>83</v>
      </c>
      <c r="I14" s="8" t="s">
        <v>98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411</v>
      </c>
      <c r="B15" s="1" t="s">
        <v>147</v>
      </c>
      <c r="C15" s="1" t="s">
        <v>26</v>
      </c>
      <c r="D15" s="1" t="s">
        <v>148</v>
      </c>
      <c r="E15" s="1" t="s">
        <v>119</v>
      </c>
      <c r="F15" s="1" t="s">
        <v>149</v>
      </c>
      <c r="G15" s="1" t="s">
        <v>412</v>
      </c>
      <c r="H15" s="8" t="s">
        <v>83</v>
      </c>
      <c r="I15" s="8" t="s">
        <v>98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413</v>
      </c>
      <c r="B16" s="1" t="s">
        <v>152</v>
      </c>
      <c r="C16" s="1" t="s">
        <v>26</v>
      </c>
      <c r="D16" s="1" t="s">
        <v>153</v>
      </c>
      <c r="E16" s="1" t="s">
        <v>119</v>
      </c>
      <c r="F16" s="1" t="s">
        <v>154</v>
      </c>
      <c r="G16" s="1" t="s">
        <v>414</v>
      </c>
      <c r="H16" s="8" t="s">
        <v>85</v>
      </c>
      <c r="I16" s="8" t="s">
        <v>97</v>
      </c>
      <c r="J16" s="10" t="n">
        <v>46227</v>
      </c>
      <c r="K16" s="1" t="s">
        <v>156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415</v>
      </c>
      <c r="B17" s="1" t="s">
        <v>158</v>
      </c>
      <c r="C17" s="1" t="s">
        <v>26</v>
      </c>
      <c r="D17" s="1" t="s">
        <v>159</v>
      </c>
      <c r="E17" s="1" t="s">
        <v>119</v>
      </c>
      <c r="F17" s="1" t="s">
        <v>160</v>
      </c>
      <c r="G17" s="1" t="s">
        <v>416</v>
      </c>
      <c r="H17" s="8" t="s">
        <v>85</v>
      </c>
      <c r="I17" s="8" t="s">
        <v>97</v>
      </c>
      <c r="J17" s="10" t="n">
        <v>46227</v>
      </c>
      <c r="K17" s="1" t="s">
        <v>162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417</v>
      </c>
      <c r="B18" s="1" t="s">
        <v>164</v>
      </c>
      <c r="C18" s="1" t="s">
        <v>26</v>
      </c>
      <c r="D18" s="1" t="s">
        <v>165</v>
      </c>
      <c r="E18" s="1" t="s">
        <v>119</v>
      </c>
      <c r="F18" s="1" t="s">
        <v>160</v>
      </c>
      <c r="G18" s="1" t="s">
        <v>416</v>
      </c>
      <c r="H18" s="8" t="s">
        <v>85</v>
      </c>
      <c r="I18" s="8" t="s">
        <v>97</v>
      </c>
      <c r="J18" s="10" t="n">
        <v>46227</v>
      </c>
      <c r="K18" s="1" t="s">
        <v>162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418</v>
      </c>
      <c r="B19" s="1" t="s">
        <v>167</v>
      </c>
      <c r="C19" s="1" t="s">
        <v>26</v>
      </c>
      <c r="D19" s="1" t="s">
        <v>168</v>
      </c>
      <c r="E19" s="1" t="s">
        <v>119</v>
      </c>
      <c r="F19" s="1" t="s">
        <v>160</v>
      </c>
      <c r="G19" s="1" t="s">
        <v>419</v>
      </c>
      <c r="H19" s="8" t="s">
        <v>85</v>
      </c>
      <c r="I19" s="8" t="s">
        <v>97</v>
      </c>
      <c r="J19" s="10" t="n">
        <v>46227</v>
      </c>
      <c r="K19" s="1" t="s">
        <v>170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420</v>
      </c>
      <c r="B20" s="1" t="s">
        <v>172</v>
      </c>
      <c r="C20" s="1" t="s">
        <v>26</v>
      </c>
      <c r="D20" s="1" t="s">
        <v>173</v>
      </c>
      <c r="E20" s="1" t="s">
        <v>119</v>
      </c>
      <c r="F20" s="1" t="s">
        <v>160</v>
      </c>
      <c r="G20" s="1" t="s">
        <v>416</v>
      </c>
      <c r="H20" s="8" t="s">
        <v>85</v>
      </c>
      <c r="I20" s="8" t="s">
        <v>97</v>
      </c>
      <c r="J20" s="10" t="n">
        <v>46227</v>
      </c>
      <c r="K20" s="1" t="s">
        <v>174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421</v>
      </c>
      <c r="B21" s="1" t="s">
        <v>176</v>
      </c>
      <c r="C21" s="1" t="s">
        <v>26</v>
      </c>
      <c r="D21" s="1" t="s">
        <v>177</v>
      </c>
      <c r="E21" s="1" t="s">
        <v>119</v>
      </c>
      <c r="F21" s="1" t="s">
        <v>178</v>
      </c>
      <c r="G21" s="1" t="s">
        <v>422</v>
      </c>
      <c r="H21" s="8" t="s">
        <v>83</v>
      </c>
      <c r="I21" s="8" t="s">
        <v>98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423</v>
      </c>
      <c r="B22" s="1" t="s">
        <v>181</v>
      </c>
      <c r="C22" s="1" t="s">
        <v>26</v>
      </c>
      <c r="D22" s="1" t="s">
        <v>182</v>
      </c>
      <c r="E22" s="1" t="s">
        <v>119</v>
      </c>
      <c r="F22" s="1" t="s">
        <v>178</v>
      </c>
      <c r="G22" s="1" t="s">
        <v>424</v>
      </c>
      <c r="H22" s="8" t="s">
        <v>83</v>
      </c>
      <c r="I22" s="8" t="s">
        <v>98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425</v>
      </c>
      <c r="B23" s="1" t="s">
        <v>185</v>
      </c>
      <c r="C23" s="1" t="s">
        <v>26</v>
      </c>
      <c r="D23" s="1" t="s">
        <v>186</v>
      </c>
      <c r="E23" s="1" t="s">
        <v>187</v>
      </c>
      <c r="F23" s="1" t="s">
        <v>187</v>
      </c>
      <c r="G23" s="1" t="s">
        <v>188</v>
      </c>
      <c r="H23" s="8" t="s">
        <v>83</v>
      </c>
      <c r="I23" s="8" t="s">
        <v>98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426</v>
      </c>
      <c r="B24" s="1" t="s">
        <v>190</v>
      </c>
      <c r="C24" s="1" t="s">
        <v>26</v>
      </c>
      <c r="D24" s="1" t="s">
        <v>191</v>
      </c>
      <c r="E24" s="1" t="s">
        <v>119</v>
      </c>
      <c r="F24" s="1" t="s">
        <v>119</v>
      </c>
      <c r="G24" s="1" t="s">
        <v>192</v>
      </c>
      <c r="H24" s="8" t="s">
        <v>83</v>
      </c>
      <c r="I24" s="8" t="s">
        <v>98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101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102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400</v>
      </c>
      <c r="B9" s="1" t="s">
        <v>116</v>
      </c>
      <c r="C9" s="1" t="s">
        <v>27</v>
      </c>
      <c r="D9" s="1" t="s">
        <v>118</v>
      </c>
      <c r="E9" s="1" t="s">
        <v>119</v>
      </c>
      <c r="F9" s="1" t="s">
        <v>120</v>
      </c>
      <c r="G9" s="1" t="s">
        <v>428</v>
      </c>
      <c r="H9" s="8" t="s">
        <v>83</v>
      </c>
      <c r="I9" s="8" t="s">
        <v>98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402</v>
      </c>
      <c r="B10" s="1" t="s">
        <v>123</v>
      </c>
      <c r="C10" s="1" t="s">
        <v>27</v>
      </c>
      <c r="D10" s="1" t="s">
        <v>124</v>
      </c>
      <c r="E10" s="1" t="s">
        <v>119</v>
      </c>
      <c r="F10" s="1" t="s">
        <v>119</v>
      </c>
      <c r="G10" s="1" t="s">
        <v>125</v>
      </c>
      <c r="H10" s="8" t="s">
        <v>83</v>
      </c>
      <c r="I10" s="8" t="s">
        <v>98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403</v>
      </c>
      <c r="B11" s="1" t="s">
        <v>127</v>
      </c>
      <c r="C11" s="1" t="s">
        <v>27</v>
      </c>
      <c r="D11" s="1" t="s">
        <v>128</v>
      </c>
      <c r="E11" s="1" t="s">
        <v>119</v>
      </c>
      <c r="F11" s="1" t="s">
        <v>129</v>
      </c>
      <c r="G11" s="1" t="s">
        <v>429</v>
      </c>
      <c r="H11" s="8" t="s">
        <v>83</v>
      </c>
      <c r="I11" s="8" t="s">
        <v>98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405</v>
      </c>
      <c r="B12" s="1" t="s">
        <v>132</v>
      </c>
      <c r="C12" s="1" t="s">
        <v>27</v>
      </c>
      <c r="D12" s="1" t="s">
        <v>133</v>
      </c>
      <c r="E12" s="1" t="s">
        <v>119</v>
      </c>
      <c r="F12" s="1" t="s">
        <v>134</v>
      </c>
      <c r="G12" s="1" t="s">
        <v>430</v>
      </c>
      <c r="H12" s="8" t="s">
        <v>83</v>
      </c>
      <c r="I12" s="8" t="s">
        <v>98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407</v>
      </c>
      <c r="B13" s="1" t="s">
        <v>137</v>
      </c>
      <c r="C13" s="1" t="s">
        <v>27</v>
      </c>
      <c r="D13" s="1" t="s">
        <v>138</v>
      </c>
      <c r="E13" s="1" t="s">
        <v>119</v>
      </c>
      <c r="F13" s="1" t="s">
        <v>139</v>
      </c>
      <c r="G13" s="1" t="s">
        <v>431</v>
      </c>
      <c r="H13" s="8" t="s">
        <v>83</v>
      </c>
      <c r="I13" s="8" t="s">
        <v>98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409</v>
      </c>
      <c r="B14" s="1" t="s">
        <v>142</v>
      </c>
      <c r="C14" s="1" t="s">
        <v>27</v>
      </c>
      <c r="D14" s="1" t="s">
        <v>143</v>
      </c>
      <c r="E14" s="1" t="s">
        <v>119</v>
      </c>
      <c r="F14" s="1" t="s">
        <v>144</v>
      </c>
      <c r="G14" s="1" t="s">
        <v>432</v>
      </c>
      <c r="H14" s="8" t="s">
        <v>83</v>
      </c>
      <c r="I14" s="8" t="s">
        <v>98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411</v>
      </c>
      <c r="B15" s="1" t="s">
        <v>147</v>
      </c>
      <c r="C15" s="1" t="s">
        <v>27</v>
      </c>
      <c r="D15" s="1" t="s">
        <v>148</v>
      </c>
      <c r="E15" s="1" t="s">
        <v>119</v>
      </c>
      <c r="F15" s="1" t="s">
        <v>149</v>
      </c>
      <c r="G15" s="1" t="s">
        <v>433</v>
      </c>
      <c r="H15" s="8" t="s">
        <v>83</v>
      </c>
      <c r="I15" s="8" t="s">
        <v>98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413</v>
      </c>
      <c r="B16" s="1" t="s">
        <v>152</v>
      </c>
      <c r="C16" s="1" t="s">
        <v>27</v>
      </c>
      <c r="D16" s="1" t="s">
        <v>153</v>
      </c>
      <c r="E16" s="1" t="s">
        <v>119</v>
      </c>
      <c r="F16" s="1" t="s">
        <v>154</v>
      </c>
      <c r="G16" s="1" t="s">
        <v>434</v>
      </c>
      <c r="H16" s="8" t="s">
        <v>85</v>
      </c>
      <c r="I16" s="8" t="s">
        <v>97</v>
      </c>
      <c r="J16" s="10" t="n">
        <v>46227</v>
      </c>
      <c r="K16" s="1" t="s">
        <v>156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415</v>
      </c>
      <c r="B17" s="1" t="s">
        <v>158</v>
      </c>
      <c r="C17" s="1" t="s">
        <v>27</v>
      </c>
      <c r="D17" s="1" t="s">
        <v>159</v>
      </c>
      <c r="E17" s="1" t="s">
        <v>119</v>
      </c>
      <c r="F17" s="1" t="s">
        <v>160</v>
      </c>
      <c r="G17" s="1" t="s">
        <v>435</v>
      </c>
      <c r="H17" s="8" t="s">
        <v>85</v>
      </c>
      <c r="I17" s="8" t="s">
        <v>97</v>
      </c>
      <c r="J17" s="10" t="n">
        <v>46227</v>
      </c>
      <c r="K17" s="1" t="s">
        <v>162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417</v>
      </c>
      <c r="B18" s="1" t="s">
        <v>164</v>
      </c>
      <c r="C18" s="1" t="s">
        <v>27</v>
      </c>
      <c r="D18" s="1" t="s">
        <v>165</v>
      </c>
      <c r="E18" s="1" t="s">
        <v>119</v>
      </c>
      <c r="F18" s="1" t="s">
        <v>160</v>
      </c>
      <c r="G18" s="1" t="s">
        <v>435</v>
      </c>
      <c r="H18" s="8" t="s">
        <v>85</v>
      </c>
      <c r="I18" s="8" t="s">
        <v>97</v>
      </c>
      <c r="J18" s="10" t="n">
        <v>46227</v>
      </c>
      <c r="K18" s="1" t="s">
        <v>162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418</v>
      </c>
      <c r="B19" s="1" t="s">
        <v>167</v>
      </c>
      <c r="C19" s="1" t="s">
        <v>27</v>
      </c>
      <c r="D19" s="1" t="s">
        <v>168</v>
      </c>
      <c r="E19" s="1" t="s">
        <v>119</v>
      </c>
      <c r="F19" s="1" t="s">
        <v>160</v>
      </c>
      <c r="G19" s="1" t="s">
        <v>436</v>
      </c>
      <c r="H19" s="8" t="s">
        <v>85</v>
      </c>
      <c r="I19" s="8" t="s">
        <v>97</v>
      </c>
      <c r="J19" s="10" t="n">
        <v>46227</v>
      </c>
      <c r="K19" s="1" t="s">
        <v>170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420</v>
      </c>
      <c r="B20" s="1" t="s">
        <v>172</v>
      </c>
      <c r="C20" s="1" t="s">
        <v>27</v>
      </c>
      <c r="D20" s="1" t="s">
        <v>173</v>
      </c>
      <c r="E20" s="1" t="s">
        <v>119</v>
      </c>
      <c r="F20" s="1" t="s">
        <v>160</v>
      </c>
      <c r="G20" s="1" t="s">
        <v>435</v>
      </c>
      <c r="H20" s="8" t="s">
        <v>85</v>
      </c>
      <c r="I20" s="8" t="s">
        <v>97</v>
      </c>
      <c r="J20" s="10" t="n">
        <v>46227</v>
      </c>
      <c r="K20" s="1" t="s">
        <v>174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421</v>
      </c>
      <c r="B21" s="1" t="s">
        <v>176</v>
      </c>
      <c r="C21" s="1" t="s">
        <v>27</v>
      </c>
      <c r="D21" s="1" t="s">
        <v>177</v>
      </c>
      <c r="E21" s="1" t="s">
        <v>119</v>
      </c>
      <c r="F21" s="1" t="s">
        <v>178</v>
      </c>
      <c r="G21" s="1" t="s">
        <v>437</v>
      </c>
      <c r="H21" s="8" t="s">
        <v>83</v>
      </c>
      <c r="I21" s="8" t="s">
        <v>98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423</v>
      </c>
      <c r="B22" s="1" t="s">
        <v>181</v>
      </c>
      <c r="C22" s="1" t="s">
        <v>27</v>
      </c>
      <c r="D22" s="1" t="s">
        <v>182</v>
      </c>
      <c r="E22" s="1" t="s">
        <v>119</v>
      </c>
      <c r="F22" s="1" t="s">
        <v>178</v>
      </c>
      <c r="G22" s="1" t="s">
        <v>438</v>
      </c>
      <c r="H22" s="8" t="s">
        <v>83</v>
      </c>
      <c r="I22" s="8" t="s">
        <v>98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425</v>
      </c>
      <c r="B23" s="1" t="s">
        <v>185</v>
      </c>
      <c r="C23" s="1" t="s">
        <v>27</v>
      </c>
      <c r="D23" s="1" t="s">
        <v>186</v>
      </c>
      <c r="E23" s="1" t="s">
        <v>187</v>
      </c>
      <c r="F23" s="1" t="s">
        <v>187</v>
      </c>
      <c r="G23" s="1" t="s">
        <v>188</v>
      </c>
      <c r="H23" s="8" t="s">
        <v>83</v>
      </c>
      <c r="I23" s="8" t="s">
        <v>98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426</v>
      </c>
      <c r="B24" s="1" t="s">
        <v>190</v>
      </c>
      <c r="C24" s="1" t="s">
        <v>27</v>
      </c>
      <c r="D24" s="1" t="s">
        <v>191</v>
      </c>
      <c r="E24" s="1" t="s">
        <v>119</v>
      </c>
      <c r="F24" s="1" t="s">
        <v>119</v>
      </c>
      <c r="G24" s="1" t="s">
        <v>192</v>
      </c>
      <c r="H24" s="8" t="s">
        <v>83</v>
      </c>
      <c r="I24" s="8" t="s">
        <v>98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101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102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400</v>
      </c>
      <c r="B9" s="1" t="s">
        <v>116</v>
      </c>
      <c r="C9" s="1" t="s">
        <v>28</v>
      </c>
      <c r="D9" s="1" t="s">
        <v>118</v>
      </c>
      <c r="E9" s="1" t="s">
        <v>119</v>
      </c>
      <c r="F9" s="1" t="s">
        <v>120</v>
      </c>
      <c r="G9" s="1" t="s">
        <v>440</v>
      </c>
      <c r="H9" s="8" t="s">
        <v>83</v>
      </c>
      <c r="I9" s="8" t="s">
        <v>98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402</v>
      </c>
      <c r="B10" s="1" t="s">
        <v>123</v>
      </c>
      <c r="C10" s="1" t="s">
        <v>28</v>
      </c>
      <c r="D10" s="1" t="s">
        <v>124</v>
      </c>
      <c r="E10" s="1" t="s">
        <v>119</v>
      </c>
      <c r="F10" s="1" t="s">
        <v>119</v>
      </c>
      <c r="G10" s="1" t="s">
        <v>125</v>
      </c>
      <c r="H10" s="8" t="s">
        <v>83</v>
      </c>
      <c r="I10" s="8" t="s">
        <v>98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403</v>
      </c>
      <c r="B11" s="1" t="s">
        <v>127</v>
      </c>
      <c r="C11" s="1" t="s">
        <v>28</v>
      </c>
      <c r="D11" s="1" t="s">
        <v>128</v>
      </c>
      <c r="E11" s="1" t="s">
        <v>119</v>
      </c>
      <c r="F11" s="1" t="s">
        <v>129</v>
      </c>
      <c r="G11" s="1" t="s">
        <v>441</v>
      </c>
      <c r="H11" s="8" t="s">
        <v>83</v>
      </c>
      <c r="I11" s="8" t="s">
        <v>98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405</v>
      </c>
      <c r="B12" s="1" t="s">
        <v>132</v>
      </c>
      <c r="C12" s="1" t="s">
        <v>28</v>
      </c>
      <c r="D12" s="1" t="s">
        <v>133</v>
      </c>
      <c r="E12" s="1" t="s">
        <v>119</v>
      </c>
      <c r="F12" s="1" t="s">
        <v>134</v>
      </c>
      <c r="G12" s="1" t="s">
        <v>442</v>
      </c>
      <c r="H12" s="8" t="s">
        <v>83</v>
      </c>
      <c r="I12" s="8" t="s">
        <v>98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407</v>
      </c>
      <c r="B13" s="1" t="s">
        <v>137</v>
      </c>
      <c r="C13" s="1" t="s">
        <v>28</v>
      </c>
      <c r="D13" s="1" t="s">
        <v>138</v>
      </c>
      <c r="E13" s="1" t="s">
        <v>119</v>
      </c>
      <c r="F13" s="1" t="s">
        <v>139</v>
      </c>
      <c r="G13" s="1" t="s">
        <v>443</v>
      </c>
      <c r="H13" s="8" t="s">
        <v>83</v>
      </c>
      <c r="I13" s="8" t="s">
        <v>98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409</v>
      </c>
      <c r="B14" s="1" t="s">
        <v>142</v>
      </c>
      <c r="C14" s="1" t="s">
        <v>28</v>
      </c>
      <c r="D14" s="1" t="s">
        <v>143</v>
      </c>
      <c r="E14" s="1" t="s">
        <v>119</v>
      </c>
      <c r="F14" s="1" t="s">
        <v>144</v>
      </c>
      <c r="G14" s="1" t="s">
        <v>444</v>
      </c>
      <c r="H14" s="8" t="s">
        <v>83</v>
      </c>
      <c r="I14" s="8" t="s">
        <v>98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411</v>
      </c>
      <c r="B15" s="1" t="s">
        <v>147</v>
      </c>
      <c r="C15" s="1" t="s">
        <v>28</v>
      </c>
      <c r="D15" s="1" t="s">
        <v>148</v>
      </c>
      <c r="E15" s="1" t="s">
        <v>119</v>
      </c>
      <c r="F15" s="1" t="s">
        <v>149</v>
      </c>
      <c r="G15" s="1" t="s">
        <v>445</v>
      </c>
      <c r="H15" s="8" t="s">
        <v>83</v>
      </c>
      <c r="I15" s="8" t="s">
        <v>98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413</v>
      </c>
      <c r="B16" s="1" t="s">
        <v>152</v>
      </c>
      <c r="C16" s="1" t="s">
        <v>28</v>
      </c>
      <c r="D16" s="1" t="s">
        <v>153</v>
      </c>
      <c r="E16" s="1" t="s">
        <v>119</v>
      </c>
      <c r="F16" s="1" t="s">
        <v>154</v>
      </c>
      <c r="G16" s="1" t="s">
        <v>446</v>
      </c>
      <c r="H16" s="8" t="s">
        <v>85</v>
      </c>
      <c r="I16" s="8" t="s">
        <v>97</v>
      </c>
      <c r="J16" s="10" t="n">
        <v>46227</v>
      </c>
      <c r="K16" s="1" t="s">
        <v>156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415</v>
      </c>
      <c r="B17" s="1" t="s">
        <v>158</v>
      </c>
      <c r="C17" s="1" t="s">
        <v>28</v>
      </c>
      <c r="D17" s="1" t="s">
        <v>159</v>
      </c>
      <c r="E17" s="1" t="s">
        <v>119</v>
      </c>
      <c r="F17" s="1" t="s">
        <v>160</v>
      </c>
      <c r="G17" s="1" t="s">
        <v>447</v>
      </c>
      <c r="H17" s="8" t="s">
        <v>85</v>
      </c>
      <c r="I17" s="8" t="s">
        <v>97</v>
      </c>
      <c r="J17" s="10" t="n">
        <v>46227</v>
      </c>
      <c r="K17" s="1" t="s">
        <v>162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417</v>
      </c>
      <c r="B18" s="1" t="s">
        <v>164</v>
      </c>
      <c r="C18" s="1" t="s">
        <v>28</v>
      </c>
      <c r="D18" s="1" t="s">
        <v>165</v>
      </c>
      <c r="E18" s="1" t="s">
        <v>119</v>
      </c>
      <c r="F18" s="1" t="s">
        <v>160</v>
      </c>
      <c r="G18" s="1" t="s">
        <v>447</v>
      </c>
      <c r="H18" s="8" t="s">
        <v>85</v>
      </c>
      <c r="I18" s="8" t="s">
        <v>97</v>
      </c>
      <c r="J18" s="10" t="n">
        <v>46227</v>
      </c>
      <c r="K18" s="1" t="s">
        <v>162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418</v>
      </c>
      <c r="B19" s="1" t="s">
        <v>167</v>
      </c>
      <c r="C19" s="1" t="s">
        <v>28</v>
      </c>
      <c r="D19" s="1" t="s">
        <v>168</v>
      </c>
      <c r="E19" s="1" t="s">
        <v>119</v>
      </c>
      <c r="F19" s="1" t="s">
        <v>160</v>
      </c>
      <c r="G19" s="1" t="s">
        <v>448</v>
      </c>
      <c r="H19" s="8" t="s">
        <v>85</v>
      </c>
      <c r="I19" s="8" t="s">
        <v>97</v>
      </c>
      <c r="J19" s="10" t="n">
        <v>46227</v>
      </c>
      <c r="K19" s="1" t="s">
        <v>170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420</v>
      </c>
      <c r="B20" s="1" t="s">
        <v>172</v>
      </c>
      <c r="C20" s="1" t="s">
        <v>28</v>
      </c>
      <c r="D20" s="1" t="s">
        <v>173</v>
      </c>
      <c r="E20" s="1" t="s">
        <v>119</v>
      </c>
      <c r="F20" s="1" t="s">
        <v>160</v>
      </c>
      <c r="G20" s="1" t="s">
        <v>447</v>
      </c>
      <c r="H20" s="8" t="s">
        <v>85</v>
      </c>
      <c r="I20" s="8" t="s">
        <v>97</v>
      </c>
      <c r="J20" s="10" t="n">
        <v>46227</v>
      </c>
      <c r="K20" s="1" t="s">
        <v>174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421</v>
      </c>
      <c r="B21" s="1" t="s">
        <v>176</v>
      </c>
      <c r="C21" s="1" t="s">
        <v>28</v>
      </c>
      <c r="D21" s="1" t="s">
        <v>177</v>
      </c>
      <c r="E21" s="1" t="s">
        <v>119</v>
      </c>
      <c r="F21" s="1" t="s">
        <v>178</v>
      </c>
      <c r="G21" s="1" t="s">
        <v>449</v>
      </c>
      <c r="H21" s="8" t="s">
        <v>83</v>
      </c>
      <c r="I21" s="8" t="s">
        <v>98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423</v>
      </c>
      <c r="B22" s="1" t="s">
        <v>181</v>
      </c>
      <c r="C22" s="1" t="s">
        <v>28</v>
      </c>
      <c r="D22" s="1" t="s">
        <v>182</v>
      </c>
      <c r="E22" s="1" t="s">
        <v>119</v>
      </c>
      <c r="F22" s="1" t="s">
        <v>178</v>
      </c>
      <c r="G22" s="1" t="s">
        <v>450</v>
      </c>
      <c r="H22" s="8" t="s">
        <v>83</v>
      </c>
      <c r="I22" s="8" t="s">
        <v>98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425</v>
      </c>
      <c r="B23" s="1" t="s">
        <v>185</v>
      </c>
      <c r="C23" s="1" t="s">
        <v>28</v>
      </c>
      <c r="D23" s="1" t="s">
        <v>186</v>
      </c>
      <c r="E23" s="1" t="s">
        <v>187</v>
      </c>
      <c r="F23" s="1" t="s">
        <v>187</v>
      </c>
      <c r="G23" s="1" t="s">
        <v>188</v>
      </c>
      <c r="H23" s="8" t="s">
        <v>83</v>
      </c>
      <c r="I23" s="8" t="s">
        <v>98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426</v>
      </c>
      <c r="B24" s="1" t="s">
        <v>190</v>
      </c>
      <c r="C24" s="1" t="s">
        <v>28</v>
      </c>
      <c r="D24" s="1" t="s">
        <v>191</v>
      </c>
      <c r="E24" s="1" t="s">
        <v>119</v>
      </c>
      <c r="F24" s="1" t="s">
        <v>119</v>
      </c>
      <c r="G24" s="1" t="s">
        <v>192</v>
      </c>
      <c r="H24" s="8" t="s">
        <v>83</v>
      </c>
      <c r="I24" s="8" t="s">
        <v>98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101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102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452</v>
      </c>
      <c r="B9" s="1" t="s">
        <v>116</v>
      </c>
      <c r="C9" s="1" t="s">
        <v>453</v>
      </c>
      <c r="D9" s="1" t="s">
        <v>118</v>
      </c>
      <c r="E9" s="1" t="s">
        <v>119</v>
      </c>
      <c r="F9" s="1" t="s">
        <v>120</v>
      </c>
      <c r="G9" s="1" t="s">
        <v>454</v>
      </c>
      <c r="H9" s="8" t="s">
        <v>83</v>
      </c>
      <c r="I9" s="8" t="s">
        <v>98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455</v>
      </c>
      <c r="B10" s="1" t="s">
        <v>123</v>
      </c>
      <c r="C10" s="1" t="s">
        <v>453</v>
      </c>
      <c r="D10" s="1" t="s">
        <v>124</v>
      </c>
      <c r="E10" s="1" t="s">
        <v>119</v>
      </c>
      <c r="F10" s="1" t="s">
        <v>119</v>
      </c>
      <c r="G10" s="1" t="s">
        <v>125</v>
      </c>
      <c r="H10" s="8" t="s">
        <v>83</v>
      </c>
      <c r="I10" s="8" t="s">
        <v>98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456</v>
      </c>
      <c r="B11" s="1" t="s">
        <v>127</v>
      </c>
      <c r="C11" s="1" t="s">
        <v>453</v>
      </c>
      <c r="D11" s="1" t="s">
        <v>128</v>
      </c>
      <c r="E11" s="1" t="s">
        <v>119</v>
      </c>
      <c r="F11" s="1" t="s">
        <v>129</v>
      </c>
      <c r="G11" s="1" t="s">
        <v>457</v>
      </c>
      <c r="H11" s="8" t="s">
        <v>83</v>
      </c>
      <c r="I11" s="8" t="s">
        <v>98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458</v>
      </c>
      <c r="B12" s="1" t="s">
        <v>132</v>
      </c>
      <c r="C12" s="1" t="s">
        <v>453</v>
      </c>
      <c r="D12" s="1" t="s">
        <v>133</v>
      </c>
      <c r="E12" s="1" t="s">
        <v>119</v>
      </c>
      <c r="F12" s="1" t="s">
        <v>134</v>
      </c>
      <c r="G12" s="1" t="s">
        <v>459</v>
      </c>
      <c r="H12" s="8" t="s">
        <v>83</v>
      </c>
      <c r="I12" s="8" t="s">
        <v>98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460</v>
      </c>
      <c r="B13" s="1" t="s">
        <v>137</v>
      </c>
      <c r="C13" s="1" t="s">
        <v>453</v>
      </c>
      <c r="D13" s="1" t="s">
        <v>138</v>
      </c>
      <c r="E13" s="1" t="s">
        <v>119</v>
      </c>
      <c r="F13" s="1" t="s">
        <v>139</v>
      </c>
      <c r="G13" s="1" t="s">
        <v>461</v>
      </c>
      <c r="H13" s="8" t="s">
        <v>83</v>
      </c>
      <c r="I13" s="8" t="s">
        <v>98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462</v>
      </c>
      <c r="B14" s="1" t="s">
        <v>142</v>
      </c>
      <c r="C14" s="1" t="s">
        <v>453</v>
      </c>
      <c r="D14" s="1" t="s">
        <v>143</v>
      </c>
      <c r="E14" s="1" t="s">
        <v>119</v>
      </c>
      <c r="F14" s="1" t="s">
        <v>144</v>
      </c>
      <c r="G14" s="1" t="s">
        <v>463</v>
      </c>
      <c r="H14" s="8" t="s">
        <v>83</v>
      </c>
      <c r="I14" s="8" t="s">
        <v>98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464</v>
      </c>
      <c r="B15" s="1" t="s">
        <v>147</v>
      </c>
      <c r="C15" s="1" t="s">
        <v>453</v>
      </c>
      <c r="D15" s="1" t="s">
        <v>148</v>
      </c>
      <c r="E15" s="1" t="s">
        <v>119</v>
      </c>
      <c r="F15" s="1" t="s">
        <v>149</v>
      </c>
      <c r="G15" s="1" t="s">
        <v>465</v>
      </c>
      <c r="H15" s="8" t="s">
        <v>83</v>
      </c>
      <c r="I15" s="8" t="s">
        <v>98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466</v>
      </c>
      <c r="B16" s="1" t="s">
        <v>152</v>
      </c>
      <c r="C16" s="1" t="s">
        <v>453</v>
      </c>
      <c r="D16" s="1" t="s">
        <v>153</v>
      </c>
      <c r="E16" s="1" t="s">
        <v>119</v>
      </c>
      <c r="F16" s="1" t="s">
        <v>154</v>
      </c>
      <c r="G16" s="1" t="s">
        <v>467</v>
      </c>
      <c r="H16" s="8" t="s">
        <v>85</v>
      </c>
      <c r="I16" s="8" t="s">
        <v>97</v>
      </c>
      <c r="J16" s="10" t="n">
        <v>46227</v>
      </c>
      <c r="K16" s="1" t="s">
        <v>156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468</v>
      </c>
      <c r="B17" s="1" t="s">
        <v>158</v>
      </c>
      <c r="C17" s="1" t="s">
        <v>453</v>
      </c>
      <c r="D17" s="1" t="s">
        <v>159</v>
      </c>
      <c r="E17" s="1" t="s">
        <v>119</v>
      </c>
      <c r="F17" s="1" t="s">
        <v>160</v>
      </c>
      <c r="G17" s="1" t="s">
        <v>469</v>
      </c>
      <c r="H17" s="8" t="s">
        <v>85</v>
      </c>
      <c r="I17" s="8" t="s">
        <v>97</v>
      </c>
      <c r="J17" s="10" t="n">
        <v>46227</v>
      </c>
      <c r="K17" s="1" t="s">
        <v>162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470</v>
      </c>
      <c r="B18" s="1" t="s">
        <v>164</v>
      </c>
      <c r="C18" s="1" t="s">
        <v>453</v>
      </c>
      <c r="D18" s="1" t="s">
        <v>165</v>
      </c>
      <c r="E18" s="1" t="s">
        <v>119</v>
      </c>
      <c r="F18" s="1" t="s">
        <v>160</v>
      </c>
      <c r="G18" s="1" t="s">
        <v>469</v>
      </c>
      <c r="H18" s="8" t="s">
        <v>85</v>
      </c>
      <c r="I18" s="8" t="s">
        <v>97</v>
      </c>
      <c r="J18" s="10" t="n">
        <v>46227</v>
      </c>
      <c r="K18" s="1" t="s">
        <v>162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471</v>
      </c>
      <c r="B19" s="1" t="s">
        <v>167</v>
      </c>
      <c r="C19" s="1" t="s">
        <v>453</v>
      </c>
      <c r="D19" s="1" t="s">
        <v>168</v>
      </c>
      <c r="E19" s="1" t="s">
        <v>119</v>
      </c>
      <c r="F19" s="1" t="s">
        <v>160</v>
      </c>
      <c r="G19" s="1" t="s">
        <v>472</v>
      </c>
      <c r="H19" s="8" t="s">
        <v>85</v>
      </c>
      <c r="I19" s="8" t="s">
        <v>97</v>
      </c>
      <c r="J19" s="10" t="n">
        <v>46227</v>
      </c>
      <c r="K19" s="1" t="s">
        <v>170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473</v>
      </c>
      <c r="B20" s="1" t="s">
        <v>172</v>
      </c>
      <c r="C20" s="1" t="s">
        <v>453</v>
      </c>
      <c r="D20" s="1" t="s">
        <v>173</v>
      </c>
      <c r="E20" s="1" t="s">
        <v>119</v>
      </c>
      <c r="F20" s="1" t="s">
        <v>160</v>
      </c>
      <c r="G20" s="1" t="s">
        <v>469</v>
      </c>
      <c r="H20" s="8" t="s">
        <v>85</v>
      </c>
      <c r="I20" s="8" t="s">
        <v>97</v>
      </c>
      <c r="J20" s="10" t="n">
        <v>46227</v>
      </c>
      <c r="K20" s="1" t="s">
        <v>174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474</v>
      </c>
      <c r="B21" s="1" t="s">
        <v>176</v>
      </c>
      <c r="C21" s="1" t="s">
        <v>453</v>
      </c>
      <c r="D21" s="1" t="s">
        <v>177</v>
      </c>
      <c r="E21" s="1" t="s">
        <v>119</v>
      </c>
      <c r="F21" s="1" t="s">
        <v>178</v>
      </c>
      <c r="G21" s="1" t="s">
        <v>475</v>
      </c>
      <c r="H21" s="8" t="s">
        <v>83</v>
      </c>
      <c r="I21" s="8" t="s">
        <v>98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476</v>
      </c>
      <c r="B22" s="1" t="s">
        <v>181</v>
      </c>
      <c r="C22" s="1" t="s">
        <v>453</v>
      </c>
      <c r="D22" s="1" t="s">
        <v>182</v>
      </c>
      <c r="E22" s="1" t="s">
        <v>119</v>
      </c>
      <c r="F22" s="1" t="s">
        <v>178</v>
      </c>
      <c r="G22" s="1" t="s">
        <v>477</v>
      </c>
      <c r="H22" s="8" t="s">
        <v>83</v>
      </c>
      <c r="I22" s="8" t="s">
        <v>98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478</v>
      </c>
      <c r="B23" s="1" t="s">
        <v>185</v>
      </c>
      <c r="C23" s="1" t="s">
        <v>453</v>
      </c>
      <c r="D23" s="1" t="s">
        <v>186</v>
      </c>
      <c r="E23" s="1" t="s">
        <v>187</v>
      </c>
      <c r="F23" s="1" t="s">
        <v>187</v>
      </c>
      <c r="G23" s="1" t="s">
        <v>188</v>
      </c>
      <c r="H23" s="8" t="s">
        <v>83</v>
      </c>
      <c r="I23" s="8" t="s">
        <v>98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479</v>
      </c>
      <c r="B24" s="1" t="s">
        <v>190</v>
      </c>
      <c r="C24" s="1" t="s">
        <v>453</v>
      </c>
      <c r="D24" s="1" t="s">
        <v>191</v>
      </c>
      <c r="E24" s="1" t="s">
        <v>119</v>
      </c>
      <c r="F24" s="1" t="s">
        <v>119</v>
      </c>
      <c r="G24" s="1" t="s">
        <v>192</v>
      </c>
      <c r="H24" s="8" t="s">
        <v>83</v>
      </c>
      <c r="I24" s="8" t="s">
        <v>98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101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102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481</v>
      </c>
      <c r="B9" s="1" t="s">
        <v>116</v>
      </c>
      <c r="C9" s="1" t="s">
        <v>482</v>
      </c>
      <c r="D9" s="1" t="s">
        <v>118</v>
      </c>
      <c r="E9" s="1" t="s">
        <v>119</v>
      </c>
      <c r="F9" s="1" t="s">
        <v>120</v>
      </c>
      <c r="G9" s="1" t="s">
        <v>483</v>
      </c>
      <c r="H9" s="8" t="s">
        <v>83</v>
      </c>
      <c r="I9" s="8" t="s">
        <v>98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484</v>
      </c>
      <c r="B10" s="1" t="s">
        <v>123</v>
      </c>
      <c r="C10" s="1" t="s">
        <v>482</v>
      </c>
      <c r="D10" s="1" t="s">
        <v>124</v>
      </c>
      <c r="E10" s="1" t="s">
        <v>119</v>
      </c>
      <c r="F10" s="1" t="s">
        <v>119</v>
      </c>
      <c r="G10" s="1" t="s">
        <v>125</v>
      </c>
      <c r="H10" s="8" t="s">
        <v>83</v>
      </c>
      <c r="I10" s="8" t="s">
        <v>98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485</v>
      </c>
      <c r="B11" s="1" t="s">
        <v>127</v>
      </c>
      <c r="C11" s="1" t="s">
        <v>482</v>
      </c>
      <c r="D11" s="1" t="s">
        <v>128</v>
      </c>
      <c r="E11" s="1" t="s">
        <v>119</v>
      </c>
      <c r="F11" s="1" t="s">
        <v>129</v>
      </c>
      <c r="G11" s="1" t="s">
        <v>486</v>
      </c>
      <c r="H11" s="8" t="s">
        <v>83</v>
      </c>
      <c r="I11" s="8" t="s">
        <v>98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487</v>
      </c>
      <c r="B12" s="1" t="s">
        <v>132</v>
      </c>
      <c r="C12" s="1" t="s">
        <v>482</v>
      </c>
      <c r="D12" s="1" t="s">
        <v>133</v>
      </c>
      <c r="E12" s="1" t="s">
        <v>119</v>
      </c>
      <c r="F12" s="1" t="s">
        <v>134</v>
      </c>
      <c r="G12" s="1" t="s">
        <v>488</v>
      </c>
      <c r="H12" s="8" t="s">
        <v>83</v>
      </c>
      <c r="I12" s="8" t="s">
        <v>98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489</v>
      </c>
      <c r="B13" s="1" t="s">
        <v>137</v>
      </c>
      <c r="C13" s="1" t="s">
        <v>482</v>
      </c>
      <c r="D13" s="1" t="s">
        <v>138</v>
      </c>
      <c r="E13" s="1" t="s">
        <v>119</v>
      </c>
      <c r="F13" s="1" t="s">
        <v>139</v>
      </c>
      <c r="G13" s="1" t="s">
        <v>490</v>
      </c>
      <c r="H13" s="8" t="s">
        <v>83</v>
      </c>
      <c r="I13" s="8" t="s">
        <v>98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491</v>
      </c>
      <c r="B14" s="1" t="s">
        <v>142</v>
      </c>
      <c r="C14" s="1" t="s">
        <v>482</v>
      </c>
      <c r="D14" s="1" t="s">
        <v>143</v>
      </c>
      <c r="E14" s="1" t="s">
        <v>119</v>
      </c>
      <c r="F14" s="1" t="s">
        <v>144</v>
      </c>
      <c r="G14" s="1" t="s">
        <v>492</v>
      </c>
      <c r="H14" s="8" t="s">
        <v>83</v>
      </c>
      <c r="I14" s="8" t="s">
        <v>98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493</v>
      </c>
      <c r="B15" s="1" t="s">
        <v>147</v>
      </c>
      <c r="C15" s="1" t="s">
        <v>482</v>
      </c>
      <c r="D15" s="1" t="s">
        <v>148</v>
      </c>
      <c r="E15" s="1" t="s">
        <v>119</v>
      </c>
      <c r="F15" s="1" t="s">
        <v>149</v>
      </c>
      <c r="G15" s="1" t="s">
        <v>494</v>
      </c>
      <c r="H15" s="8" t="s">
        <v>83</v>
      </c>
      <c r="I15" s="8" t="s">
        <v>98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495</v>
      </c>
      <c r="B16" s="1" t="s">
        <v>152</v>
      </c>
      <c r="C16" s="1" t="s">
        <v>482</v>
      </c>
      <c r="D16" s="1" t="s">
        <v>153</v>
      </c>
      <c r="E16" s="1" t="s">
        <v>119</v>
      </c>
      <c r="F16" s="1" t="s">
        <v>154</v>
      </c>
      <c r="G16" s="1" t="s">
        <v>496</v>
      </c>
      <c r="H16" s="8" t="s">
        <v>85</v>
      </c>
      <c r="I16" s="8" t="s">
        <v>97</v>
      </c>
      <c r="J16" s="10" t="n">
        <v>46227</v>
      </c>
      <c r="K16" s="1" t="s">
        <v>156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497</v>
      </c>
      <c r="B17" s="1" t="s">
        <v>158</v>
      </c>
      <c r="C17" s="1" t="s">
        <v>482</v>
      </c>
      <c r="D17" s="1" t="s">
        <v>159</v>
      </c>
      <c r="E17" s="1" t="s">
        <v>119</v>
      </c>
      <c r="F17" s="1" t="s">
        <v>160</v>
      </c>
      <c r="G17" s="1" t="s">
        <v>498</v>
      </c>
      <c r="H17" s="8" t="s">
        <v>85</v>
      </c>
      <c r="I17" s="8" t="s">
        <v>97</v>
      </c>
      <c r="J17" s="10" t="n">
        <v>46227</v>
      </c>
      <c r="K17" s="1" t="s">
        <v>162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499</v>
      </c>
      <c r="B18" s="1" t="s">
        <v>164</v>
      </c>
      <c r="C18" s="1" t="s">
        <v>482</v>
      </c>
      <c r="D18" s="1" t="s">
        <v>165</v>
      </c>
      <c r="E18" s="1" t="s">
        <v>119</v>
      </c>
      <c r="F18" s="1" t="s">
        <v>160</v>
      </c>
      <c r="G18" s="1" t="s">
        <v>498</v>
      </c>
      <c r="H18" s="8" t="s">
        <v>85</v>
      </c>
      <c r="I18" s="8" t="s">
        <v>97</v>
      </c>
      <c r="J18" s="10" t="n">
        <v>46227</v>
      </c>
      <c r="K18" s="1" t="s">
        <v>162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500</v>
      </c>
      <c r="B19" s="1" t="s">
        <v>167</v>
      </c>
      <c r="C19" s="1" t="s">
        <v>482</v>
      </c>
      <c r="D19" s="1" t="s">
        <v>168</v>
      </c>
      <c r="E19" s="1" t="s">
        <v>119</v>
      </c>
      <c r="F19" s="1" t="s">
        <v>160</v>
      </c>
      <c r="G19" s="1" t="s">
        <v>501</v>
      </c>
      <c r="H19" s="8" t="s">
        <v>85</v>
      </c>
      <c r="I19" s="8" t="s">
        <v>97</v>
      </c>
      <c r="J19" s="10" t="n">
        <v>46227</v>
      </c>
      <c r="K19" s="1" t="s">
        <v>170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502</v>
      </c>
      <c r="B20" s="1" t="s">
        <v>172</v>
      </c>
      <c r="C20" s="1" t="s">
        <v>482</v>
      </c>
      <c r="D20" s="1" t="s">
        <v>173</v>
      </c>
      <c r="E20" s="1" t="s">
        <v>119</v>
      </c>
      <c r="F20" s="1" t="s">
        <v>160</v>
      </c>
      <c r="G20" s="1" t="s">
        <v>498</v>
      </c>
      <c r="H20" s="8" t="s">
        <v>85</v>
      </c>
      <c r="I20" s="8" t="s">
        <v>97</v>
      </c>
      <c r="J20" s="10" t="n">
        <v>46227</v>
      </c>
      <c r="K20" s="1" t="s">
        <v>174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503</v>
      </c>
      <c r="B21" s="1" t="s">
        <v>176</v>
      </c>
      <c r="C21" s="1" t="s">
        <v>482</v>
      </c>
      <c r="D21" s="1" t="s">
        <v>177</v>
      </c>
      <c r="E21" s="1" t="s">
        <v>119</v>
      </c>
      <c r="F21" s="1" t="s">
        <v>178</v>
      </c>
      <c r="G21" s="1" t="s">
        <v>504</v>
      </c>
      <c r="H21" s="8" t="s">
        <v>83</v>
      </c>
      <c r="I21" s="8" t="s">
        <v>98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505</v>
      </c>
      <c r="B22" s="1" t="s">
        <v>181</v>
      </c>
      <c r="C22" s="1" t="s">
        <v>482</v>
      </c>
      <c r="D22" s="1" t="s">
        <v>182</v>
      </c>
      <c r="E22" s="1" t="s">
        <v>119</v>
      </c>
      <c r="F22" s="1" t="s">
        <v>178</v>
      </c>
      <c r="G22" s="1" t="s">
        <v>506</v>
      </c>
      <c r="H22" s="8" t="s">
        <v>83</v>
      </c>
      <c r="I22" s="8" t="s">
        <v>98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507</v>
      </c>
      <c r="B23" s="1" t="s">
        <v>185</v>
      </c>
      <c r="C23" s="1" t="s">
        <v>482</v>
      </c>
      <c r="D23" s="1" t="s">
        <v>186</v>
      </c>
      <c r="E23" s="1" t="s">
        <v>187</v>
      </c>
      <c r="F23" s="1" t="s">
        <v>187</v>
      </c>
      <c r="G23" s="1" t="s">
        <v>188</v>
      </c>
      <c r="H23" s="8" t="s">
        <v>83</v>
      </c>
      <c r="I23" s="8" t="s">
        <v>98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508</v>
      </c>
      <c r="B24" s="1" t="s">
        <v>190</v>
      </c>
      <c r="C24" s="1" t="s">
        <v>482</v>
      </c>
      <c r="D24" s="1" t="s">
        <v>191</v>
      </c>
      <c r="E24" s="1" t="s">
        <v>119</v>
      </c>
      <c r="F24" s="1" t="s">
        <v>119</v>
      </c>
      <c r="G24" s="1" t="s">
        <v>192</v>
      </c>
      <c r="H24" s="8" t="s">
        <v>83</v>
      </c>
      <c r="I24" s="8" t="s">
        <v>98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COUNTA(A9:A24)</f>
        <v>16</v>
      </c>
      <c r="D4" s="5" t="s">
        <v>101</v>
      </c>
      <c r="E4" s="6" t="n">
        <f aca="false">SUM(M9:M24)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IF(COUNTIFS(I9:I24,"yes",M9:M24,0)&gt;0,"open","complete")</f>
        <v>open</v>
      </c>
      <c r="D5" s="5" t="s">
        <v>15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54" hidden="false" customHeight="true" outlineLevel="0" collapsed="false">
      <c r="A9" s="12" t="s">
        <v>510</v>
      </c>
      <c r="B9" s="12" t="s">
        <v>116</v>
      </c>
      <c r="C9" s="12" t="s">
        <v>31</v>
      </c>
      <c r="D9" s="13" t="s">
        <v>511</v>
      </c>
      <c r="E9" s="12" t="s">
        <v>119</v>
      </c>
      <c r="F9" s="12" t="s">
        <v>120</v>
      </c>
      <c r="G9" s="13" t="s">
        <v>512</v>
      </c>
      <c r="H9" s="12" t="s">
        <v>83</v>
      </c>
      <c r="I9" s="12" t="s">
        <v>98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513</v>
      </c>
      <c r="B10" s="12" t="s">
        <v>123</v>
      </c>
      <c r="C10" s="12" t="s">
        <v>31</v>
      </c>
      <c r="D10" s="13" t="s">
        <v>514</v>
      </c>
      <c r="E10" s="12" t="s">
        <v>119</v>
      </c>
      <c r="F10" s="12" t="s">
        <v>119</v>
      </c>
      <c r="G10" s="13" t="s">
        <v>125</v>
      </c>
      <c r="H10" s="12" t="s">
        <v>83</v>
      </c>
      <c r="I10" s="12" t="s">
        <v>98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515</v>
      </c>
      <c r="B11" s="12" t="s">
        <v>127</v>
      </c>
      <c r="C11" s="12" t="s">
        <v>31</v>
      </c>
      <c r="D11" s="13" t="s">
        <v>516</v>
      </c>
      <c r="E11" s="12" t="s">
        <v>119</v>
      </c>
      <c r="F11" s="12" t="s">
        <v>129</v>
      </c>
      <c r="G11" s="13" t="s">
        <v>517</v>
      </c>
      <c r="H11" s="12" t="s">
        <v>83</v>
      </c>
      <c r="I11" s="12" t="s">
        <v>98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518</v>
      </c>
      <c r="B12" s="12" t="s">
        <v>132</v>
      </c>
      <c r="C12" s="12" t="s">
        <v>31</v>
      </c>
      <c r="D12" s="13" t="s">
        <v>519</v>
      </c>
      <c r="E12" s="12" t="s">
        <v>119</v>
      </c>
      <c r="F12" s="12" t="s">
        <v>134</v>
      </c>
      <c r="G12" s="13" t="s">
        <v>520</v>
      </c>
      <c r="H12" s="12" t="s">
        <v>83</v>
      </c>
      <c r="I12" s="12" t="s">
        <v>98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521</v>
      </c>
      <c r="B13" s="12" t="s">
        <v>137</v>
      </c>
      <c r="C13" s="12" t="s">
        <v>31</v>
      </c>
      <c r="D13" s="13" t="s">
        <v>522</v>
      </c>
      <c r="E13" s="12" t="s">
        <v>119</v>
      </c>
      <c r="F13" s="12" t="s">
        <v>139</v>
      </c>
      <c r="G13" s="13" t="s">
        <v>523</v>
      </c>
      <c r="H13" s="12" t="s">
        <v>83</v>
      </c>
      <c r="I13" s="12" t="s">
        <v>98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524</v>
      </c>
      <c r="B14" s="12" t="s">
        <v>142</v>
      </c>
      <c r="C14" s="12" t="s">
        <v>31</v>
      </c>
      <c r="D14" s="13" t="s">
        <v>525</v>
      </c>
      <c r="E14" s="12" t="s">
        <v>119</v>
      </c>
      <c r="F14" s="12" t="s">
        <v>144</v>
      </c>
      <c r="G14" s="13" t="s">
        <v>526</v>
      </c>
      <c r="H14" s="12" t="s">
        <v>83</v>
      </c>
      <c r="I14" s="12" t="s">
        <v>98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527</v>
      </c>
      <c r="B15" s="12" t="s">
        <v>147</v>
      </c>
      <c r="C15" s="12" t="s">
        <v>31</v>
      </c>
      <c r="D15" s="13" t="s">
        <v>528</v>
      </c>
      <c r="E15" s="12" t="s">
        <v>119</v>
      </c>
      <c r="F15" s="12" t="s">
        <v>149</v>
      </c>
      <c r="G15" s="13" t="s">
        <v>529</v>
      </c>
      <c r="H15" s="12" t="s">
        <v>83</v>
      </c>
      <c r="I15" s="12" t="s">
        <v>98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530</v>
      </c>
      <c r="B16" s="12" t="s">
        <v>152</v>
      </c>
      <c r="C16" s="12" t="s">
        <v>31</v>
      </c>
      <c r="D16" s="13" t="s">
        <v>531</v>
      </c>
      <c r="E16" s="12" t="s">
        <v>119</v>
      </c>
      <c r="F16" s="12" t="s">
        <v>154</v>
      </c>
      <c r="G16" s="13" t="s">
        <v>532</v>
      </c>
      <c r="H16" s="12" t="s">
        <v>85</v>
      </c>
      <c r="I16" s="12" t="s">
        <v>97</v>
      </c>
      <c r="J16" s="14" t="n">
        <v>46227</v>
      </c>
      <c r="K16" s="13" t="s">
        <v>533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534</v>
      </c>
      <c r="B17" s="12" t="s">
        <v>158</v>
      </c>
      <c r="C17" s="12" t="s">
        <v>31</v>
      </c>
      <c r="D17" s="13" t="s">
        <v>535</v>
      </c>
      <c r="E17" s="12" t="s">
        <v>119</v>
      </c>
      <c r="F17" s="12" t="s">
        <v>160</v>
      </c>
      <c r="G17" s="13" t="s">
        <v>536</v>
      </c>
      <c r="H17" s="12" t="s">
        <v>81</v>
      </c>
      <c r="I17" s="12" t="s">
        <v>97</v>
      </c>
      <c r="J17" s="14"/>
      <c r="K17" s="13" t="s">
        <v>537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538</v>
      </c>
      <c r="B18" s="12" t="s">
        <v>164</v>
      </c>
      <c r="C18" s="12" t="s">
        <v>31</v>
      </c>
      <c r="D18" s="13" t="s">
        <v>539</v>
      </c>
      <c r="E18" s="12" t="s">
        <v>119</v>
      </c>
      <c r="F18" s="12" t="s">
        <v>160</v>
      </c>
      <c r="G18" s="13" t="s">
        <v>540</v>
      </c>
      <c r="H18" s="12" t="s">
        <v>81</v>
      </c>
      <c r="I18" s="12" t="s">
        <v>97</v>
      </c>
      <c r="J18" s="14"/>
      <c r="K18" s="13" t="s">
        <v>541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542</v>
      </c>
      <c r="B19" s="12" t="s">
        <v>167</v>
      </c>
      <c r="C19" s="12" t="s">
        <v>31</v>
      </c>
      <c r="D19" s="13" t="s">
        <v>543</v>
      </c>
      <c r="E19" s="12" t="s">
        <v>119</v>
      </c>
      <c r="F19" s="12" t="s">
        <v>160</v>
      </c>
      <c r="G19" s="13" t="s">
        <v>544</v>
      </c>
      <c r="H19" s="12" t="s">
        <v>81</v>
      </c>
      <c r="I19" s="12" t="s">
        <v>97</v>
      </c>
      <c r="J19" s="14"/>
      <c r="K19" s="13" t="s">
        <v>545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546</v>
      </c>
      <c r="B20" s="12" t="s">
        <v>172</v>
      </c>
      <c r="C20" s="12" t="s">
        <v>31</v>
      </c>
      <c r="D20" s="13" t="s">
        <v>547</v>
      </c>
      <c r="E20" s="12" t="s">
        <v>119</v>
      </c>
      <c r="F20" s="12" t="s">
        <v>160</v>
      </c>
      <c r="G20" s="13" t="s">
        <v>536</v>
      </c>
      <c r="H20" s="12" t="s">
        <v>81</v>
      </c>
      <c r="I20" s="12" t="s">
        <v>97</v>
      </c>
      <c r="J20" s="14"/>
      <c r="K20" s="13" t="s">
        <v>548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549</v>
      </c>
      <c r="B21" s="12" t="s">
        <v>176</v>
      </c>
      <c r="C21" s="12" t="s">
        <v>31</v>
      </c>
      <c r="D21" s="13" t="s">
        <v>550</v>
      </c>
      <c r="E21" s="12" t="s">
        <v>119</v>
      </c>
      <c r="F21" s="12" t="s">
        <v>178</v>
      </c>
      <c r="G21" s="13" t="s">
        <v>551</v>
      </c>
      <c r="H21" s="12" t="s">
        <v>83</v>
      </c>
      <c r="I21" s="12" t="s">
        <v>98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552</v>
      </c>
      <c r="B22" s="12" t="s">
        <v>181</v>
      </c>
      <c r="C22" s="12" t="s">
        <v>31</v>
      </c>
      <c r="D22" s="13" t="s">
        <v>553</v>
      </c>
      <c r="E22" s="12" t="s">
        <v>119</v>
      </c>
      <c r="F22" s="12" t="s">
        <v>178</v>
      </c>
      <c r="G22" s="13" t="s">
        <v>554</v>
      </c>
      <c r="H22" s="12" t="s">
        <v>83</v>
      </c>
      <c r="I22" s="12" t="s">
        <v>98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555</v>
      </c>
      <c r="B23" s="12" t="s">
        <v>185</v>
      </c>
      <c r="C23" s="12" t="s">
        <v>31</v>
      </c>
      <c r="D23" s="13" t="s">
        <v>556</v>
      </c>
      <c r="E23" s="12" t="s">
        <v>187</v>
      </c>
      <c r="F23" s="12" t="s">
        <v>187</v>
      </c>
      <c r="G23" s="13" t="s">
        <v>188</v>
      </c>
      <c r="H23" s="12" t="s">
        <v>83</v>
      </c>
      <c r="I23" s="12" t="s">
        <v>98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557</v>
      </c>
      <c r="B24" s="12" t="s">
        <v>190</v>
      </c>
      <c r="C24" s="12" t="s">
        <v>31</v>
      </c>
      <c r="D24" s="13" t="s">
        <v>558</v>
      </c>
      <c r="E24" s="12" t="s">
        <v>119</v>
      </c>
      <c r="F24" s="12" t="s">
        <v>119</v>
      </c>
      <c r="G24" s="13" t="s">
        <v>559</v>
      </c>
      <c r="H24" s="12" t="s">
        <v>83</v>
      </c>
      <c r="I24" s="12" t="s">
        <v>98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561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101</v>
      </c>
      <c r="E4" s="6" t="n">
        <f aca="false">SUM(M9:M25)</f>
        <v>14</v>
      </c>
      <c r="G4" s="5" t="s">
        <v>13</v>
      </c>
      <c r="H4" s="7" t="n">
        <f aca="false">IF(B4=0,0,E4/B4)</f>
        <v>0.823529411764706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103</v>
      </c>
      <c r="B8" s="1" t="s">
        <v>104</v>
      </c>
      <c r="C8" s="1" t="s">
        <v>105</v>
      </c>
      <c r="D8" s="1" t="s">
        <v>106</v>
      </c>
      <c r="E8" s="1" t="s">
        <v>107</v>
      </c>
      <c r="F8" s="1" t="s">
        <v>108</v>
      </c>
      <c r="G8" s="1" t="s">
        <v>109</v>
      </c>
      <c r="H8" s="1" t="s">
        <v>110</v>
      </c>
      <c r="I8" s="1" t="s">
        <v>111</v>
      </c>
      <c r="J8" s="10" t="s">
        <v>112</v>
      </c>
      <c r="K8" s="1" t="s">
        <v>113</v>
      </c>
      <c r="L8" s="1" t="s">
        <v>114</v>
      </c>
      <c r="M8" s="1" t="s">
        <v>101</v>
      </c>
    </row>
    <row r="9" customFormat="false" ht="54" hidden="false" customHeight="true" outlineLevel="0" collapsed="false">
      <c r="A9" s="12" t="s">
        <v>562</v>
      </c>
      <c r="B9" s="12" t="s">
        <v>116</v>
      </c>
      <c r="C9" s="12" t="s">
        <v>32</v>
      </c>
      <c r="D9" s="13" t="s">
        <v>563</v>
      </c>
      <c r="E9" s="12" t="s">
        <v>119</v>
      </c>
      <c r="F9" s="12" t="s">
        <v>120</v>
      </c>
      <c r="G9" s="13" t="s">
        <v>564</v>
      </c>
      <c r="H9" s="12" t="s">
        <v>83</v>
      </c>
      <c r="I9" s="12" t="s">
        <v>98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565</v>
      </c>
      <c r="B10" s="12" t="s">
        <v>123</v>
      </c>
      <c r="C10" s="12" t="s">
        <v>32</v>
      </c>
      <c r="D10" s="13" t="s">
        <v>566</v>
      </c>
      <c r="E10" s="12" t="s">
        <v>119</v>
      </c>
      <c r="F10" s="12" t="s">
        <v>119</v>
      </c>
      <c r="G10" s="13" t="s">
        <v>567</v>
      </c>
      <c r="H10" s="12" t="s">
        <v>83</v>
      </c>
      <c r="I10" s="12" t="s">
        <v>98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568</v>
      </c>
      <c r="B11" s="12" t="s">
        <v>127</v>
      </c>
      <c r="C11" s="12" t="s">
        <v>32</v>
      </c>
      <c r="D11" s="13" t="s">
        <v>569</v>
      </c>
      <c r="E11" s="12" t="s">
        <v>119</v>
      </c>
      <c r="F11" s="12" t="s">
        <v>129</v>
      </c>
      <c r="G11" s="13" t="s">
        <v>570</v>
      </c>
      <c r="H11" s="12" t="s">
        <v>83</v>
      </c>
      <c r="I11" s="12" t="s">
        <v>98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571</v>
      </c>
      <c r="B12" s="12" t="s">
        <v>132</v>
      </c>
      <c r="C12" s="12" t="s">
        <v>32</v>
      </c>
      <c r="D12" s="13" t="s">
        <v>572</v>
      </c>
      <c r="E12" s="12" t="s">
        <v>119</v>
      </c>
      <c r="F12" s="12" t="s">
        <v>134</v>
      </c>
      <c r="G12" s="13" t="s">
        <v>573</v>
      </c>
      <c r="H12" s="12" t="s">
        <v>83</v>
      </c>
      <c r="I12" s="12" t="s">
        <v>98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574</v>
      </c>
      <c r="B13" s="12" t="s">
        <v>137</v>
      </c>
      <c r="C13" s="12" t="s">
        <v>32</v>
      </c>
      <c r="D13" s="13" t="s">
        <v>575</v>
      </c>
      <c r="E13" s="12" t="s">
        <v>119</v>
      </c>
      <c r="F13" s="12" t="s">
        <v>139</v>
      </c>
      <c r="G13" s="13" t="s">
        <v>576</v>
      </c>
      <c r="H13" s="12" t="s">
        <v>83</v>
      </c>
      <c r="I13" s="12" t="s">
        <v>98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577</v>
      </c>
      <c r="B14" s="12" t="s">
        <v>142</v>
      </c>
      <c r="C14" s="12" t="s">
        <v>32</v>
      </c>
      <c r="D14" s="13" t="s">
        <v>578</v>
      </c>
      <c r="E14" s="12" t="s">
        <v>119</v>
      </c>
      <c r="F14" s="12" t="s">
        <v>144</v>
      </c>
      <c r="G14" s="13" t="s">
        <v>579</v>
      </c>
      <c r="H14" s="12" t="s">
        <v>83</v>
      </c>
      <c r="I14" s="12" t="s">
        <v>98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580</v>
      </c>
      <c r="B15" s="12" t="s">
        <v>147</v>
      </c>
      <c r="C15" s="12" t="s">
        <v>32</v>
      </c>
      <c r="D15" s="13" t="s">
        <v>581</v>
      </c>
      <c r="E15" s="12" t="s">
        <v>119</v>
      </c>
      <c r="F15" s="12" t="s">
        <v>149</v>
      </c>
      <c r="G15" s="13" t="s">
        <v>579</v>
      </c>
      <c r="H15" s="12" t="s">
        <v>83</v>
      </c>
      <c r="I15" s="12" t="s">
        <v>98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582</v>
      </c>
      <c r="B16" s="12" t="s">
        <v>152</v>
      </c>
      <c r="C16" s="12" t="s">
        <v>32</v>
      </c>
      <c r="D16" s="13" t="s">
        <v>583</v>
      </c>
      <c r="E16" s="12" t="s">
        <v>119</v>
      </c>
      <c r="F16" s="12" t="s">
        <v>154</v>
      </c>
      <c r="G16" s="13" t="s">
        <v>584</v>
      </c>
      <c r="H16" s="12" t="s">
        <v>85</v>
      </c>
      <c r="I16" s="12" t="s">
        <v>97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585</v>
      </c>
      <c r="B17" s="12" t="s">
        <v>158</v>
      </c>
      <c r="C17" s="12" t="s">
        <v>32</v>
      </c>
      <c r="D17" s="13" t="s">
        <v>586</v>
      </c>
      <c r="E17" s="12" t="s">
        <v>119</v>
      </c>
      <c r="F17" s="12" t="s">
        <v>160</v>
      </c>
      <c r="G17" s="13" t="s">
        <v>587</v>
      </c>
      <c r="H17" s="12" t="s">
        <v>81</v>
      </c>
      <c r="I17" s="12" t="s">
        <v>97</v>
      </c>
      <c r="J17" s="14"/>
      <c r="K17" s="13" t="s">
        <v>588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589</v>
      </c>
      <c r="B18" s="12" t="s">
        <v>164</v>
      </c>
      <c r="C18" s="12" t="s">
        <v>32</v>
      </c>
      <c r="D18" s="13" t="s">
        <v>590</v>
      </c>
      <c r="E18" s="12" t="s">
        <v>119</v>
      </c>
      <c r="F18" s="12" t="s">
        <v>160</v>
      </c>
      <c r="G18" s="13" t="s">
        <v>591</v>
      </c>
      <c r="H18" s="12" t="s">
        <v>81</v>
      </c>
      <c r="I18" s="12" t="s">
        <v>97</v>
      </c>
      <c r="J18" s="14"/>
      <c r="K18" s="13" t="s">
        <v>592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593</v>
      </c>
      <c r="B19" s="12" t="s">
        <v>167</v>
      </c>
      <c r="C19" s="12" t="s">
        <v>32</v>
      </c>
      <c r="D19" s="13" t="s">
        <v>594</v>
      </c>
      <c r="E19" s="12" t="s">
        <v>119</v>
      </c>
      <c r="F19" s="12" t="s">
        <v>144</v>
      </c>
      <c r="G19" s="13" t="s">
        <v>579</v>
      </c>
      <c r="H19" s="12" t="s">
        <v>83</v>
      </c>
      <c r="I19" s="12" t="s">
        <v>98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595</v>
      </c>
      <c r="B20" s="12" t="s">
        <v>172</v>
      </c>
      <c r="C20" s="12" t="s">
        <v>32</v>
      </c>
      <c r="D20" s="13" t="s">
        <v>596</v>
      </c>
      <c r="E20" s="12" t="s">
        <v>119</v>
      </c>
      <c r="F20" s="12" t="s">
        <v>160</v>
      </c>
      <c r="G20" s="13" t="s">
        <v>587</v>
      </c>
      <c r="H20" s="12" t="s">
        <v>81</v>
      </c>
      <c r="I20" s="12" t="s">
        <v>97</v>
      </c>
      <c r="J20" s="14"/>
      <c r="K20" s="13" t="s">
        <v>597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598</v>
      </c>
      <c r="B21" s="12" t="s">
        <v>176</v>
      </c>
      <c r="C21" s="12" t="s">
        <v>32</v>
      </c>
      <c r="D21" s="13" t="s">
        <v>599</v>
      </c>
      <c r="E21" s="12" t="s">
        <v>119</v>
      </c>
      <c r="F21" s="12" t="s">
        <v>178</v>
      </c>
      <c r="G21" s="13" t="s">
        <v>600</v>
      </c>
      <c r="H21" s="12" t="s">
        <v>83</v>
      </c>
      <c r="I21" s="12" t="s">
        <v>98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601</v>
      </c>
      <c r="B22" s="12" t="s">
        <v>181</v>
      </c>
      <c r="C22" s="12" t="s">
        <v>32</v>
      </c>
      <c r="D22" s="13" t="s">
        <v>602</v>
      </c>
      <c r="E22" s="12" t="s">
        <v>119</v>
      </c>
      <c r="F22" s="12" t="s">
        <v>178</v>
      </c>
      <c r="G22" s="13" t="s">
        <v>603</v>
      </c>
      <c r="H22" s="12" t="s">
        <v>83</v>
      </c>
      <c r="I22" s="12" t="s">
        <v>98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604</v>
      </c>
      <c r="B23" s="12" t="s">
        <v>185</v>
      </c>
      <c r="C23" s="12" t="s">
        <v>32</v>
      </c>
      <c r="D23" s="13" t="s">
        <v>605</v>
      </c>
      <c r="E23" s="12" t="s">
        <v>187</v>
      </c>
      <c r="F23" s="12" t="s">
        <v>187</v>
      </c>
      <c r="G23" s="13" t="s">
        <v>188</v>
      </c>
      <c r="H23" s="12" t="s">
        <v>83</v>
      </c>
      <c r="I23" s="12" t="s">
        <v>98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606</v>
      </c>
      <c r="B24" s="12" t="s">
        <v>607</v>
      </c>
      <c r="C24" s="12" t="s">
        <v>32</v>
      </c>
      <c r="D24" s="13" t="s">
        <v>608</v>
      </c>
      <c r="E24" s="12" t="s">
        <v>119</v>
      </c>
      <c r="F24" s="12" t="s">
        <v>609</v>
      </c>
      <c r="G24" s="13" t="s">
        <v>610</v>
      </c>
      <c r="H24" s="12" t="s">
        <v>83</v>
      </c>
      <c r="I24" s="12" t="s">
        <v>98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611</v>
      </c>
      <c r="B25" s="12" t="s">
        <v>190</v>
      </c>
      <c r="C25" s="12" t="s">
        <v>32</v>
      </c>
      <c r="D25" s="13" t="s">
        <v>612</v>
      </c>
      <c r="E25" s="12" t="s">
        <v>119</v>
      </c>
      <c r="F25" s="12" t="s">
        <v>119</v>
      </c>
      <c r="G25" s="13" t="s">
        <v>613</v>
      </c>
      <c r="H25" s="12" t="s">
        <v>83</v>
      </c>
      <c r="I25" s="12" t="s">
        <v>98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COUNTA(A9:A24)</f>
        <v>16</v>
      </c>
      <c r="D4" s="5" t="s">
        <v>101</v>
      </c>
      <c r="E4" s="6" t="n">
        <f aca="false">SUM(M9:M24)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IF(COUNTIFS(I9:I24,"yes",M9:M24,0)&gt;0,"open","complete")</f>
        <v>open</v>
      </c>
      <c r="D5" s="5" t="s">
        <v>15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54" hidden="false" customHeight="true" outlineLevel="0" collapsed="false">
      <c r="A9" s="12" t="s">
        <v>615</v>
      </c>
      <c r="B9" s="12" t="s">
        <v>116</v>
      </c>
      <c r="C9" s="12" t="s">
        <v>39</v>
      </c>
      <c r="D9" s="13" t="s">
        <v>616</v>
      </c>
      <c r="E9" s="12" t="s">
        <v>119</v>
      </c>
      <c r="F9" s="12" t="s">
        <v>120</v>
      </c>
      <c r="G9" s="13" t="s">
        <v>617</v>
      </c>
      <c r="H9" s="12" t="s">
        <v>83</v>
      </c>
      <c r="I9" s="12" t="s">
        <v>98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618</v>
      </c>
      <c r="B10" s="12" t="s">
        <v>123</v>
      </c>
      <c r="C10" s="12" t="s">
        <v>39</v>
      </c>
      <c r="D10" s="13" t="s">
        <v>619</v>
      </c>
      <c r="E10" s="12" t="s">
        <v>119</v>
      </c>
      <c r="F10" s="12" t="s">
        <v>119</v>
      </c>
      <c r="G10" s="13" t="s">
        <v>125</v>
      </c>
      <c r="H10" s="12" t="s">
        <v>83</v>
      </c>
      <c r="I10" s="12" t="s">
        <v>98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620</v>
      </c>
      <c r="B11" s="12" t="s">
        <v>127</v>
      </c>
      <c r="C11" s="12" t="s">
        <v>39</v>
      </c>
      <c r="D11" s="13" t="s">
        <v>621</v>
      </c>
      <c r="E11" s="12" t="s">
        <v>119</v>
      </c>
      <c r="F11" s="12" t="s">
        <v>129</v>
      </c>
      <c r="G11" s="13" t="s">
        <v>622</v>
      </c>
      <c r="H11" s="12" t="s">
        <v>83</v>
      </c>
      <c r="I11" s="12" t="s">
        <v>98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623</v>
      </c>
      <c r="B12" s="12" t="s">
        <v>132</v>
      </c>
      <c r="C12" s="12" t="s">
        <v>39</v>
      </c>
      <c r="D12" s="13" t="s">
        <v>624</v>
      </c>
      <c r="E12" s="12" t="s">
        <v>119</v>
      </c>
      <c r="F12" s="12" t="s">
        <v>134</v>
      </c>
      <c r="G12" s="13" t="s">
        <v>625</v>
      </c>
      <c r="H12" s="12" t="s">
        <v>83</v>
      </c>
      <c r="I12" s="12" t="s">
        <v>98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626</v>
      </c>
      <c r="B13" s="12" t="s">
        <v>137</v>
      </c>
      <c r="C13" s="12" t="s">
        <v>39</v>
      </c>
      <c r="D13" s="13" t="s">
        <v>627</v>
      </c>
      <c r="E13" s="12" t="s">
        <v>119</v>
      </c>
      <c r="F13" s="12" t="s">
        <v>139</v>
      </c>
      <c r="G13" s="13" t="s">
        <v>628</v>
      </c>
      <c r="H13" s="12" t="s">
        <v>83</v>
      </c>
      <c r="I13" s="12" t="s">
        <v>98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629</v>
      </c>
      <c r="B14" s="12" t="s">
        <v>142</v>
      </c>
      <c r="C14" s="12" t="s">
        <v>39</v>
      </c>
      <c r="D14" s="13" t="s">
        <v>630</v>
      </c>
      <c r="E14" s="12" t="s">
        <v>119</v>
      </c>
      <c r="F14" s="12" t="s">
        <v>144</v>
      </c>
      <c r="G14" s="13" t="s">
        <v>631</v>
      </c>
      <c r="H14" s="12" t="s">
        <v>83</v>
      </c>
      <c r="I14" s="12" t="s">
        <v>98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632</v>
      </c>
      <c r="B15" s="12" t="s">
        <v>147</v>
      </c>
      <c r="C15" s="12" t="s">
        <v>39</v>
      </c>
      <c r="D15" s="13" t="s">
        <v>633</v>
      </c>
      <c r="E15" s="12" t="s">
        <v>119</v>
      </c>
      <c r="F15" s="12" t="s">
        <v>149</v>
      </c>
      <c r="G15" s="13" t="s">
        <v>631</v>
      </c>
      <c r="H15" s="12" t="s">
        <v>83</v>
      </c>
      <c r="I15" s="12" t="s">
        <v>98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634</v>
      </c>
      <c r="B16" s="12" t="s">
        <v>152</v>
      </c>
      <c r="C16" s="12" t="s">
        <v>39</v>
      </c>
      <c r="D16" s="13" t="s">
        <v>635</v>
      </c>
      <c r="E16" s="12" t="s">
        <v>119</v>
      </c>
      <c r="F16" s="12" t="s">
        <v>154</v>
      </c>
      <c r="G16" s="13" t="s">
        <v>636</v>
      </c>
      <c r="H16" s="12" t="s">
        <v>85</v>
      </c>
      <c r="I16" s="12" t="s">
        <v>97</v>
      </c>
      <c r="J16" s="14" t="n">
        <v>46227</v>
      </c>
      <c r="K16" s="13" t="s">
        <v>637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638</v>
      </c>
      <c r="B17" s="12" t="s">
        <v>158</v>
      </c>
      <c r="C17" s="12" t="s">
        <v>39</v>
      </c>
      <c r="D17" s="13" t="s">
        <v>639</v>
      </c>
      <c r="E17" s="12" t="s">
        <v>119</v>
      </c>
      <c r="F17" s="12" t="s">
        <v>160</v>
      </c>
      <c r="G17" s="13" t="s">
        <v>640</v>
      </c>
      <c r="H17" s="12" t="s">
        <v>81</v>
      </c>
      <c r="I17" s="12" t="s">
        <v>97</v>
      </c>
      <c r="J17" s="14"/>
      <c r="K17" s="13" t="s">
        <v>641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642</v>
      </c>
      <c r="B18" s="12" t="s">
        <v>164</v>
      </c>
      <c r="C18" s="12" t="s">
        <v>39</v>
      </c>
      <c r="D18" s="13" t="s">
        <v>643</v>
      </c>
      <c r="E18" s="12" t="s">
        <v>119</v>
      </c>
      <c r="F18" s="12" t="s">
        <v>160</v>
      </c>
      <c r="G18" s="13" t="s">
        <v>644</v>
      </c>
      <c r="H18" s="12" t="s">
        <v>81</v>
      </c>
      <c r="I18" s="12" t="s">
        <v>97</v>
      </c>
      <c r="J18" s="14"/>
      <c r="K18" s="13" t="s">
        <v>645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646</v>
      </c>
      <c r="B19" s="12" t="s">
        <v>647</v>
      </c>
      <c r="C19" s="12" t="s">
        <v>39</v>
      </c>
      <c r="D19" s="13" t="s">
        <v>648</v>
      </c>
      <c r="E19" s="12" t="s">
        <v>119</v>
      </c>
      <c r="F19" s="12" t="s">
        <v>144</v>
      </c>
      <c r="G19" s="13" t="s">
        <v>631</v>
      </c>
      <c r="H19" s="12" t="s">
        <v>83</v>
      </c>
      <c r="I19" s="12" t="s">
        <v>98</v>
      </c>
      <c r="J19" s="14" t="n">
        <v>46227</v>
      </c>
      <c r="K19" s="13" t="s">
        <v>545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649</v>
      </c>
      <c r="B20" s="12" t="s">
        <v>172</v>
      </c>
      <c r="C20" s="12" t="s">
        <v>39</v>
      </c>
      <c r="D20" s="13" t="s">
        <v>650</v>
      </c>
      <c r="E20" s="12" t="s">
        <v>119</v>
      </c>
      <c r="F20" s="12" t="s">
        <v>160</v>
      </c>
      <c r="G20" s="13" t="s">
        <v>640</v>
      </c>
      <c r="H20" s="12" t="s">
        <v>81</v>
      </c>
      <c r="I20" s="12" t="s">
        <v>97</v>
      </c>
      <c r="J20" s="14"/>
      <c r="K20" s="13" t="s">
        <v>548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651</v>
      </c>
      <c r="B21" s="12" t="s">
        <v>176</v>
      </c>
      <c r="C21" s="12" t="s">
        <v>39</v>
      </c>
      <c r="D21" s="13" t="s">
        <v>550</v>
      </c>
      <c r="E21" s="12" t="s">
        <v>119</v>
      </c>
      <c r="F21" s="12" t="s">
        <v>178</v>
      </c>
      <c r="G21" s="13" t="s">
        <v>652</v>
      </c>
      <c r="H21" s="12" t="s">
        <v>83</v>
      </c>
      <c r="I21" s="12" t="s">
        <v>98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653</v>
      </c>
      <c r="B22" s="12" t="s">
        <v>181</v>
      </c>
      <c r="C22" s="12" t="s">
        <v>39</v>
      </c>
      <c r="D22" s="13" t="s">
        <v>654</v>
      </c>
      <c r="E22" s="12" t="s">
        <v>119</v>
      </c>
      <c r="F22" s="12" t="s">
        <v>178</v>
      </c>
      <c r="G22" s="13" t="s">
        <v>655</v>
      </c>
      <c r="H22" s="12" t="s">
        <v>83</v>
      </c>
      <c r="I22" s="12" t="s">
        <v>98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656</v>
      </c>
      <c r="B23" s="12" t="s">
        <v>185</v>
      </c>
      <c r="C23" s="12" t="s">
        <v>39</v>
      </c>
      <c r="D23" s="13" t="s">
        <v>657</v>
      </c>
      <c r="E23" s="12" t="s">
        <v>187</v>
      </c>
      <c r="F23" s="12" t="s">
        <v>187</v>
      </c>
      <c r="G23" s="13" t="s">
        <v>188</v>
      </c>
      <c r="H23" s="12" t="s">
        <v>83</v>
      </c>
      <c r="I23" s="12" t="s">
        <v>98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658</v>
      </c>
      <c r="B24" s="12" t="s">
        <v>190</v>
      </c>
      <c r="C24" s="12" t="s">
        <v>39</v>
      </c>
      <c r="D24" s="13" t="s">
        <v>558</v>
      </c>
      <c r="E24" s="12" t="s">
        <v>119</v>
      </c>
      <c r="F24" s="12" t="s">
        <v>119</v>
      </c>
      <c r="G24" s="13" t="s">
        <v>559</v>
      </c>
      <c r="H24" s="12" t="s">
        <v>81</v>
      </c>
      <c r="I24" s="12" t="s">
        <v>97</v>
      </c>
      <c r="J24" s="14" t="n">
        <v>46227</v>
      </c>
      <c r="K24" s="13" t="s">
        <v>659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101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102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661</v>
      </c>
      <c r="B9" s="1" t="s">
        <v>116</v>
      </c>
      <c r="C9" s="1" t="s">
        <v>662</v>
      </c>
      <c r="D9" s="1" t="s">
        <v>118</v>
      </c>
      <c r="E9" s="1" t="s">
        <v>119</v>
      </c>
      <c r="F9" s="1" t="s">
        <v>120</v>
      </c>
      <c r="G9" s="1" t="s">
        <v>252</v>
      </c>
      <c r="H9" s="8" t="s">
        <v>83</v>
      </c>
      <c r="I9" s="8" t="s">
        <v>98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663</v>
      </c>
      <c r="B10" s="1" t="s">
        <v>123</v>
      </c>
      <c r="C10" s="1" t="s">
        <v>662</v>
      </c>
      <c r="D10" s="1" t="s">
        <v>124</v>
      </c>
      <c r="E10" s="1" t="s">
        <v>119</v>
      </c>
      <c r="F10" s="1" t="s">
        <v>119</v>
      </c>
      <c r="G10" s="1" t="s">
        <v>125</v>
      </c>
      <c r="H10" s="8" t="s">
        <v>83</v>
      </c>
      <c r="I10" s="8" t="s">
        <v>98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664</v>
      </c>
      <c r="B11" s="1" t="s">
        <v>127</v>
      </c>
      <c r="C11" s="1" t="s">
        <v>662</v>
      </c>
      <c r="D11" s="1" t="s">
        <v>128</v>
      </c>
      <c r="E11" s="1" t="s">
        <v>119</v>
      </c>
      <c r="F11" s="1" t="s">
        <v>129</v>
      </c>
      <c r="G11" s="1" t="s">
        <v>665</v>
      </c>
      <c r="H11" s="8" t="s">
        <v>83</v>
      </c>
      <c r="I11" s="8" t="s">
        <v>98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666</v>
      </c>
      <c r="B12" s="1" t="s">
        <v>132</v>
      </c>
      <c r="C12" s="1" t="s">
        <v>662</v>
      </c>
      <c r="D12" s="1" t="s">
        <v>133</v>
      </c>
      <c r="E12" s="1" t="s">
        <v>119</v>
      </c>
      <c r="F12" s="1" t="s">
        <v>134</v>
      </c>
      <c r="G12" s="1" t="s">
        <v>257</v>
      </c>
      <c r="H12" s="8" t="s">
        <v>83</v>
      </c>
      <c r="I12" s="8" t="s">
        <v>98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667</v>
      </c>
      <c r="B13" s="1" t="s">
        <v>137</v>
      </c>
      <c r="C13" s="1" t="s">
        <v>662</v>
      </c>
      <c r="D13" s="1" t="s">
        <v>138</v>
      </c>
      <c r="E13" s="1" t="s">
        <v>119</v>
      </c>
      <c r="F13" s="1" t="s">
        <v>139</v>
      </c>
      <c r="G13" s="1" t="s">
        <v>668</v>
      </c>
      <c r="H13" s="8" t="s">
        <v>83</v>
      </c>
      <c r="I13" s="8" t="s">
        <v>98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669</v>
      </c>
      <c r="B14" s="1" t="s">
        <v>142</v>
      </c>
      <c r="C14" s="1" t="s">
        <v>662</v>
      </c>
      <c r="D14" s="1" t="s">
        <v>143</v>
      </c>
      <c r="E14" s="1" t="s">
        <v>119</v>
      </c>
      <c r="F14" s="1" t="s">
        <v>144</v>
      </c>
      <c r="G14" s="1" t="s">
        <v>670</v>
      </c>
      <c r="H14" s="8" t="s">
        <v>83</v>
      </c>
      <c r="I14" s="8" t="s">
        <v>98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671</v>
      </c>
      <c r="B15" s="1" t="s">
        <v>147</v>
      </c>
      <c r="C15" s="1" t="s">
        <v>662</v>
      </c>
      <c r="D15" s="1" t="s">
        <v>148</v>
      </c>
      <c r="E15" s="1" t="s">
        <v>119</v>
      </c>
      <c r="F15" s="1" t="s">
        <v>149</v>
      </c>
      <c r="G15" s="1" t="s">
        <v>672</v>
      </c>
      <c r="H15" s="8" t="s">
        <v>83</v>
      </c>
      <c r="I15" s="8" t="s">
        <v>98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673</v>
      </c>
      <c r="B16" s="1" t="s">
        <v>152</v>
      </c>
      <c r="C16" s="1" t="s">
        <v>662</v>
      </c>
      <c r="D16" s="1" t="s">
        <v>153</v>
      </c>
      <c r="E16" s="1" t="s">
        <v>119</v>
      </c>
      <c r="F16" s="1" t="s">
        <v>154</v>
      </c>
      <c r="G16" s="1" t="s">
        <v>674</v>
      </c>
      <c r="H16" s="8" t="s">
        <v>85</v>
      </c>
      <c r="I16" s="8" t="s">
        <v>97</v>
      </c>
      <c r="J16" s="10" t="n">
        <v>46227</v>
      </c>
      <c r="K16" s="1" t="s">
        <v>156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675</v>
      </c>
      <c r="B17" s="1" t="s">
        <v>158</v>
      </c>
      <c r="C17" s="1" t="s">
        <v>662</v>
      </c>
      <c r="D17" s="1" t="s">
        <v>159</v>
      </c>
      <c r="E17" s="1" t="s">
        <v>119</v>
      </c>
      <c r="F17" s="1" t="s">
        <v>160</v>
      </c>
      <c r="G17" s="1" t="s">
        <v>676</v>
      </c>
      <c r="H17" s="8" t="s">
        <v>85</v>
      </c>
      <c r="I17" s="8" t="s">
        <v>97</v>
      </c>
      <c r="J17" s="10" t="n">
        <v>46227</v>
      </c>
      <c r="K17" s="1" t="s">
        <v>162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677</v>
      </c>
      <c r="B18" s="1" t="s">
        <v>164</v>
      </c>
      <c r="C18" s="1" t="s">
        <v>662</v>
      </c>
      <c r="D18" s="1" t="s">
        <v>165</v>
      </c>
      <c r="E18" s="1" t="s">
        <v>119</v>
      </c>
      <c r="F18" s="1" t="s">
        <v>160</v>
      </c>
      <c r="G18" s="1" t="s">
        <v>676</v>
      </c>
      <c r="H18" s="8" t="s">
        <v>85</v>
      </c>
      <c r="I18" s="8" t="s">
        <v>97</v>
      </c>
      <c r="J18" s="10" t="n">
        <v>46227</v>
      </c>
      <c r="K18" s="1" t="s">
        <v>162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678</v>
      </c>
      <c r="B19" s="1" t="s">
        <v>167</v>
      </c>
      <c r="C19" s="1" t="s">
        <v>662</v>
      </c>
      <c r="D19" s="1" t="s">
        <v>168</v>
      </c>
      <c r="E19" s="1" t="s">
        <v>119</v>
      </c>
      <c r="F19" s="1" t="s">
        <v>160</v>
      </c>
      <c r="G19" s="1" t="s">
        <v>679</v>
      </c>
      <c r="H19" s="8" t="s">
        <v>85</v>
      </c>
      <c r="I19" s="8" t="s">
        <v>97</v>
      </c>
      <c r="J19" s="10" t="n">
        <v>46227</v>
      </c>
      <c r="K19" s="1" t="s">
        <v>170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680</v>
      </c>
      <c r="B20" s="1" t="s">
        <v>172</v>
      </c>
      <c r="C20" s="1" t="s">
        <v>662</v>
      </c>
      <c r="D20" s="1" t="s">
        <v>173</v>
      </c>
      <c r="E20" s="1" t="s">
        <v>119</v>
      </c>
      <c r="F20" s="1" t="s">
        <v>160</v>
      </c>
      <c r="G20" s="1" t="s">
        <v>676</v>
      </c>
      <c r="H20" s="8" t="s">
        <v>85</v>
      </c>
      <c r="I20" s="8" t="s">
        <v>97</v>
      </c>
      <c r="J20" s="10" t="n">
        <v>46227</v>
      </c>
      <c r="K20" s="1" t="s">
        <v>174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681</v>
      </c>
      <c r="B21" s="1" t="s">
        <v>176</v>
      </c>
      <c r="C21" s="1" t="s">
        <v>662</v>
      </c>
      <c r="D21" s="1" t="s">
        <v>177</v>
      </c>
      <c r="E21" s="1" t="s">
        <v>119</v>
      </c>
      <c r="F21" s="1" t="s">
        <v>178</v>
      </c>
      <c r="G21" s="1" t="s">
        <v>682</v>
      </c>
      <c r="H21" s="8" t="s">
        <v>83</v>
      </c>
      <c r="I21" s="8" t="s">
        <v>98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683</v>
      </c>
      <c r="B22" s="1" t="s">
        <v>181</v>
      </c>
      <c r="C22" s="1" t="s">
        <v>662</v>
      </c>
      <c r="D22" s="1" t="s">
        <v>182</v>
      </c>
      <c r="E22" s="1" t="s">
        <v>119</v>
      </c>
      <c r="F22" s="1" t="s">
        <v>178</v>
      </c>
      <c r="G22" s="1" t="s">
        <v>684</v>
      </c>
      <c r="H22" s="8" t="s">
        <v>83</v>
      </c>
      <c r="I22" s="8" t="s">
        <v>98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685</v>
      </c>
      <c r="B23" s="1" t="s">
        <v>185</v>
      </c>
      <c r="C23" s="1" t="s">
        <v>662</v>
      </c>
      <c r="D23" s="1" t="s">
        <v>186</v>
      </c>
      <c r="E23" s="1" t="s">
        <v>187</v>
      </c>
      <c r="F23" s="1" t="s">
        <v>187</v>
      </c>
      <c r="G23" s="1" t="s">
        <v>188</v>
      </c>
      <c r="H23" s="8" t="s">
        <v>83</v>
      </c>
      <c r="I23" s="8" t="s">
        <v>98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686</v>
      </c>
      <c r="B24" s="1" t="s">
        <v>190</v>
      </c>
      <c r="C24" s="1" t="s">
        <v>662</v>
      </c>
      <c r="D24" s="1" t="s">
        <v>191</v>
      </c>
      <c r="E24" s="1" t="s">
        <v>119</v>
      </c>
      <c r="F24" s="1" t="s">
        <v>119</v>
      </c>
      <c r="G24" s="1" t="s">
        <v>192</v>
      </c>
      <c r="H24" s="8" t="s">
        <v>83</v>
      </c>
      <c r="I24" s="8" t="s">
        <v>98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101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102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688</v>
      </c>
      <c r="B9" s="1" t="s">
        <v>116</v>
      </c>
      <c r="C9" s="1" t="s">
        <v>34</v>
      </c>
      <c r="D9" s="1" t="s">
        <v>118</v>
      </c>
      <c r="E9" s="1" t="s">
        <v>119</v>
      </c>
      <c r="F9" s="1" t="s">
        <v>120</v>
      </c>
      <c r="G9" s="1" t="s">
        <v>689</v>
      </c>
      <c r="H9" s="8" t="s">
        <v>83</v>
      </c>
      <c r="I9" s="8" t="s">
        <v>98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690</v>
      </c>
      <c r="B10" s="1" t="s">
        <v>123</v>
      </c>
      <c r="C10" s="1" t="s">
        <v>34</v>
      </c>
      <c r="D10" s="1" t="s">
        <v>124</v>
      </c>
      <c r="E10" s="1" t="s">
        <v>119</v>
      </c>
      <c r="F10" s="1" t="s">
        <v>119</v>
      </c>
      <c r="G10" s="1" t="s">
        <v>125</v>
      </c>
      <c r="H10" s="8" t="s">
        <v>83</v>
      </c>
      <c r="I10" s="8" t="s">
        <v>98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691</v>
      </c>
      <c r="B11" s="1" t="s">
        <v>127</v>
      </c>
      <c r="C11" s="1" t="s">
        <v>34</v>
      </c>
      <c r="D11" s="1" t="s">
        <v>128</v>
      </c>
      <c r="E11" s="1" t="s">
        <v>119</v>
      </c>
      <c r="F11" s="1" t="s">
        <v>129</v>
      </c>
      <c r="G11" s="1" t="s">
        <v>692</v>
      </c>
      <c r="H11" s="8" t="s">
        <v>83</v>
      </c>
      <c r="I11" s="8" t="s">
        <v>98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693</v>
      </c>
      <c r="B12" s="1" t="s">
        <v>132</v>
      </c>
      <c r="C12" s="1" t="s">
        <v>34</v>
      </c>
      <c r="D12" s="1" t="s">
        <v>133</v>
      </c>
      <c r="E12" s="1" t="s">
        <v>119</v>
      </c>
      <c r="F12" s="1" t="s">
        <v>134</v>
      </c>
      <c r="G12" s="1" t="s">
        <v>694</v>
      </c>
      <c r="H12" s="8" t="s">
        <v>83</v>
      </c>
      <c r="I12" s="8" t="s">
        <v>98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695</v>
      </c>
      <c r="B13" s="1" t="s">
        <v>137</v>
      </c>
      <c r="C13" s="1" t="s">
        <v>34</v>
      </c>
      <c r="D13" s="1" t="s">
        <v>138</v>
      </c>
      <c r="E13" s="1" t="s">
        <v>119</v>
      </c>
      <c r="F13" s="1" t="s">
        <v>139</v>
      </c>
      <c r="G13" s="1" t="s">
        <v>696</v>
      </c>
      <c r="H13" s="8" t="s">
        <v>83</v>
      </c>
      <c r="I13" s="8" t="s">
        <v>98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697</v>
      </c>
      <c r="B14" s="1" t="s">
        <v>142</v>
      </c>
      <c r="C14" s="1" t="s">
        <v>34</v>
      </c>
      <c r="D14" s="1" t="s">
        <v>143</v>
      </c>
      <c r="E14" s="1" t="s">
        <v>119</v>
      </c>
      <c r="F14" s="1" t="s">
        <v>144</v>
      </c>
      <c r="G14" s="1" t="s">
        <v>698</v>
      </c>
      <c r="H14" s="8" t="s">
        <v>83</v>
      </c>
      <c r="I14" s="8" t="s">
        <v>98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699</v>
      </c>
      <c r="B15" s="1" t="s">
        <v>147</v>
      </c>
      <c r="C15" s="1" t="s">
        <v>34</v>
      </c>
      <c r="D15" s="1" t="s">
        <v>148</v>
      </c>
      <c r="E15" s="1" t="s">
        <v>119</v>
      </c>
      <c r="F15" s="1" t="s">
        <v>149</v>
      </c>
      <c r="G15" s="1" t="s">
        <v>700</v>
      </c>
      <c r="H15" s="8" t="s">
        <v>83</v>
      </c>
      <c r="I15" s="8" t="s">
        <v>98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701</v>
      </c>
      <c r="B16" s="1" t="s">
        <v>152</v>
      </c>
      <c r="C16" s="1" t="s">
        <v>34</v>
      </c>
      <c r="D16" s="1" t="s">
        <v>153</v>
      </c>
      <c r="E16" s="1" t="s">
        <v>119</v>
      </c>
      <c r="F16" s="1" t="s">
        <v>154</v>
      </c>
      <c r="G16" s="1" t="s">
        <v>702</v>
      </c>
      <c r="H16" s="8" t="s">
        <v>85</v>
      </c>
      <c r="I16" s="8" t="s">
        <v>97</v>
      </c>
      <c r="J16" s="10" t="n">
        <v>46227</v>
      </c>
      <c r="K16" s="1" t="s">
        <v>156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703</v>
      </c>
      <c r="B17" s="1" t="s">
        <v>158</v>
      </c>
      <c r="C17" s="1" t="s">
        <v>34</v>
      </c>
      <c r="D17" s="1" t="s">
        <v>159</v>
      </c>
      <c r="E17" s="1" t="s">
        <v>119</v>
      </c>
      <c r="F17" s="1" t="s">
        <v>160</v>
      </c>
      <c r="G17" s="1" t="s">
        <v>704</v>
      </c>
      <c r="H17" s="8" t="s">
        <v>85</v>
      </c>
      <c r="I17" s="8" t="s">
        <v>97</v>
      </c>
      <c r="J17" s="10" t="n">
        <v>46227</v>
      </c>
      <c r="K17" s="1" t="s">
        <v>162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705</v>
      </c>
      <c r="B18" s="1" t="s">
        <v>164</v>
      </c>
      <c r="C18" s="1" t="s">
        <v>34</v>
      </c>
      <c r="D18" s="1" t="s">
        <v>165</v>
      </c>
      <c r="E18" s="1" t="s">
        <v>119</v>
      </c>
      <c r="F18" s="1" t="s">
        <v>160</v>
      </c>
      <c r="G18" s="1" t="s">
        <v>704</v>
      </c>
      <c r="H18" s="8" t="s">
        <v>85</v>
      </c>
      <c r="I18" s="8" t="s">
        <v>97</v>
      </c>
      <c r="J18" s="10" t="n">
        <v>46227</v>
      </c>
      <c r="K18" s="1" t="s">
        <v>162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706</v>
      </c>
      <c r="B19" s="1" t="s">
        <v>167</v>
      </c>
      <c r="C19" s="1" t="s">
        <v>34</v>
      </c>
      <c r="D19" s="1" t="s">
        <v>168</v>
      </c>
      <c r="E19" s="1" t="s">
        <v>119</v>
      </c>
      <c r="F19" s="1" t="s">
        <v>160</v>
      </c>
      <c r="G19" s="1" t="s">
        <v>707</v>
      </c>
      <c r="H19" s="8" t="s">
        <v>85</v>
      </c>
      <c r="I19" s="8" t="s">
        <v>97</v>
      </c>
      <c r="J19" s="10" t="n">
        <v>46227</v>
      </c>
      <c r="K19" s="1" t="s">
        <v>170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708</v>
      </c>
      <c r="B20" s="1" t="s">
        <v>172</v>
      </c>
      <c r="C20" s="1" t="s">
        <v>34</v>
      </c>
      <c r="D20" s="1" t="s">
        <v>173</v>
      </c>
      <c r="E20" s="1" t="s">
        <v>119</v>
      </c>
      <c r="F20" s="1" t="s">
        <v>160</v>
      </c>
      <c r="G20" s="1" t="s">
        <v>704</v>
      </c>
      <c r="H20" s="8" t="s">
        <v>85</v>
      </c>
      <c r="I20" s="8" t="s">
        <v>97</v>
      </c>
      <c r="J20" s="10" t="n">
        <v>46227</v>
      </c>
      <c r="K20" s="1" t="s">
        <v>174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709</v>
      </c>
      <c r="B21" s="1" t="s">
        <v>176</v>
      </c>
      <c r="C21" s="1" t="s">
        <v>34</v>
      </c>
      <c r="D21" s="1" t="s">
        <v>177</v>
      </c>
      <c r="E21" s="1" t="s">
        <v>119</v>
      </c>
      <c r="F21" s="1" t="s">
        <v>178</v>
      </c>
      <c r="G21" s="1" t="s">
        <v>710</v>
      </c>
      <c r="H21" s="8" t="s">
        <v>83</v>
      </c>
      <c r="I21" s="8" t="s">
        <v>98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711</v>
      </c>
      <c r="B22" s="1" t="s">
        <v>181</v>
      </c>
      <c r="C22" s="1" t="s">
        <v>34</v>
      </c>
      <c r="D22" s="1" t="s">
        <v>182</v>
      </c>
      <c r="E22" s="1" t="s">
        <v>119</v>
      </c>
      <c r="F22" s="1" t="s">
        <v>178</v>
      </c>
      <c r="G22" s="1" t="s">
        <v>712</v>
      </c>
      <c r="H22" s="8" t="s">
        <v>83</v>
      </c>
      <c r="I22" s="8" t="s">
        <v>98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713</v>
      </c>
      <c r="B23" s="1" t="s">
        <v>185</v>
      </c>
      <c r="C23" s="1" t="s">
        <v>34</v>
      </c>
      <c r="D23" s="1" t="s">
        <v>186</v>
      </c>
      <c r="E23" s="1" t="s">
        <v>187</v>
      </c>
      <c r="F23" s="1" t="s">
        <v>187</v>
      </c>
      <c r="G23" s="1" t="s">
        <v>188</v>
      </c>
      <c r="H23" s="8" t="s">
        <v>83</v>
      </c>
      <c r="I23" s="8" t="s">
        <v>98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714</v>
      </c>
      <c r="B24" s="1" t="s">
        <v>190</v>
      </c>
      <c r="C24" s="1" t="s">
        <v>34</v>
      </c>
      <c r="D24" s="1" t="s">
        <v>191</v>
      </c>
      <c r="E24" s="1" t="s">
        <v>119</v>
      </c>
      <c r="F24" s="1" t="s">
        <v>119</v>
      </c>
      <c r="G24" s="1" t="s">
        <v>192</v>
      </c>
      <c r="H24" s="8" t="s">
        <v>83</v>
      </c>
      <c r="I24" s="8" t="s">
        <v>98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101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102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615</v>
      </c>
      <c r="B9" s="1" t="s">
        <v>116</v>
      </c>
      <c r="C9" s="1" t="s">
        <v>35</v>
      </c>
      <c r="D9" s="1" t="s">
        <v>118</v>
      </c>
      <c r="E9" s="1" t="s">
        <v>119</v>
      </c>
      <c r="F9" s="1" t="s">
        <v>120</v>
      </c>
      <c r="G9" s="1" t="s">
        <v>716</v>
      </c>
      <c r="H9" s="8" t="s">
        <v>83</v>
      </c>
      <c r="I9" s="8" t="s">
        <v>98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618</v>
      </c>
      <c r="B10" s="1" t="s">
        <v>123</v>
      </c>
      <c r="C10" s="1" t="s">
        <v>35</v>
      </c>
      <c r="D10" s="1" t="s">
        <v>124</v>
      </c>
      <c r="E10" s="1" t="s">
        <v>119</v>
      </c>
      <c r="F10" s="1" t="s">
        <v>119</v>
      </c>
      <c r="G10" s="1" t="s">
        <v>125</v>
      </c>
      <c r="H10" s="8" t="s">
        <v>83</v>
      </c>
      <c r="I10" s="8" t="s">
        <v>98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620</v>
      </c>
      <c r="B11" s="1" t="s">
        <v>127</v>
      </c>
      <c r="C11" s="1" t="s">
        <v>35</v>
      </c>
      <c r="D11" s="1" t="s">
        <v>128</v>
      </c>
      <c r="E11" s="1" t="s">
        <v>119</v>
      </c>
      <c r="F11" s="1" t="s">
        <v>129</v>
      </c>
      <c r="G11" s="1" t="s">
        <v>717</v>
      </c>
      <c r="H11" s="8" t="s">
        <v>83</v>
      </c>
      <c r="I11" s="8" t="s">
        <v>98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623</v>
      </c>
      <c r="B12" s="1" t="s">
        <v>132</v>
      </c>
      <c r="C12" s="1" t="s">
        <v>35</v>
      </c>
      <c r="D12" s="1" t="s">
        <v>133</v>
      </c>
      <c r="E12" s="1" t="s">
        <v>119</v>
      </c>
      <c r="F12" s="1" t="s">
        <v>134</v>
      </c>
      <c r="G12" s="1" t="s">
        <v>718</v>
      </c>
      <c r="H12" s="8" t="s">
        <v>83</v>
      </c>
      <c r="I12" s="8" t="s">
        <v>98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626</v>
      </c>
      <c r="B13" s="1" t="s">
        <v>137</v>
      </c>
      <c r="C13" s="1" t="s">
        <v>35</v>
      </c>
      <c r="D13" s="1" t="s">
        <v>138</v>
      </c>
      <c r="E13" s="1" t="s">
        <v>119</v>
      </c>
      <c r="F13" s="1" t="s">
        <v>139</v>
      </c>
      <c r="G13" s="1" t="s">
        <v>719</v>
      </c>
      <c r="H13" s="8" t="s">
        <v>83</v>
      </c>
      <c r="I13" s="8" t="s">
        <v>98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629</v>
      </c>
      <c r="B14" s="1" t="s">
        <v>142</v>
      </c>
      <c r="C14" s="1" t="s">
        <v>35</v>
      </c>
      <c r="D14" s="1" t="s">
        <v>143</v>
      </c>
      <c r="E14" s="1" t="s">
        <v>119</v>
      </c>
      <c r="F14" s="1" t="s">
        <v>144</v>
      </c>
      <c r="G14" s="1" t="s">
        <v>720</v>
      </c>
      <c r="H14" s="8" t="s">
        <v>83</v>
      </c>
      <c r="I14" s="8" t="s">
        <v>98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632</v>
      </c>
      <c r="B15" s="1" t="s">
        <v>147</v>
      </c>
      <c r="C15" s="1" t="s">
        <v>35</v>
      </c>
      <c r="D15" s="1" t="s">
        <v>148</v>
      </c>
      <c r="E15" s="1" t="s">
        <v>119</v>
      </c>
      <c r="F15" s="1" t="s">
        <v>149</v>
      </c>
      <c r="G15" s="1" t="s">
        <v>721</v>
      </c>
      <c r="H15" s="8" t="s">
        <v>83</v>
      </c>
      <c r="I15" s="8" t="s">
        <v>98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634</v>
      </c>
      <c r="B16" s="1" t="s">
        <v>152</v>
      </c>
      <c r="C16" s="1" t="s">
        <v>35</v>
      </c>
      <c r="D16" s="1" t="s">
        <v>153</v>
      </c>
      <c r="E16" s="1" t="s">
        <v>119</v>
      </c>
      <c r="F16" s="1" t="s">
        <v>154</v>
      </c>
      <c r="G16" s="1" t="s">
        <v>722</v>
      </c>
      <c r="H16" s="8" t="s">
        <v>85</v>
      </c>
      <c r="I16" s="8" t="s">
        <v>97</v>
      </c>
      <c r="J16" s="10" t="n">
        <v>46227</v>
      </c>
      <c r="K16" s="1" t="s">
        <v>156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638</v>
      </c>
      <c r="B17" s="1" t="s">
        <v>158</v>
      </c>
      <c r="C17" s="1" t="s">
        <v>35</v>
      </c>
      <c r="D17" s="1" t="s">
        <v>159</v>
      </c>
      <c r="E17" s="1" t="s">
        <v>119</v>
      </c>
      <c r="F17" s="1" t="s">
        <v>160</v>
      </c>
      <c r="G17" s="1" t="s">
        <v>723</v>
      </c>
      <c r="H17" s="8" t="s">
        <v>85</v>
      </c>
      <c r="I17" s="8" t="s">
        <v>97</v>
      </c>
      <c r="J17" s="10" t="n">
        <v>46227</v>
      </c>
      <c r="K17" s="1" t="s">
        <v>162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642</v>
      </c>
      <c r="B18" s="1" t="s">
        <v>164</v>
      </c>
      <c r="C18" s="1" t="s">
        <v>35</v>
      </c>
      <c r="D18" s="1" t="s">
        <v>165</v>
      </c>
      <c r="E18" s="1" t="s">
        <v>119</v>
      </c>
      <c r="F18" s="1" t="s">
        <v>160</v>
      </c>
      <c r="G18" s="1" t="s">
        <v>723</v>
      </c>
      <c r="H18" s="8" t="s">
        <v>85</v>
      </c>
      <c r="I18" s="8" t="s">
        <v>97</v>
      </c>
      <c r="J18" s="10" t="n">
        <v>46227</v>
      </c>
      <c r="K18" s="1" t="s">
        <v>162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646</v>
      </c>
      <c r="B19" s="1" t="s">
        <v>167</v>
      </c>
      <c r="C19" s="1" t="s">
        <v>35</v>
      </c>
      <c r="D19" s="1" t="s">
        <v>168</v>
      </c>
      <c r="E19" s="1" t="s">
        <v>119</v>
      </c>
      <c r="F19" s="1" t="s">
        <v>160</v>
      </c>
      <c r="G19" s="1" t="s">
        <v>724</v>
      </c>
      <c r="H19" s="8" t="s">
        <v>85</v>
      </c>
      <c r="I19" s="8" t="s">
        <v>97</v>
      </c>
      <c r="J19" s="10" t="n">
        <v>46227</v>
      </c>
      <c r="K19" s="1" t="s">
        <v>170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649</v>
      </c>
      <c r="B20" s="1" t="s">
        <v>172</v>
      </c>
      <c r="C20" s="1" t="s">
        <v>35</v>
      </c>
      <c r="D20" s="1" t="s">
        <v>173</v>
      </c>
      <c r="E20" s="1" t="s">
        <v>119</v>
      </c>
      <c r="F20" s="1" t="s">
        <v>160</v>
      </c>
      <c r="G20" s="1" t="s">
        <v>723</v>
      </c>
      <c r="H20" s="8" t="s">
        <v>85</v>
      </c>
      <c r="I20" s="8" t="s">
        <v>97</v>
      </c>
      <c r="J20" s="10" t="n">
        <v>46227</v>
      </c>
      <c r="K20" s="1" t="s">
        <v>174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651</v>
      </c>
      <c r="B21" s="1" t="s">
        <v>176</v>
      </c>
      <c r="C21" s="1" t="s">
        <v>35</v>
      </c>
      <c r="D21" s="1" t="s">
        <v>177</v>
      </c>
      <c r="E21" s="1" t="s">
        <v>119</v>
      </c>
      <c r="F21" s="1" t="s">
        <v>178</v>
      </c>
      <c r="G21" s="1" t="s">
        <v>725</v>
      </c>
      <c r="H21" s="8" t="s">
        <v>83</v>
      </c>
      <c r="I21" s="8" t="s">
        <v>98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653</v>
      </c>
      <c r="B22" s="1" t="s">
        <v>181</v>
      </c>
      <c r="C22" s="1" t="s">
        <v>35</v>
      </c>
      <c r="D22" s="1" t="s">
        <v>182</v>
      </c>
      <c r="E22" s="1" t="s">
        <v>119</v>
      </c>
      <c r="F22" s="1" t="s">
        <v>178</v>
      </c>
      <c r="G22" s="1" t="s">
        <v>726</v>
      </c>
      <c r="H22" s="8" t="s">
        <v>83</v>
      </c>
      <c r="I22" s="8" t="s">
        <v>98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656</v>
      </c>
      <c r="B23" s="1" t="s">
        <v>185</v>
      </c>
      <c r="C23" s="1" t="s">
        <v>35</v>
      </c>
      <c r="D23" s="1" t="s">
        <v>186</v>
      </c>
      <c r="E23" s="1" t="s">
        <v>187</v>
      </c>
      <c r="F23" s="1" t="s">
        <v>187</v>
      </c>
      <c r="G23" s="1" t="s">
        <v>188</v>
      </c>
      <c r="H23" s="8" t="s">
        <v>83</v>
      </c>
      <c r="I23" s="8" t="s">
        <v>98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658</v>
      </c>
      <c r="B24" s="1" t="s">
        <v>190</v>
      </c>
      <c r="C24" s="1" t="s">
        <v>35</v>
      </c>
      <c r="D24" s="1" t="s">
        <v>191</v>
      </c>
      <c r="E24" s="1" t="s">
        <v>119</v>
      </c>
      <c r="F24" s="1" t="s">
        <v>119</v>
      </c>
      <c r="G24" s="1" t="s">
        <v>192</v>
      </c>
      <c r="H24" s="8" t="s">
        <v>83</v>
      </c>
      <c r="I24" s="8" t="s">
        <v>98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101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102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728</v>
      </c>
      <c r="B9" s="1" t="s">
        <v>116</v>
      </c>
      <c r="C9" s="1" t="s">
        <v>729</v>
      </c>
      <c r="D9" s="1" t="s">
        <v>118</v>
      </c>
      <c r="E9" s="1" t="s">
        <v>119</v>
      </c>
      <c r="F9" s="1" t="s">
        <v>120</v>
      </c>
      <c r="G9" s="1" t="s">
        <v>730</v>
      </c>
      <c r="H9" s="8" t="s">
        <v>83</v>
      </c>
      <c r="I9" s="8" t="s">
        <v>98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731</v>
      </c>
      <c r="B10" s="1" t="s">
        <v>123</v>
      </c>
      <c r="C10" s="1" t="s">
        <v>729</v>
      </c>
      <c r="D10" s="1" t="s">
        <v>124</v>
      </c>
      <c r="E10" s="1" t="s">
        <v>119</v>
      </c>
      <c r="F10" s="1" t="s">
        <v>119</v>
      </c>
      <c r="G10" s="1" t="s">
        <v>125</v>
      </c>
      <c r="H10" s="8" t="s">
        <v>83</v>
      </c>
      <c r="I10" s="8" t="s">
        <v>98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732</v>
      </c>
      <c r="B11" s="1" t="s">
        <v>127</v>
      </c>
      <c r="C11" s="1" t="s">
        <v>729</v>
      </c>
      <c r="D11" s="1" t="s">
        <v>128</v>
      </c>
      <c r="E11" s="1" t="s">
        <v>119</v>
      </c>
      <c r="F11" s="1" t="s">
        <v>129</v>
      </c>
      <c r="G11" s="1" t="s">
        <v>733</v>
      </c>
      <c r="H11" s="8" t="s">
        <v>83</v>
      </c>
      <c r="I11" s="8" t="s">
        <v>98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734</v>
      </c>
      <c r="B12" s="1" t="s">
        <v>132</v>
      </c>
      <c r="C12" s="1" t="s">
        <v>729</v>
      </c>
      <c r="D12" s="1" t="s">
        <v>133</v>
      </c>
      <c r="E12" s="1" t="s">
        <v>119</v>
      </c>
      <c r="F12" s="1" t="s">
        <v>134</v>
      </c>
      <c r="G12" s="1" t="s">
        <v>735</v>
      </c>
      <c r="H12" s="8" t="s">
        <v>83</v>
      </c>
      <c r="I12" s="8" t="s">
        <v>98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736</v>
      </c>
      <c r="B13" s="1" t="s">
        <v>137</v>
      </c>
      <c r="C13" s="1" t="s">
        <v>729</v>
      </c>
      <c r="D13" s="1" t="s">
        <v>138</v>
      </c>
      <c r="E13" s="1" t="s">
        <v>119</v>
      </c>
      <c r="F13" s="1" t="s">
        <v>139</v>
      </c>
      <c r="G13" s="1" t="s">
        <v>737</v>
      </c>
      <c r="H13" s="8" t="s">
        <v>83</v>
      </c>
      <c r="I13" s="8" t="s">
        <v>98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738</v>
      </c>
      <c r="B14" s="1" t="s">
        <v>142</v>
      </c>
      <c r="C14" s="1" t="s">
        <v>729</v>
      </c>
      <c r="D14" s="1" t="s">
        <v>143</v>
      </c>
      <c r="E14" s="1" t="s">
        <v>119</v>
      </c>
      <c r="F14" s="1" t="s">
        <v>144</v>
      </c>
      <c r="G14" s="1" t="s">
        <v>739</v>
      </c>
      <c r="H14" s="8" t="s">
        <v>83</v>
      </c>
      <c r="I14" s="8" t="s">
        <v>98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740</v>
      </c>
      <c r="B15" s="1" t="s">
        <v>147</v>
      </c>
      <c r="C15" s="1" t="s">
        <v>729</v>
      </c>
      <c r="D15" s="1" t="s">
        <v>148</v>
      </c>
      <c r="E15" s="1" t="s">
        <v>119</v>
      </c>
      <c r="F15" s="1" t="s">
        <v>149</v>
      </c>
      <c r="G15" s="1" t="s">
        <v>741</v>
      </c>
      <c r="H15" s="8" t="s">
        <v>83</v>
      </c>
      <c r="I15" s="8" t="s">
        <v>98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742</v>
      </c>
      <c r="B16" s="1" t="s">
        <v>152</v>
      </c>
      <c r="C16" s="1" t="s">
        <v>729</v>
      </c>
      <c r="D16" s="1" t="s">
        <v>153</v>
      </c>
      <c r="E16" s="1" t="s">
        <v>119</v>
      </c>
      <c r="F16" s="1" t="s">
        <v>154</v>
      </c>
      <c r="G16" s="1" t="s">
        <v>743</v>
      </c>
      <c r="H16" s="8" t="s">
        <v>85</v>
      </c>
      <c r="I16" s="8" t="s">
        <v>97</v>
      </c>
      <c r="J16" s="10" t="n">
        <v>46227</v>
      </c>
      <c r="K16" s="1" t="s">
        <v>156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744</v>
      </c>
      <c r="B17" s="1" t="s">
        <v>158</v>
      </c>
      <c r="C17" s="1" t="s">
        <v>729</v>
      </c>
      <c r="D17" s="1" t="s">
        <v>159</v>
      </c>
      <c r="E17" s="1" t="s">
        <v>119</v>
      </c>
      <c r="F17" s="1" t="s">
        <v>160</v>
      </c>
      <c r="G17" s="1" t="s">
        <v>745</v>
      </c>
      <c r="H17" s="8" t="s">
        <v>85</v>
      </c>
      <c r="I17" s="8" t="s">
        <v>97</v>
      </c>
      <c r="J17" s="10" t="n">
        <v>46227</v>
      </c>
      <c r="K17" s="1" t="s">
        <v>162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746</v>
      </c>
      <c r="B18" s="1" t="s">
        <v>164</v>
      </c>
      <c r="C18" s="1" t="s">
        <v>729</v>
      </c>
      <c r="D18" s="1" t="s">
        <v>165</v>
      </c>
      <c r="E18" s="1" t="s">
        <v>119</v>
      </c>
      <c r="F18" s="1" t="s">
        <v>160</v>
      </c>
      <c r="G18" s="1" t="s">
        <v>745</v>
      </c>
      <c r="H18" s="8" t="s">
        <v>85</v>
      </c>
      <c r="I18" s="8" t="s">
        <v>97</v>
      </c>
      <c r="J18" s="10" t="n">
        <v>46227</v>
      </c>
      <c r="K18" s="1" t="s">
        <v>162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747</v>
      </c>
      <c r="B19" s="1" t="s">
        <v>167</v>
      </c>
      <c r="C19" s="1" t="s">
        <v>729</v>
      </c>
      <c r="D19" s="1" t="s">
        <v>168</v>
      </c>
      <c r="E19" s="1" t="s">
        <v>119</v>
      </c>
      <c r="F19" s="1" t="s">
        <v>160</v>
      </c>
      <c r="G19" s="1" t="s">
        <v>748</v>
      </c>
      <c r="H19" s="8" t="s">
        <v>85</v>
      </c>
      <c r="I19" s="8" t="s">
        <v>97</v>
      </c>
      <c r="J19" s="10" t="n">
        <v>46227</v>
      </c>
      <c r="K19" s="1" t="s">
        <v>170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749</v>
      </c>
      <c r="B20" s="1" t="s">
        <v>172</v>
      </c>
      <c r="C20" s="1" t="s">
        <v>729</v>
      </c>
      <c r="D20" s="1" t="s">
        <v>173</v>
      </c>
      <c r="E20" s="1" t="s">
        <v>119</v>
      </c>
      <c r="F20" s="1" t="s">
        <v>160</v>
      </c>
      <c r="G20" s="1" t="s">
        <v>745</v>
      </c>
      <c r="H20" s="8" t="s">
        <v>85</v>
      </c>
      <c r="I20" s="8" t="s">
        <v>97</v>
      </c>
      <c r="J20" s="10" t="n">
        <v>46227</v>
      </c>
      <c r="K20" s="1" t="s">
        <v>174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750</v>
      </c>
      <c r="B21" s="1" t="s">
        <v>176</v>
      </c>
      <c r="C21" s="1" t="s">
        <v>729</v>
      </c>
      <c r="D21" s="1" t="s">
        <v>177</v>
      </c>
      <c r="E21" s="1" t="s">
        <v>119</v>
      </c>
      <c r="F21" s="1" t="s">
        <v>178</v>
      </c>
      <c r="G21" s="1" t="s">
        <v>751</v>
      </c>
      <c r="H21" s="8" t="s">
        <v>83</v>
      </c>
      <c r="I21" s="8" t="s">
        <v>98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752</v>
      </c>
      <c r="B22" s="1" t="s">
        <v>181</v>
      </c>
      <c r="C22" s="1" t="s">
        <v>729</v>
      </c>
      <c r="D22" s="1" t="s">
        <v>182</v>
      </c>
      <c r="E22" s="1" t="s">
        <v>119</v>
      </c>
      <c r="F22" s="1" t="s">
        <v>178</v>
      </c>
      <c r="G22" s="1" t="s">
        <v>753</v>
      </c>
      <c r="H22" s="8" t="s">
        <v>83</v>
      </c>
      <c r="I22" s="8" t="s">
        <v>98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754</v>
      </c>
      <c r="B23" s="1" t="s">
        <v>185</v>
      </c>
      <c r="C23" s="1" t="s">
        <v>729</v>
      </c>
      <c r="D23" s="1" t="s">
        <v>186</v>
      </c>
      <c r="E23" s="1" t="s">
        <v>187</v>
      </c>
      <c r="F23" s="1" t="s">
        <v>187</v>
      </c>
      <c r="G23" s="1" t="s">
        <v>188</v>
      </c>
      <c r="H23" s="8" t="s">
        <v>83</v>
      </c>
      <c r="I23" s="8" t="s">
        <v>98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755</v>
      </c>
      <c r="B24" s="1" t="s">
        <v>190</v>
      </c>
      <c r="C24" s="1" t="s">
        <v>729</v>
      </c>
      <c r="D24" s="1" t="s">
        <v>191</v>
      </c>
      <c r="E24" s="1" t="s">
        <v>119</v>
      </c>
      <c r="F24" s="1" t="s">
        <v>119</v>
      </c>
      <c r="G24" s="1" t="s">
        <v>192</v>
      </c>
      <c r="H24" s="8" t="s">
        <v>83</v>
      </c>
      <c r="I24" s="8" t="s">
        <v>98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COUNTA(A9:A24)</f>
        <v>16</v>
      </c>
      <c r="D4" s="5" t="s">
        <v>101</v>
      </c>
      <c r="E4" s="6" t="n">
        <f aca="false">SUM(M9:M24)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IF(COUNTIFS(I9:I24,"yes",M9:M24,0)&gt;0,"open","complete")</f>
        <v>open</v>
      </c>
      <c r="D5" s="5" t="s">
        <v>15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54" hidden="false" customHeight="true" outlineLevel="0" collapsed="false">
      <c r="A9" s="12" t="s">
        <v>757</v>
      </c>
      <c r="B9" s="12" t="s">
        <v>116</v>
      </c>
      <c r="C9" s="12" t="s">
        <v>38</v>
      </c>
      <c r="D9" s="13" t="s">
        <v>758</v>
      </c>
      <c r="E9" s="12" t="s">
        <v>119</v>
      </c>
      <c r="F9" s="12" t="s">
        <v>120</v>
      </c>
      <c r="G9" s="13" t="s">
        <v>759</v>
      </c>
      <c r="H9" s="12" t="s">
        <v>83</v>
      </c>
      <c r="I9" s="12" t="s">
        <v>98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760</v>
      </c>
      <c r="B10" s="12" t="s">
        <v>123</v>
      </c>
      <c r="C10" s="12" t="s">
        <v>761</v>
      </c>
      <c r="D10" s="13" t="s">
        <v>762</v>
      </c>
      <c r="E10" s="12" t="s">
        <v>119</v>
      </c>
      <c r="F10" s="12" t="s">
        <v>119</v>
      </c>
      <c r="G10" s="13" t="s">
        <v>125</v>
      </c>
      <c r="H10" s="12" t="s">
        <v>83</v>
      </c>
      <c r="I10" s="12" t="s">
        <v>98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763</v>
      </c>
      <c r="B11" s="12" t="s">
        <v>127</v>
      </c>
      <c r="C11" s="12" t="s">
        <v>761</v>
      </c>
      <c r="D11" s="13" t="s">
        <v>764</v>
      </c>
      <c r="E11" s="12" t="s">
        <v>119</v>
      </c>
      <c r="F11" s="12" t="s">
        <v>129</v>
      </c>
      <c r="G11" s="13" t="s">
        <v>765</v>
      </c>
      <c r="H11" s="12" t="s">
        <v>83</v>
      </c>
      <c r="I11" s="12" t="s">
        <v>98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766</v>
      </c>
      <c r="B12" s="12" t="s">
        <v>132</v>
      </c>
      <c r="C12" s="12" t="s">
        <v>767</v>
      </c>
      <c r="D12" s="13" t="s">
        <v>768</v>
      </c>
      <c r="E12" s="12" t="s">
        <v>119</v>
      </c>
      <c r="F12" s="12" t="s">
        <v>134</v>
      </c>
      <c r="G12" s="13" t="s">
        <v>769</v>
      </c>
      <c r="H12" s="12" t="s">
        <v>83</v>
      </c>
      <c r="I12" s="12" t="s">
        <v>98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770</v>
      </c>
      <c r="B13" s="12" t="s">
        <v>137</v>
      </c>
      <c r="C13" s="12" t="s">
        <v>761</v>
      </c>
      <c r="D13" s="13" t="s">
        <v>771</v>
      </c>
      <c r="E13" s="12" t="s">
        <v>119</v>
      </c>
      <c r="F13" s="12" t="s">
        <v>139</v>
      </c>
      <c r="G13" s="13" t="s">
        <v>772</v>
      </c>
      <c r="H13" s="12" t="s">
        <v>83</v>
      </c>
      <c r="I13" s="12" t="s">
        <v>98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773</v>
      </c>
      <c r="B14" s="12" t="s">
        <v>142</v>
      </c>
      <c r="C14" s="12" t="s">
        <v>761</v>
      </c>
      <c r="D14" s="13" t="s">
        <v>774</v>
      </c>
      <c r="E14" s="12" t="s">
        <v>119</v>
      </c>
      <c r="F14" s="12" t="s">
        <v>144</v>
      </c>
      <c r="G14" s="13" t="s">
        <v>775</v>
      </c>
      <c r="H14" s="12" t="s">
        <v>83</v>
      </c>
      <c r="I14" s="12" t="s">
        <v>98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776</v>
      </c>
      <c r="B15" s="12" t="s">
        <v>147</v>
      </c>
      <c r="C15" s="12" t="s">
        <v>767</v>
      </c>
      <c r="D15" s="13" t="s">
        <v>777</v>
      </c>
      <c r="E15" s="12" t="s">
        <v>119</v>
      </c>
      <c r="F15" s="12" t="s">
        <v>149</v>
      </c>
      <c r="G15" s="13" t="s">
        <v>775</v>
      </c>
      <c r="H15" s="12" t="s">
        <v>83</v>
      </c>
      <c r="I15" s="12" t="s">
        <v>98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778</v>
      </c>
      <c r="B16" s="12" t="s">
        <v>152</v>
      </c>
      <c r="C16" s="12" t="s">
        <v>761</v>
      </c>
      <c r="D16" s="13" t="s">
        <v>779</v>
      </c>
      <c r="E16" s="12" t="s">
        <v>119</v>
      </c>
      <c r="F16" s="12" t="s">
        <v>154</v>
      </c>
      <c r="G16" s="13" t="s">
        <v>780</v>
      </c>
      <c r="H16" s="12" t="s">
        <v>85</v>
      </c>
      <c r="I16" s="12" t="s">
        <v>97</v>
      </c>
      <c r="J16" s="14" t="n">
        <v>46227</v>
      </c>
      <c r="K16" s="13" t="s">
        <v>781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782</v>
      </c>
      <c r="B17" s="12" t="s">
        <v>158</v>
      </c>
      <c r="C17" s="12" t="s">
        <v>761</v>
      </c>
      <c r="D17" s="13" t="s">
        <v>783</v>
      </c>
      <c r="E17" s="12" t="s">
        <v>119</v>
      </c>
      <c r="F17" s="12" t="s">
        <v>160</v>
      </c>
      <c r="G17" s="13" t="s">
        <v>784</v>
      </c>
      <c r="H17" s="12" t="s">
        <v>81</v>
      </c>
      <c r="I17" s="12" t="s">
        <v>97</v>
      </c>
      <c r="J17" s="14"/>
      <c r="K17" s="13" t="s">
        <v>785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786</v>
      </c>
      <c r="B18" s="12" t="s">
        <v>164</v>
      </c>
      <c r="C18" s="12" t="s">
        <v>767</v>
      </c>
      <c r="D18" s="13" t="s">
        <v>787</v>
      </c>
      <c r="E18" s="12" t="s">
        <v>119</v>
      </c>
      <c r="F18" s="12" t="s">
        <v>160</v>
      </c>
      <c r="G18" s="13" t="s">
        <v>788</v>
      </c>
      <c r="H18" s="12" t="s">
        <v>81</v>
      </c>
      <c r="I18" s="12" t="s">
        <v>97</v>
      </c>
      <c r="J18" s="14"/>
      <c r="K18" s="13" t="s">
        <v>789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790</v>
      </c>
      <c r="B19" s="12" t="s">
        <v>647</v>
      </c>
      <c r="C19" s="12" t="s">
        <v>767</v>
      </c>
      <c r="D19" s="13" t="s">
        <v>791</v>
      </c>
      <c r="E19" s="12" t="s">
        <v>119</v>
      </c>
      <c r="F19" s="12" t="s">
        <v>144</v>
      </c>
      <c r="G19" s="13" t="s">
        <v>775</v>
      </c>
      <c r="H19" s="12" t="s">
        <v>83</v>
      </c>
      <c r="I19" s="12" t="s">
        <v>98</v>
      </c>
      <c r="J19" s="14" t="n">
        <v>46227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792</v>
      </c>
      <c r="B20" s="12" t="s">
        <v>172</v>
      </c>
      <c r="C20" s="12" t="s">
        <v>761</v>
      </c>
      <c r="D20" s="13" t="s">
        <v>793</v>
      </c>
      <c r="E20" s="12" t="s">
        <v>119</v>
      </c>
      <c r="F20" s="12" t="s">
        <v>160</v>
      </c>
      <c r="G20" s="13" t="s">
        <v>784</v>
      </c>
      <c r="H20" s="12" t="s">
        <v>81</v>
      </c>
      <c r="I20" s="12" t="s">
        <v>97</v>
      </c>
      <c r="J20" s="14"/>
      <c r="K20" s="13" t="s">
        <v>794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795</v>
      </c>
      <c r="B21" s="12" t="s">
        <v>176</v>
      </c>
      <c r="C21" s="12" t="s">
        <v>761</v>
      </c>
      <c r="D21" s="13" t="s">
        <v>796</v>
      </c>
      <c r="E21" s="12" t="s">
        <v>119</v>
      </c>
      <c r="F21" s="12" t="s">
        <v>178</v>
      </c>
      <c r="G21" s="13" t="s">
        <v>797</v>
      </c>
      <c r="H21" s="12" t="s">
        <v>83</v>
      </c>
      <c r="I21" s="12" t="s">
        <v>98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798</v>
      </c>
      <c r="B22" s="12" t="s">
        <v>181</v>
      </c>
      <c r="C22" s="12" t="s">
        <v>761</v>
      </c>
      <c r="D22" s="13" t="s">
        <v>799</v>
      </c>
      <c r="E22" s="12" t="s">
        <v>119</v>
      </c>
      <c r="F22" s="12" t="s">
        <v>178</v>
      </c>
      <c r="G22" s="13" t="s">
        <v>800</v>
      </c>
      <c r="H22" s="12" t="s">
        <v>83</v>
      </c>
      <c r="I22" s="12" t="s">
        <v>98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801</v>
      </c>
      <c r="B23" s="12" t="s">
        <v>185</v>
      </c>
      <c r="C23" s="12" t="s">
        <v>802</v>
      </c>
      <c r="D23" s="13" t="s">
        <v>803</v>
      </c>
      <c r="E23" s="12" t="s">
        <v>187</v>
      </c>
      <c r="F23" s="12" t="s">
        <v>187</v>
      </c>
      <c r="G23" s="13" t="s">
        <v>188</v>
      </c>
      <c r="H23" s="12" t="s">
        <v>83</v>
      </c>
      <c r="I23" s="12" t="s">
        <v>98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804</v>
      </c>
      <c r="B24" s="12" t="s">
        <v>190</v>
      </c>
      <c r="C24" s="12" t="s">
        <v>761</v>
      </c>
      <c r="D24" s="13" t="s">
        <v>805</v>
      </c>
      <c r="E24" s="12" t="s">
        <v>119</v>
      </c>
      <c r="F24" s="12" t="s">
        <v>119</v>
      </c>
      <c r="G24" s="13" t="s">
        <v>806</v>
      </c>
      <c r="H24" s="12" t="s">
        <v>81</v>
      </c>
      <c r="I24" s="12" t="s">
        <v>97</v>
      </c>
      <c r="J24" s="14" t="n">
        <v>46227</v>
      </c>
      <c r="K24" s="13" t="s">
        <v>807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808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101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102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615</v>
      </c>
      <c r="B9" s="1" t="s">
        <v>116</v>
      </c>
      <c r="C9" s="1" t="s">
        <v>37</v>
      </c>
      <c r="D9" s="1" t="s">
        <v>118</v>
      </c>
      <c r="E9" s="1" t="s">
        <v>119</v>
      </c>
      <c r="F9" s="1" t="s">
        <v>120</v>
      </c>
      <c r="G9" s="1" t="s">
        <v>809</v>
      </c>
      <c r="H9" s="8" t="s">
        <v>83</v>
      </c>
      <c r="I9" s="8" t="s">
        <v>98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618</v>
      </c>
      <c r="B10" s="1" t="s">
        <v>123</v>
      </c>
      <c r="C10" s="1" t="s">
        <v>37</v>
      </c>
      <c r="D10" s="1" t="s">
        <v>124</v>
      </c>
      <c r="E10" s="1" t="s">
        <v>119</v>
      </c>
      <c r="F10" s="1" t="s">
        <v>119</v>
      </c>
      <c r="G10" s="1" t="s">
        <v>125</v>
      </c>
      <c r="H10" s="8" t="s">
        <v>83</v>
      </c>
      <c r="I10" s="8" t="s">
        <v>98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620</v>
      </c>
      <c r="B11" s="1" t="s">
        <v>127</v>
      </c>
      <c r="C11" s="1" t="s">
        <v>37</v>
      </c>
      <c r="D11" s="1" t="s">
        <v>128</v>
      </c>
      <c r="E11" s="1" t="s">
        <v>119</v>
      </c>
      <c r="F11" s="1" t="s">
        <v>129</v>
      </c>
      <c r="G11" s="1" t="s">
        <v>810</v>
      </c>
      <c r="H11" s="8" t="s">
        <v>83</v>
      </c>
      <c r="I11" s="8" t="s">
        <v>98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623</v>
      </c>
      <c r="B12" s="1" t="s">
        <v>132</v>
      </c>
      <c r="C12" s="1" t="s">
        <v>37</v>
      </c>
      <c r="D12" s="1" t="s">
        <v>133</v>
      </c>
      <c r="E12" s="1" t="s">
        <v>119</v>
      </c>
      <c r="F12" s="1" t="s">
        <v>134</v>
      </c>
      <c r="G12" s="1" t="s">
        <v>811</v>
      </c>
      <c r="H12" s="8" t="s">
        <v>83</v>
      </c>
      <c r="I12" s="8" t="s">
        <v>98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626</v>
      </c>
      <c r="B13" s="1" t="s">
        <v>137</v>
      </c>
      <c r="C13" s="1" t="s">
        <v>37</v>
      </c>
      <c r="D13" s="1" t="s">
        <v>138</v>
      </c>
      <c r="E13" s="1" t="s">
        <v>119</v>
      </c>
      <c r="F13" s="1" t="s">
        <v>139</v>
      </c>
      <c r="G13" s="1" t="s">
        <v>812</v>
      </c>
      <c r="H13" s="8" t="s">
        <v>83</v>
      </c>
      <c r="I13" s="8" t="s">
        <v>98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629</v>
      </c>
      <c r="B14" s="1" t="s">
        <v>142</v>
      </c>
      <c r="C14" s="1" t="s">
        <v>37</v>
      </c>
      <c r="D14" s="1" t="s">
        <v>143</v>
      </c>
      <c r="E14" s="1" t="s">
        <v>119</v>
      </c>
      <c r="F14" s="1" t="s">
        <v>144</v>
      </c>
      <c r="G14" s="1" t="s">
        <v>813</v>
      </c>
      <c r="H14" s="8" t="s">
        <v>83</v>
      </c>
      <c r="I14" s="8" t="s">
        <v>98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632</v>
      </c>
      <c r="B15" s="1" t="s">
        <v>147</v>
      </c>
      <c r="C15" s="1" t="s">
        <v>37</v>
      </c>
      <c r="D15" s="1" t="s">
        <v>148</v>
      </c>
      <c r="E15" s="1" t="s">
        <v>119</v>
      </c>
      <c r="F15" s="1" t="s">
        <v>149</v>
      </c>
      <c r="G15" s="1" t="s">
        <v>814</v>
      </c>
      <c r="H15" s="8" t="s">
        <v>83</v>
      </c>
      <c r="I15" s="8" t="s">
        <v>98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634</v>
      </c>
      <c r="B16" s="1" t="s">
        <v>152</v>
      </c>
      <c r="C16" s="1" t="s">
        <v>37</v>
      </c>
      <c r="D16" s="1" t="s">
        <v>153</v>
      </c>
      <c r="E16" s="1" t="s">
        <v>119</v>
      </c>
      <c r="F16" s="1" t="s">
        <v>154</v>
      </c>
      <c r="G16" s="1" t="s">
        <v>815</v>
      </c>
      <c r="H16" s="8" t="s">
        <v>85</v>
      </c>
      <c r="I16" s="8" t="s">
        <v>97</v>
      </c>
      <c r="J16" s="10" t="n">
        <v>46227</v>
      </c>
      <c r="K16" s="1" t="s">
        <v>156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638</v>
      </c>
      <c r="B17" s="1" t="s">
        <v>158</v>
      </c>
      <c r="C17" s="1" t="s">
        <v>37</v>
      </c>
      <c r="D17" s="1" t="s">
        <v>159</v>
      </c>
      <c r="E17" s="1" t="s">
        <v>119</v>
      </c>
      <c r="F17" s="1" t="s">
        <v>160</v>
      </c>
      <c r="G17" s="1" t="s">
        <v>816</v>
      </c>
      <c r="H17" s="8" t="s">
        <v>85</v>
      </c>
      <c r="I17" s="8" t="s">
        <v>97</v>
      </c>
      <c r="J17" s="10" t="n">
        <v>46227</v>
      </c>
      <c r="K17" s="1" t="s">
        <v>162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642</v>
      </c>
      <c r="B18" s="1" t="s">
        <v>164</v>
      </c>
      <c r="C18" s="1" t="s">
        <v>37</v>
      </c>
      <c r="D18" s="1" t="s">
        <v>165</v>
      </c>
      <c r="E18" s="1" t="s">
        <v>119</v>
      </c>
      <c r="F18" s="1" t="s">
        <v>160</v>
      </c>
      <c r="G18" s="1" t="s">
        <v>816</v>
      </c>
      <c r="H18" s="8" t="s">
        <v>85</v>
      </c>
      <c r="I18" s="8" t="s">
        <v>97</v>
      </c>
      <c r="J18" s="10" t="n">
        <v>46227</v>
      </c>
      <c r="K18" s="1" t="s">
        <v>162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646</v>
      </c>
      <c r="B19" s="1" t="s">
        <v>167</v>
      </c>
      <c r="C19" s="1" t="s">
        <v>37</v>
      </c>
      <c r="D19" s="1" t="s">
        <v>168</v>
      </c>
      <c r="E19" s="1" t="s">
        <v>119</v>
      </c>
      <c r="F19" s="1" t="s">
        <v>160</v>
      </c>
      <c r="G19" s="1" t="s">
        <v>817</v>
      </c>
      <c r="H19" s="8" t="s">
        <v>85</v>
      </c>
      <c r="I19" s="8" t="s">
        <v>97</v>
      </c>
      <c r="J19" s="10" t="n">
        <v>46227</v>
      </c>
      <c r="K19" s="1" t="s">
        <v>170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649</v>
      </c>
      <c r="B20" s="1" t="s">
        <v>172</v>
      </c>
      <c r="C20" s="1" t="s">
        <v>37</v>
      </c>
      <c r="D20" s="1" t="s">
        <v>173</v>
      </c>
      <c r="E20" s="1" t="s">
        <v>119</v>
      </c>
      <c r="F20" s="1" t="s">
        <v>160</v>
      </c>
      <c r="G20" s="1" t="s">
        <v>816</v>
      </c>
      <c r="H20" s="8" t="s">
        <v>85</v>
      </c>
      <c r="I20" s="8" t="s">
        <v>97</v>
      </c>
      <c r="J20" s="10" t="n">
        <v>46227</v>
      </c>
      <c r="K20" s="1" t="s">
        <v>174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651</v>
      </c>
      <c r="B21" s="1" t="s">
        <v>176</v>
      </c>
      <c r="C21" s="1" t="s">
        <v>37</v>
      </c>
      <c r="D21" s="1" t="s">
        <v>177</v>
      </c>
      <c r="E21" s="1" t="s">
        <v>119</v>
      </c>
      <c r="F21" s="1" t="s">
        <v>178</v>
      </c>
      <c r="G21" s="1" t="s">
        <v>818</v>
      </c>
      <c r="H21" s="8" t="s">
        <v>83</v>
      </c>
      <c r="I21" s="8" t="s">
        <v>98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653</v>
      </c>
      <c r="B22" s="1" t="s">
        <v>181</v>
      </c>
      <c r="C22" s="1" t="s">
        <v>37</v>
      </c>
      <c r="D22" s="1" t="s">
        <v>182</v>
      </c>
      <c r="E22" s="1" t="s">
        <v>119</v>
      </c>
      <c r="F22" s="1" t="s">
        <v>178</v>
      </c>
      <c r="G22" s="1" t="s">
        <v>819</v>
      </c>
      <c r="H22" s="8" t="s">
        <v>83</v>
      </c>
      <c r="I22" s="8" t="s">
        <v>98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656</v>
      </c>
      <c r="B23" s="1" t="s">
        <v>185</v>
      </c>
      <c r="C23" s="1" t="s">
        <v>37</v>
      </c>
      <c r="D23" s="1" t="s">
        <v>186</v>
      </c>
      <c r="E23" s="1" t="s">
        <v>187</v>
      </c>
      <c r="F23" s="1" t="s">
        <v>187</v>
      </c>
      <c r="G23" s="1" t="s">
        <v>188</v>
      </c>
      <c r="H23" s="8" t="s">
        <v>83</v>
      </c>
      <c r="I23" s="8" t="s">
        <v>98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658</v>
      </c>
      <c r="B24" s="1" t="s">
        <v>190</v>
      </c>
      <c r="C24" s="1" t="s">
        <v>37</v>
      </c>
      <c r="D24" s="1" t="s">
        <v>191</v>
      </c>
      <c r="E24" s="1" t="s">
        <v>119</v>
      </c>
      <c r="F24" s="1" t="s">
        <v>119</v>
      </c>
      <c r="G24" s="1" t="s">
        <v>192</v>
      </c>
      <c r="H24" s="8" t="s">
        <v>83</v>
      </c>
      <c r="I24" s="8" t="s">
        <v>98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820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101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54" hidden="false" customHeight="true" outlineLevel="0" collapsed="false">
      <c r="A9" s="12" t="s">
        <v>821</v>
      </c>
      <c r="B9" s="12" t="s">
        <v>116</v>
      </c>
      <c r="C9" s="12" t="s">
        <v>822</v>
      </c>
      <c r="D9" s="13" t="s">
        <v>823</v>
      </c>
      <c r="E9" s="12" t="s">
        <v>119</v>
      </c>
      <c r="F9" s="12" t="s">
        <v>120</v>
      </c>
      <c r="G9" s="13" t="s">
        <v>824</v>
      </c>
      <c r="H9" s="12" t="s">
        <v>83</v>
      </c>
      <c r="I9" s="12" t="s">
        <v>98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825</v>
      </c>
      <c r="B10" s="12" t="s">
        <v>123</v>
      </c>
      <c r="C10" s="12" t="s">
        <v>40</v>
      </c>
      <c r="D10" s="13" t="s">
        <v>826</v>
      </c>
      <c r="E10" s="12" t="s">
        <v>119</v>
      </c>
      <c r="F10" s="12" t="s">
        <v>119</v>
      </c>
      <c r="G10" s="13" t="s">
        <v>567</v>
      </c>
      <c r="H10" s="12" t="s">
        <v>83</v>
      </c>
      <c r="I10" s="12" t="s">
        <v>98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827</v>
      </c>
      <c r="B11" s="12" t="s">
        <v>127</v>
      </c>
      <c r="C11" s="12" t="s">
        <v>822</v>
      </c>
      <c r="D11" s="13" t="s">
        <v>828</v>
      </c>
      <c r="E11" s="12" t="s">
        <v>119</v>
      </c>
      <c r="F11" s="12" t="s">
        <v>129</v>
      </c>
      <c r="G11" s="13" t="s">
        <v>829</v>
      </c>
      <c r="H11" s="12" t="s">
        <v>83</v>
      </c>
      <c r="I11" s="12" t="s">
        <v>98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830</v>
      </c>
      <c r="B12" s="12" t="s">
        <v>132</v>
      </c>
      <c r="C12" s="12" t="s">
        <v>822</v>
      </c>
      <c r="D12" s="13" t="s">
        <v>831</v>
      </c>
      <c r="E12" s="12" t="s">
        <v>119</v>
      </c>
      <c r="F12" s="12" t="s">
        <v>134</v>
      </c>
      <c r="G12" s="13" t="s">
        <v>832</v>
      </c>
      <c r="H12" s="12" t="s">
        <v>83</v>
      </c>
      <c r="I12" s="12" t="s">
        <v>98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833</v>
      </c>
      <c r="B13" s="12" t="s">
        <v>137</v>
      </c>
      <c r="C13" s="12" t="s">
        <v>822</v>
      </c>
      <c r="D13" s="13" t="s">
        <v>834</v>
      </c>
      <c r="E13" s="12" t="s">
        <v>119</v>
      </c>
      <c r="F13" s="12" t="s">
        <v>139</v>
      </c>
      <c r="G13" s="13" t="s">
        <v>835</v>
      </c>
      <c r="H13" s="12" t="s">
        <v>83</v>
      </c>
      <c r="I13" s="12" t="s">
        <v>98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836</v>
      </c>
      <c r="B14" s="12" t="s">
        <v>142</v>
      </c>
      <c r="C14" s="12" t="s">
        <v>767</v>
      </c>
      <c r="D14" s="13" t="s">
        <v>837</v>
      </c>
      <c r="E14" s="12" t="s">
        <v>119</v>
      </c>
      <c r="F14" s="12" t="s">
        <v>144</v>
      </c>
      <c r="G14" s="13" t="s">
        <v>838</v>
      </c>
      <c r="H14" s="12" t="s">
        <v>83</v>
      </c>
      <c r="I14" s="12" t="s">
        <v>98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839</v>
      </c>
      <c r="B15" s="12" t="s">
        <v>142</v>
      </c>
      <c r="C15" s="12" t="s">
        <v>840</v>
      </c>
      <c r="D15" s="13" t="s">
        <v>841</v>
      </c>
      <c r="E15" s="12" t="s">
        <v>119</v>
      </c>
      <c r="F15" s="12" t="s">
        <v>144</v>
      </c>
      <c r="G15" s="13" t="s">
        <v>838</v>
      </c>
      <c r="H15" s="12" t="s">
        <v>83</v>
      </c>
      <c r="I15" s="12" t="s">
        <v>98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842</v>
      </c>
      <c r="B16" s="12" t="s">
        <v>147</v>
      </c>
      <c r="C16" s="12" t="s">
        <v>822</v>
      </c>
      <c r="D16" s="13" t="s">
        <v>843</v>
      </c>
      <c r="E16" s="12" t="s">
        <v>119</v>
      </c>
      <c r="F16" s="12" t="s">
        <v>149</v>
      </c>
      <c r="G16" s="13" t="s">
        <v>838</v>
      </c>
      <c r="H16" s="12" t="s">
        <v>83</v>
      </c>
      <c r="I16" s="12" t="s">
        <v>98</v>
      </c>
      <c r="J16" s="14" t="n">
        <v>46228</v>
      </c>
      <c r="K16" s="13" t="s">
        <v>781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844</v>
      </c>
      <c r="B17" s="12" t="s">
        <v>152</v>
      </c>
      <c r="C17" s="12" t="s">
        <v>822</v>
      </c>
      <c r="D17" s="13" t="s">
        <v>845</v>
      </c>
      <c r="E17" s="12" t="s">
        <v>119</v>
      </c>
      <c r="F17" s="12" t="s">
        <v>154</v>
      </c>
      <c r="G17" s="13" t="s">
        <v>846</v>
      </c>
      <c r="H17" s="12" t="s">
        <v>85</v>
      </c>
      <c r="I17" s="12" t="s">
        <v>97</v>
      </c>
      <c r="J17" s="14" t="n">
        <v>46228</v>
      </c>
      <c r="K17" s="13" t="s">
        <v>847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848</v>
      </c>
      <c r="B18" s="12" t="s">
        <v>158</v>
      </c>
      <c r="C18" s="12" t="s">
        <v>822</v>
      </c>
      <c r="D18" s="13" t="s">
        <v>849</v>
      </c>
      <c r="E18" s="12" t="s">
        <v>119</v>
      </c>
      <c r="F18" s="12" t="s">
        <v>160</v>
      </c>
      <c r="G18" s="13" t="s">
        <v>850</v>
      </c>
      <c r="H18" s="12" t="s">
        <v>81</v>
      </c>
      <c r="I18" s="12" t="s">
        <v>97</v>
      </c>
      <c r="J18" s="14"/>
      <c r="K18" s="13" t="s">
        <v>785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851</v>
      </c>
      <c r="B19" s="12" t="s">
        <v>164</v>
      </c>
      <c r="C19" s="12" t="s">
        <v>822</v>
      </c>
      <c r="D19" s="13" t="s">
        <v>852</v>
      </c>
      <c r="E19" s="12" t="s">
        <v>119</v>
      </c>
      <c r="F19" s="12" t="s">
        <v>160</v>
      </c>
      <c r="G19" s="13" t="s">
        <v>853</v>
      </c>
      <c r="H19" s="12" t="s">
        <v>81</v>
      </c>
      <c r="I19" s="12" t="s">
        <v>97</v>
      </c>
      <c r="J19" s="14" t="n">
        <v>46227</v>
      </c>
      <c r="K19" s="13" t="s">
        <v>789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854</v>
      </c>
      <c r="B20" s="12" t="s">
        <v>647</v>
      </c>
      <c r="C20" s="12" t="s">
        <v>822</v>
      </c>
      <c r="D20" s="13" t="s">
        <v>855</v>
      </c>
      <c r="E20" s="12" t="s">
        <v>119</v>
      </c>
      <c r="F20" s="12" t="s">
        <v>144</v>
      </c>
      <c r="G20" s="13" t="s">
        <v>838</v>
      </c>
      <c r="H20" s="12" t="s">
        <v>83</v>
      </c>
      <c r="I20" s="12" t="s">
        <v>98</v>
      </c>
      <c r="J20" s="14" t="n">
        <v>46228</v>
      </c>
      <c r="K20" s="13" t="s">
        <v>794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856</v>
      </c>
      <c r="B21" s="12" t="s">
        <v>172</v>
      </c>
      <c r="C21" s="12" t="s">
        <v>822</v>
      </c>
      <c r="D21" s="13" t="s">
        <v>857</v>
      </c>
      <c r="E21" s="12" t="s">
        <v>119</v>
      </c>
      <c r="F21" s="12" t="s">
        <v>160</v>
      </c>
      <c r="G21" s="13" t="s">
        <v>850</v>
      </c>
      <c r="H21" s="12" t="s">
        <v>81</v>
      </c>
      <c r="I21" s="12" t="s">
        <v>97</v>
      </c>
      <c r="J21" s="14" t="n">
        <v>46227</v>
      </c>
      <c r="K21" s="13" t="s">
        <v>794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858</v>
      </c>
      <c r="B22" s="12" t="s">
        <v>176</v>
      </c>
      <c r="C22" s="12" t="s">
        <v>40</v>
      </c>
      <c r="D22" s="13" t="s">
        <v>859</v>
      </c>
      <c r="E22" s="12" t="s">
        <v>119</v>
      </c>
      <c r="F22" s="12" t="s">
        <v>178</v>
      </c>
      <c r="G22" s="13" t="s">
        <v>860</v>
      </c>
      <c r="H22" s="12" t="s">
        <v>83</v>
      </c>
      <c r="I22" s="12" t="s">
        <v>98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861</v>
      </c>
      <c r="B23" s="12" t="s">
        <v>181</v>
      </c>
      <c r="C23" s="12" t="s">
        <v>40</v>
      </c>
      <c r="D23" s="13" t="s">
        <v>862</v>
      </c>
      <c r="E23" s="12" t="s">
        <v>119</v>
      </c>
      <c r="F23" s="12" t="s">
        <v>178</v>
      </c>
      <c r="G23" s="13" t="s">
        <v>863</v>
      </c>
      <c r="H23" s="12" t="s">
        <v>83</v>
      </c>
      <c r="I23" s="12" t="s">
        <v>98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864</v>
      </c>
      <c r="B24" s="12" t="s">
        <v>185</v>
      </c>
      <c r="C24" s="12" t="s">
        <v>822</v>
      </c>
      <c r="D24" s="13" t="s">
        <v>865</v>
      </c>
      <c r="E24" s="12" t="s">
        <v>187</v>
      </c>
      <c r="F24" s="12" t="s">
        <v>187</v>
      </c>
      <c r="G24" s="13" t="s">
        <v>188</v>
      </c>
      <c r="H24" s="12" t="s">
        <v>83</v>
      </c>
      <c r="I24" s="12" t="s">
        <v>98</v>
      </c>
      <c r="J24" s="14" t="n">
        <v>46228</v>
      </c>
      <c r="K24" s="13" t="s">
        <v>807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866</v>
      </c>
      <c r="B25" s="12" t="s">
        <v>190</v>
      </c>
      <c r="C25" s="12" t="s">
        <v>40</v>
      </c>
      <c r="D25" s="13" t="s">
        <v>867</v>
      </c>
      <c r="E25" s="12" t="s">
        <v>119</v>
      </c>
      <c r="F25" s="12" t="s">
        <v>119</v>
      </c>
      <c r="G25" s="13" t="s">
        <v>868</v>
      </c>
      <c r="H25" s="12" t="s">
        <v>81</v>
      </c>
      <c r="I25" s="12" t="s">
        <v>97</v>
      </c>
      <c r="J25" s="14" t="n">
        <v>46228</v>
      </c>
      <c r="K25" s="13" t="s">
        <v>807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870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101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103</v>
      </c>
      <c r="B8" s="1" t="s">
        <v>104</v>
      </c>
      <c r="C8" s="1" t="s">
        <v>105</v>
      </c>
      <c r="D8" s="1" t="s">
        <v>106</v>
      </c>
      <c r="E8" s="1" t="s">
        <v>107</v>
      </c>
      <c r="F8" s="1" t="s">
        <v>108</v>
      </c>
      <c r="G8" s="1" t="s">
        <v>109</v>
      </c>
      <c r="H8" s="1" t="s">
        <v>110</v>
      </c>
      <c r="I8" s="1" t="s">
        <v>111</v>
      </c>
      <c r="J8" s="10" t="s">
        <v>112</v>
      </c>
      <c r="K8" s="1" t="s">
        <v>113</v>
      </c>
      <c r="L8" s="1" t="s">
        <v>114</v>
      </c>
      <c r="M8" s="1" t="s">
        <v>101</v>
      </c>
    </row>
    <row r="9" customFormat="false" ht="54" hidden="false" customHeight="true" outlineLevel="0" collapsed="false">
      <c r="A9" s="12" t="s">
        <v>291</v>
      </c>
      <c r="B9" s="12" t="s">
        <v>116</v>
      </c>
      <c r="C9" s="12" t="s">
        <v>41</v>
      </c>
      <c r="D9" s="13" t="s">
        <v>871</v>
      </c>
      <c r="E9" s="12" t="s">
        <v>119</v>
      </c>
      <c r="F9" s="12" t="s">
        <v>120</v>
      </c>
      <c r="G9" s="13" t="s">
        <v>872</v>
      </c>
      <c r="H9" s="12" t="s">
        <v>83</v>
      </c>
      <c r="I9" s="12" t="s">
        <v>98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293</v>
      </c>
      <c r="B10" s="12" t="s">
        <v>123</v>
      </c>
      <c r="C10" s="12" t="s">
        <v>41</v>
      </c>
      <c r="D10" s="13" t="s">
        <v>873</v>
      </c>
      <c r="E10" s="12" t="s">
        <v>119</v>
      </c>
      <c r="F10" s="12" t="s">
        <v>119</v>
      </c>
      <c r="G10" s="13" t="s">
        <v>567</v>
      </c>
      <c r="H10" s="12" t="s">
        <v>83</v>
      </c>
      <c r="I10" s="12" t="s">
        <v>98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294</v>
      </c>
      <c r="B11" s="12" t="s">
        <v>127</v>
      </c>
      <c r="C11" s="12" t="s">
        <v>41</v>
      </c>
      <c r="D11" s="13" t="s">
        <v>874</v>
      </c>
      <c r="E11" s="12" t="s">
        <v>119</v>
      </c>
      <c r="F11" s="12" t="s">
        <v>129</v>
      </c>
      <c r="G11" s="13" t="s">
        <v>875</v>
      </c>
      <c r="H11" s="12" t="s">
        <v>83</v>
      </c>
      <c r="I11" s="12" t="s">
        <v>98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296</v>
      </c>
      <c r="B12" s="12" t="s">
        <v>132</v>
      </c>
      <c r="C12" s="12" t="s">
        <v>41</v>
      </c>
      <c r="D12" s="13" t="s">
        <v>876</v>
      </c>
      <c r="E12" s="12" t="s">
        <v>119</v>
      </c>
      <c r="F12" s="12" t="s">
        <v>134</v>
      </c>
      <c r="G12" s="13" t="s">
        <v>877</v>
      </c>
      <c r="H12" s="12" t="s">
        <v>83</v>
      </c>
      <c r="I12" s="12" t="s">
        <v>98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298</v>
      </c>
      <c r="B13" s="12" t="s">
        <v>137</v>
      </c>
      <c r="C13" s="12" t="s">
        <v>41</v>
      </c>
      <c r="D13" s="13" t="s">
        <v>878</v>
      </c>
      <c r="E13" s="12" t="s">
        <v>119</v>
      </c>
      <c r="F13" s="12" t="s">
        <v>139</v>
      </c>
      <c r="G13" s="13" t="s">
        <v>879</v>
      </c>
      <c r="H13" s="12" t="s">
        <v>83</v>
      </c>
      <c r="I13" s="12" t="s">
        <v>98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300</v>
      </c>
      <c r="B14" s="12" t="s">
        <v>142</v>
      </c>
      <c r="C14" s="12" t="s">
        <v>41</v>
      </c>
      <c r="D14" s="13" t="s">
        <v>880</v>
      </c>
      <c r="E14" s="12" t="s">
        <v>119</v>
      </c>
      <c r="F14" s="12" t="s">
        <v>144</v>
      </c>
      <c r="G14" s="13" t="s">
        <v>881</v>
      </c>
      <c r="H14" s="12" t="s">
        <v>83</v>
      </c>
      <c r="I14" s="12" t="s">
        <v>98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302</v>
      </c>
      <c r="B15" s="12" t="s">
        <v>147</v>
      </c>
      <c r="C15" s="12" t="s">
        <v>41</v>
      </c>
      <c r="D15" s="13" t="s">
        <v>882</v>
      </c>
      <c r="E15" s="12" t="s">
        <v>119</v>
      </c>
      <c r="F15" s="12" t="s">
        <v>149</v>
      </c>
      <c r="G15" s="13" t="s">
        <v>881</v>
      </c>
      <c r="H15" s="12" t="s">
        <v>83</v>
      </c>
      <c r="I15" s="12" t="s">
        <v>98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304</v>
      </c>
      <c r="B16" s="12" t="s">
        <v>152</v>
      </c>
      <c r="C16" s="12" t="s">
        <v>41</v>
      </c>
      <c r="D16" s="13" t="s">
        <v>883</v>
      </c>
      <c r="E16" s="12" t="s">
        <v>119</v>
      </c>
      <c r="F16" s="12" t="s">
        <v>154</v>
      </c>
      <c r="G16" s="13" t="s">
        <v>884</v>
      </c>
      <c r="H16" s="12" t="s">
        <v>85</v>
      </c>
      <c r="I16" s="12" t="s">
        <v>97</v>
      </c>
      <c r="J16" s="14" t="n">
        <v>46228</v>
      </c>
      <c r="K16" s="13" t="s">
        <v>885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306</v>
      </c>
      <c r="B17" s="12" t="s">
        <v>158</v>
      </c>
      <c r="C17" s="12" t="s">
        <v>41</v>
      </c>
      <c r="D17" s="13" t="s">
        <v>886</v>
      </c>
      <c r="E17" s="12" t="s">
        <v>119</v>
      </c>
      <c r="F17" s="12" t="s">
        <v>160</v>
      </c>
      <c r="G17" s="13" t="s">
        <v>887</v>
      </c>
      <c r="H17" s="12" t="s">
        <v>81</v>
      </c>
      <c r="I17" s="12" t="s">
        <v>97</v>
      </c>
      <c r="J17" s="14"/>
      <c r="K17" s="13" t="s">
        <v>888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308</v>
      </c>
      <c r="B18" s="12" t="s">
        <v>164</v>
      </c>
      <c r="C18" s="12" t="s">
        <v>41</v>
      </c>
      <c r="D18" s="13" t="s">
        <v>889</v>
      </c>
      <c r="E18" s="12" t="s">
        <v>119</v>
      </c>
      <c r="F18" s="12" t="s">
        <v>160</v>
      </c>
      <c r="G18" s="13" t="s">
        <v>890</v>
      </c>
      <c r="H18" s="12" t="s">
        <v>81</v>
      </c>
      <c r="I18" s="12" t="s">
        <v>97</v>
      </c>
      <c r="J18" s="14"/>
      <c r="K18" s="13" t="s">
        <v>789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309</v>
      </c>
      <c r="B19" s="12" t="s">
        <v>647</v>
      </c>
      <c r="C19" s="12" t="s">
        <v>41</v>
      </c>
      <c r="D19" s="13" t="s">
        <v>891</v>
      </c>
      <c r="E19" s="12" t="s">
        <v>119</v>
      </c>
      <c r="F19" s="12" t="s">
        <v>144</v>
      </c>
      <c r="G19" s="13" t="s">
        <v>881</v>
      </c>
      <c r="H19" s="12" t="s">
        <v>83</v>
      </c>
      <c r="I19" s="12" t="s">
        <v>98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311</v>
      </c>
      <c r="B20" s="12" t="s">
        <v>172</v>
      </c>
      <c r="C20" s="12" t="s">
        <v>41</v>
      </c>
      <c r="D20" s="13" t="s">
        <v>892</v>
      </c>
      <c r="E20" s="12" t="s">
        <v>119</v>
      </c>
      <c r="F20" s="12" t="s">
        <v>160</v>
      </c>
      <c r="G20" s="13" t="s">
        <v>887</v>
      </c>
      <c r="H20" s="12" t="s">
        <v>81</v>
      </c>
      <c r="I20" s="12" t="s">
        <v>97</v>
      </c>
      <c r="J20" s="14"/>
      <c r="K20" s="13" t="s">
        <v>893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312</v>
      </c>
      <c r="B21" s="12" t="s">
        <v>176</v>
      </c>
      <c r="C21" s="12" t="s">
        <v>41</v>
      </c>
      <c r="D21" s="13" t="s">
        <v>894</v>
      </c>
      <c r="E21" s="12" t="s">
        <v>119</v>
      </c>
      <c r="F21" s="12" t="s">
        <v>178</v>
      </c>
      <c r="G21" s="13" t="s">
        <v>895</v>
      </c>
      <c r="H21" s="12" t="s">
        <v>83</v>
      </c>
      <c r="I21" s="12" t="s">
        <v>98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314</v>
      </c>
      <c r="B22" s="12" t="s">
        <v>181</v>
      </c>
      <c r="C22" s="12" t="s">
        <v>41</v>
      </c>
      <c r="D22" s="13" t="s">
        <v>896</v>
      </c>
      <c r="E22" s="12" t="s">
        <v>119</v>
      </c>
      <c r="F22" s="12" t="s">
        <v>178</v>
      </c>
      <c r="G22" s="13" t="s">
        <v>897</v>
      </c>
      <c r="H22" s="12" t="s">
        <v>83</v>
      </c>
      <c r="I22" s="12" t="s">
        <v>98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316</v>
      </c>
      <c r="B23" s="12" t="s">
        <v>185</v>
      </c>
      <c r="C23" s="12" t="s">
        <v>41</v>
      </c>
      <c r="D23" s="13" t="s">
        <v>898</v>
      </c>
      <c r="E23" s="12" t="s">
        <v>187</v>
      </c>
      <c r="F23" s="12" t="s">
        <v>187</v>
      </c>
      <c r="G23" s="13" t="s">
        <v>188</v>
      </c>
      <c r="H23" s="12" t="s">
        <v>83</v>
      </c>
      <c r="I23" s="12" t="s">
        <v>98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317</v>
      </c>
      <c r="B24" s="12" t="s">
        <v>607</v>
      </c>
      <c r="C24" s="12" t="s">
        <v>41</v>
      </c>
      <c r="D24" s="13" t="s">
        <v>899</v>
      </c>
      <c r="E24" s="12" t="s">
        <v>119</v>
      </c>
      <c r="F24" s="12" t="s">
        <v>119</v>
      </c>
      <c r="G24" s="13" t="s">
        <v>900</v>
      </c>
      <c r="H24" s="12" t="s">
        <v>83</v>
      </c>
      <c r="I24" s="12" t="s">
        <v>98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901</v>
      </c>
      <c r="B25" s="12" t="s">
        <v>190</v>
      </c>
      <c r="C25" s="12" t="s">
        <v>41</v>
      </c>
      <c r="D25" s="13" t="s">
        <v>902</v>
      </c>
      <c r="E25" s="12" t="s">
        <v>119</v>
      </c>
      <c r="F25" s="12" t="s">
        <v>119</v>
      </c>
      <c r="G25" s="13" t="s">
        <v>903</v>
      </c>
      <c r="H25" s="12" t="s">
        <v>81</v>
      </c>
      <c r="I25" s="12" t="s">
        <v>97</v>
      </c>
      <c r="J25" s="14"/>
      <c r="K25" s="13" t="s">
        <v>807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101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103</v>
      </c>
      <c r="B8" s="1" t="s">
        <v>104</v>
      </c>
      <c r="C8" s="1" t="s">
        <v>105</v>
      </c>
      <c r="D8" s="1" t="s">
        <v>106</v>
      </c>
      <c r="E8" s="1" t="s">
        <v>107</v>
      </c>
      <c r="F8" s="1" t="s">
        <v>108</v>
      </c>
      <c r="G8" s="1" t="s">
        <v>109</v>
      </c>
      <c r="H8" s="1" t="s">
        <v>110</v>
      </c>
      <c r="I8" s="1" t="s">
        <v>111</v>
      </c>
      <c r="J8" s="10" t="s">
        <v>112</v>
      </c>
      <c r="K8" s="1" t="s">
        <v>113</v>
      </c>
      <c r="L8" s="1" t="s">
        <v>114</v>
      </c>
      <c r="M8" s="1" t="s">
        <v>101</v>
      </c>
    </row>
    <row r="9" customFormat="false" ht="54" hidden="false" customHeight="true" outlineLevel="0" collapsed="false">
      <c r="A9" s="12" t="s">
        <v>757</v>
      </c>
      <c r="B9" s="12" t="s">
        <v>116</v>
      </c>
      <c r="C9" s="12" t="s">
        <v>42</v>
      </c>
      <c r="D9" s="13" t="s">
        <v>906</v>
      </c>
      <c r="E9" s="12" t="s">
        <v>119</v>
      </c>
      <c r="F9" s="12" t="s">
        <v>120</v>
      </c>
      <c r="G9" s="13" t="s">
        <v>907</v>
      </c>
      <c r="H9" s="12" t="s">
        <v>83</v>
      </c>
      <c r="I9" s="12" t="s">
        <v>98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760</v>
      </c>
      <c r="B10" s="12" t="s">
        <v>123</v>
      </c>
      <c r="C10" s="12" t="s">
        <v>42</v>
      </c>
      <c r="D10" s="13" t="s">
        <v>908</v>
      </c>
      <c r="E10" s="12" t="s">
        <v>119</v>
      </c>
      <c r="F10" s="12" t="s">
        <v>119</v>
      </c>
      <c r="G10" s="13" t="s">
        <v>567</v>
      </c>
      <c r="H10" s="12" t="s">
        <v>83</v>
      </c>
      <c r="I10" s="12" t="s">
        <v>98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763</v>
      </c>
      <c r="B11" s="12" t="s">
        <v>127</v>
      </c>
      <c r="C11" s="12" t="s">
        <v>42</v>
      </c>
      <c r="D11" s="13" t="s">
        <v>909</v>
      </c>
      <c r="E11" s="12" t="s">
        <v>119</v>
      </c>
      <c r="F11" s="12" t="s">
        <v>129</v>
      </c>
      <c r="G11" s="13" t="s">
        <v>910</v>
      </c>
      <c r="H11" s="12" t="s">
        <v>83</v>
      </c>
      <c r="I11" s="12" t="s">
        <v>98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766</v>
      </c>
      <c r="B12" s="12" t="s">
        <v>132</v>
      </c>
      <c r="C12" s="12" t="s">
        <v>42</v>
      </c>
      <c r="D12" s="13" t="s">
        <v>911</v>
      </c>
      <c r="E12" s="12" t="s">
        <v>119</v>
      </c>
      <c r="F12" s="12" t="s">
        <v>134</v>
      </c>
      <c r="G12" s="13" t="s">
        <v>912</v>
      </c>
      <c r="H12" s="12" t="s">
        <v>83</v>
      </c>
      <c r="I12" s="12" t="s">
        <v>98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770</v>
      </c>
      <c r="B13" s="12" t="s">
        <v>137</v>
      </c>
      <c r="C13" s="12" t="s">
        <v>42</v>
      </c>
      <c r="D13" s="13" t="s">
        <v>913</v>
      </c>
      <c r="E13" s="12" t="s">
        <v>119</v>
      </c>
      <c r="F13" s="12" t="s">
        <v>139</v>
      </c>
      <c r="G13" s="13" t="s">
        <v>914</v>
      </c>
      <c r="H13" s="12" t="s">
        <v>83</v>
      </c>
      <c r="I13" s="12" t="s">
        <v>98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773</v>
      </c>
      <c r="B14" s="12" t="s">
        <v>142</v>
      </c>
      <c r="C14" s="12" t="s">
        <v>42</v>
      </c>
      <c r="D14" s="13" t="s">
        <v>915</v>
      </c>
      <c r="E14" s="12" t="s">
        <v>119</v>
      </c>
      <c r="F14" s="12" t="s">
        <v>144</v>
      </c>
      <c r="G14" s="13" t="s">
        <v>916</v>
      </c>
      <c r="H14" s="12" t="s">
        <v>83</v>
      </c>
      <c r="I14" s="12" t="s">
        <v>98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776</v>
      </c>
      <c r="B15" s="12" t="s">
        <v>147</v>
      </c>
      <c r="C15" s="12" t="s">
        <v>42</v>
      </c>
      <c r="D15" s="13" t="s">
        <v>917</v>
      </c>
      <c r="E15" s="12" t="s">
        <v>119</v>
      </c>
      <c r="F15" s="12" t="s">
        <v>149</v>
      </c>
      <c r="G15" s="13" t="s">
        <v>916</v>
      </c>
      <c r="H15" s="12" t="s">
        <v>83</v>
      </c>
      <c r="I15" s="12" t="s">
        <v>98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778</v>
      </c>
      <c r="B16" s="12" t="s">
        <v>152</v>
      </c>
      <c r="C16" s="12" t="s">
        <v>42</v>
      </c>
      <c r="D16" s="13" t="s">
        <v>918</v>
      </c>
      <c r="E16" s="12" t="s">
        <v>119</v>
      </c>
      <c r="F16" s="12" t="s">
        <v>154</v>
      </c>
      <c r="G16" s="13" t="s">
        <v>919</v>
      </c>
      <c r="H16" s="12" t="s">
        <v>85</v>
      </c>
      <c r="I16" s="12" t="s">
        <v>97</v>
      </c>
      <c r="J16" s="14" t="n">
        <v>46228</v>
      </c>
      <c r="K16" s="13" t="s">
        <v>920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782</v>
      </c>
      <c r="B17" s="12" t="s">
        <v>158</v>
      </c>
      <c r="C17" s="12" t="s">
        <v>42</v>
      </c>
      <c r="D17" s="13" t="s">
        <v>921</v>
      </c>
      <c r="E17" s="12" t="s">
        <v>119</v>
      </c>
      <c r="F17" s="12" t="s">
        <v>160</v>
      </c>
      <c r="G17" s="13" t="s">
        <v>922</v>
      </c>
      <c r="H17" s="12" t="s">
        <v>81</v>
      </c>
      <c r="I17" s="12" t="s">
        <v>97</v>
      </c>
      <c r="J17" s="14"/>
      <c r="K17" s="13" t="s">
        <v>888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786</v>
      </c>
      <c r="B18" s="12" t="s">
        <v>164</v>
      </c>
      <c r="C18" s="12" t="s">
        <v>42</v>
      </c>
      <c r="D18" s="13" t="s">
        <v>923</v>
      </c>
      <c r="E18" s="12" t="s">
        <v>119</v>
      </c>
      <c r="F18" s="12" t="s">
        <v>160</v>
      </c>
      <c r="G18" s="13" t="s">
        <v>924</v>
      </c>
      <c r="H18" s="12" t="s">
        <v>81</v>
      </c>
      <c r="I18" s="12" t="s">
        <v>97</v>
      </c>
      <c r="J18" s="14"/>
      <c r="K18" s="13" t="s">
        <v>789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790</v>
      </c>
      <c r="B19" s="12" t="s">
        <v>647</v>
      </c>
      <c r="C19" s="12" t="s">
        <v>42</v>
      </c>
      <c r="D19" s="13" t="s">
        <v>925</v>
      </c>
      <c r="E19" s="12" t="s">
        <v>119</v>
      </c>
      <c r="F19" s="12" t="s">
        <v>144</v>
      </c>
      <c r="G19" s="13" t="s">
        <v>916</v>
      </c>
      <c r="H19" s="12" t="s">
        <v>83</v>
      </c>
      <c r="I19" s="12" t="s">
        <v>98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792</v>
      </c>
      <c r="B20" s="12" t="s">
        <v>172</v>
      </c>
      <c r="C20" s="12" t="s">
        <v>42</v>
      </c>
      <c r="D20" s="13" t="s">
        <v>926</v>
      </c>
      <c r="E20" s="12" t="s">
        <v>119</v>
      </c>
      <c r="F20" s="12" t="s">
        <v>160</v>
      </c>
      <c r="G20" s="13" t="s">
        <v>922</v>
      </c>
      <c r="H20" s="12" t="s">
        <v>81</v>
      </c>
      <c r="I20" s="12" t="s">
        <v>97</v>
      </c>
      <c r="J20" s="14"/>
      <c r="K20" s="13" t="s">
        <v>893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795</v>
      </c>
      <c r="B21" s="12" t="s">
        <v>176</v>
      </c>
      <c r="C21" s="12" t="s">
        <v>42</v>
      </c>
      <c r="D21" s="13" t="s">
        <v>927</v>
      </c>
      <c r="E21" s="12" t="s">
        <v>119</v>
      </c>
      <c r="F21" s="12" t="s">
        <v>178</v>
      </c>
      <c r="G21" s="13" t="s">
        <v>928</v>
      </c>
      <c r="H21" s="12" t="s">
        <v>83</v>
      </c>
      <c r="I21" s="12" t="s">
        <v>98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798</v>
      </c>
      <c r="B22" s="12" t="s">
        <v>181</v>
      </c>
      <c r="C22" s="12" t="s">
        <v>42</v>
      </c>
      <c r="D22" s="13" t="s">
        <v>929</v>
      </c>
      <c r="E22" s="12" t="s">
        <v>119</v>
      </c>
      <c r="F22" s="12" t="s">
        <v>178</v>
      </c>
      <c r="G22" s="13" t="s">
        <v>930</v>
      </c>
      <c r="H22" s="12" t="s">
        <v>83</v>
      </c>
      <c r="I22" s="12" t="s">
        <v>98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801</v>
      </c>
      <c r="B23" s="12" t="s">
        <v>185</v>
      </c>
      <c r="C23" s="12" t="s">
        <v>42</v>
      </c>
      <c r="D23" s="13" t="s">
        <v>931</v>
      </c>
      <c r="E23" s="12" t="s">
        <v>187</v>
      </c>
      <c r="F23" s="12" t="s">
        <v>187</v>
      </c>
      <c r="G23" s="13" t="s">
        <v>188</v>
      </c>
      <c r="H23" s="12" t="s">
        <v>83</v>
      </c>
      <c r="I23" s="12" t="s">
        <v>98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804</v>
      </c>
      <c r="B24" s="12" t="s">
        <v>607</v>
      </c>
      <c r="C24" s="12" t="s">
        <v>42</v>
      </c>
      <c r="D24" s="13" t="s">
        <v>932</v>
      </c>
      <c r="E24" s="12" t="s">
        <v>119</v>
      </c>
      <c r="F24" s="12" t="s">
        <v>119</v>
      </c>
      <c r="G24" s="13" t="s">
        <v>933</v>
      </c>
      <c r="H24" s="12" t="s">
        <v>83</v>
      </c>
      <c r="I24" s="12" t="s">
        <v>98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934</v>
      </c>
      <c r="B25" s="12" t="s">
        <v>190</v>
      </c>
      <c r="C25" s="12" t="s">
        <v>42</v>
      </c>
      <c r="D25" s="13" t="s">
        <v>935</v>
      </c>
      <c r="E25" s="12" t="s">
        <v>119</v>
      </c>
      <c r="F25" s="12" t="s">
        <v>119</v>
      </c>
      <c r="G25" s="13" t="s">
        <v>936</v>
      </c>
      <c r="H25" s="12" t="s">
        <v>81</v>
      </c>
      <c r="I25" s="12" t="s">
        <v>97</v>
      </c>
      <c r="J25" s="14"/>
      <c r="K25" s="13" t="s">
        <v>807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938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101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103</v>
      </c>
      <c r="B8" s="1" t="s">
        <v>104</v>
      </c>
      <c r="C8" s="1" t="s">
        <v>105</v>
      </c>
      <c r="D8" s="1" t="s">
        <v>106</v>
      </c>
      <c r="E8" s="1" t="s">
        <v>107</v>
      </c>
      <c r="F8" s="1" t="s">
        <v>108</v>
      </c>
      <c r="G8" s="1" t="s">
        <v>109</v>
      </c>
      <c r="H8" s="1" t="s">
        <v>110</v>
      </c>
      <c r="I8" s="1" t="s">
        <v>111</v>
      </c>
      <c r="J8" s="10" t="s">
        <v>112</v>
      </c>
      <c r="K8" s="1" t="s">
        <v>113</v>
      </c>
      <c r="L8" s="1" t="s">
        <v>114</v>
      </c>
      <c r="M8" s="1" t="s">
        <v>101</v>
      </c>
    </row>
    <row r="9" customFormat="false" ht="54" hidden="false" customHeight="true" outlineLevel="0" collapsed="false">
      <c r="A9" s="12" t="s">
        <v>360</v>
      </c>
      <c r="B9" s="12" t="s">
        <v>116</v>
      </c>
      <c r="C9" s="12" t="s">
        <v>43</v>
      </c>
      <c r="D9" s="13" t="s">
        <v>939</v>
      </c>
      <c r="E9" s="12" t="s">
        <v>119</v>
      </c>
      <c r="F9" s="12" t="s">
        <v>120</v>
      </c>
      <c r="G9" s="13" t="s">
        <v>940</v>
      </c>
      <c r="H9" s="12" t="s">
        <v>83</v>
      </c>
      <c r="I9" s="12" t="s">
        <v>98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362</v>
      </c>
      <c r="B10" s="12" t="s">
        <v>123</v>
      </c>
      <c r="C10" s="12" t="s">
        <v>43</v>
      </c>
      <c r="D10" s="13" t="s">
        <v>941</v>
      </c>
      <c r="E10" s="12" t="s">
        <v>119</v>
      </c>
      <c r="F10" s="12" t="s">
        <v>119</v>
      </c>
      <c r="G10" s="13" t="s">
        <v>567</v>
      </c>
      <c r="H10" s="12" t="s">
        <v>83</v>
      </c>
      <c r="I10" s="12" t="s">
        <v>98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363</v>
      </c>
      <c r="B11" s="12" t="s">
        <v>127</v>
      </c>
      <c r="C11" s="12" t="s">
        <v>43</v>
      </c>
      <c r="D11" s="13" t="s">
        <v>942</v>
      </c>
      <c r="E11" s="12" t="s">
        <v>119</v>
      </c>
      <c r="F11" s="12" t="s">
        <v>129</v>
      </c>
      <c r="G11" s="13" t="s">
        <v>943</v>
      </c>
      <c r="H11" s="12" t="s">
        <v>83</v>
      </c>
      <c r="I11" s="12" t="s">
        <v>98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365</v>
      </c>
      <c r="B12" s="12" t="s">
        <v>132</v>
      </c>
      <c r="C12" s="12" t="s">
        <v>43</v>
      </c>
      <c r="D12" s="13" t="s">
        <v>944</v>
      </c>
      <c r="E12" s="12" t="s">
        <v>119</v>
      </c>
      <c r="F12" s="12" t="s">
        <v>134</v>
      </c>
      <c r="G12" s="13" t="s">
        <v>945</v>
      </c>
      <c r="H12" s="12" t="s">
        <v>83</v>
      </c>
      <c r="I12" s="12" t="s">
        <v>98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367</v>
      </c>
      <c r="B13" s="12" t="s">
        <v>137</v>
      </c>
      <c r="C13" s="12" t="s">
        <v>43</v>
      </c>
      <c r="D13" s="13" t="s">
        <v>946</v>
      </c>
      <c r="E13" s="12" t="s">
        <v>119</v>
      </c>
      <c r="F13" s="12" t="s">
        <v>139</v>
      </c>
      <c r="G13" s="13" t="s">
        <v>947</v>
      </c>
      <c r="H13" s="12" t="s">
        <v>83</v>
      </c>
      <c r="I13" s="12" t="s">
        <v>98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369</v>
      </c>
      <c r="B14" s="12" t="s">
        <v>142</v>
      </c>
      <c r="C14" s="12" t="s">
        <v>43</v>
      </c>
      <c r="D14" s="13" t="s">
        <v>948</v>
      </c>
      <c r="E14" s="12" t="s">
        <v>119</v>
      </c>
      <c r="F14" s="12" t="s">
        <v>144</v>
      </c>
      <c r="G14" s="13" t="s">
        <v>949</v>
      </c>
      <c r="H14" s="12" t="s">
        <v>83</v>
      </c>
      <c r="I14" s="12" t="s">
        <v>98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371</v>
      </c>
      <c r="B15" s="12" t="s">
        <v>147</v>
      </c>
      <c r="C15" s="12" t="s">
        <v>43</v>
      </c>
      <c r="D15" s="13" t="s">
        <v>950</v>
      </c>
      <c r="E15" s="12" t="s">
        <v>119</v>
      </c>
      <c r="F15" s="12" t="s">
        <v>149</v>
      </c>
      <c r="G15" s="13" t="s">
        <v>949</v>
      </c>
      <c r="H15" s="12" t="s">
        <v>83</v>
      </c>
      <c r="I15" s="12" t="s">
        <v>98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373</v>
      </c>
      <c r="B16" s="12" t="s">
        <v>152</v>
      </c>
      <c r="C16" s="12" t="s">
        <v>43</v>
      </c>
      <c r="D16" s="13" t="s">
        <v>951</v>
      </c>
      <c r="E16" s="12" t="s">
        <v>119</v>
      </c>
      <c r="F16" s="12" t="s">
        <v>154</v>
      </c>
      <c r="G16" s="13" t="s">
        <v>952</v>
      </c>
      <c r="H16" s="12" t="s">
        <v>85</v>
      </c>
      <c r="I16" s="12" t="s">
        <v>97</v>
      </c>
      <c r="J16" s="14" t="n">
        <v>46228</v>
      </c>
      <c r="K16" s="13" t="s">
        <v>953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375</v>
      </c>
      <c r="B17" s="12" t="s">
        <v>158</v>
      </c>
      <c r="C17" s="12" t="s">
        <v>43</v>
      </c>
      <c r="D17" s="13" t="s">
        <v>954</v>
      </c>
      <c r="E17" s="12" t="s">
        <v>119</v>
      </c>
      <c r="F17" s="12" t="s">
        <v>160</v>
      </c>
      <c r="G17" s="13" t="s">
        <v>955</v>
      </c>
      <c r="H17" s="12" t="s">
        <v>81</v>
      </c>
      <c r="I17" s="12" t="s">
        <v>97</v>
      </c>
      <c r="J17" s="14"/>
      <c r="K17" s="13" t="s">
        <v>888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377</v>
      </c>
      <c r="B18" s="12" t="s">
        <v>164</v>
      </c>
      <c r="C18" s="12" t="s">
        <v>43</v>
      </c>
      <c r="D18" s="13" t="s">
        <v>956</v>
      </c>
      <c r="E18" s="12" t="s">
        <v>119</v>
      </c>
      <c r="F18" s="12" t="s">
        <v>160</v>
      </c>
      <c r="G18" s="13" t="s">
        <v>957</v>
      </c>
      <c r="H18" s="12" t="s">
        <v>81</v>
      </c>
      <c r="I18" s="12" t="s">
        <v>97</v>
      </c>
      <c r="J18" s="14"/>
      <c r="K18" s="13" t="s">
        <v>789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378</v>
      </c>
      <c r="B19" s="12" t="s">
        <v>647</v>
      </c>
      <c r="C19" s="12" t="s">
        <v>43</v>
      </c>
      <c r="D19" s="13" t="s">
        <v>958</v>
      </c>
      <c r="E19" s="12" t="s">
        <v>119</v>
      </c>
      <c r="F19" s="12" t="s">
        <v>144</v>
      </c>
      <c r="G19" s="13" t="s">
        <v>949</v>
      </c>
      <c r="H19" s="12" t="s">
        <v>83</v>
      </c>
      <c r="I19" s="12" t="s">
        <v>98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380</v>
      </c>
      <c r="B20" s="12" t="s">
        <v>172</v>
      </c>
      <c r="C20" s="12" t="s">
        <v>43</v>
      </c>
      <c r="D20" s="13" t="s">
        <v>959</v>
      </c>
      <c r="E20" s="12" t="s">
        <v>119</v>
      </c>
      <c r="F20" s="12" t="s">
        <v>160</v>
      </c>
      <c r="G20" s="13" t="s">
        <v>955</v>
      </c>
      <c r="H20" s="12" t="s">
        <v>81</v>
      </c>
      <c r="I20" s="12" t="s">
        <v>97</v>
      </c>
      <c r="J20" s="14"/>
      <c r="K20" s="13" t="s">
        <v>893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381</v>
      </c>
      <c r="B21" s="12" t="s">
        <v>176</v>
      </c>
      <c r="C21" s="12" t="s">
        <v>43</v>
      </c>
      <c r="D21" s="13" t="s">
        <v>960</v>
      </c>
      <c r="E21" s="12" t="s">
        <v>119</v>
      </c>
      <c r="F21" s="12" t="s">
        <v>178</v>
      </c>
      <c r="G21" s="13" t="s">
        <v>961</v>
      </c>
      <c r="H21" s="12" t="s">
        <v>83</v>
      </c>
      <c r="I21" s="12" t="s">
        <v>98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383</v>
      </c>
      <c r="B22" s="12" t="s">
        <v>181</v>
      </c>
      <c r="C22" s="12" t="s">
        <v>43</v>
      </c>
      <c r="D22" s="13" t="s">
        <v>962</v>
      </c>
      <c r="E22" s="12" t="s">
        <v>119</v>
      </c>
      <c r="F22" s="12" t="s">
        <v>178</v>
      </c>
      <c r="G22" s="13" t="s">
        <v>963</v>
      </c>
      <c r="H22" s="12" t="s">
        <v>83</v>
      </c>
      <c r="I22" s="12" t="s">
        <v>98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385</v>
      </c>
      <c r="B23" s="12" t="s">
        <v>185</v>
      </c>
      <c r="C23" s="12" t="s">
        <v>43</v>
      </c>
      <c r="D23" s="13" t="s">
        <v>964</v>
      </c>
      <c r="E23" s="12" t="s">
        <v>187</v>
      </c>
      <c r="F23" s="12" t="s">
        <v>187</v>
      </c>
      <c r="G23" s="13" t="s">
        <v>188</v>
      </c>
      <c r="H23" s="12" t="s">
        <v>83</v>
      </c>
      <c r="I23" s="12" t="s">
        <v>98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386</v>
      </c>
      <c r="B24" s="12" t="s">
        <v>607</v>
      </c>
      <c r="C24" s="12" t="s">
        <v>43</v>
      </c>
      <c r="D24" s="13" t="s">
        <v>965</v>
      </c>
      <c r="E24" s="12" t="s">
        <v>119</v>
      </c>
      <c r="F24" s="12" t="s">
        <v>119</v>
      </c>
      <c r="G24" s="13" t="s">
        <v>966</v>
      </c>
      <c r="H24" s="12" t="s">
        <v>83</v>
      </c>
      <c r="I24" s="12" t="s">
        <v>98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967</v>
      </c>
      <c r="B25" s="12" t="s">
        <v>190</v>
      </c>
      <c r="C25" s="12" t="s">
        <v>43</v>
      </c>
      <c r="D25" s="13" t="s">
        <v>968</v>
      </c>
      <c r="E25" s="12" t="s">
        <v>119</v>
      </c>
      <c r="F25" s="12" t="s">
        <v>119</v>
      </c>
      <c r="G25" s="13" t="s">
        <v>969</v>
      </c>
      <c r="H25" s="12" t="s">
        <v>81</v>
      </c>
      <c r="I25" s="12" t="s">
        <v>97</v>
      </c>
      <c r="J25" s="14"/>
      <c r="K25" s="13" t="s">
        <v>807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101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103</v>
      </c>
      <c r="B8" s="1" t="s">
        <v>104</v>
      </c>
      <c r="C8" s="1" t="s">
        <v>105</v>
      </c>
      <c r="D8" s="1" t="s">
        <v>106</v>
      </c>
      <c r="E8" s="1" t="s">
        <v>107</v>
      </c>
      <c r="F8" s="1" t="s">
        <v>108</v>
      </c>
      <c r="G8" s="1" t="s">
        <v>109</v>
      </c>
      <c r="H8" s="1" t="s">
        <v>110</v>
      </c>
      <c r="I8" s="1" t="s">
        <v>111</v>
      </c>
      <c r="J8" s="10" t="s">
        <v>112</v>
      </c>
      <c r="K8" s="1" t="s">
        <v>113</v>
      </c>
      <c r="L8" s="1" t="s">
        <v>114</v>
      </c>
      <c r="M8" s="1" t="s">
        <v>101</v>
      </c>
    </row>
    <row r="9" customFormat="false" ht="54" hidden="false" customHeight="true" outlineLevel="0" collapsed="false">
      <c r="A9" s="12" t="s">
        <v>972</v>
      </c>
      <c r="B9" s="12" t="s">
        <v>116</v>
      </c>
      <c r="C9" s="12" t="s">
        <v>44</v>
      </c>
      <c r="D9" s="13" t="s">
        <v>973</v>
      </c>
      <c r="E9" s="12" t="s">
        <v>119</v>
      </c>
      <c r="F9" s="12" t="s">
        <v>120</v>
      </c>
      <c r="G9" s="13" t="s">
        <v>974</v>
      </c>
      <c r="H9" s="12" t="s">
        <v>83</v>
      </c>
      <c r="I9" s="12" t="s">
        <v>98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975</v>
      </c>
      <c r="B10" s="12" t="s">
        <v>123</v>
      </c>
      <c r="C10" s="12" t="s">
        <v>44</v>
      </c>
      <c r="D10" s="13" t="s">
        <v>976</v>
      </c>
      <c r="E10" s="12" t="s">
        <v>119</v>
      </c>
      <c r="F10" s="12" t="s">
        <v>119</v>
      </c>
      <c r="G10" s="13" t="s">
        <v>567</v>
      </c>
      <c r="H10" s="12" t="s">
        <v>83</v>
      </c>
      <c r="I10" s="12" t="s">
        <v>98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977</v>
      </c>
      <c r="B11" s="12" t="s">
        <v>127</v>
      </c>
      <c r="C11" s="12" t="s">
        <v>44</v>
      </c>
      <c r="D11" s="13" t="s">
        <v>978</v>
      </c>
      <c r="E11" s="12" t="s">
        <v>119</v>
      </c>
      <c r="F11" s="12" t="s">
        <v>129</v>
      </c>
      <c r="G11" s="13" t="s">
        <v>979</v>
      </c>
      <c r="H11" s="12" t="s">
        <v>83</v>
      </c>
      <c r="I11" s="12" t="s">
        <v>98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980</v>
      </c>
      <c r="B12" s="12" t="s">
        <v>132</v>
      </c>
      <c r="C12" s="12" t="s">
        <v>44</v>
      </c>
      <c r="D12" s="13" t="s">
        <v>981</v>
      </c>
      <c r="E12" s="12" t="s">
        <v>119</v>
      </c>
      <c r="F12" s="12" t="s">
        <v>134</v>
      </c>
      <c r="G12" s="13" t="s">
        <v>982</v>
      </c>
      <c r="H12" s="12" t="s">
        <v>83</v>
      </c>
      <c r="I12" s="12" t="s">
        <v>98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983</v>
      </c>
      <c r="B13" s="12" t="s">
        <v>137</v>
      </c>
      <c r="C13" s="12" t="s">
        <v>44</v>
      </c>
      <c r="D13" s="13" t="s">
        <v>984</v>
      </c>
      <c r="E13" s="12" t="s">
        <v>119</v>
      </c>
      <c r="F13" s="12" t="s">
        <v>139</v>
      </c>
      <c r="G13" s="13" t="s">
        <v>985</v>
      </c>
      <c r="H13" s="12" t="s">
        <v>83</v>
      </c>
      <c r="I13" s="12" t="s">
        <v>98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986</v>
      </c>
      <c r="B14" s="12" t="s">
        <v>142</v>
      </c>
      <c r="C14" s="12" t="s">
        <v>44</v>
      </c>
      <c r="D14" s="13" t="s">
        <v>987</v>
      </c>
      <c r="E14" s="12" t="s">
        <v>119</v>
      </c>
      <c r="F14" s="12" t="s">
        <v>144</v>
      </c>
      <c r="G14" s="13" t="s">
        <v>988</v>
      </c>
      <c r="H14" s="12" t="s">
        <v>83</v>
      </c>
      <c r="I14" s="12" t="s">
        <v>98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989</v>
      </c>
      <c r="B15" s="12" t="s">
        <v>147</v>
      </c>
      <c r="C15" s="12" t="s">
        <v>44</v>
      </c>
      <c r="D15" s="13" t="s">
        <v>990</v>
      </c>
      <c r="E15" s="12" t="s">
        <v>119</v>
      </c>
      <c r="F15" s="12" t="s">
        <v>149</v>
      </c>
      <c r="G15" s="13" t="s">
        <v>988</v>
      </c>
      <c r="H15" s="12" t="s">
        <v>83</v>
      </c>
      <c r="I15" s="12" t="s">
        <v>98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991</v>
      </c>
      <c r="B16" s="12" t="s">
        <v>152</v>
      </c>
      <c r="C16" s="12" t="s">
        <v>44</v>
      </c>
      <c r="D16" s="13" t="s">
        <v>992</v>
      </c>
      <c r="E16" s="12" t="s">
        <v>119</v>
      </c>
      <c r="F16" s="12" t="s">
        <v>154</v>
      </c>
      <c r="G16" s="13" t="s">
        <v>993</v>
      </c>
      <c r="H16" s="12" t="s">
        <v>85</v>
      </c>
      <c r="I16" s="12" t="s">
        <v>97</v>
      </c>
      <c r="J16" s="14" t="n">
        <v>46228</v>
      </c>
      <c r="K16" s="13" t="s">
        <v>994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995</v>
      </c>
      <c r="B17" s="12" t="s">
        <v>158</v>
      </c>
      <c r="C17" s="12" t="s">
        <v>44</v>
      </c>
      <c r="D17" s="13" t="s">
        <v>996</v>
      </c>
      <c r="E17" s="12" t="s">
        <v>119</v>
      </c>
      <c r="F17" s="12" t="s">
        <v>160</v>
      </c>
      <c r="G17" s="13" t="s">
        <v>997</v>
      </c>
      <c r="H17" s="12" t="s">
        <v>81</v>
      </c>
      <c r="I17" s="12" t="s">
        <v>97</v>
      </c>
      <c r="J17" s="14"/>
      <c r="K17" s="13" t="s">
        <v>888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998</v>
      </c>
      <c r="B18" s="12" t="s">
        <v>164</v>
      </c>
      <c r="C18" s="12" t="s">
        <v>44</v>
      </c>
      <c r="D18" s="13" t="s">
        <v>999</v>
      </c>
      <c r="E18" s="12" t="s">
        <v>119</v>
      </c>
      <c r="F18" s="12" t="s">
        <v>160</v>
      </c>
      <c r="G18" s="13" t="s">
        <v>1000</v>
      </c>
      <c r="H18" s="12" t="s">
        <v>81</v>
      </c>
      <c r="I18" s="12" t="s">
        <v>97</v>
      </c>
      <c r="J18" s="14"/>
      <c r="K18" s="13" t="s">
        <v>789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1001</v>
      </c>
      <c r="B19" s="12" t="s">
        <v>647</v>
      </c>
      <c r="C19" s="12" t="s">
        <v>44</v>
      </c>
      <c r="D19" s="13" t="s">
        <v>1002</v>
      </c>
      <c r="E19" s="12" t="s">
        <v>119</v>
      </c>
      <c r="F19" s="12" t="s">
        <v>144</v>
      </c>
      <c r="G19" s="13" t="s">
        <v>988</v>
      </c>
      <c r="H19" s="12" t="s">
        <v>83</v>
      </c>
      <c r="I19" s="12" t="s">
        <v>98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1003</v>
      </c>
      <c r="B20" s="12" t="s">
        <v>172</v>
      </c>
      <c r="C20" s="12" t="s">
        <v>44</v>
      </c>
      <c r="D20" s="13" t="s">
        <v>1004</v>
      </c>
      <c r="E20" s="12" t="s">
        <v>119</v>
      </c>
      <c r="F20" s="12" t="s">
        <v>160</v>
      </c>
      <c r="G20" s="13" t="s">
        <v>997</v>
      </c>
      <c r="H20" s="12" t="s">
        <v>81</v>
      </c>
      <c r="I20" s="12" t="s">
        <v>97</v>
      </c>
      <c r="J20" s="14"/>
      <c r="K20" s="13" t="s">
        <v>893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1005</v>
      </c>
      <c r="B21" s="12" t="s">
        <v>176</v>
      </c>
      <c r="C21" s="12" t="s">
        <v>44</v>
      </c>
      <c r="D21" s="13" t="s">
        <v>1006</v>
      </c>
      <c r="E21" s="12" t="s">
        <v>119</v>
      </c>
      <c r="F21" s="12" t="s">
        <v>178</v>
      </c>
      <c r="G21" s="13" t="s">
        <v>1007</v>
      </c>
      <c r="H21" s="12" t="s">
        <v>83</v>
      </c>
      <c r="I21" s="12" t="s">
        <v>98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1008</v>
      </c>
      <c r="B22" s="12" t="s">
        <v>181</v>
      </c>
      <c r="C22" s="12" t="s">
        <v>44</v>
      </c>
      <c r="D22" s="13" t="s">
        <v>1009</v>
      </c>
      <c r="E22" s="12" t="s">
        <v>119</v>
      </c>
      <c r="F22" s="12" t="s">
        <v>178</v>
      </c>
      <c r="G22" s="13" t="s">
        <v>1010</v>
      </c>
      <c r="H22" s="12" t="s">
        <v>83</v>
      </c>
      <c r="I22" s="12" t="s">
        <v>98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1011</v>
      </c>
      <c r="B23" s="12" t="s">
        <v>185</v>
      </c>
      <c r="C23" s="12" t="s">
        <v>44</v>
      </c>
      <c r="D23" s="13" t="s">
        <v>1012</v>
      </c>
      <c r="E23" s="12" t="s">
        <v>187</v>
      </c>
      <c r="F23" s="12" t="s">
        <v>187</v>
      </c>
      <c r="G23" s="13" t="s">
        <v>188</v>
      </c>
      <c r="H23" s="12" t="s">
        <v>83</v>
      </c>
      <c r="I23" s="12" t="s">
        <v>98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1013</v>
      </c>
      <c r="B24" s="12" t="s">
        <v>607</v>
      </c>
      <c r="C24" s="12" t="s">
        <v>44</v>
      </c>
      <c r="D24" s="13" t="s">
        <v>1014</v>
      </c>
      <c r="E24" s="12" t="s">
        <v>119</v>
      </c>
      <c r="F24" s="12" t="s">
        <v>119</v>
      </c>
      <c r="G24" s="13" t="s">
        <v>1015</v>
      </c>
      <c r="H24" s="12" t="s">
        <v>83</v>
      </c>
      <c r="I24" s="12" t="s">
        <v>98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1016</v>
      </c>
      <c r="B25" s="12" t="s">
        <v>190</v>
      </c>
      <c r="C25" s="12" t="s">
        <v>44</v>
      </c>
      <c r="D25" s="13" t="s">
        <v>1017</v>
      </c>
      <c r="E25" s="12" t="s">
        <v>119</v>
      </c>
      <c r="F25" s="12" t="s">
        <v>119</v>
      </c>
      <c r="G25" s="13" t="s">
        <v>1018</v>
      </c>
      <c r="H25" s="12" t="s">
        <v>81</v>
      </c>
      <c r="I25" s="12" t="s">
        <v>97</v>
      </c>
      <c r="J25" s="14"/>
      <c r="K25" s="13" t="s">
        <v>1019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1020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15</v>
      </c>
      <c r="D4" s="5" t="s">
        <v>101</v>
      </c>
      <c r="E4" s="6" t="n">
        <f aca="false">SUM(M9:M25)</f>
        <v>11</v>
      </c>
      <c r="G4" s="5" t="s">
        <v>13</v>
      </c>
      <c r="H4" s="7" t="n">
        <f aca="false">IF(B4=0,0,E4/B4)</f>
        <v>0.733333333333333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103</v>
      </c>
      <c r="B8" s="1" t="s">
        <v>104</v>
      </c>
      <c r="C8" s="1" t="s">
        <v>105</v>
      </c>
      <c r="D8" s="1" t="s">
        <v>106</v>
      </c>
      <c r="E8" s="1" t="s">
        <v>107</v>
      </c>
      <c r="F8" s="1" t="s">
        <v>108</v>
      </c>
      <c r="G8" s="1" t="s">
        <v>109</v>
      </c>
      <c r="H8" s="1" t="s">
        <v>110</v>
      </c>
      <c r="I8" s="1" t="s">
        <v>111</v>
      </c>
      <c r="J8" s="10" t="s">
        <v>112</v>
      </c>
      <c r="K8" s="1" t="s">
        <v>113</v>
      </c>
      <c r="L8" s="1" t="s">
        <v>114</v>
      </c>
      <c r="M8" s="1" t="s">
        <v>101</v>
      </c>
    </row>
    <row r="9" customFormat="false" ht="54" hidden="false" customHeight="true" outlineLevel="0" collapsed="false">
      <c r="A9" s="12" t="s">
        <v>1022</v>
      </c>
      <c r="B9" s="12" t="s">
        <v>116</v>
      </c>
      <c r="C9" s="12" t="s">
        <v>45</v>
      </c>
      <c r="D9" s="13" t="s">
        <v>1023</v>
      </c>
      <c r="E9" s="12" t="s">
        <v>119</v>
      </c>
      <c r="F9" s="12" t="s">
        <v>120</v>
      </c>
      <c r="G9" s="13" t="s">
        <v>1024</v>
      </c>
      <c r="H9" s="12" t="s">
        <v>83</v>
      </c>
      <c r="I9" s="12" t="s">
        <v>98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1025</v>
      </c>
      <c r="B10" s="12" t="s">
        <v>123</v>
      </c>
      <c r="C10" s="12" t="s">
        <v>45</v>
      </c>
      <c r="D10" s="13" t="s">
        <v>1026</v>
      </c>
      <c r="E10" s="12" t="s">
        <v>119</v>
      </c>
      <c r="F10" s="12" t="s">
        <v>119</v>
      </c>
      <c r="G10" s="13" t="s">
        <v>567</v>
      </c>
      <c r="H10" s="12" t="s">
        <v>83</v>
      </c>
      <c r="I10" s="12" t="s">
        <v>98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1027</v>
      </c>
      <c r="B11" s="12" t="s">
        <v>127</v>
      </c>
      <c r="C11" s="12" t="s">
        <v>45</v>
      </c>
      <c r="D11" s="13" t="s">
        <v>1028</v>
      </c>
      <c r="E11" s="12" t="s">
        <v>119</v>
      </c>
      <c r="F11" s="12" t="s">
        <v>129</v>
      </c>
      <c r="G11" s="13" t="s">
        <v>1029</v>
      </c>
      <c r="H11" s="12" t="s">
        <v>83</v>
      </c>
      <c r="I11" s="12" t="s">
        <v>98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1030</v>
      </c>
      <c r="B12" s="12" t="s">
        <v>132</v>
      </c>
      <c r="C12" s="12" t="s">
        <v>45</v>
      </c>
      <c r="D12" s="13" t="s">
        <v>1031</v>
      </c>
      <c r="E12" s="12" t="s">
        <v>119</v>
      </c>
      <c r="F12" s="12" t="s">
        <v>134</v>
      </c>
      <c r="G12" s="13" t="s">
        <v>1032</v>
      </c>
      <c r="H12" s="12" t="s">
        <v>83</v>
      </c>
      <c r="I12" s="12" t="s">
        <v>98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1033</v>
      </c>
      <c r="B13" s="12" t="s">
        <v>137</v>
      </c>
      <c r="C13" s="12" t="s">
        <v>45</v>
      </c>
      <c r="D13" s="13" t="s">
        <v>1034</v>
      </c>
      <c r="E13" s="12" t="s">
        <v>119</v>
      </c>
      <c r="F13" s="12" t="s">
        <v>139</v>
      </c>
      <c r="G13" s="13" t="s">
        <v>1035</v>
      </c>
      <c r="H13" s="12" t="s">
        <v>83</v>
      </c>
      <c r="I13" s="12" t="s">
        <v>98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1036</v>
      </c>
      <c r="B14" s="12" t="s">
        <v>142</v>
      </c>
      <c r="C14" s="12" t="s">
        <v>45</v>
      </c>
      <c r="D14" s="13" t="s">
        <v>1037</v>
      </c>
      <c r="E14" s="12" t="s">
        <v>119</v>
      </c>
      <c r="F14" s="12" t="s">
        <v>144</v>
      </c>
      <c r="G14" s="13" t="s">
        <v>1038</v>
      </c>
      <c r="H14" s="12" t="s">
        <v>83</v>
      </c>
      <c r="I14" s="12" t="s">
        <v>98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1039</v>
      </c>
      <c r="B15" s="12" t="s">
        <v>147</v>
      </c>
      <c r="C15" s="12" t="s">
        <v>45</v>
      </c>
      <c r="D15" s="13" t="s">
        <v>1040</v>
      </c>
      <c r="E15" s="12" t="s">
        <v>119</v>
      </c>
      <c r="F15" s="12" t="s">
        <v>149</v>
      </c>
      <c r="G15" s="13" t="s">
        <v>1038</v>
      </c>
      <c r="H15" s="12" t="s">
        <v>83</v>
      </c>
      <c r="I15" s="12" t="s">
        <v>98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1041</v>
      </c>
      <c r="B16" s="12" t="s">
        <v>152</v>
      </c>
      <c r="C16" s="12" t="s">
        <v>45</v>
      </c>
      <c r="D16" s="13" t="s">
        <v>1042</v>
      </c>
      <c r="E16" s="12" t="s">
        <v>119</v>
      </c>
      <c r="F16" s="12" t="s">
        <v>154</v>
      </c>
      <c r="G16" s="13" t="s">
        <v>1043</v>
      </c>
      <c r="H16" s="12" t="s">
        <v>81</v>
      </c>
      <c r="I16" s="12" t="s">
        <v>97</v>
      </c>
      <c r="J16" s="14" t="n">
        <v>46228</v>
      </c>
      <c r="K16" s="13" t="s">
        <v>1044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1045</v>
      </c>
      <c r="B17" s="12" t="s">
        <v>158</v>
      </c>
      <c r="C17" s="12" t="s">
        <v>45</v>
      </c>
      <c r="D17" s="13" t="s">
        <v>1046</v>
      </c>
      <c r="E17" s="12" t="s">
        <v>119</v>
      </c>
      <c r="F17" s="12" t="s">
        <v>160</v>
      </c>
      <c r="G17" s="13" t="s">
        <v>1047</v>
      </c>
      <c r="H17" s="12" t="s">
        <v>81</v>
      </c>
      <c r="I17" s="12" t="s">
        <v>97</v>
      </c>
      <c r="J17" s="14"/>
      <c r="K17" s="13" t="s">
        <v>1048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1049</v>
      </c>
      <c r="B18" s="12" t="s">
        <v>172</v>
      </c>
      <c r="C18" s="12" t="s">
        <v>45</v>
      </c>
      <c r="D18" s="13" t="s">
        <v>1050</v>
      </c>
      <c r="E18" s="12" t="s">
        <v>119</v>
      </c>
      <c r="F18" s="12" t="s">
        <v>160</v>
      </c>
      <c r="G18" s="13" t="s">
        <v>1047</v>
      </c>
      <c r="H18" s="12" t="s">
        <v>81</v>
      </c>
      <c r="I18" s="12" t="s">
        <v>97</v>
      </c>
      <c r="J18" s="14"/>
      <c r="K18" s="13" t="s">
        <v>1048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1051</v>
      </c>
      <c r="B19" s="12" t="s">
        <v>176</v>
      </c>
      <c r="C19" s="12" t="s">
        <v>45</v>
      </c>
      <c r="D19" s="13" t="s">
        <v>1052</v>
      </c>
      <c r="E19" s="12" t="s">
        <v>119</v>
      </c>
      <c r="F19" s="12" t="s">
        <v>178</v>
      </c>
      <c r="G19" s="13" t="s">
        <v>1053</v>
      </c>
      <c r="H19" s="12" t="s">
        <v>83</v>
      </c>
      <c r="I19" s="12" t="s">
        <v>98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1054</v>
      </c>
      <c r="B20" s="12" t="s">
        <v>181</v>
      </c>
      <c r="C20" s="12" t="s">
        <v>45</v>
      </c>
      <c r="D20" s="13" t="s">
        <v>1055</v>
      </c>
      <c r="E20" s="12" t="s">
        <v>119</v>
      </c>
      <c r="F20" s="12" t="s">
        <v>178</v>
      </c>
      <c r="G20" s="13" t="s">
        <v>1056</v>
      </c>
      <c r="H20" s="12" t="s">
        <v>83</v>
      </c>
      <c r="I20" s="12" t="s">
        <v>98</v>
      </c>
      <c r="J20" s="14" t="n">
        <v>46228</v>
      </c>
      <c r="K20" s="13" t="s">
        <v>893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1057</v>
      </c>
      <c r="B21" s="12" t="s">
        <v>185</v>
      </c>
      <c r="C21" s="12" t="s">
        <v>45</v>
      </c>
      <c r="D21" s="13" t="s">
        <v>1058</v>
      </c>
      <c r="E21" s="12" t="s">
        <v>187</v>
      </c>
      <c r="F21" s="12" t="s">
        <v>187</v>
      </c>
      <c r="G21" s="13" t="s">
        <v>188</v>
      </c>
      <c r="H21" s="12" t="s">
        <v>83</v>
      </c>
      <c r="I21" s="12" t="s">
        <v>98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1059</v>
      </c>
      <c r="B22" s="12" t="s">
        <v>607</v>
      </c>
      <c r="C22" s="12" t="s">
        <v>45</v>
      </c>
      <c r="D22" s="13" t="s">
        <v>1060</v>
      </c>
      <c r="E22" s="12" t="s">
        <v>119</v>
      </c>
      <c r="F22" s="12" t="s">
        <v>119</v>
      </c>
      <c r="G22" s="13" t="s">
        <v>1061</v>
      </c>
      <c r="H22" s="12" t="s">
        <v>83</v>
      </c>
      <c r="I22" s="12" t="s">
        <v>98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1062</v>
      </c>
      <c r="B23" s="12" t="s">
        <v>190</v>
      </c>
      <c r="C23" s="12" t="s">
        <v>45</v>
      </c>
      <c r="D23" s="13" t="s">
        <v>1017</v>
      </c>
      <c r="E23" s="12" t="s">
        <v>119</v>
      </c>
      <c r="F23" s="12" t="s">
        <v>119</v>
      </c>
      <c r="G23" s="13" t="s">
        <v>613</v>
      </c>
      <c r="H23" s="12" t="s">
        <v>81</v>
      </c>
      <c r="I23" s="12" t="s">
        <v>97</v>
      </c>
      <c r="J23" s="14" t="n">
        <v>46228</v>
      </c>
      <c r="K23" s="13" t="s">
        <v>1063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1065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16</v>
      </c>
      <c r="D4" s="5" t="s">
        <v>101</v>
      </c>
      <c r="E4" s="6" t="n">
        <f aca="false">SUM(M9:M25)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103</v>
      </c>
      <c r="B8" s="1" t="s">
        <v>104</v>
      </c>
      <c r="C8" s="1" t="s">
        <v>105</v>
      </c>
      <c r="D8" s="1" t="s">
        <v>106</v>
      </c>
      <c r="E8" s="1" t="s">
        <v>107</v>
      </c>
      <c r="F8" s="1" t="s">
        <v>108</v>
      </c>
      <c r="G8" s="1" t="s">
        <v>109</v>
      </c>
      <c r="H8" s="1" t="s">
        <v>110</v>
      </c>
      <c r="I8" s="1" t="s">
        <v>111</v>
      </c>
      <c r="J8" s="10" t="s">
        <v>112</v>
      </c>
      <c r="K8" s="1" t="s">
        <v>113</v>
      </c>
      <c r="L8" s="1" t="s">
        <v>114</v>
      </c>
      <c r="M8" s="1" t="s">
        <v>101</v>
      </c>
    </row>
    <row r="9" customFormat="false" ht="54" hidden="false" customHeight="true" outlineLevel="0" collapsed="false">
      <c r="A9" s="12" t="s">
        <v>1066</v>
      </c>
      <c r="B9" s="12" t="s">
        <v>116</v>
      </c>
      <c r="C9" s="12" t="s">
        <v>1067</v>
      </c>
      <c r="D9" s="13" t="s">
        <v>1068</v>
      </c>
      <c r="E9" s="12" t="s">
        <v>119</v>
      </c>
      <c r="F9" s="12" t="s">
        <v>120</v>
      </c>
      <c r="G9" s="13" t="s">
        <v>1069</v>
      </c>
      <c r="H9" s="12" t="s">
        <v>83</v>
      </c>
      <c r="I9" s="12" t="s">
        <v>98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1070</v>
      </c>
      <c r="B10" s="12" t="s">
        <v>167</v>
      </c>
      <c r="C10" s="12" t="s">
        <v>1071</v>
      </c>
      <c r="D10" s="13" t="s">
        <v>1072</v>
      </c>
      <c r="E10" s="12" t="s">
        <v>119</v>
      </c>
      <c r="F10" s="12" t="s">
        <v>139</v>
      </c>
      <c r="G10" s="13" t="s">
        <v>1073</v>
      </c>
      <c r="H10" s="12" t="s">
        <v>83</v>
      </c>
      <c r="I10" s="12" t="s">
        <v>98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1074</v>
      </c>
      <c r="B11" s="12" t="s">
        <v>1075</v>
      </c>
      <c r="C11" s="12" t="s">
        <v>1076</v>
      </c>
      <c r="D11" s="13" t="s">
        <v>1077</v>
      </c>
      <c r="E11" s="12" t="s">
        <v>119</v>
      </c>
      <c r="F11" s="12" t="s">
        <v>139</v>
      </c>
      <c r="G11" s="13" t="s">
        <v>1073</v>
      </c>
      <c r="H11" s="12" t="s">
        <v>83</v>
      </c>
      <c r="I11" s="12" t="s">
        <v>98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1078</v>
      </c>
      <c r="B12" s="12" t="s">
        <v>123</v>
      </c>
      <c r="C12" s="12" t="s">
        <v>46</v>
      </c>
      <c r="D12" s="13" t="s">
        <v>1079</v>
      </c>
      <c r="E12" s="12" t="s">
        <v>119</v>
      </c>
      <c r="F12" s="12" t="s">
        <v>119</v>
      </c>
      <c r="G12" s="13" t="s">
        <v>567</v>
      </c>
      <c r="H12" s="12" t="s">
        <v>83</v>
      </c>
      <c r="I12" s="12" t="s">
        <v>98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1080</v>
      </c>
      <c r="B13" s="12" t="s">
        <v>127</v>
      </c>
      <c r="C13" s="12" t="s">
        <v>46</v>
      </c>
      <c r="D13" s="13" t="s">
        <v>1081</v>
      </c>
      <c r="E13" s="12" t="s">
        <v>119</v>
      </c>
      <c r="F13" s="12" t="s">
        <v>129</v>
      </c>
      <c r="G13" s="13" t="s">
        <v>1082</v>
      </c>
      <c r="H13" s="12" t="s">
        <v>83</v>
      </c>
      <c r="I13" s="12" t="s">
        <v>98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1083</v>
      </c>
      <c r="B14" s="12" t="s">
        <v>132</v>
      </c>
      <c r="C14" s="12" t="s">
        <v>46</v>
      </c>
      <c r="D14" s="13" t="s">
        <v>1084</v>
      </c>
      <c r="E14" s="12" t="s">
        <v>119</v>
      </c>
      <c r="F14" s="12" t="s">
        <v>134</v>
      </c>
      <c r="G14" s="13" t="s">
        <v>1085</v>
      </c>
      <c r="H14" s="12" t="s">
        <v>83</v>
      </c>
      <c r="I14" s="12" t="s">
        <v>98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1086</v>
      </c>
      <c r="B15" s="12" t="s">
        <v>142</v>
      </c>
      <c r="C15" s="12" t="s">
        <v>46</v>
      </c>
      <c r="D15" s="13" t="s">
        <v>1087</v>
      </c>
      <c r="E15" s="12" t="s">
        <v>119</v>
      </c>
      <c r="F15" s="12" t="s">
        <v>144</v>
      </c>
      <c r="G15" s="13" t="s">
        <v>1088</v>
      </c>
      <c r="H15" s="12" t="s">
        <v>83</v>
      </c>
      <c r="I15" s="12" t="s">
        <v>98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1089</v>
      </c>
      <c r="B16" s="12" t="s">
        <v>147</v>
      </c>
      <c r="C16" s="12" t="s">
        <v>1090</v>
      </c>
      <c r="D16" s="13" t="s">
        <v>1091</v>
      </c>
      <c r="E16" s="12" t="s">
        <v>119</v>
      </c>
      <c r="F16" s="12" t="s">
        <v>149</v>
      </c>
      <c r="G16" s="13" t="s">
        <v>1088</v>
      </c>
      <c r="H16" s="12" t="s">
        <v>83</v>
      </c>
      <c r="I16" s="12" t="s">
        <v>98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1092</v>
      </c>
      <c r="B17" s="12" t="s">
        <v>152</v>
      </c>
      <c r="C17" s="12" t="s">
        <v>46</v>
      </c>
      <c r="D17" s="13" t="s">
        <v>1093</v>
      </c>
      <c r="E17" s="12" t="s">
        <v>119</v>
      </c>
      <c r="F17" s="12" t="s">
        <v>154</v>
      </c>
      <c r="G17" s="13" t="s">
        <v>1094</v>
      </c>
      <c r="H17" s="12" t="s">
        <v>81</v>
      </c>
      <c r="I17" s="12" t="s">
        <v>97</v>
      </c>
      <c r="J17" s="14"/>
      <c r="K17" s="13" t="s">
        <v>1044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1095</v>
      </c>
      <c r="B18" s="12" t="s">
        <v>158</v>
      </c>
      <c r="C18" s="12" t="s">
        <v>46</v>
      </c>
      <c r="D18" s="13" t="s">
        <v>1096</v>
      </c>
      <c r="E18" s="12" t="s">
        <v>119</v>
      </c>
      <c r="F18" s="12" t="s">
        <v>160</v>
      </c>
      <c r="G18" s="13" t="s">
        <v>1097</v>
      </c>
      <c r="H18" s="12" t="s">
        <v>81</v>
      </c>
      <c r="I18" s="12" t="s">
        <v>97</v>
      </c>
      <c r="J18" s="14"/>
      <c r="K18" s="13" t="s">
        <v>1048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1098</v>
      </c>
      <c r="B19" s="12" t="s">
        <v>172</v>
      </c>
      <c r="C19" s="12" t="s">
        <v>46</v>
      </c>
      <c r="D19" s="13" t="s">
        <v>1099</v>
      </c>
      <c r="E19" s="12" t="s">
        <v>119</v>
      </c>
      <c r="F19" s="12" t="s">
        <v>160</v>
      </c>
      <c r="G19" s="13" t="s">
        <v>1097</v>
      </c>
      <c r="H19" s="12" t="s">
        <v>81</v>
      </c>
      <c r="I19" s="12" t="s">
        <v>97</v>
      </c>
      <c r="J19" s="14" t="n">
        <v>46228</v>
      </c>
      <c r="K19" s="13" t="s">
        <v>1048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1100</v>
      </c>
      <c r="B20" s="12" t="s">
        <v>176</v>
      </c>
      <c r="C20" s="12" t="s">
        <v>46</v>
      </c>
      <c r="D20" s="13" t="s">
        <v>1101</v>
      </c>
      <c r="E20" s="12" t="s">
        <v>119</v>
      </c>
      <c r="F20" s="12" t="s">
        <v>178</v>
      </c>
      <c r="G20" s="13" t="s">
        <v>1102</v>
      </c>
      <c r="H20" s="12" t="s">
        <v>83</v>
      </c>
      <c r="I20" s="12" t="s">
        <v>98</v>
      </c>
      <c r="J20" s="14" t="n">
        <v>46228</v>
      </c>
      <c r="K20" s="13" t="s">
        <v>893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1103</v>
      </c>
      <c r="B21" s="12" t="s">
        <v>181</v>
      </c>
      <c r="C21" s="12" t="s">
        <v>46</v>
      </c>
      <c r="D21" s="13" t="s">
        <v>1104</v>
      </c>
      <c r="E21" s="12" t="s">
        <v>119</v>
      </c>
      <c r="F21" s="12" t="s">
        <v>178</v>
      </c>
      <c r="G21" s="13" t="s">
        <v>1105</v>
      </c>
      <c r="H21" s="12" t="s">
        <v>83</v>
      </c>
      <c r="I21" s="12" t="s">
        <v>98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1106</v>
      </c>
      <c r="B22" s="12" t="s">
        <v>185</v>
      </c>
      <c r="C22" s="12" t="s">
        <v>46</v>
      </c>
      <c r="D22" s="13" t="s">
        <v>1107</v>
      </c>
      <c r="E22" s="12" t="s">
        <v>187</v>
      </c>
      <c r="F22" s="12" t="s">
        <v>187</v>
      </c>
      <c r="G22" s="13" t="s">
        <v>188</v>
      </c>
      <c r="H22" s="12" t="s">
        <v>83</v>
      </c>
      <c r="I22" s="12" t="s">
        <v>98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1108</v>
      </c>
      <c r="B23" s="12" t="s">
        <v>607</v>
      </c>
      <c r="C23" s="12" t="s">
        <v>46</v>
      </c>
      <c r="D23" s="13" t="s">
        <v>1109</v>
      </c>
      <c r="E23" s="12" t="s">
        <v>119</v>
      </c>
      <c r="F23" s="12" t="s">
        <v>119</v>
      </c>
      <c r="G23" s="13" t="s">
        <v>1061</v>
      </c>
      <c r="H23" s="12" t="s">
        <v>83</v>
      </c>
      <c r="I23" s="12" t="s">
        <v>98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1110</v>
      </c>
      <c r="B24" s="12" t="s">
        <v>190</v>
      </c>
      <c r="C24" s="12" t="s">
        <v>46</v>
      </c>
      <c r="D24" s="13" t="s">
        <v>1111</v>
      </c>
      <c r="E24" s="12" t="s">
        <v>119</v>
      </c>
      <c r="F24" s="12" t="s">
        <v>119</v>
      </c>
      <c r="G24" s="13" t="s">
        <v>613</v>
      </c>
      <c r="H24" s="12" t="s">
        <v>81</v>
      </c>
      <c r="I24" s="12" t="s">
        <v>97</v>
      </c>
      <c r="J24" s="14" t="n">
        <v>46228</v>
      </c>
      <c r="K24" s="13" t="s">
        <v>1063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1113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16</v>
      </c>
      <c r="D4" s="5" t="s">
        <v>101</v>
      </c>
      <c r="E4" s="6" t="n">
        <f aca="false">SUM(M9:M25)</f>
        <v>16</v>
      </c>
      <c r="G4" s="5" t="s">
        <v>13</v>
      </c>
      <c r="H4" s="7" t="n">
        <f aca="false">IF(B4=0,0,E4/B4)</f>
        <v>1</v>
      </c>
      <c r="J4" s="5" t="s">
        <v>14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102</v>
      </c>
      <c r="B5" s="6" t="str">
        <f aca="false">IF(COUNTIFS(I9:I25,"yes",M9:M25,0)&gt;0,"open","complete")</f>
        <v>complete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103</v>
      </c>
      <c r="B8" s="1" t="s">
        <v>104</v>
      </c>
      <c r="C8" s="1" t="s">
        <v>105</v>
      </c>
      <c r="D8" s="1" t="s">
        <v>106</v>
      </c>
      <c r="E8" s="1" t="s">
        <v>107</v>
      </c>
      <c r="F8" s="1" t="s">
        <v>108</v>
      </c>
      <c r="G8" s="1" t="s">
        <v>109</v>
      </c>
      <c r="H8" s="1" t="s">
        <v>110</v>
      </c>
      <c r="I8" s="1" t="s">
        <v>111</v>
      </c>
      <c r="J8" s="10" t="s">
        <v>112</v>
      </c>
      <c r="K8" s="1" t="s">
        <v>113</v>
      </c>
      <c r="L8" s="1" t="s">
        <v>114</v>
      </c>
      <c r="M8" s="1" t="s">
        <v>101</v>
      </c>
    </row>
    <row r="9" customFormat="false" ht="54" hidden="false" customHeight="true" outlineLevel="0" collapsed="false">
      <c r="A9" s="12" t="s">
        <v>1114</v>
      </c>
      <c r="B9" s="12" t="s">
        <v>116</v>
      </c>
      <c r="C9" s="12" t="s">
        <v>1067</v>
      </c>
      <c r="D9" s="13" t="s">
        <v>1115</v>
      </c>
      <c r="E9" s="12" t="s">
        <v>119</v>
      </c>
      <c r="F9" s="12" t="s">
        <v>120</v>
      </c>
      <c r="G9" s="13" t="s">
        <v>1069</v>
      </c>
      <c r="H9" s="12" t="s">
        <v>83</v>
      </c>
      <c r="I9" s="12" t="s">
        <v>98</v>
      </c>
      <c r="J9" s="14" t="s">
        <v>119</v>
      </c>
      <c r="K9" s="13" t="s">
        <v>1116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1117</v>
      </c>
      <c r="B10" s="12" t="s">
        <v>1118</v>
      </c>
      <c r="C10" s="12" t="s">
        <v>767</v>
      </c>
      <c r="D10" s="13" t="s">
        <v>1119</v>
      </c>
      <c r="E10" s="12" t="s">
        <v>119</v>
      </c>
      <c r="F10" s="12" t="s">
        <v>139</v>
      </c>
      <c r="G10" s="13" t="s">
        <v>1073</v>
      </c>
      <c r="H10" s="12" t="s">
        <v>83</v>
      </c>
      <c r="I10" s="12" t="s">
        <v>98</v>
      </c>
      <c r="J10" s="14" t="s">
        <v>119</v>
      </c>
      <c r="K10" s="13" t="s">
        <v>1116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1120</v>
      </c>
      <c r="B11" s="12" t="s">
        <v>1071</v>
      </c>
      <c r="C11" s="12" t="s">
        <v>32</v>
      </c>
      <c r="D11" s="13" t="s">
        <v>1121</v>
      </c>
      <c r="E11" s="12" t="s">
        <v>119</v>
      </c>
      <c r="F11" s="12" t="s">
        <v>139</v>
      </c>
      <c r="G11" s="13" t="s">
        <v>1073</v>
      </c>
      <c r="H11" s="12" t="s">
        <v>83</v>
      </c>
      <c r="I11" s="12" t="s">
        <v>98</v>
      </c>
      <c r="J11" s="14" t="s">
        <v>119</v>
      </c>
      <c r="K11" s="13" t="s">
        <v>1116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1122</v>
      </c>
      <c r="B12" s="12" t="s">
        <v>1123</v>
      </c>
      <c r="C12" s="12" t="s">
        <v>1124</v>
      </c>
      <c r="D12" s="13" t="s">
        <v>1125</v>
      </c>
      <c r="E12" s="12" t="s">
        <v>119</v>
      </c>
      <c r="F12" s="12" t="s">
        <v>119</v>
      </c>
      <c r="G12" s="13" t="s">
        <v>567</v>
      </c>
      <c r="H12" s="12" t="s">
        <v>83</v>
      </c>
      <c r="I12" s="12" t="s">
        <v>98</v>
      </c>
      <c r="J12" s="14" t="s">
        <v>119</v>
      </c>
      <c r="K12" s="13" t="s">
        <v>1116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1126</v>
      </c>
      <c r="B13" s="12" t="s">
        <v>123</v>
      </c>
      <c r="C13" s="12" t="s">
        <v>47</v>
      </c>
      <c r="D13" s="13" t="s">
        <v>1127</v>
      </c>
      <c r="E13" s="12" t="s">
        <v>119</v>
      </c>
      <c r="F13" s="12" t="s">
        <v>129</v>
      </c>
      <c r="G13" s="13" t="s">
        <v>1082</v>
      </c>
      <c r="H13" s="12" t="s">
        <v>83</v>
      </c>
      <c r="I13" s="12" t="s">
        <v>98</v>
      </c>
      <c r="J13" s="14" t="s">
        <v>119</v>
      </c>
      <c r="K13" s="13" t="s">
        <v>1116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1128</v>
      </c>
      <c r="B14" s="12" t="s">
        <v>127</v>
      </c>
      <c r="C14" s="12" t="s">
        <v>47</v>
      </c>
      <c r="D14" s="13" t="s">
        <v>1129</v>
      </c>
      <c r="E14" s="12" t="s">
        <v>119</v>
      </c>
      <c r="F14" s="12" t="s">
        <v>134</v>
      </c>
      <c r="G14" s="13" t="s">
        <v>1085</v>
      </c>
      <c r="H14" s="12" t="s">
        <v>83</v>
      </c>
      <c r="I14" s="12" t="s">
        <v>98</v>
      </c>
      <c r="J14" s="14" t="s">
        <v>119</v>
      </c>
      <c r="K14" s="13" t="s">
        <v>1116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1130</v>
      </c>
      <c r="B15" s="12" t="s">
        <v>132</v>
      </c>
      <c r="C15" s="12" t="s">
        <v>47</v>
      </c>
      <c r="D15" s="13" t="s">
        <v>1131</v>
      </c>
      <c r="E15" s="12" t="s">
        <v>119</v>
      </c>
      <c r="F15" s="12" t="s">
        <v>144</v>
      </c>
      <c r="G15" s="13" t="s">
        <v>1088</v>
      </c>
      <c r="H15" s="12" t="s">
        <v>83</v>
      </c>
      <c r="I15" s="12" t="s">
        <v>98</v>
      </c>
      <c r="J15" s="14" t="s">
        <v>119</v>
      </c>
      <c r="K15" s="13" t="s">
        <v>1116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1132</v>
      </c>
      <c r="B16" s="12" t="s">
        <v>142</v>
      </c>
      <c r="C16" s="12" t="s">
        <v>47</v>
      </c>
      <c r="D16" s="13" t="s">
        <v>1133</v>
      </c>
      <c r="E16" s="12" t="s">
        <v>119</v>
      </c>
      <c r="F16" s="12" t="s">
        <v>149</v>
      </c>
      <c r="G16" s="13" t="s">
        <v>1088</v>
      </c>
      <c r="H16" s="12" t="s">
        <v>83</v>
      </c>
      <c r="I16" s="12" t="s">
        <v>98</v>
      </c>
      <c r="J16" s="14" t="s">
        <v>119</v>
      </c>
      <c r="K16" s="13" t="s">
        <v>1116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1134</v>
      </c>
      <c r="B17" s="12" t="s">
        <v>147</v>
      </c>
      <c r="C17" s="12" t="s">
        <v>1135</v>
      </c>
      <c r="D17" s="13" t="s">
        <v>1136</v>
      </c>
      <c r="E17" s="12" t="s">
        <v>119</v>
      </c>
      <c r="F17" s="12" t="s">
        <v>154</v>
      </c>
      <c r="G17" s="13" t="s">
        <v>1094</v>
      </c>
      <c r="H17" s="12" t="s">
        <v>83</v>
      </c>
      <c r="I17" s="12" t="s">
        <v>97</v>
      </c>
      <c r="J17" s="14" t="s">
        <v>119</v>
      </c>
      <c r="K17" s="13" t="s">
        <v>1116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1137</v>
      </c>
      <c r="B18" s="12" t="s">
        <v>152</v>
      </c>
      <c r="C18" s="12" t="s">
        <v>47</v>
      </c>
      <c r="D18" s="13" t="s">
        <v>1138</v>
      </c>
      <c r="E18" s="12" t="s">
        <v>119</v>
      </c>
      <c r="F18" s="12" t="s">
        <v>160</v>
      </c>
      <c r="G18" s="13" t="s">
        <v>1097</v>
      </c>
      <c r="H18" s="12" t="s">
        <v>83</v>
      </c>
      <c r="I18" s="12" t="s">
        <v>97</v>
      </c>
      <c r="J18" s="14" t="s">
        <v>119</v>
      </c>
      <c r="K18" s="13" t="s">
        <v>1116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1139</v>
      </c>
      <c r="B19" s="12" t="s">
        <v>172</v>
      </c>
      <c r="C19" s="12" t="s">
        <v>47</v>
      </c>
      <c r="D19" s="13" t="s">
        <v>1140</v>
      </c>
      <c r="E19" s="12" t="s">
        <v>119</v>
      </c>
      <c r="F19" s="12" t="s">
        <v>160</v>
      </c>
      <c r="G19" s="13" t="s">
        <v>1097</v>
      </c>
      <c r="H19" s="12" t="s">
        <v>83</v>
      </c>
      <c r="I19" s="12" t="s">
        <v>97</v>
      </c>
      <c r="J19" s="14" t="s">
        <v>119</v>
      </c>
      <c r="K19" s="13" t="s">
        <v>1141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1142</v>
      </c>
      <c r="B20" s="12" t="s">
        <v>176</v>
      </c>
      <c r="C20" s="12" t="s">
        <v>47</v>
      </c>
      <c r="D20" s="13" t="s">
        <v>1143</v>
      </c>
      <c r="E20" s="12" t="s">
        <v>119</v>
      </c>
      <c r="F20" s="12" t="s">
        <v>178</v>
      </c>
      <c r="G20" s="13" t="s">
        <v>1102</v>
      </c>
      <c r="H20" s="12" t="s">
        <v>83</v>
      </c>
      <c r="I20" s="12" t="s">
        <v>98</v>
      </c>
      <c r="J20" s="14" t="s">
        <v>119</v>
      </c>
      <c r="K20" s="13" t="s">
        <v>1116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1144</v>
      </c>
      <c r="B21" s="12" t="s">
        <v>181</v>
      </c>
      <c r="C21" s="12" t="s">
        <v>47</v>
      </c>
      <c r="D21" s="13" t="s">
        <v>1145</v>
      </c>
      <c r="E21" s="12" t="s">
        <v>119</v>
      </c>
      <c r="F21" s="12" t="s">
        <v>178</v>
      </c>
      <c r="G21" s="13" t="s">
        <v>1105</v>
      </c>
      <c r="H21" s="12" t="s">
        <v>83</v>
      </c>
      <c r="I21" s="12" t="s">
        <v>98</v>
      </c>
      <c r="J21" s="14" t="s">
        <v>119</v>
      </c>
      <c r="K21" s="13" t="s">
        <v>1116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1146</v>
      </c>
      <c r="B22" s="12" t="s">
        <v>185</v>
      </c>
      <c r="C22" s="12" t="s">
        <v>47</v>
      </c>
      <c r="D22" s="13" t="s">
        <v>1147</v>
      </c>
      <c r="E22" s="12" t="s">
        <v>187</v>
      </c>
      <c r="F22" s="12" t="s">
        <v>187</v>
      </c>
      <c r="G22" s="13" t="s">
        <v>188</v>
      </c>
      <c r="H22" s="12" t="s">
        <v>83</v>
      </c>
      <c r="I22" s="12" t="s">
        <v>98</v>
      </c>
      <c r="J22" s="14" t="s">
        <v>119</v>
      </c>
      <c r="K22" s="13" t="s">
        <v>1116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1148</v>
      </c>
      <c r="B23" s="12" t="s">
        <v>607</v>
      </c>
      <c r="C23" s="12" t="s">
        <v>47</v>
      </c>
      <c r="D23" s="13" t="s">
        <v>1149</v>
      </c>
      <c r="E23" s="12" t="s">
        <v>119</v>
      </c>
      <c r="F23" s="12" t="s">
        <v>119</v>
      </c>
      <c r="G23" s="13" t="s">
        <v>1061</v>
      </c>
      <c r="H23" s="12" t="s">
        <v>83</v>
      </c>
      <c r="I23" s="12" t="s">
        <v>98</v>
      </c>
      <c r="J23" s="14" t="s">
        <v>119</v>
      </c>
      <c r="K23" s="13" t="s">
        <v>1116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1150</v>
      </c>
      <c r="B24" s="12" t="s">
        <v>190</v>
      </c>
      <c r="C24" s="12" t="s">
        <v>47</v>
      </c>
      <c r="D24" s="13" t="s">
        <v>1111</v>
      </c>
      <c r="E24" s="12" t="s">
        <v>119</v>
      </c>
      <c r="F24" s="12" t="s">
        <v>119</v>
      </c>
      <c r="G24" s="13" t="s">
        <v>613</v>
      </c>
      <c r="H24" s="12" t="s">
        <v>83</v>
      </c>
      <c r="I24" s="12" t="s">
        <v>98</v>
      </c>
      <c r="J24" s="14" t="s">
        <v>119</v>
      </c>
      <c r="K24" s="13" t="s">
        <v>1116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16</v>
      </c>
      <c r="D4" s="5" t="s">
        <v>101</v>
      </c>
      <c r="E4" s="6" t="n">
        <f aca="false">SUM(M9:M25)</f>
        <v>13</v>
      </c>
      <c r="G4" s="5" t="s">
        <v>13</v>
      </c>
      <c r="H4" s="7" t="n">
        <f aca="false">IF(B4=0,0,E4/B4)</f>
        <v>0.8125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103</v>
      </c>
      <c r="B8" s="1" t="s">
        <v>104</v>
      </c>
      <c r="C8" s="1" t="s">
        <v>105</v>
      </c>
      <c r="D8" s="1" t="s">
        <v>106</v>
      </c>
      <c r="E8" s="1" t="s">
        <v>107</v>
      </c>
      <c r="F8" s="1" t="s">
        <v>108</v>
      </c>
      <c r="G8" s="1" t="s">
        <v>109</v>
      </c>
      <c r="H8" s="1" t="s">
        <v>110</v>
      </c>
      <c r="I8" s="1" t="s">
        <v>111</v>
      </c>
      <c r="J8" s="10" t="s">
        <v>112</v>
      </c>
      <c r="K8" s="1" t="s">
        <v>113</v>
      </c>
      <c r="L8" s="1" t="s">
        <v>114</v>
      </c>
      <c r="M8" s="1" t="s">
        <v>101</v>
      </c>
    </row>
    <row r="9" customFormat="false" ht="54" hidden="false" customHeight="true" outlineLevel="0" collapsed="false">
      <c r="A9" s="12" t="s">
        <v>1153</v>
      </c>
      <c r="B9" s="12" t="s">
        <v>116</v>
      </c>
      <c r="C9" s="12" t="s">
        <v>1154</v>
      </c>
      <c r="D9" s="13" t="s">
        <v>1155</v>
      </c>
      <c r="E9" s="12" t="s">
        <v>119</v>
      </c>
      <c r="F9" s="12" t="s">
        <v>120</v>
      </c>
      <c r="G9" s="13" t="s">
        <v>1156</v>
      </c>
      <c r="H9" s="12" t="s">
        <v>83</v>
      </c>
      <c r="I9" s="12" t="s">
        <v>98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1157</v>
      </c>
      <c r="B10" s="12" t="s">
        <v>1158</v>
      </c>
      <c r="C10" s="12" t="s">
        <v>767</v>
      </c>
      <c r="D10" s="13" t="s">
        <v>1159</v>
      </c>
      <c r="E10" s="12" t="s">
        <v>119</v>
      </c>
      <c r="F10" s="12" t="s">
        <v>139</v>
      </c>
      <c r="G10" s="13" t="s">
        <v>1160</v>
      </c>
      <c r="H10" s="12" t="s">
        <v>83</v>
      </c>
      <c r="I10" s="12" t="s">
        <v>98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1161</v>
      </c>
      <c r="B11" s="12" t="s">
        <v>1118</v>
      </c>
      <c r="C11" s="12" t="s">
        <v>1162</v>
      </c>
      <c r="D11" s="13" t="s">
        <v>1163</v>
      </c>
      <c r="E11" s="12" t="s">
        <v>119</v>
      </c>
      <c r="F11" s="12" t="s">
        <v>144</v>
      </c>
      <c r="G11" s="13" t="s">
        <v>1164</v>
      </c>
      <c r="H11" s="12" t="s">
        <v>83</v>
      </c>
      <c r="I11" s="12" t="s">
        <v>98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1165</v>
      </c>
      <c r="B12" s="12" t="s">
        <v>147</v>
      </c>
      <c r="C12" s="12" t="s">
        <v>1166</v>
      </c>
      <c r="D12" s="13" t="s">
        <v>1167</v>
      </c>
      <c r="E12" s="12" t="s">
        <v>119</v>
      </c>
      <c r="F12" s="12" t="s">
        <v>144</v>
      </c>
      <c r="G12" s="13" t="s">
        <v>1164</v>
      </c>
      <c r="H12" s="12" t="s">
        <v>83</v>
      </c>
      <c r="I12" s="12" t="s">
        <v>98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1168</v>
      </c>
      <c r="B13" s="12" t="s">
        <v>167</v>
      </c>
      <c r="C13" s="12" t="s">
        <v>1169</v>
      </c>
      <c r="D13" s="13" t="s">
        <v>1170</v>
      </c>
      <c r="E13" s="12" t="s">
        <v>119</v>
      </c>
      <c r="F13" s="12" t="s">
        <v>139</v>
      </c>
      <c r="G13" s="13" t="s">
        <v>1160</v>
      </c>
      <c r="H13" s="12" t="s">
        <v>83</v>
      </c>
      <c r="I13" s="12" t="s">
        <v>98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1171</v>
      </c>
      <c r="B14" s="12" t="s">
        <v>123</v>
      </c>
      <c r="C14" s="12" t="s">
        <v>48</v>
      </c>
      <c r="D14" s="13" t="s">
        <v>1172</v>
      </c>
      <c r="E14" s="12" t="s">
        <v>119</v>
      </c>
      <c r="F14" s="12" t="s">
        <v>119</v>
      </c>
      <c r="G14" s="13" t="s">
        <v>125</v>
      </c>
      <c r="H14" s="12" t="s">
        <v>83</v>
      </c>
      <c r="I14" s="12" t="s">
        <v>98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1173</v>
      </c>
      <c r="B15" s="12" t="s">
        <v>127</v>
      </c>
      <c r="C15" s="12" t="s">
        <v>48</v>
      </c>
      <c r="D15" s="13" t="s">
        <v>1174</v>
      </c>
      <c r="E15" s="12" t="s">
        <v>119</v>
      </c>
      <c r="F15" s="12" t="s">
        <v>129</v>
      </c>
      <c r="G15" s="13" t="s">
        <v>1175</v>
      </c>
      <c r="H15" s="12" t="s">
        <v>83</v>
      </c>
      <c r="I15" s="12" t="s">
        <v>98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1176</v>
      </c>
      <c r="B16" s="12" t="s">
        <v>132</v>
      </c>
      <c r="C16" s="12" t="s">
        <v>48</v>
      </c>
      <c r="D16" s="13" t="s">
        <v>1177</v>
      </c>
      <c r="E16" s="12" t="s">
        <v>119</v>
      </c>
      <c r="F16" s="12" t="s">
        <v>134</v>
      </c>
      <c r="G16" s="13" t="s">
        <v>1178</v>
      </c>
      <c r="H16" s="12" t="s">
        <v>83</v>
      </c>
      <c r="I16" s="12" t="s">
        <v>98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1179</v>
      </c>
      <c r="B17" s="12" t="s">
        <v>152</v>
      </c>
      <c r="C17" s="12" t="s">
        <v>48</v>
      </c>
      <c r="D17" s="13" t="s">
        <v>1180</v>
      </c>
      <c r="E17" s="12" t="s">
        <v>119</v>
      </c>
      <c r="F17" s="12" t="s">
        <v>154</v>
      </c>
      <c r="G17" s="13" t="s">
        <v>1181</v>
      </c>
      <c r="H17" s="12" t="s">
        <v>81</v>
      </c>
      <c r="I17" s="12" t="s">
        <v>97</v>
      </c>
      <c r="J17" s="14"/>
      <c r="K17" s="13" t="s">
        <v>1182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1183</v>
      </c>
      <c r="B18" s="12" t="s">
        <v>158</v>
      </c>
      <c r="C18" s="12" t="s">
        <v>48</v>
      </c>
      <c r="D18" s="13" t="s">
        <v>1184</v>
      </c>
      <c r="E18" s="12" t="s">
        <v>119</v>
      </c>
      <c r="F18" s="12" t="s">
        <v>160</v>
      </c>
      <c r="G18" s="13" t="s">
        <v>1185</v>
      </c>
      <c r="H18" s="12" t="s">
        <v>81</v>
      </c>
      <c r="I18" s="12" t="s">
        <v>97</v>
      </c>
      <c r="J18" s="14"/>
      <c r="K18" s="13" t="s">
        <v>1182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1186</v>
      </c>
      <c r="B19" s="12" t="s">
        <v>172</v>
      </c>
      <c r="C19" s="12" t="s">
        <v>48</v>
      </c>
      <c r="D19" s="13" t="s">
        <v>1187</v>
      </c>
      <c r="E19" s="12" t="s">
        <v>119</v>
      </c>
      <c r="F19" s="12" t="s">
        <v>160</v>
      </c>
      <c r="G19" s="13" t="s">
        <v>1185</v>
      </c>
      <c r="H19" s="12" t="s">
        <v>81</v>
      </c>
      <c r="I19" s="12" t="s">
        <v>97</v>
      </c>
      <c r="J19" s="14"/>
      <c r="K19" s="13" t="s">
        <v>1182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1188</v>
      </c>
      <c r="B20" s="12" t="s">
        <v>176</v>
      </c>
      <c r="C20" s="12" t="s">
        <v>48</v>
      </c>
      <c r="D20" s="13" t="s">
        <v>1189</v>
      </c>
      <c r="E20" s="12" t="s">
        <v>119</v>
      </c>
      <c r="F20" s="12" t="s">
        <v>178</v>
      </c>
      <c r="G20" s="13" t="s">
        <v>1190</v>
      </c>
      <c r="H20" s="12" t="s">
        <v>83</v>
      </c>
      <c r="I20" s="12" t="s">
        <v>98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1191</v>
      </c>
      <c r="B21" s="12" t="s">
        <v>181</v>
      </c>
      <c r="C21" s="12" t="s">
        <v>48</v>
      </c>
      <c r="D21" s="13" t="s">
        <v>1192</v>
      </c>
      <c r="E21" s="12" t="s">
        <v>119</v>
      </c>
      <c r="F21" s="12" t="s">
        <v>178</v>
      </c>
      <c r="G21" s="13" t="s">
        <v>1193</v>
      </c>
      <c r="H21" s="12" t="s">
        <v>83</v>
      </c>
      <c r="I21" s="12" t="s">
        <v>98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1194</v>
      </c>
      <c r="B22" s="12" t="s">
        <v>185</v>
      </c>
      <c r="C22" s="12" t="s">
        <v>48</v>
      </c>
      <c r="D22" s="13" t="s">
        <v>1195</v>
      </c>
      <c r="E22" s="12" t="s">
        <v>187</v>
      </c>
      <c r="F22" s="12" t="s">
        <v>187</v>
      </c>
      <c r="G22" s="13" t="s">
        <v>188</v>
      </c>
      <c r="H22" s="12" t="s">
        <v>83</v>
      </c>
      <c r="I22" s="12" t="s">
        <v>98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1196</v>
      </c>
      <c r="B23" s="12" t="s">
        <v>607</v>
      </c>
      <c r="C23" s="12" t="s">
        <v>1197</v>
      </c>
      <c r="D23" s="13" t="s">
        <v>1198</v>
      </c>
      <c r="E23" s="12" t="s">
        <v>119</v>
      </c>
      <c r="F23" s="12" t="s">
        <v>1199</v>
      </c>
      <c r="G23" s="13" t="s">
        <v>1200</v>
      </c>
      <c r="H23" s="12" t="s">
        <v>83</v>
      </c>
      <c r="I23" s="12" t="s">
        <v>98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1201</v>
      </c>
      <c r="B24" s="12" t="s">
        <v>190</v>
      </c>
      <c r="C24" s="12" t="s">
        <v>48</v>
      </c>
      <c r="D24" s="13" t="s">
        <v>1111</v>
      </c>
      <c r="E24" s="12" t="s">
        <v>119</v>
      </c>
      <c r="F24" s="12" t="s">
        <v>119</v>
      </c>
      <c r="G24" s="13" t="s">
        <v>567</v>
      </c>
      <c r="H24" s="12" t="s">
        <v>83</v>
      </c>
      <c r="I24" s="12" t="s">
        <v>98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101</v>
      </c>
      <c r="E4" s="6" t="n">
        <f aca="false">SUM(M9:M25)</f>
        <v>14</v>
      </c>
      <c r="G4" s="5" t="s">
        <v>13</v>
      </c>
      <c r="H4" s="7" t="n">
        <f aca="false">IF(B4=0,0,E4/B4)</f>
        <v>0.823529411764706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103</v>
      </c>
      <c r="B8" s="1" t="s">
        <v>104</v>
      </c>
      <c r="C8" s="1" t="s">
        <v>105</v>
      </c>
      <c r="D8" s="1" t="s">
        <v>106</v>
      </c>
      <c r="E8" s="1" t="s">
        <v>107</v>
      </c>
      <c r="F8" s="1" t="s">
        <v>108</v>
      </c>
      <c r="G8" s="1" t="s">
        <v>109</v>
      </c>
      <c r="H8" s="1" t="s">
        <v>110</v>
      </c>
      <c r="I8" s="1" t="s">
        <v>111</v>
      </c>
      <c r="J8" s="10" t="s">
        <v>112</v>
      </c>
      <c r="K8" s="1" t="s">
        <v>113</v>
      </c>
      <c r="L8" s="1" t="s">
        <v>114</v>
      </c>
      <c r="M8" s="1" t="s">
        <v>101</v>
      </c>
    </row>
    <row r="9" customFormat="false" ht="54" hidden="false" customHeight="true" outlineLevel="0" collapsed="false">
      <c r="A9" s="12" t="s">
        <v>1204</v>
      </c>
      <c r="B9" s="12" t="s">
        <v>116</v>
      </c>
      <c r="C9" s="12" t="s">
        <v>49</v>
      </c>
      <c r="D9" s="13" t="s">
        <v>1205</v>
      </c>
      <c r="E9" s="12" t="s">
        <v>119</v>
      </c>
      <c r="F9" s="12" t="s">
        <v>120</v>
      </c>
      <c r="G9" s="13" t="s">
        <v>1206</v>
      </c>
      <c r="H9" s="12" t="s">
        <v>83</v>
      </c>
      <c r="I9" s="12" t="s">
        <v>98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1207</v>
      </c>
      <c r="B10" s="12" t="s">
        <v>147</v>
      </c>
      <c r="C10" s="12" t="s">
        <v>49</v>
      </c>
      <c r="D10" s="13" t="s">
        <v>1208</v>
      </c>
      <c r="E10" s="12" t="s">
        <v>119</v>
      </c>
      <c r="F10" s="12" t="s">
        <v>139</v>
      </c>
      <c r="G10" s="13" t="s">
        <v>1209</v>
      </c>
      <c r="H10" s="12" t="s">
        <v>83</v>
      </c>
      <c r="I10" s="12" t="s">
        <v>98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1210</v>
      </c>
      <c r="B11" s="12" t="s">
        <v>1118</v>
      </c>
      <c r="C11" s="12" t="s">
        <v>49</v>
      </c>
      <c r="D11" s="13" t="s">
        <v>1211</v>
      </c>
      <c r="E11" s="12" t="s">
        <v>119</v>
      </c>
      <c r="F11" s="12" t="s">
        <v>144</v>
      </c>
      <c r="G11" s="13" t="s">
        <v>1212</v>
      </c>
      <c r="H11" s="12" t="s">
        <v>83</v>
      </c>
      <c r="I11" s="12" t="s">
        <v>98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1213</v>
      </c>
      <c r="B12" s="12" t="s">
        <v>1214</v>
      </c>
      <c r="C12" s="12" t="s">
        <v>49</v>
      </c>
      <c r="D12" s="13" t="s">
        <v>1215</v>
      </c>
      <c r="E12" s="12" t="s">
        <v>119</v>
      </c>
      <c r="F12" s="12" t="s">
        <v>144</v>
      </c>
      <c r="G12" s="13" t="s">
        <v>1212</v>
      </c>
      <c r="H12" s="12" t="s">
        <v>83</v>
      </c>
      <c r="I12" s="12" t="s">
        <v>98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1216</v>
      </c>
      <c r="B13" s="12" t="s">
        <v>1217</v>
      </c>
      <c r="C13" s="12" t="s">
        <v>1218</v>
      </c>
      <c r="D13" s="13" t="s">
        <v>1219</v>
      </c>
      <c r="E13" s="12" t="s">
        <v>119</v>
      </c>
      <c r="F13" s="12" t="s">
        <v>144</v>
      </c>
      <c r="G13" s="13" t="s">
        <v>1220</v>
      </c>
      <c r="H13" s="12" t="s">
        <v>83</v>
      </c>
      <c r="I13" s="12" t="s">
        <v>98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1221</v>
      </c>
      <c r="B14" s="12" t="s">
        <v>167</v>
      </c>
      <c r="C14" s="12" t="s">
        <v>49</v>
      </c>
      <c r="D14" s="13" t="s">
        <v>1222</v>
      </c>
      <c r="E14" s="12" t="s">
        <v>119</v>
      </c>
      <c r="F14" s="12" t="s">
        <v>139</v>
      </c>
      <c r="G14" s="13" t="s">
        <v>1209</v>
      </c>
      <c r="H14" s="12" t="s">
        <v>83</v>
      </c>
      <c r="I14" s="12" t="s">
        <v>98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1223</v>
      </c>
      <c r="B15" s="12" t="s">
        <v>123</v>
      </c>
      <c r="C15" s="12" t="s">
        <v>49</v>
      </c>
      <c r="D15" s="13" t="s">
        <v>1224</v>
      </c>
      <c r="E15" s="12" t="s">
        <v>119</v>
      </c>
      <c r="F15" s="12" t="s">
        <v>119</v>
      </c>
      <c r="G15" s="13" t="s">
        <v>125</v>
      </c>
      <c r="H15" s="12" t="s">
        <v>83</v>
      </c>
      <c r="I15" s="12" t="s">
        <v>98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1225</v>
      </c>
      <c r="B16" s="12" t="s">
        <v>127</v>
      </c>
      <c r="C16" s="12" t="s">
        <v>49</v>
      </c>
      <c r="D16" s="13" t="s">
        <v>1226</v>
      </c>
      <c r="E16" s="12" t="s">
        <v>119</v>
      </c>
      <c r="F16" s="12" t="s">
        <v>129</v>
      </c>
      <c r="G16" s="13" t="s">
        <v>1227</v>
      </c>
      <c r="H16" s="12" t="s">
        <v>83</v>
      </c>
      <c r="I16" s="12" t="s">
        <v>98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1228</v>
      </c>
      <c r="B17" s="12" t="s">
        <v>132</v>
      </c>
      <c r="C17" s="12" t="s">
        <v>49</v>
      </c>
      <c r="D17" s="13" t="s">
        <v>1229</v>
      </c>
      <c r="E17" s="12" t="s">
        <v>119</v>
      </c>
      <c r="F17" s="12" t="s">
        <v>134</v>
      </c>
      <c r="G17" s="13" t="s">
        <v>1230</v>
      </c>
      <c r="H17" s="12" t="s">
        <v>83</v>
      </c>
      <c r="I17" s="12" t="s">
        <v>98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1231</v>
      </c>
      <c r="B18" s="12" t="s">
        <v>152</v>
      </c>
      <c r="C18" s="12" t="s">
        <v>49</v>
      </c>
      <c r="D18" s="13" t="s">
        <v>1232</v>
      </c>
      <c r="E18" s="12" t="s">
        <v>119</v>
      </c>
      <c r="F18" s="12" t="s">
        <v>154</v>
      </c>
      <c r="G18" s="13" t="s">
        <v>1233</v>
      </c>
      <c r="H18" s="12" t="s">
        <v>81</v>
      </c>
      <c r="I18" s="12" t="s">
        <v>97</v>
      </c>
      <c r="J18" s="14"/>
      <c r="K18" s="13" t="s">
        <v>1182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1234</v>
      </c>
      <c r="B19" s="12" t="s">
        <v>158</v>
      </c>
      <c r="C19" s="12" t="s">
        <v>49</v>
      </c>
      <c r="D19" s="13" t="s">
        <v>1235</v>
      </c>
      <c r="E19" s="12" t="s">
        <v>119</v>
      </c>
      <c r="F19" s="12" t="s">
        <v>160</v>
      </c>
      <c r="G19" s="13" t="s">
        <v>1236</v>
      </c>
      <c r="H19" s="12" t="s">
        <v>81</v>
      </c>
      <c r="I19" s="12" t="s">
        <v>97</v>
      </c>
      <c r="J19" s="14"/>
      <c r="K19" s="13" t="s">
        <v>1182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1237</v>
      </c>
      <c r="B20" s="12" t="s">
        <v>172</v>
      </c>
      <c r="C20" s="12" t="s">
        <v>49</v>
      </c>
      <c r="D20" s="13" t="s">
        <v>1238</v>
      </c>
      <c r="E20" s="12" t="s">
        <v>119</v>
      </c>
      <c r="F20" s="12" t="s">
        <v>160</v>
      </c>
      <c r="G20" s="13" t="s">
        <v>1236</v>
      </c>
      <c r="H20" s="12" t="s">
        <v>81</v>
      </c>
      <c r="I20" s="12" t="s">
        <v>97</v>
      </c>
      <c r="J20" s="14"/>
      <c r="K20" s="13" t="s">
        <v>1182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1239</v>
      </c>
      <c r="B21" s="12" t="s">
        <v>176</v>
      </c>
      <c r="C21" s="12" t="s">
        <v>49</v>
      </c>
      <c r="D21" s="13" t="s">
        <v>1240</v>
      </c>
      <c r="E21" s="12" t="s">
        <v>119</v>
      </c>
      <c r="F21" s="12" t="s">
        <v>178</v>
      </c>
      <c r="G21" s="13" t="s">
        <v>1241</v>
      </c>
      <c r="H21" s="12" t="s">
        <v>83</v>
      </c>
      <c r="I21" s="12" t="s">
        <v>98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1242</v>
      </c>
      <c r="B22" s="12" t="s">
        <v>181</v>
      </c>
      <c r="C22" s="12" t="s">
        <v>49</v>
      </c>
      <c r="D22" s="13" t="s">
        <v>1243</v>
      </c>
      <c r="E22" s="12" t="s">
        <v>119</v>
      </c>
      <c r="F22" s="12" t="s">
        <v>178</v>
      </c>
      <c r="G22" s="13" t="s">
        <v>1244</v>
      </c>
      <c r="H22" s="12" t="s">
        <v>83</v>
      </c>
      <c r="I22" s="12" t="s">
        <v>98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1245</v>
      </c>
      <c r="B23" s="12" t="s">
        <v>185</v>
      </c>
      <c r="C23" s="12" t="s">
        <v>49</v>
      </c>
      <c r="D23" s="13" t="s">
        <v>1246</v>
      </c>
      <c r="E23" s="12" t="s">
        <v>187</v>
      </c>
      <c r="F23" s="12" t="s">
        <v>187</v>
      </c>
      <c r="G23" s="13" t="s">
        <v>188</v>
      </c>
      <c r="H23" s="12" t="s">
        <v>83</v>
      </c>
      <c r="I23" s="12" t="s">
        <v>98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1247</v>
      </c>
      <c r="B24" s="12" t="s">
        <v>607</v>
      </c>
      <c r="C24" s="12" t="s">
        <v>1197</v>
      </c>
      <c r="D24" s="13" t="s">
        <v>1248</v>
      </c>
      <c r="E24" s="12" t="s">
        <v>119</v>
      </c>
      <c r="F24" s="12" t="s">
        <v>1199</v>
      </c>
      <c r="G24" s="13" t="s">
        <v>1249</v>
      </c>
      <c r="H24" s="12" t="s">
        <v>83</v>
      </c>
      <c r="I24" s="12" t="s">
        <v>98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1250</v>
      </c>
      <c r="B25" s="12" t="s">
        <v>190</v>
      </c>
      <c r="C25" s="12" t="s">
        <v>49</v>
      </c>
      <c r="D25" s="13" t="s">
        <v>1251</v>
      </c>
      <c r="E25" s="12" t="s">
        <v>119</v>
      </c>
      <c r="F25" s="12" t="s">
        <v>119</v>
      </c>
      <c r="G25" s="13" t="s">
        <v>125</v>
      </c>
      <c r="H25" s="12" t="s">
        <v>83</v>
      </c>
      <c r="I25" s="12" t="s">
        <v>98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101</v>
      </c>
      <c r="E4" s="6" t="n">
        <f aca="false">SUM(M9:M30)</f>
        <v>19</v>
      </c>
      <c r="G4" s="5" t="s">
        <v>13</v>
      </c>
      <c r="H4" s="7" t="n">
        <f aca="false">IF(B4=0,0,E4/B4)</f>
        <v>0.863636363636364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103</v>
      </c>
      <c r="B8" s="1" t="s">
        <v>104</v>
      </c>
      <c r="C8" s="1" t="s">
        <v>105</v>
      </c>
      <c r="D8" s="1" t="s">
        <v>106</v>
      </c>
      <c r="E8" s="1" t="s">
        <v>107</v>
      </c>
      <c r="F8" s="1" t="s">
        <v>108</v>
      </c>
      <c r="G8" s="1" t="s">
        <v>109</v>
      </c>
      <c r="H8" s="1" t="s">
        <v>110</v>
      </c>
      <c r="I8" s="1" t="s">
        <v>111</v>
      </c>
      <c r="J8" s="10" t="s">
        <v>112</v>
      </c>
      <c r="K8" s="1" t="s">
        <v>113</v>
      </c>
      <c r="L8" s="1" t="s">
        <v>114</v>
      </c>
      <c r="M8" s="1" t="s">
        <v>101</v>
      </c>
    </row>
    <row r="9" customFormat="false" ht="54" hidden="false" customHeight="true" outlineLevel="0" collapsed="false">
      <c r="A9" s="12" t="s">
        <v>1254</v>
      </c>
      <c r="B9" s="12" t="s">
        <v>116</v>
      </c>
      <c r="C9" s="12" t="s">
        <v>1255</v>
      </c>
      <c r="D9" s="13" t="s">
        <v>1256</v>
      </c>
      <c r="E9" s="12" t="s">
        <v>119</v>
      </c>
      <c r="F9" s="12" t="s">
        <v>120</v>
      </c>
      <c r="G9" s="13" t="s">
        <v>1257</v>
      </c>
      <c r="H9" s="12" t="s">
        <v>83</v>
      </c>
      <c r="I9" s="12" t="s">
        <v>98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1258</v>
      </c>
      <c r="B10" s="12" t="s">
        <v>1259</v>
      </c>
      <c r="C10" s="12" t="s">
        <v>767</v>
      </c>
      <c r="D10" s="13" t="s">
        <v>1260</v>
      </c>
      <c r="E10" s="12" t="s">
        <v>119</v>
      </c>
      <c r="F10" s="12" t="s">
        <v>1261</v>
      </c>
      <c r="G10" s="13" t="s">
        <v>1262</v>
      </c>
      <c r="H10" s="12" t="s">
        <v>83</v>
      </c>
      <c r="I10" s="12" t="s">
        <v>98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1263</v>
      </c>
      <c r="B11" s="12" t="s">
        <v>1264</v>
      </c>
      <c r="C11" s="12" t="s">
        <v>1071</v>
      </c>
      <c r="D11" s="13" t="s">
        <v>1265</v>
      </c>
      <c r="E11" s="12" t="s">
        <v>119</v>
      </c>
      <c r="F11" s="12" t="s">
        <v>139</v>
      </c>
      <c r="G11" s="13" t="s">
        <v>1266</v>
      </c>
      <c r="H11" s="12" t="s">
        <v>83</v>
      </c>
      <c r="I11" s="12" t="s">
        <v>98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1267</v>
      </c>
      <c r="B12" s="12" t="s">
        <v>1268</v>
      </c>
      <c r="C12" s="12" t="s">
        <v>1268</v>
      </c>
      <c r="D12" s="13" t="s">
        <v>1269</v>
      </c>
      <c r="E12" s="12" t="s">
        <v>119</v>
      </c>
      <c r="F12" s="12" t="s">
        <v>144</v>
      </c>
      <c r="G12" s="13" t="s">
        <v>1270</v>
      </c>
      <c r="H12" s="12" t="s">
        <v>83</v>
      </c>
      <c r="I12" s="12" t="s">
        <v>98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1271</v>
      </c>
      <c r="B13" s="12" t="s">
        <v>1272</v>
      </c>
      <c r="C13" s="12" t="s">
        <v>1071</v>
      </c>
      <c r="D13" s="13" t="s">
        <v>1273</v>
      </c>
      <c r="E13" s="12" t="s">
        <v>119</v>
      </c>
      <c r="F13" s="12" t="s">
        <v>144</v>
      </c>
      <c r="G13" s="13" t="s">
        <v>1270</v>
      </c>
      <c r="H13" s="12" t="s">
        <v>83</v>
      </c>
      <c r="I13" s="12" t="s">
        <v>98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1274</v>
      </c>
      <c r="B14" s="12" t="s">
        <v>1275</v>
      </c>
      <c r="C14" s="12" t="s">
        <v>1071</v>
      </c>
      <c r="D14" s="13" t="s">
        <v>1276</v>
      </c>
      <c r="E14" s="12" t="s">
        <v>119</v>
      </c>
      <c r="F14" s="12" t="s">
        <v>144</v>
      </c>
      <c r="G14" s="13" t="s">
        <v>1270</v>
      </c>
      <c r="H14" s="12" t="s">
        <v>83</v>
      </c>
      <c r="I14" s="12" t="s">
        <v>98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1277</v>
      </c>
      <c r="B15" s="12" t="s">
        <v>1278</v>
      </c>
      <c r="C15" s="12" t="s">
        <v>767</v>
      </c>
      <c r="D15" s="13" t="s">
        <v>1279</v>
      </c>
      <c r="E15" s="12" t="s">
        <v>119</v>
      </c>
      <c r="F15" s="12" t="s">
        <v>144</v>
      </c>
      <c r="G15" s="13" t="s">
        <v>1270</v>
      </c>
      <c r="H15" s="12" t="s">
        <v>83</v>
      </c>
      <c r="I15" s="12" t="s">
        <v>98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1280</v>
      </c>
      <c r="B16" s="12" t="s">
        <v>147</v>
      </c>
      <c r="C16" s="12" t="s">
        <v>1281</v>
      </c>
      <c r="D16" s="13" t="s">
        <v>1282</v>
      </c>
      <c r="E16" s="12" t="s">
        <v>119</v>
      </c>
      <c r="F16" s="12" t="s">
        <v>144</v>
      </c>
      <c r="G16" s="13" t="s">
        <v>1270</v>
      </c>
      <c r="H16" s="12" t="s">
        <v>83</v>
      </c>
      <c r="I16" s="12" t="s">
        <v>98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1283</v>
      </c>
      <c r="B17" s="12" t="s">
        <v>167</v>
      </c>
      <c r="C17" s="12" t="s">
        <v>1169</v>
      </c>
      <c r="D17" s="13" t="s">
        <v>1284</v>
      </c>
      <c r="E17" s="12" t="s">
        <v>119</v>
      </c>
      <c r="F17" s="12" t="s">
        <v>139</v>
      </c>
      <c r="G17" s="13" t="s">
        <v>1285</v>
      </c>
      <c r="H17" s="12" t="s">
        <v>83</v>
      </c>
      <c r="I17" s="12" t="s">
        <v>98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1286</v>
      </c>
      <c r="B18" s="12" t="s">
        <v>123</v>
      </c>
      <c r="C18" s="12" t="s">
        <v>50</v>
      </c>
      <c r="D18" s="13" t="s">
        <v>1287</v>
      </c>
      <c r="E18" s="12" t="s">
        <v>119</v>
      </c>
      <c r="F18" s="12" t="s">
        <v>119</v>
      </c>
      <c r="G18" s="13" t="s">
        <v>125</v>
      </c>
      <c r="H18" s="12" t="s">
        <v>83</v>
      </c>
      <c r="I18" s="12" t="s">
        <v>98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1288</v>
      </c>
      <c r="B19" s="12" t="s">
        <v>127</v>
      </c>
      <c r="C19" s="12" t="s">
        <v>50</v>
      </c>
      <c r="D19" s="13" t="s">
        <v>1289</v>
      </c>
      <c r="E19" s="12" t="s">
        <v>119</v>
      </c>
      <c r="F19" s="12" t="s">
        <v>129</v>
      </c>
      <c r="G19" s="13" t="s">
        <v>1290</v>
      </c>
      <c r="H19" s="12" t="s">
        <v>83</v>
      </c>
      <c r="I19" s="12" t="s">
        <v>98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1291</v>
      </c>
      <c r="B20" s="12" t="s">
        <v>132</v>
      </c>
      <c r="C20" s="12" t="s">
        <v>50</v>
      </c>
      <c r="D20" s="13" t="s">
        <v>1292</v>
      </c>
      <c r="E20" s="12" t="s">
        <v>119</v>
      </c>
      <c r="F20" s="12" t="s">
        <v>134</v>
      </c>
      <c r="G20" s="13" t="s">
        <v>1293</v>
      </c>
      <c r="H20" s="12" t="s">
        <v>83</v>
      </c>
      <c r="I20" s="12" t="s">
        <v>98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1294</v>
      </c>
      <c r="B21" s="12" t="s">
        <v>1295</v>
      </c>
      <c r="C21" s="12" t="s">
        <v>50</v>
      </c>
      <c r="D21" s="13" t="s">
        <v>1296</v>
      </c>
      <c r="E21" s="12" t="s">
        <v>119</v>
      </c>
      <c r="F21" s="12" t="s">
        <v>119</v>
      </c>
      <c r="G21" s="13" t="s">
        <v>1297</v>
      </c>
      <c r="H21" s="12" t="s">
        <v>83</v>
      </c>
      <c r="I21" s="12" t="s">
        <v>98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1298</v>
      </c>
      <c r="B22" s="12" t="s">
        <v>607</v>
      </c>
      <c r="C22" s="12" t="s">
        <v>50</v>
      </c>
      <c r="D22" s="13" t="s">
        <v>1299</v>
      </c>
      <c r="E22" s="12" t="s">
        <v>119</v>
      </c>
      <c r="F22" s="12" t="s">
        <v>144</v>
      </c>
      <c r="G22" s="13" t="s">
        <v>1300</v>
      </c>
      <c r="H22" s="12" t="s">
        <v>83</v>
      </c>
      <c r="I22" s="12" t="s">
        <v>98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1301</v>
      </c>
      <c r="B23" s="12" t="s">
        <v>152</v>
      </c>
      <c r="C23" s="12" t="s">
        <v>50</v>
      </c>
      <c r="D23" s="13" t="s">
        <v>1302</v>
      </c>
      <c r="E23" s="12" t="s">
        <v>119</v>
      </c>
      <c r="F23" s="12" t="s">
        <v>154</v>
      </c>
      <c r="G23" s="13" t="s">
        <v>1303</v>
      </c>
      <c r="H23" s="12" t="s">
        <v>81</v>
      </c>
      <c r="I23" s="12" t="s">
        <v>97</v>
      </c>
      <c r="J23" s="14"/>
      <c r="K23" s="13" t="s">
        <v>1304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1305</v>
      </c>
      <c r="B24" s="12" t="s">
        <v>158</v>
      </c>
      <c r="C24" s="12" t="s">
        <v>50</v>
      </c>
      <c r="D24" s="13" t="s">
        <v>1306</v>
      </c>
      <c r="E24" s="12" t="s">
        <v>119</v>
      </c>
      <c r="F24" s="12" t="s">
        <v>160</v>
      </c>
      <c r="G24" s="13" t="s">
        <v>1307</v>
      </c>
      <c r="H24" s="12" t="s">
        <v>81</v>
      </c>
      <c r="I24" s="12" t="s">
        <v>97</v>
      </c>
      <c r="J24" s="14"/>
      <c r="K24" s="13" t="s">
        <v>1304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1308</v>
      </c>
      <c r="B25" s="12" t="s">
        <v>172</v>
      </c>
      <c r="C25" s="12" t="s">
        <v>50</v>
      </c>
      <c r="D25" s="13" t="s">
        <v>1309</v>
      </c>
      <c r="E25" s="12" t="s">
        <v>119</v>
      </c>
      <c r="F25" s="12" t="s">
        <v>160</v>
      </c>
      <c r="G25" s="13" t="s">
        <v>1307</v>
      </c>
      <c r="H25" s="12" t="s">
        <v>81</v>
      </c>
      <c r="I25" s="12" t="s">
        <v>97</v>
      </c>
      <c r="J25" s="14"/>
      <c r="K25" s="13" t="s">
        <v>1304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1310</v>
      </c>
      <c r="B26" s="12" t="s">
        <v>176</v>
      </c>
      <c r="C26" s="12" t="s">
        <v>50</v>
      </c>
      <c r="D26" s="13" t="s">
        <v>1311</v>
      </c>
      <c r="E26" s="12" t="s">
        <v>119</v>
      </c>
      <c r="F26" s="12" t="s">
        <v>178</v>
      </c>
      <c r="G26" s="13" t="s">
        <v>1312</v>
      </c>
      <c r="H26" s="12" t="s">
        <v>83</v>
      </c>
      <c r="I26" s="12" t="s">
        <v>98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1313</v>
      </c>
      <c r="B27" s="12" t="s">
        <v>181</v>
      </c>
      <c r="C27" s="12" t="s">
        <v>50</v>
      </c>
      <c r="D27" s="13" t="s">
        <v>1314</v>
      </c>
      <c r="E27" s="12" t="s">
        <v>119</v>
      </c>
      <c r="F27" s="12" t="s">
        <v>178</v>
      </c>
      <c r="G27" s="13" t="s">
        <v>1315</v>
      </c>
      <c r="H27" s="12" t="s">
        <v>83</v>
      </c>
      <c r="I27" s="12" t="s">
        <v>98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1316</v>
      </c>
      <c r="B28" s="12" t="s">
        <v>185</v>
      </c>
      <c r="C28" s="12" t="s">
        <v>50</v>
      </c>
      <c r="D28" s="13" t="s">
        <v>1317</v>
      </c>
      <c r="E28" s="12" t="s">
        <v>187</v>
      </c>
      <c r="F28" s="12" t="s">
        <v>187</v>
      </c>
      <c r="G28" s="13" t="s">
        <v>188</v>
      </c>
      <c r="H28" s="12" t="s">
        <v>83</v>
      </c>
      <c r="I28" s="12" t="s">
        <v>98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1318</v>
      </c>
      <c r="B29" s="12" t="s">
        <v>1197</v>
      </c>
      <c r="C29" s="12" t="s">
        <v>50</v>
      </c>
      <c r="D29" s="13" t="s">
        <v>1319</v>
      </c>
      <c r="E29" s="12" t="s">
        <v>119</v>
      </c>
      <c r="F29" s="12" t="s">
        <v>1199</v>
      </c>
      <c r="G29" s="13" t="s">
        <v>1320</v>
      </c>
      <c r="H29" s="12" t="s">
        <v>83</v>
      </c>
      <c r="I29" s="12" t="s">
        <v>98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1321</v>
      </c>
      <c r="B30" s="12" t="s">
        <v>190</v>
      </c>
      <c r="C30" s="12" t="s">
        <v>50</v>
      </c>
      <c r="D30" s="13" t="s">
        <v>1322</v>
      </c>
      <c r="E30" s="12" t="s">
        <v>119</v>
      </c>
      <c r="F30" s="12" t="s">
        <v>119</v>
      </c>
      <c r="G30" s="13" t="s">
        <v>125</v>
      </c>
      <c r="H30" s="12" t="s">
        <v>83</v>
      </c>
      <c r="I30" s="12" t="s">
        <v>98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1324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COUNTA(A9:A27)</f>
        <v>19</v>
      </c>
      <c r="D4" s="5" t="s">
        <v>101</v>
      </c>
      <c r="E4" s="6" t="n">
        <f aca="false">SUM(M9:M27)</f>
        <v>15</v>
      </c>
      <c r="G4" s="5" t="s">
        <v>13</v>
      </c>
      <c r="H4" s="7" t="n">
        <f aca="false">IF(B4=0,0,E4/B4)</f>
        <v>0.789473684210526</v>
      </c>
      <c r="J4" s="5" t="s">
        <v>14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IF(COUNTIFS(I9:I27,"yes",M9:M27,0)&gt;0,"open","complete")</f>
        <v>open</v>
      </c>
      <c r="D5" s="5" t="s">
        <v>15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103</v>
      </c>
      <c r="B8" s="1" t="s">
        <v>104</v>
      </c>
      <c r="C8" s="1" t="s">
        <v>105</v>
      </c>
      <c r="D8" s="1" t="s">
        <v>106</v>
      </c>
      <c r="E8" s="1" t="s">
        <v>107</v>
      </c>
      <c r="F8" s="1" t="s">
        <v>108</v>
      </c>
      <c r="G8" s="1" t="s">
        <v>109</v>
      </c>
      <c r="H8" s="1" t="s">
        <v>110</v>
      </c>
      <c r="I8" s="1" t="s">
        <v>111</v>
      </c>
      <c r="J8" s="10" t="s">
        <v>112</v>
      </c>
      <c r="K8" s="1" t="s">
        <v>113</v>
      </c>
      <c r="L8" s="1" t="s">
        <v>114</v>
      </c>
      <c r="M8" s="1" t="s">
        <v>101</v>
      </c>
    </row>
    <row r="9" customFormat="false" ht="54" hidden="false" customHeight="true" outlineLevel="0" collapsed="false">
      <c r="A9" s="12" t="s">
        <v>562</v>
      </c>
      <c r="B9" s="12" t="s">
        <v>116</v>
      </c>
      <c r="C9" s="12" t="s">
        <v>1325</v>
      </c>
      <c r="D9" s="13" t="s">
        <v>1326</v>
      </c>
      <c r="E9" s="12" t="s">
        <v>119</v>
      </c>
      <c r="F9" s="12" t="s">
        <v>120</v>
      </c>
      <c r="G9" s="13" t="s">
        <v>1327</v>
      </c>
      <c r="H9" s="12" t="s">
        <v>83</v>
      </c>
      <c r="I9" s="12" t="s">
        <v>98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565</v>
      </c>
      <c r="B10" s="12" t="s">
        <v>1328</v>
      </c>
      <c r="C10" s="12" t="s">
        <v>1329</v>
      </c>
      <c r="D10" s="13" t="s">
        <v>1330</v>
      </c>
      <c r="E10" s="12" t="s">
        <v>119</v>
      </c>
      <c r="F10" s="12" t="s">
        <v>139</v>
      </c>
      <c r="G10" s="13" t="s">
        <v>1331</v>
      </c>
      <c r="H10" s="12" t="s">
        <v>83</v>
      </c>
      <c r="I10" s="12" t="s">
        <v>98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568</v>
      </c>
      <c r="B11" s="12" t="s">
        <v>123</v>
      </c>
      <c r="C11" s="12" t="s">
        <v>51</v>
      </c>
      <c r="D11" s="13" t="s">
        <v>1332</v>
      </c>
      <c r="E11" s="12" t="s">
        <v>119</v>
      </c>
      <c r="F11" s="12" t="s">
        <v>119</v>
      </c>
      <c r="G11" s="13" t="s">
        <v>567</v>
      </c>
      <c r="H11" s="12" t="s">
        <v>83</v>
      </c>
      <c r="I11" s="12" t="s">
        <v>98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571</v>
      </c>
      <c r="B12" s="12" t="s">
        <v>127</v>
      </c>
      <c r="C12" s="12" t="s">
        <v>51</v>
      </c>
      <c r="D12" s="13" t="s">
        <v>1333</v>
      </c>
      <c r="E12" s="12" t="s">
        <v>119</v>
      </c>
      <c r="F12" s="12" t="s">
        <v>129</v>
      </c>
      <c r="G12" s="13" t="s">
        <v>1334</v>
      </c>
      <c r="H12" s="12" t="s">
        <v>83</v>
      </c>
      <c r="I12" s="12" t="s">
        <v>98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574</v>
      </c>
      <c r="B13" s="12" t="s">
        <v>132</v>
      </c>
      <c r="C13" s="12" t="s">
        <v>51</v>
      </c>
      <c r="D13" s="13" t="s">
        <v>1335</v>
      </c>
      <c r="E13" s="12" t="s">
        <v>119</v>
      </c>
      <c r="F13" s="12" t="s">
        <v>134</v>
      </c>
      <c r="G13" s="13" t="s">
        <v>1336</v>
      </c>
      <c r="H13" s="12" t="s">
        <v>83</v>
      </c>
      <c r="I13" s="12" t="s">
        <v>98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577</v>
      </c>
      <c r="B14" s="12" t="s">
        <v>137</v>
      </c>
      <c r="C14" s="12" t="s">
        <v>51</v>
      </c>
      <c r="D14" s="13" t="s">
        <v>1337</v>
      </c>
      <c r="E14" s="12" t="s">
        <v>119</v>
      </c>
      <c r="F14" s="12" t="s">
        <v>139</v>
      </c>
      <c r="G14" s="13" t="s">
        <v>1331</v>
      </c>
      <c r="H14" s="12" t="s">
        <v>83</v>
      </c>
      <c r="I14" s="12" t="s">
        <v>98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580</v>
      </c>
      <c r="B15" s="12" t="s">
        <v>142</v>
      </c>
      <c r="C15" s="12" t="s">
        <v>1338</v>
      </c>
      <c r="D15" s="13" t="s">
        <v>1339</v>
      </c>
      <c r="E15" s="12" t="s">
        <v>119</v>
      </c>
      <c r="F15" s="12" t="s">
        <v>144</v>
      </c>
      <c r="G15" s="13" t="s">
        <v>1340</v>
      </c>
      <c r="H15" s="12" t="s">
        <v>83</v>
      </c>
      <c r="I15" s="12" t="s">
        <v>98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582</v>
      </c>
      <c r="B16" s="12" t="s">
        <v>1278</v>
      </c>
      <c r="C16" s="12" t="s">
        <v>1341</v>
      </c>
      <c r="D16" s="13" t="s">
        <v>1342</v>
      </c>
      <c r="E16" s="12" t="s">
        <v>119</v>
      </c>
      <c r="F16" s="12" t="s">
        <v>144</v>
      </c>
      <c r="G16" s="13" t="s">
        <v>1340</v>
      </c>
      <c r="H16" s="12" t="s">
        <v>83</v>
      </c>
      <c r="I16" s="12" t="s">
        <v>98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585</v>
      </c>
      <c r="B17" s="12" t="s">
        <v>147</v>
      </c>
      <c r="C17" s="12" t="s">
        <v>1343</v>
      </c>
      <c r="D17" s="13" t="s">
        <v>1344</v>
      </c>
      <c r="E17" s="12" t="s">
        <v>119</v>
      </c>
      <c r="F17" s="12" t="s">
        <v>149</v>
      </c>
      <c r="G17" s="13" t="s">
        <v>1340</v>
      </c>
      <c r="H17" s="12" t="s">
        <v>83</v>
      </c>
      <c r="I17" s="12" t="s">
        <v>98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589</v>
      </c>
      <c r="B18" s="12" t="s">
        <v>152</v>
      </c>
      <c r="C18" s="12" t="s">
        <v>51</v>
      </c>
      <c r="D18" s="13" t="s">
        <v>1345</v>
      </c>
      <c r="E18" s="12" t="s">
        <v>119</v>
      </c>
      <c r="F18" s="12" t="s">
        <v>154</v>
      </c>
      <c r="G18" s="13" t="s">
        <v>1346</v>
      </c>
      <c r="H18" s="12" t="s">
        <v>85</v>
      </c>
      <c r="I18" s="12" t="s">
        <v>97</v>
      </c>
      <c r="J18" s="14" t="n">
        <v>46229</v>
      </c>
      <c r="K18" s="13" t="s">
        <v>1347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593</v>
      </c>
      <c r="B19" s="12" t="s">
        <v>158</v>
      </c>
      <c r="C19" s="12" t="s">
        <v>51</v>
      </c>
      <c r="D19" s="13" t="s">
        <v>1348</v>
      </c>
      <c r="E19" s="12" t="s">
        <v>119</v>
      </c>
      <c r="F19" s="12" t="s">
        <v>160</v>
      </c>
      <c r="G19" s="13" t="s">
        <v>1349</v>
      </c>
      <c r="H19" s="12" t="s">
        <v>81</v>
      </c>
      <c r="I19" s="12" t="s">
        <v>97</v>
      </c>
      <c r="J19" s="14"/>
      <c r="K19" s="13" t="s">
        <v>888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595</v>
      </c>
      <c r="B20" s="12" t="s">
        <v>164</v>
      </c>
      <c r="C20" s="12" t="s">
        <v>51</v>
      </c>
      <c r="D20" s="13" t="s">
        <v>1350</v>
      </c>
      <c r="E20" s="12" t="s">
        <v>119</v>
      </c>
      <c r="F20" s="12" t="s">
        <v>160</v>
      </c>
      <c r="G20" s="13" t="s">
        <v>1351</v>
      </c>
      <c r="H20" s="12" t="s">
        <v>81</v>
      </c>
      <c r="I20" s="12" t="s">
        <v>97</v>
      </c>
      <c r="J20" s="14"/>
      <c r="K20" s="13" t="s">
        <v>789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598</v>
      </c>
      <c r="B21" s="12" t="s">
        <v>1264</v>
      </c>
      <c r="C21" s="12" t="s">
        <v>1325</v>
      </c>
      <c r="D21" s="13" t="s">
        <v>1352</v>
      </c>
      <c r="E21" s="12" t="s">
        <v>119</v>
      </c>
      <c r="F21" s="12" t="s">
        <v>144</v>
      </c>
      <c r="G21" s="13" t="s">
        <v>1353</v>
      </c>
      <c r="H21" s="12" t="s">
        <v>83</v>
      </c>
      <c r="I21" s="12" t="s">
        <v>98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601</v>
      </c>
      <c r="B22" s="12" t="s">
        <v>172</v>
      </c>
      <c r="C22" s="12" t="s">
        <v>51</v>
      </c>
      <c r="D22" s="13" t="s">
        <v>1354</v>
      </c>
      <c r="E22" s="12" t="s">
        <v>119</v>
      </c>
      <c r="F22" s="12" t="s">
        <v>160</v>
      </c>
      <c r="G22" s="13" t="s">
        <v>1349</v>
      </c>
      <c r="H22" s="12" t="s">
        <v>81</v>
      </c>
      <c r="I22" s="12" t="s">
        <v>97</v>
      </c>
      <c r="J22" s="14"/>
      <c r="K22" s="13" t="s">
        <v>893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604</v>
      </c>
      <c r="B23" s="12" t="s">
        <v>176</v>
      </c>
      <c r="C23" s="12" t="s">
        <v>51</v>
      </c>
      <c r="D23" s="13" t="s">
        <v>1355</v>
      </c>
      <c r="E23" s="12" t="s">
        <v>119</v>
      </c>
      <c r="F23" s="12" t="s">
        <v>178</v>
      </c>
      <c r="G23" s="13" t="s">
        <v>1356</v>
      </c>
      <c r="H23" s="12" t="s">
        <v>83</v>
      </c>
      <c r="I23" s="12" t="s">
        <v>98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606</v>
      </c>
      <c r="B24" s="12" t="s">
        <v>181</v>
      </c>
      <c r="C24" s="12" t="s">
        <v>51</v>
      </c>
      <c r="D24" s="13" t="s">
        <v>1357</v>
      </c>
      <c r="E24" s="12" t="s">
        <v>119</v>
      </c>
      <c r="F24" s="12" t="s">
        <v>178</v>
      </c>
      <c r="G24" s="13" t="s">
        <v>1358</v>
      </c>
      <c r="H24" s="12" t="s">
        <v>83</v>
      </c>
      <c r="I24" s="12" t="s">
        <v>98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611</v>
      </c>
      <c r="B25" s="12" t="s">
        <v>185</v>
      </c>
      <c r="C25" s="12" t="s">
        <v>51</v>
      </c>
      <c r="D25" s="13" t="s">
        <v>1359</v>
      </c>
      <c r="E25" s="12" t="s">
        <v>187</v>
      </c>
      <c r="F25" s="12" t="s">
        <v>187</v>
      </c>
      <c r="G25" s="13" t="s">
        <v>188</v>
      </c>
      <c r="H25" s="12" t="s">
        <v>83</v>
      </c>
      <c r="I25" s="12" t="s">
        <v>98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1360</v>
      </c>
      <c r="B26" s="12" t="s">
        <v>607</v>
      </c>
      <c r="C26" s="12" t="s">
        <v>51</v>
      </c>
      <c r="D26" s="13" t="s">
        <v>1361</v>
      </c>
      <c r="E26" s="12" t="s">
        <v>119</v>
      </c>
      <c r="F26" s="12" t="s">
        <v>119</v>
      </c>
      <c r="G26" s="13" t="s">
        <v>1362</v>
      </c>
      <c r="H26" s="12" t="s">
        <v>83</v>
      </c>
      <c r="I26" s="12" t="s">
        <v>98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1363</v>
      </c>
      <c r="B27" s="12" t="s">
        <v>190</v>
      </c>
      <c r="C27" s="12" t="s">
        <v>51</v>
      </c>
      <c r="D27" s="13" t="s">
        <v>1364</v>
      </c>
      <c r="E27" s="12" t="s">
        <v>119</v>
      </c>
      <c r="F27" s="12" t="s">
        <v>119</v>
      </c>
      <c r="G27" s="13" t="s">
        <v>1365</v>
      </c>
      <c r="H27" s="12" t="s">
        <v>81</v>
      </c>
      <c r="I27" s="12" t="s">
        <v>97</v>
      </c>
      <c r="J27" s="14"/>
      <c r="K27" s="13" t="s">
        <v>1366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101</v>
      </c>
      <c r="E4" s="6" t="n">
        <f aca="false">SUM(M9:M30)</f>
        <v>16</v>
      </c>
      <c r="G4" s="5" t="s">
        <v>13</v>
      </c>
      <c r="H4" s="7" t="n">
        <f aca="false">IF(B4=0,0,E4/B4)</f>
        <v>0.727272727272727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54" hidden="false" customHeight="true" outlineLevel="0" collapsed="false">
      <c r="A9" s="12" t="s">
        <v>757</v>
      </c>
      <c r="B9" s="12" t="s">
        <v>116</v>
      </c>
      <c r="C9" s="12" t="s">
        <v>1369</v>
      </c>
      <c r="D9" s="13" t="s">
        <v>1370</v>
      </c>
      <c r="E9" s="12" t="s">
        <v>119</v>
      </c>
      <c r="F9" s="12" t="s">
        <v>120</v>
      </c>
      <c r="G9" s="13" t="s">
        <v>1371</v>
      </c>
      <c r="H9" s="12" t="s">
        <v>83</v>
      </c>
      <c r="I9" s="12" t="s">
        <v>98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760</v>
      </c>
      <c r="B10" s="12" t="s">
        <v>1328</v>
      </c>
      <c r="C10" s="12" t="s">
        <v>1169</v>
      </c>
      <c r="D10" s="13" t="s">
        <v>1372</v>
      </c>
      <c r="E10" s="12" t="s">
        <v>119</v>
      </c>
      <c r="F10" s="12" t="s">
        <v>139</v>
      </c>
      <c r="G10" s="13" t="s">
        <v>1373</v>
      </c>
      <c r="H10" s="12" t="s">
        <v>83</v>
      </c>
      <c r="I10" s="12" t="s">
        <v>98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763</v>
      </c>
      <c r="B11" s="12" t="s">
        <v>123</v>
      </c>
      <c r="C11" s="12" t="s">
        <v>52</v>
      </c>
      <c r="D11" s="13" t="s">
        <v>1374</v>
      </c>
      <c r="E11" s="12" t="s">
        <v>119</v>
      </c>
      <c r="F11" s="12" t="s">
        <v>119</v>
      </c>
      <c r="G11" s="13" t="s">
        <v>125</v>
      </c>
      <c r="H11" s="12" t="s">
        <v>83</v>
      </c>
      <c r="I11" s="12" t="s">
        <v>98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766</v>
      </c>
      <c r="B12" s="12" t="s">
        <v>127</v>
      </c>
      <c r="C12" s="12" t="s">
        <v>1375</v>
      </c>
      <c r="D12" s="13" t="s">
        <v>1376</v>
      </c>
      <c r="E12" s="12" t="s">
        <v>119</v>
      </c>
      <c r="F12" s="12" t="s">
        <v>129</v>
      </c>
      <c r="G12" s="13" t="s">
        <v>1377</v>
      </c>
      <c r="H12" s="12" t="s">
        <v>83</v>
      </c>
      <c r="I12" s="12" t="s">
        <v>98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770</v>
      </c>
      <c r="B13" s="12" t="s">
        <v>132</v>
      </c>
      <c r="C13" s="12" t="s">
        <v>1378</v>
      </c>
      <c r="D13" s="13" t="s">
        <v>1379</v>
      </c>
      <c r="E13" s="12" t="s">
        <v>119</v>
      </c>
      <c r="F13" s="12" t="s">
        <v>134</v>
      </c>
      <c r="G13" s="13" t="s">
        <v>1380</v>
      </c>
      <c r="H13" s="12" t="s">
        <v>83</v>
      </c>
      <c r="I13" s="12" t="s">
        <v>98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773</v>
      </c>
      <c r="B14" s="12" t="s">
        <v>1381</v>
      </c>
      <c r="C14" s="12" t="s">
        <v>1382</v>
      </c>
      <c r="D14" s="13" t="s">
        <v>1383</v>
      </c>
      <c r="E14" s="12" t="s">
        <v>119</v>
      </c>
      <c r="F14" s="12" t="s">
        <v>139</v>
      </c>
      <c r="G14" s="13" t="s">
        <v>1384</v>
      </c>
      <c r="H14" s="12" t="s">
        <v>83</v>
      </c>
      <c r="I14" s="12" t="s">
        <v>98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776</v>
      </c>
      <c r="B15" s="12" t="s">
        <v>1118</v>
      </c>
      <c r="C15" s="12" t="s">
        <v>1369</v>
      </c>
      <c r="D15" s="13" t="s">
        <v>1385</v>
      </c>
      <c r="E15" s="12" t="s">
        <v>119</v>
      </c>
      <c r="F15" s="12" t="s">
        <v>144</v>
      </c>
      <c r="G15" s="13" t="s">
        <v>1386</v>
      </c>
      <c r="H15" s="12" t="s">
        <v>83</v>
      </c>
      <c r="I15" s="12" t="s">
        <v>98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778</v>
      </c>
      <c r="B16" s="12" t="s">
        <v>1387</v>
      </c>
      <c r="C16" s="12" t="s">
        <v>1388</v>
      </c>
      <c r="D16" s="13" t="s">
        <v>1389</v>
      </c>
      <c r="E16" s="12" t="s">
        <v>119</v>
      </c>
      <c r="F16" s="12" t="s">
        <v>144</v>
      </c>
      <c r="G16" s="13" t="s">
        <v>1390</v>
      </c>
      <c r="H16" s="12" t="s">
        <v>83</v>
      </c>
      <c r="I16" s="12" t="s">
        <v>98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782</v>
      </c>
      <c r="B17" s="12" t="s">
        <v>1391</v>
      </c>
      <c r="C17" s="12" t="s">
        <v>1392</v>
      </c>
      <c r="D17" s="13" t="s">
        <v>1393</v>
      </c>
      <c r="E17" s="12" t="s">
        <v>119</v>
      </c>
      <c r="F17" s="12" t="s">
        <v>144</v>
      </c>
      <c r="G17" s="13" t="s">
        <v>1386</v>
      </c>
      <c r="H17" s="12" t="s">
        <v>83</v>
      </c>
      <c r="I17" s="12" t="s">
        <v>98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786</v>
      </c>
      <c r="B18" s="12" t="s">
        <v>1394</v>
      </c>
      <c r="C18" s="12" t="s">
        <v>1369</v>
      </c>
      <c r="D18" s="13" t="s">
        <v>1395</v>
      </c>
      <c r="E18" s="12" t="s">
        <v>119</v>
      </c>
      <c r="F18" s="12" t="s">
        <v>144</v>
      </c>
      <c r="G18" s="13" t="s">
        <v>1390</v>
      </c>
      <c r="H18" s="12" t="s">
        <v>83</v>
      </c>
      <c r="I18" s="12" t="s">
        <v>98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790</v>
      </c>
      <c r="B19" s="12" t="s">
        <v>167</v>
      </c>
      <c r="C19" s="12" t="s">
        <v>1396</v>
      </c>
      <c r="D19" s="13" t="s">
        <v>1397</v>
      </c>
      <c r="E19" s="12" t="s">
        <v>119</v>
      </c>
      <c r="F19" s="12" t="s">
        <v>139</v>
      </c>
      <c r="G19" s="13" t="s">
        <v>1384</v>
      </c>
      <c r="H19" s="12" t="s">
        <v>83</v>
      </c>
      <c r="I19" s="12" t="s">
        <v>98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792</v>
      </c>
      <c r="B20" s="12" t="s">
        <v>147</v>
      </c>
      <c r="C20" s="12" t="s">
        <v>52</v>
      </c>
      <c r="D20" s="13" t="s">
        <v>1398</v>
      </c>
      <c r="E20" s="12" t="s">
        <v>119</v>
      </c>
      <c r="F20" s="12" t="s">
        <v>149</v>
      </c>
      <c r="G20" s="13" t="s">
        <v>1386</v>
      </c>
      <c r="H20" s="12" t="s">
        <v>83</v>
      </c>
      <c r="I20" s="12" t="s">
        <v>98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795</v>
      </c>
      <c r="B21" s="12" t="s">
        <v>152</v>
      </c>
      <c r="C21" s="12" t="s">
        <v>52</v>
      </c>
      <c r="D21" s="13" t="s">
        <v>1399</v>
      </c>
      <c r="E21" s="12" t="s">
        <v>119</v>
      </c>
      <c r="F21" s="12" t="s">
        <v>154</v>
      </c>
      <c r="G21" s="13" t="s">
        <v>1400</v>
      </c>
      <c r="H21" s="12" t="s">
        <v>81</v>
      </c>
      <c r="I21" s="12" t="s">
        <v>97</v>
      </c>
      <c r="J21" s="14"/>
      <c r="K21" s="13" t="s">
        <v>1401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798</v>
      </c>
      <c r="B22" s="12" t="s">
        <v>158</v>
      </c>
      <c r="C22" s="12" t="s">
        <v>1402</v>
      </c>
      <c r="D22" s="13" t="s">
        <v>1403</v>
      </c>
      <c r="E22" s="12" t="s">
        <v>119</v>
      </c>
      <c r="F22" s="12" t="s">
        <v>160</v>
      </c>
      <c r="G22" s="13" t="s">
        <v>1404</v>
      </c>
      <c r="H22" s="12" t="s">
        <v>81</v>
      </c>
      <c r="I22" s="12" t="s">
        <v>97</v>
      </c>
      <c r="J22" s="14"/>
      <c r="K22" s="13" t="s">
        <v>1405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801</v>
      </c>
      <c r="B23" s="12" t="s">
        <v>1406</v>
      </c>
      <c r="C23" s="12" t="s">
        <v>1071</v>
      </c>
      <c r="D23" s="13" t="s">
        <v>1407</v>
      </c>
      <c r="E23" s="12" t="s">
        <v>119</v>
      </c>
      <c r="F23" s="12" t="s">
        <v>160</v>
      </c>
      <c r="G23" s="13" t="s">
        <v>1408</v>
      </c>
      <c r="H23" s="12" t="s">
        <v>81</v>
      </c>
      <c r="I23" s="12" t="s">
        <v>97</v>
      </c>
      <c r="J23" s="14"/>
      <c r="K23" s="13" t="s">
        <v>1409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804</v>
      </c>
      <c r="B24" s="12" t="s">
        <v>1410</v>
      </c>
      <c r="C24" s="12" t="s">
        <v>52</v>
      </c>
      <c r="D24" s="13" t="s">
        <v>1411</v>
      </c>
      <c r="E24" s="12" t="s">
        <v>119</v>
      </c>
      <c r="F24" s="12" t="s">
        <v>160</v>
      </c>
      <c r="G24" s="13" t="s">
        <v>1404</v>
      </c>
      <c r="H24" s="12" t="s">
        <v>81</v>
      </c>
      <c r="I24" s="12" t="s">
        <v>97</v>
      </c>
      <c r="J24" s="14"/>
      <c r="K24" s="13" t="s">
        <v>1412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934</v>
      </c>
      <c r="B25" s="12" t="s">
        <v>164</v>
      </c>
      <c r="C25" s="12" t="s">
        <v>52</v>
      </c>
      <c r="D25" s="13" t="s">
        <v>539</v>
      </c>
      <c r="E25" s="12" t="s">
        <v>119</v>
      </c>
      <c r="F25" s="12" t="s">
        <v>160</v>
      </c>
      <c r="G25" s="13" t="s">
        <v>1413</v>
      </c>
      <c r="H25" s="12" t="s">
        <v>81</v>
      </c>
      <c r="I25" s="12" t="s">
        <v>97</v>
      </c>
      <c r="J25" s="14"/>
      <c r="K25" s="13" t="s">
        <v>1414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1415</v>
      </c>
      <c r="B26" s="12" t="s">
        <v>172</v>
      </c>
      <c r="C26" s="12" t="s">
        <v>52</v>
      </c>
      <c r="D26" s="13" t="s">
        <v>1416</v>
      </c>
      <c r="E26" s="12" t="s">
        <v>119</v>
      </c>
      <c r="F26" s="12" t="s">
        <v>160</v>
      </c>
      <c r="G26" s="13" t="s">
        <v>1404</v>
      </c>
      <c r="H26" s="12" t="s">
        <v>81</v>
      </c>
      <c r="I26" s="12" t="s">
        <v>97</v>
      </c>
      <c r="J26" s="14"/>
      <c r="K26" s="13" t="s">
        <v>548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1417</v>
      </c>
      <c r="B27" s="12" t="s">
        <v>176</v>
      </c>
      <c r="C27" s="12" t="s">
        <v>52</v>
      </c>
      <c r="D27" s="13" t="s">
        <v>1418</v>
      </c>
      <c r="E27" s="12" t="s">
        <v>119</v>
      </c>
      <c r="F27" s="12" t="s">
        <v>178</v>
      </c>
      <c r="G27" s="13" t="s">
        <v>1419</v>
      </c>
      <c r="H27" s="12" t="s">
        <v>83</v>
      </c>
      <c r="I27" s="12" t="s">
        <v>98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1420</v>
      </c>
      <c r="B28" s="12" t="s">
        <v>181</v>
      </c>
      <c r="C28" s="12" t="s">
        <v>52</v>
      </c>
      <c r="D28" s="13" t="s">
        <v>1421</v>
      </c>
      <c r="E28" s="12" t="s">
        <v>119</v>
      </c>
      <c r="F28" s="12" t="s">
        <v>178</v>
      </c>
      <c r="G28" s="13" t="s">
        <v>1422</v>
      </c>
      <c r="H28" s="12" t="s">
        <v>83</v>
      </c>
      <c r="I28" s="12" t="s">
        <v>98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1423</v>
      </c>
      <c r="B29" s="12" t="s">
        <v>185</v>
      </c>
      <c r="C29" s="12" t="s">
        <v>52</v>
      </c>
      <c r="D29" s="13" t="s">
        <v>1424</v>
      </c>
      <c r="E29" s="12" t="s">
        <v>187</v>
      </c>
      <c r="F29" s="12" t="s">
        <v>187</v>
      </c>
      <c r="G29" s="13" t="s">
        <v>188</v>
      </c>
      <c r="H29" s="12" t="s">
        <v>83</v>
      </c>
      <c r="I29" s="12" t="s">
        <v>98</v>
      </c>
      <c r="J29" s="14" t="s">
        <v>1425</v>
      </c>
      <c r="K29" s="13" t="s">
        <v>1426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1427</v>
      </c>
      <c r="B30" s="12" t="s">
        <v>190</v>
      </c>
      <c r="C30" s="12" t="s">
        <v>52</v>
      </c>
      <c r="D30" s="13" t="s">
        <v>1428</v>
      </c>
      <c r="E30" s="12" t="s">
        <v>119</v>
      </c>
      <c r="F30" s="12" t="s">
        <v>119</v>
      </c>
      <c r="G30" s="13" t="s">
        <v>559</v>
      </c>
      <c r="H30" s="12" t="s">
        <v>83</v>
      </c>
      <c r="I30" s="12" t="s">
        <v>98</v>
      </c>
      <c r="J30" s="14" t="s">
        <v>1425</v>
      </c>
      <c r="K30" s="13" t="s">
        <v>1429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101</v>
      </c>
      <c r="E4" s="6" t="n">
        <f aca="false">SUM(M9:M30)</f>
        <v>16</v>
      </c>
      <c r="G4" s="5" t="s">
        <v>13</v>
      </c>
      <c r="H4" s="7" t="n">
        <f aca="false">IF(B4=0,0,E4/B4)</f>
        <v>0.727272727272727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103</v>
      </c>
      <c r="B8" s="1" t="s">
        <v>104</v>
      </c>
      <c r="C8" s="1" t="s">
        <v>105</v>
      </c>
      <c r="D8" s="1" t="s">
        <v>106</v>
      </c>
      <c r="E8" s="1" t="s">
        <v>107</v>
      </c>
      <c r="F8" s="1" t="s">
        <v>108</v>
      </c>
      <c r="G8" s="1" t="s">
        <v>109</v>
      </c>
      <c r="H8" s="1" t="s">
        <v>110</v>
      </c>
      <c r="I8" s="1" t="s">
        <v>111</v>
      </c>
      <c r="J8" s="10" t="s">
        <v>112</v>
      </c>
      <c r="K8" s="1" t="s">
        <v>113</v>
      </c>
      <c r="L8" s="1" t="s">
        <v>114</v>
      </c>
      <c r="M8" s="1" t="s">
        <v>101</v>
      </c>
    </row>
    <row r="9" customFormat="false" ht="54" hidden="false" customHeight="true" outlineLevel="0" collapsed="false">
      <c r="A9" s="12" t="s">
        <v>1432</v>
      </c>
      <c r="B9" s="12" t="s">
        <v>116</v>
      </c>
      <c r="C9" s="12" t="s">
        <v>1369</v>
      </c>
      <c r="D9" s="13" t="s">
        <v>1433</v>
      </c>
      <c r="E9" s="12" t="s">
        <v>119</v>
      </c>
      <c r="F9" s="12" t="s">
        <v>120</v>
      </c>
      <c r="G9" s="13" t="s">
        <v>1434</v>
      </c>
      <c r="H9" s="12" t="s">
        <v>83</v>
      </c>
      <c r="I9" s="12" t="s">
        <v>98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1435</v>
      </c>
      <c r="B10" s="12" t="s">
        <v>1328</v>
      </c>
      <c r="C10" s="12" t="s">
        <v>1169</v>
      </c>
      <c r="D10" s="13" t="s">
        <v>1372</v>
      </c>
      <c r="E10" s="12" t="s">
        <v>119</v>
      </c>
      <c r="F10" s="12" t="s">
        <v>139</v>
      </c>
      <c r="G10" s="13" t="s">
        <v>1436</v>
      </c>
      <c r="H10" s="12" t="s">
        <v>83</v>
      </c>
      <c r="I10" s="12" t="s">
        <v>98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1437</v>
      </c>
      <c r="B11" s="12" t="s">
        <v>123</v>
      </c>
      <c r="C11" s="12" t="s">
        <v>53</v>
      </c>
      <c r="D11" s="13" t="s">
        <v>1438</v>
      </c>
      <c r="E11" s="12" t="s">
        <v>119</v>
      </c>
      <c r="F11" s="12" t="s">
        <v>119</v>
      </c>
      <c r="G11" s="13" t="s">
        <v>125</v>
      </c>
      <c r="H11" s="12" t="s">
        <v>83</v>
      </c>
      <c r="I11" s="12" t="s">
        <v>98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1439</v>
      </c>
      <c r="B12" s="12" t="s">
        <v>127</v>
      </c>
      <c r="C12" s="12" t="s">
        <v>1375</v>
      </c>
      <c r="D12" s="13" t="s">
        <v>1440</v>
      </c>
      <c r="E12" s="12" t="s">
        <v>119</v>
      </c>
      <c r="F12" s="12" t="s">
        <v>129</v>
      </c>
      <c r="G12" s="13" t="s">
        <v>1441</v>
      </c>
      <c r="H12" s="12" t="s">
        <v>83</v>
      </c>
      <c r="I12" s="12" t="s">
        <v>98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1442</v>
      </c>
      <c r="B13" s="12" t="s">
        <v>132</v>
      </c>
      <c r="C13" s="12" t="s">
        <v>1378</v>
      </c>
      <c r="D13" s="13" t="s">
        <v>1379</v>
      </c>
      <c r="E13" s="12" t="s">
        <v>119</v>
      </c>
      <c r="F13" s="12" t="s">
        <v>134</v>
      </c>
      <c r="G13" s="13" t="s">
        <v>1443</v>
      </c>
      <c r="H13" s="12" t="s">
        <v>83</v>
      </c>
      <c r="I13" s="12" t="s">
        <v>98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1444</v>
      </c>
      <c r="B14" s="12" t="s">
        <v>1381</v>
      </c>
      <c r="C14" s="12" t="s">
        <v>1382</v>
      </c>
      <c r="D14" s="13" t="s">
        <v>1445</v>
      </c>
      <c r="E14" s="12" t="s">
        <v>119</v>
      </c>
      <c r="F14" s="12" t="s">
        <v>139</v>
      </c>
      <c r="G14" s="13" t="s">
        <v>1446</v>
      </c>
      <c r="H14" s="12" t="s">
        <v>83</v>
      </c>
      <c r="I14" s="12" t="s">
        <v>98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1447</v>
      </c>
      <c r="B15" s="12" t="s">
        <v>1118</v>
      </c>
      <c r="C15" s="12" t="s">
        <v>1369</v>
      </c>
      <c r="D15" s="13" t="s">
        <v>1385</v>
      </c>
      <c r="E15" s="12" t="s">
        <v>119</v>
      </c>
      <c r="F15" s="12" t="s">
        <v>144</v>
      </c>
      <c r="G15" s="13" t="s">
        <v>1448</v>
      </c>
      <c r="H15" s="12" t="s">
        <v>83</v>
      </c>
      <c r="I15" s="12" t="s">
        <v>98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1449</v>
      </c>
      <c r="B16" s="12" t="s">
        <v>1387</v>
      </c>
      <c r="C16" s="12" t="s">
        <v>1388</v>
      </c>
      <c r="D16" s="13" t="s">
        <v>1450</v>
      </c>
      <c r="E16" s="12" t="s">
        <v>119</v>
      </c>
      <c r="F16" s="12" t="s">
        <v>144</v>
      </c>
      <c r="G16" s="13" t="s">
        <v>1451</v>
      </c>
      <c r="H16" s="12" t="s">
        <v>83</v>
      </c>
      <c r="I16" s="12" t="s">
        <v>98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1452</v>
      </c>
      <c r="B17" s="12" t="s">
        <v>1391</v>
      </c>
      <c r="C17" s="12" t="s">
        <v>1392</v>
      </c>
      <c r="D17" s="13" t="s">
        <v>1393</v>
      </c>
      <c r="E17" s="12" t="s">
        <v>119</v>
      </c>
      <c r="F17" s="12" t="s">
        <v>144</v>
      </c>
      <c r="G17" s="13" t="s">
        <v>1448</v>
      </c>
      <c r="H17" s="12" t="s">
        <v>83</v>
      </c>
      <c r="I17" s="12" t="s">
        <v>98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1453</v>
      </c>
      <c r="B18" s="12" t="s">
        <v>1394</v>
      </c>
      <c r="C18" s="12" t="s">
        <v>1369</v>
      </c>
      <c r="D18" s="13" t="s">
        <v>1454</v>
      </c>
      <c r="E18" s="12" t="s">
        <v>119</v>
      </c>
      <c r="F18" s="12" t="s">
        <v>144</v>
      </c>
      <c r="G18" s="13" t="s">
        <v>1451</v>
      </c>
      <c r="H18" s="12" t="s">
        <v>83</v>
      </c>
      <c r="I18" s="12" t="s">
        <v>98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1455</v>
      </c>
      <c r="B19" s="12" t="s">
        <v>167</v>
      </c>
      <c r="C19" s="12" t="s">
        <v>1396</v>
      </c>
      <c r="D19" s="13" t="s">
        <v>1397</v>
      </c>
      <c r="E19" s="12" t="s">
        <v>119</v>
      </c>
      <c r="F19" s="12" t="s">
        <v>139</v>
      </c>
      <c r="G19" s="13" t="s">
        <v>1446</v>
      </c>
      <c r="H19" s="12" t="s">
        <v>83</v>
      </c>
      <c r="I19" s="12" t="s">
        <v>98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1456</v>
      </c>
      <c r="B20" s="12" t="s">
        <v>147</v>
      </c>
      <c r="C20" s="12" t="s">
        <v>53</v>
      </c>
      <c r="D20" s="13" t="s">
        <v>1457</v>
      </c>
      <c r="E20" s="12" t="s">
        <v>119</v>
      </c>
      <c r="F20" s="12" t="s">
        <v>149</v>
      </c>
      <c r="G20" s="13" t="s">
        <v>1448</v>
      </c>
      <c r="H20" s="12" t="s">
        <v>83</v>
      </c>
      <c r="I20" s="12" t="s">
        <v>98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1458</v>
      </c>
      <c r="B21" s="12" t="s">
        <v>152</v>
      </c>
      <c r="C21" s="12" t="s">
        <v>53</v>
      </c>
      <c r="D21" s="13" t="s">
        <v>1399</v>
      </c>
      <c r="E21" s="12" t="s">
        <v>119</v>
      </c>
      <c r="F21" s="12" t="s">
        <v>154</v>
      </c>
      <c r="G21" s="13" t="s">
        <v>1459</v>
      </c>
      <c r="H21" s="12" t="s">
        <v>81</v>
      </c>
      <c r="I21" s="12" t="s">
        <v>97</v>
      </c>
      <c r="J21" s="14"/>
      <c r="K21" s="13" t="s">
        <v>1401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1460</v>
      </c>
      <c r="B22" s="12" t="s">
        <v>158</v>
      </c>
      <c r="C22" s="12" t="s">
        <v>1402</v>
      </c>
      <c r="D22" s="13" t="s">
        <v>1403</v>
      </c>
      <c r="E22" s="12" t="s">
        <v>119</v>
      </c>
      <c r="F22" s="12" t="s">
        <v>160</v>
      </c>
      <c r="G22" s="13" t="s">
        <v>1461</v>
      </c>
      <c r="H22" s="12" t="s">
        <v>81</v>
      </c>
      <c r="I22" s="12" t="s">
        <v>97</v>
      </c>
      <c r="J22" s="14"/>
      <c r="K22" s="13" t="s">
        <v>1405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1462</v>
      </c>
      <c r="B23" s="12" t="s">
        <v>1406</v>
      </c>
      <c r="C23" s="12" t="s">
        <v>1071</v>
      </c>
      <c r="D23" s="13" t="s">
        <v>1463</v>
      </c>
      <c r="E23" s="12" t="s">
        <v>119</v>
      </c>
      <c r="F23" s="12" t="s">
        <v>160</v>
      </c>
      <c r="G23" s="13" t="s">
        <v>1464</v>
      </c>
      <c r="H23" s="12" t="s">
        <v>81</v>
      </c>
      <c r="I23" s="12" t="s">
        <v>97</v>
      </c>
      <c r="J23" s="14"/>
      <c r="K23" s="13" t="s">
        <v>1409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1465</v>
      </c>
      <c r="B24" s="12" t="s">
        <v>1410</v>
      </c>
      <c r="C24" s="12" t="s">
        <v>53</v>
      </c>
      <c r="D24" s="13" t="s">
        <v>1411</v>
      </c>
      <c r="E24" s="12" t="s">
        <v>119</v>
      </c>
      <c r="F24" s="12" t="s">
        <v>160</v>
      </c>
      <c r="G24" s="13" t="s">
        <v>1461</v>
      </c>
      <c r="H24" s="12" t="s">
        <v>81</v>
      </c>
      <c r="I24" s="12" t="s">
        <v>97</v>
      </c>
      <c r="J24" s="14"/>
      <c r="K24" s="13" t="s">
        <v>1412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1466</v>
      </c>
      <c r="B25" s="12" t="s">
        <v>164</v>
      </c>
      <c r="C25" s="12" t="s">
        <v>53</v>
      </c>
      <c r="D25" s="13" t="s">
        <v>539</v>
      </c>
      <c r="E25" s="12" t="s">
        <v>119</v>
      </c>
      <c r="F25" s="12" t="s">
        <v>160</v>
      </c>
      <c r="G25" s="13" t="s">
        <v>1467</v>
      </c>
      <c r="H25" s="12" t="s">
        <v>81</v>
      </c>
      <c r="I25" s="12" t="s">
        <v>97</v>
      </c>
      <c r="J25" s="14"/>
      <c r="K25" s="13" t="s">
        <v>1414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1468</v>
      </c>
      <c r="B26" s="12" t="s">
        <v>172</v>
      </c>
      <c r="C26" s="12" t="s">
        <v>53</v>
      </c>
      <c r="D26" s="13" t="s">
        <v>1469</v>
      </c>
      <c r="E26" s="12" t="s">
        <v>119</v>
      </c>
      <c r="F26" s="12" t="s">
        <v>160</v>
      </c>
      <c r="G26" s="13" t="s">
        <v>1461</v>
      </c>
      <c r="H26" s="12" t="s">
        <v>81</v>
      </c>
      <c r="I26" s="12" t="s">
        <v>97</v>
      </c>
      <c r="J26" s="14"/>
      <c r="K26" s="13" t="s">
        <v>548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1470</v>
      </c>
      <c r="B27" s="12" t="s">
        <v>176</v>
      </c>
      <c r="C27" s="12" t="s">
        <v>53</v>
      </c>
      <c r="D27" s="13" t="s">
        <v>1418</v>
      </c>
      <c r="E27" s="12" t="s">
        <v>119</v>
      </c>
      <c r="F27" s="12" t="s">
        <v>178</v>
      </c>
      <c r="G27" s="13" t="s">
        <v>1471</v>
      </c>
      <c r="H27" s="12" t="s">
        <v>83</v>
      </c>
      <c r="I27" s="12" t="s">
        <v>98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1472</v>
      </c>
      <c r="B28" s="12" t="s">
        <v>181</v>
      </c>
      <c r="C28" s="12" t="s">
        <v>53</v>
      </c>
      <c r="D28" s="13" t="s">
        <v>1473</v>
      </c>
      <c r="E28" s="12" t="s">
        <v>119</v>
      </c>
      <c r="F28" s="12" t="s">
        <v>178</v>
      </c>
      <c r="G28" s="13" t="s">
        <v>1474</v>
      </c>
      <c r="H28" s="12" t="s">
        <v>83</v>
      </c>
      <c r="I28" s="12" t="s">
        <v>98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1475</v>
      </c>
      <c r="B29" s="12" t="s">
        <v>185</v>
      </c>
      <c r="C29" s="12" t="s">
        <v>53</v>
      </c>
      <c r="D29" s="13" t="s">
        <v>1476</v>
      </c>
      <c r="E29" s="12" t="s">
        <v>187</v>
      </c>
      <c r="F29" s="12" t="s">
        <v>187</v>
      </c>
      <c r="G29" s="13" t="s">
        <v>188</v>
      </c>
      <c r="H29" s="12" t="s">
        <v>83</v>
      </c>
      <c r="I29" s="12" t="s">
        <v>98</v>
      </c>
      <c r="J29" s="14" t="n">
        <v>46229</v>
      </c>
      <c r="K29" s="13" t="s">
        <v>1426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1477</v>
      </c>
      <c r="B30" s="12" t="s">
        <v>190</v>
      </c>
      <c r="C30" s="12" t="s">
        <v>53</v>
      </c>
      <c r="D30" s="13" t="s">
        <v>1428</v>
      </c>
      <c r="E30" s="12" t="s">
        <v>119</v>
      </c>
      <c r="F30" s="12" t="s">
        <v>119</v>
      </c>
      <c r="G30" s="13" t="s">
        <v>559</v>
      </c>
      <c r="H30" s="12" t="s">
        <v>83</v>
      </c>
      <c r="I30" s="12" t="s">
        <v>98</v>
      </c>
      <c r="J30" s="14" t="n">
        <v>46229</v>
      </c>
      <c r="K30" s="13" t="s">
        <v>1429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101</v>
      </c>
      <c r="E4" s="6" t="n">
        <f aca="false">SUM(M9:M30)</f>
        <v>17</v>
      </c>
      <c r="G4" s="5" t="s">
        <v>13</v>
      </c>
      <c r="H4" s="7" t="n">
        <f aca="false">IF(B4=0,0,E4/B4)</f>
        <v>0.772727272727273</v>
      </c>
      <c r="J4" s="5" t="s">
        <v>14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54" hidden="false" customHeight="true" outlineLevel="0" collapsed="false">
      <c r="A9" s="12" t="s">
        <v>1480</v>
      </c>
      <c r="B9" s="12" t="s">
        <v>116</v>
      </c>
      <c r="C9" s="12" t="s">
        <v>767</v>
      </c>
      <c r="D9" s="13" t="s">
        <v>1481</v>
      </c>
      <c r="E9" s="12" t="s">
        <v>119</v>
      </c>
      <c r="F9" s="12" t="s">
        <v>120</v>
      </c>
      <c r="G9" s="13" t="s">
        <v>1482</v>
      </c>
      <c r="H9" s="12" t="s">
        <v>83</v>
      </c>
      <c r="I9" s="12" t="s">
        <v>98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1483</v>
      </c>
      <c r="B10" s="12" t="s">
        <v>1328</v>
      </c>
      <c r="C10" s="12" t="s">
        <v>1484</v>
      </c>
      <c r="D10" s="13" t="s">
        <v>1485</v>
      </c>
      <c r="E10" s="12" t="s">
        <v>119</v>
      </c>
      <c r="F10" s="12" t="s">
        <v>139</v>
      </c>
      <c r="G10" s="13" t="s">
        <v>1486</v>
      </c>
      <c r="H10" s="12" t="s">
        <v>83</v>
      </c>
      <c r="I10" s="12" t="s">
        <v>98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1487</v>
      </c>
      <c r="B11" s="12" t="s">
        <v>123</v>
      </c>
      <c r="C11" s="12" t="s">
        <v>54</v>
      </c>
      <c r="D11" s="13" t="s">
        <v>1488</v>
      </c>
      <c r="E11" s="12" t="s">
        <v>119</v>
      </c>
      <c r="F11" s="12" t="s">
        <v>119</v>
      </c>
      <c r="G11" s="13" t="s">
        <v>125</v>
      </c>
      <c r="H11" s="12" t="s">
        <v>83</v>
      </c>
      <c r="I11" s="12" t="s">
        <v>98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1489</v>
      </c>
      <c r="B12" s="12" t="s">
        <v>127</v>
      </c>
      <c r="C12" s="12" t="s">
        <v>1484</v>
      </c>
      <c r="D12" s="13" t="s">
        <v>1490</v>
      </c>
      <c r="E12" s="12" t="s">
        <v>119</v>
      </c>
      <c r="F12" s="12" t="s">
        <v>129</v>
      </c>
      <c r="G12" s="13" t="s">
        <v>1491</v>
      </c>
      <c r="H12" s="12" t="s">
        <v>83</v>
      </c>
      <c r="I12" s="12" t="s">
        <v>98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1492</v>
      </c>
      <c r="B13" s="12" t="s">
        <v>132</v>
      </c>
      <c r="C13" s="12" t="s">
        <v>1484</v>
      </c>
      <c r="D13" s="13" t="s">
        <v>1493</v>
      </c>
      <c r="E13" s="12" t="s">
        <v>119</v>
      </c>
      <c r="F13" s="12" t="s">
        <v>134</v>
      </c>
      <c r="G13" s="13" t="s">
        <v>1494</v>
      </c>
      <c r="H13" s="12" t="s">
        <v>83</v>
      </c>
      <c r="I13" s="12" t="s">
        <v>98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1495</v>
      </c>
      <c r="B14" s="12" t="s">
        <v>1118</v>
      </c>
      <c r="C14" s="12" t="s">
        <v>767</v>
      </c>
      <c r="D14" s="13" t="s">
        <v>1496</v>
      </c>
      <c r="E14" s="12" t="s">
        <v>119</v>
      </c>
      <c r="F14" s="12" t="s">
        <v>144</v>
      </c>
      <c r="G14" s="13" t="s">
        <v>1497</v>
      </c>
      <c r="H14" s="12" t="s">
        <v>83</v>
      </c>
      <c r="I14" s="12" t="s">
        <v>98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1498</v>
      </c>
      <c r="B15" s="12" t="s">
        <v>1499</v>
      </c>
      <c r="C15" s="12" t="s">
        <v>767</v>
      </c>
      <c r="D15" s="13" t="s">
        <v>1500</v>
      </c>
      <c r="E15" s="12" t="s">
        <v>119</v>
      </c>
      <c r="F15" s="12" t="s">
        <v>144</v>
      </c>
      <c r="G15" s="13" t="s">
        <v>1497</v>
      </c>
      <c r="H15" s="12" t="s">
        <v>83</v>
      </c>
      <c r="I15" s="12" t="s">
        <v>98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1501</v>
      </c>
      <c r="B16" s="12" t="s">
        <v>1502</v>
      </c>
      <c r="C16" s="12" t="s">
        <v>767</v>
      </c>
      <c r="D16" s="13" t="s">
        <v>1503</v>
      </c>
      <c r="E16" s="12" t="s">
        <v>119</v>
      </c>
      <c r="F16" s="12" t="s">
        <v>144</v>
      </c>
      <c r="G16" s="13" t="s">
        <v>1504</v>
      </c>
      <c r="H16" s="12" t="s">
        <v>83</v>
      </c>
      <c r="I16" s="12" t="s">
        <v>98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1505</v>
      </c>
      <c r="B17" s="12" t="s">
        <v>1506</v>
      </c>
      <c r="C17" s="12" t="s">
        <v>1484</v>
      </c>
      <c r="D17" s="13" t="s">
        <v>1507</v>
      </c>
      <c r="E17" s="12" t="s">
        <v>119</v>
      </c>
      <c r="F17" s="12" t="s">
        <v>144</v>
      </c>
      <c r="G17" s="13" t="s">
        <v>1497</v>
      </c>
      <c r="H17" s="12" t="s">
        <v>83</v>
      </c>
      <c r="I17" s="12" t="s">
        <v>98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1508</v>
      </c>
      <c r="B18" s="12" t="s">
        <v>1394</v>
      </c>
      <c r="C18" s="12" t="s">
        <v>767</v>
      </c>
      <c r="D18" s="13" t="s">
        <v>1509</v>
      </c>
      <c r="E18" s="12" t="s">
        <v>119</v>
      </c>
      <c r="F18" s="12" t="s">
        <v>144</v>
      </c>
      <c r="G18" s="13" t="s">
        <v>1504</v>
      </c>
      <c r="H18" s="12" t="s">
        <v>83</v>
      </c>
      <c r="I18" s="12" t="s">
        <v>98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1510</v>
      </c>
      <c r="B19" s="12" t="s">
        <v>167</v>
      </c>
      <c r="C19" s="12" t="s">
        <v>767</v>
      </c>
      <c r="D19" s="13" t="s">
        <v>1511</v>
      </c>
      <c r="E19" s="12" t="s">
        <v>119</v>
      </c>
      <c r="F19" s="12" t="s">
        <v>139</v>
      </c>
      <c r="G19" s="13" t="s">
        <v>1512</v>
      </c>
      <c r="H19" s="12" t="s">
        <v>83</v>
      </c>
      <c r="I19" s="12" t="s">
        <v>98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1513</v>
      </c>
      <c r="B20" s="12" t="s">
        <v>147</v>
      </c>
      <c r="C20" s="12" t="s">
        <v>54</v>
      </c>
      <c r="D20" s="13" t="s">
        <v>1514</v>
      </c>
      <c r="E20" s="12" t="s">
        <v>119</v>
      </c>
      <c r="F20" s="12" t="s">
        <v>149</v>
      </c>
      <c r="G20" s="13" t="s">
        <v>1497</v>
      </c>
      <c r="H20" s="12" t="s">
        <v>83</v>
      </c>
      <c r="I20" s="12" t="s">
        <v>98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1515</v>
      </c>
      <c r="B21" s="12" t="s">
        <v>1516</v>
      </c>
      <c r="C21" s="12" t="s">
        <v>767</v>
      </c>
      <c r="D21" s="13" t="s">
        <v>1517</v>
      </c>
      <c r="E21" s="12" t="s">
        <v>119</v>
      </c>
      <c r="F21" s="12" t="s">
        <v>144</v>
      </c>
      <c r="G21" s="13" t="s">
        <v>1518</v>
      </c>
      <c r="H21" s="12" t="s">
        <v>83</v>
      </c>
      <c r="I21" s="12" t="s">
        <v>98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1519</v>
      </c>
      <c r="B22" s="12" t="s">
        <v>152</v>
      </c>
      <c r="C22" s="12" t="s">
        <v>54</v>
      </c>
      <c r="D22" s="13" t="s">
        <v>1520</v>
      </c>
      <c r="E22" s="12" t="s">
        <v>119</v>
      </c>
      <c r="F22" s="12" t="s">
        <v>154</v>
      </c>
      <c r="G22" s="13" t="s">
        <v>1521</v>
      </c>
      <c r="H22" s="12" t="s">
        <v>81</v>
      </c>
      <c r="I22" s="12" t="s">
        <v>97</v>
      </c>
      <c r="J22" s="14"/>
      <c r="K22" s="13" t="s">
        <v>1401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1522</v>
      </c>
      <c r="B23" s="12" t="s">
        <v>158</v>
      </c>
      <c r="C23" s="12" t="s">
        <v>767</v>
      </c>
      <c r="D23" s="13" t="s">
        <v>1523</v>
      </c>
      <c r="E23" s="12" t="s">
        <v>119</v>
      </c>
      <c r="F23" s="12" t="s">
        <v>160</v>
      </c>
      <c r="G23" s="13" t="s">
        <v>1524</v>
      </c>
      <c r="H23" s="12" t="s">
        <v>81</v>
      </c>
      <c r="I23" s="12" t="s">
        <v>97</v>
      </c>
      <c r="J23" s="14"/>
      <c r="K23" s="13" t="s">
        <v>1525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1526</v>
      </c>
      <c r="B24" s="12" t="s">
        <v>164</v>
      </c>
      <c r="C24" s="12" t="s">
        <v>1484</v>
      </c>
      <c r="D24" s="13" t="s">
        <v>539</v>
      </c>
      <c r="E24" s="12" t="s">
        <v>119</v>
      </c>
      <c r="F24" s="12" t="s">
        <v>160</v>
      </c>
      <c r="G24" s="13" t="s">
        <v>1527</v>
      </c>
      <c r="H24" s="12" t="s">
        <v>81</v>
      </c>
      <c r="I24" s="12" t="s">
        <v>97</v>
      </c>
      <c r="J24" s="14"/>
      <c r="K24" s="13" t="s">
        <v>1528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1529</v>
      </c>
      <c r="B25" s="12" t="s">
        <v>1410</v>
      </c>
      <c r="C25" s="12" t="s">
        <v>54</v>
      </c>
      <c r="D25" s="13" t="s">
        <v>1530</v>
      </c>
      <c r="E25" s="12" t="s">
        <v>119</v>
      </c>
      <c r="F25" s="12" t="s">
        <v>160</v>
      </c>
      <c r="G25" s="13" t="s">
        <v>1524</v>
      </c>
      <c r="H25" s="12" t="s">
        <v>81</v>
      </c>
      <c r="I25" s="12" t="s">
        <v>97</v>
      </c>
      <c r="J25" s="14"/>
      <c r="K25" s="13" t="s">
        <v>1412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1531</v>
      </c>
      <c r="B26" s="12" t="s">
        <v>172</v>
      </c>
      <c r="C26" s="12" t="s">
        <v>54</v>
      </c>
      <c r="D26" s="13" t="s">
        <v>1532</v>
      </c>
      <c r="E26" s="12" t="s">
        <v>119</v>
      </c>
      <c r="F26" s="12" t="s">
        <v>160</v>
      </c>
      <c r="G26" s="13" t="s">
        <v>1524</v>
      </c>
      <c r="H26" s="12" t="s">
        <v>81</v>
      </c>
      <c r="I26" s="12" t="s">
        <v>97</v>
      </c>
      <c r="J26" s="14"/>
      <c r="K26" s="13" t="s">
        <v>548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1533</v>
      </c>
      <c r="B27" s="12" t="s">
        <v>176</v>
      </c>
      <c r="C27" s="12" t="s">
        <v>54</v>
      </c>
      <c r="D27" s="13" t="s">
        <v>1534</v>
      </c>
      <c r="E27" s="12" t="s">
        <v>119</v>
      </c>
      <c r="F27" s="12" t="s">
        <v>178</v>
      </c>
      <c r="G27" s="13" t="s">
        <v>1535</v>
      </c>
      <c r="H27" s="12" t="s">
        <v>83</v>
      </c>
      <c r="I27" s="12" t="s">
        <v>98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1536</v>
      </c>
      <c r="B28" s="12" t="s">
        <v>181</v>
      </c>
      <c r="C28" s="12" t="s">
        <v>54</v>
      </c>
      <c r="D28" s="13" t="s">
        <v>1537</v>
      </c>
      <c r="E28" s="12" t="s">
        <v>119</v>
      </c>
      <c r="F28" s="12" t="s">
        <v>178</v>
      </c>
      <c r="G28" s="13" t="s">
        <v>1538</v>
      </c>
      <c r="H28" s="12" t="s">
        <v>83</v>
      </c>
      <c r="I28" s="12" t="s">
        <v>98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1539</v>
      </c>
      <c r="B29" s="12" t="s">
        <v>185</v>
      </c>
      <c r="C29" s="12" t="s">
        <v>54</v>
      </c>
      <c r="D29" s="13" t="s">
        <v>1540</v>
      </c>
      <c r="E29" s="12" t="s">
        <v>187</v>
      </c>
      <c r="F29" s="12" t="s">
        <v>187</v>
      </c>
      <c r="G29" s="13" t="s">
        <v>188</v>
      </c>
      <c r="H29" s="12" t="s">
        <v>83</v>
      </c>
      <c r="I29" s="12" t="s">
        <v>98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1541</v>
      </c>
      <c r="B30" s="12" t="s">
        <v>190</v>
      </c>
      <c r="C30" s="12" t="s">
        <v>54</v>
      </c>
      <c r="D30" s="13" t="s">
        <v>1428</v>
      </c>
      <c r="E30" s="12" t="s">
        <v>119</v>
      </c>
      <c r="F30" s="12" t="s">
        <v>119</v>
      </c>
      <c r="G30" s="13" t="s">
        <v>559</v>
      </c>
      <c r="H30" s="12" t="s">
        <v>83</v>
      </c>
      <c r="I30" s="12" t="s">
        <v>98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COUNTA(A9:A28)</f>
        <v>20</v>
      </c>
      <c r="D4" s="5" t="s">
        <v>101</v>
      </c>
      <c r="E4" s="6" t="n">
        <f aca="false">SUM(M9:M28)</f>
        <v>18</v>
      </c>
      <c r="G4" s="5" t="s">
        <v>13</v>
      </c>
      <c r="H4" s="7" t="n">
        <f aca="false">IF(B4=0,0,E4/B4)</f>
        <v>0.9</v>
      </c>
      <c r="J4" s="5" t="s">
        <v>14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IF(COUNTIFS(I9:I28,"yes",M9:M28,0)&gt;0,"open","complete")</f>
        <v>open</v>
      </c>
      <c r="D5" s="5" t="s">
        <v>15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1544</v>
      </c>
      <c r="B9" s="1" t="s">
        <v>116</v>
      </c>
      <c r="C9" s="1" t="s">
        <v>1545</v>
      </c>
      <c r="D9" s="1" t="s">
        <v>1546</v>
      </c>
      <c r="E9" s="1" t="s">
        <v>119</v>
      </c>
      <c r="F9" s="1" t="s">
        <v>120</v>
      </c>
      <c r="G9" s="1" t="s">
        <v>1547</v>
      </c>
      <c r="H9" s="1" t="s">
        <v>83</v>
      </c>
      <c r="I9" s="1" t="s">
        <v>98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1548</v>
      </c>
      <c r="B10" s="1" t="s">
        <v>1328</v>
      </c>
      <c r="C10" s="1" t="s">
        <v>1545</v>
      </c>
      <c r="D10" s="1" t="s">
        <v>1549</v>
      </c>
      <c r="E10" s="1" t="s">
        <v>119</v>
      </c>
      <c r="F10" s="1" t="s">
        <v>139</v>
      </c>
      <c r="G10" s="1" t="s">
        <v>1550</v>
      </c>
      <c r="H10" s="1" t="s">
        <v>83</v>
      </c>
      <c r="I10" s="1" t="s">
        <v>98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1551</v>
      </c>
      <c r="B11" s="1" t="s">
        <v>123</v>
      </c>
      <c r="C11" s="1" t="s">
        <v>1552</v>
      </c>
      <c r="D11" s="1" t="s">
        <v>1553</v>
      </c>
      <c r="E11" s="1" t="s">
        <v>119</v>
      </c>
      <c r="F11" s="1" t="s">
        <v>119</v>
      </c>
      <c r="G11" s="1" t="s">
        <v>125</v>
      </c>
      <c r="H11" s="1" t="s">
        <v>83</v>
      </c>
      <c r="I11" s="1" t="s">
        <v>98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1554</v>
      </c>
      <c r="B12" s="1" t="s">
        <v>127</v>
      </c>
      <c r="C12" s="1" t="s">
        <v>1545</v>
      </c>
      <c r="D12" s="1" t="s">
        <v>1555</v>
      </c>
      <c r="E12" s="1" t="s">
        <v>119</v>
      </c>
      <c r="F12" s="1" t="s">
        <v>129</v>
      </c>
      <c r="G12" s="1" t="s">
        <v>1556</v>
      </c>
      <c r="H12" s="1" t="s">
        <v>83</v>
      </c>
      <c r="I12" s="1" t="s">
        <v>98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1557</v>
      </c>
      <c r="B13" s="1" t="s">
        <v>132</v>
      </c>
      <c r="C13" s="1" t="s">
        <v>1545</v>
      </c>
      <c r="D13" s="1" t="s">
        <v>1558</v>
      </c>
      <c r="E13" s="1" t="s">
        <v>119</v>
      </c>
      <c r="F13" s="1" t="s">
        <v>134</v>
      </c>
      <c r="G13" s="1" t="s">
        <v>1559</v>
      </c>
      <c r="H13" s="1" t="s">
        <v>83</v>
      </c>
      <c r="I13" s="1" t="s">
        <v>98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1560</v>
      </c>
      <c r="B14" s="1" t="s">
        <v>1561</v>
      </c>
      <c r="C14" s="1" t="s">
        <v>1545</v>
      </c>
      <c r="D14" s="1" t="s">
        <v>1562</v>
      </c>
      <c r="E14" s="1" t="s">
        <v>119</v>
      </c>
      <c r="F14" s="1" t="s">
        <v>144</v>
      </c>
      <c r="G14" s="1" t="s">
        <v>1563</v>
      </c>
      <c r="H14" s="1" t="s">
        <v>83</v>
      </c>
      <c r="I14" s="1" t="s">
        <v>98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1564</v>
      </c>
      <c r="B15" s="1" t="s">
        <v>1565</v>
      </c>
      <c r="C15" s="1" t="s">
        <v>767</v>
      </c>
      <c r="D15" s="1" t="s">
        <v>1566</v>
      </c>
      <c r="E15" s="1" t="s">
        <v>119</v>
      </c>
      <c r="F15" s="1" t="s">
        <v>144</v>
      </c>
      <c r="G15" s="1" t="s">
        <v>1563</v>
      </c>
      <c r="H15" s="1" t="s">
        <v>83</v>
      </c>
      <c r="I15" s="1" t="s">
        <v>98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1567</v>
      </c>
      <c r="B16" s="1" t="s">
        <v>1568</v>
      </c>
      <c r="C16" s="1" t="s">
        <v>1545</v>
      </c>
      <c r="D16" s="1" t="s">
        <v>1569</v>
      </c>
      <c r="E16" s="1" t="s">
        <v>119</v>
      </c>
      <c r="F16" s="1" t="s">
        <v>144</v>
      </c>
      <c r="G16" s="1" t="s">
        <v>1563</v>
      </c>
      <c r="H16" s="1" t="s">
        <v>83</v>
      </c>
      <c r="I16" s="1" t="s">
        <v>98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1570</v>
      </c>
      <c r="B17" s="1" t="s">
        <v>75</v>
      </c>
      <c r="C17" s="1" t="s">
        <v>767</v>
      </c>
      <c r="D17" s="1" t="s">
        <v>1571</v>
      </c>
      <c r="E17" s="1" t="s">
        <v>119</v>
      </c>
      <c r="F17" s="1" t="s">
        <v>139</v>
      </c>
      <c r="G17" s="1" t="s">
        <v>1572</v>
      </c>
      <c r="H17" s="1" t="s">
        <v>83</v>
      </c>
      <c r="I17" s="1" t="s">
        <v>98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1573</v>
      </c>
      <c r="B18" s="1" t="s">
        <v>1574</v>
      </c>
      <c r="C18" s="1" t="s">
        <v>1545</v>
      </c>
      <c r="D18" s="1" t="s">
        <v>1575</v>
      </c>
      <c r="E18" s="1" t="s">
        <v>119</v>
      </c>
      <c r="F18" s="1" t="s">
        <v>144</v>
      </c>
      <c r="G18" s="1" t="s">
        <v>1563</v>
      </c>
      <c r="H18" s="1" t="s">
        <v>83</v>
      </c>
      <c r="I18" s="1" t="s">
        <v>98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1576</v>
      </c>
      <c r="B19" s="1" t="s">
        <v>1577</v>
      </c>
      <c r="C19" s="1" t="s">
        <v>1545</v>
      </c>
      <c r="D19" s="1" t="s">
        <v>1578</v>
      </c>
      <c r="E19" s="1" t="s">
        <v>119</v>
      </c>
      <c r="F19" s="1" t="s">
        <v>144</v>
      </c>
      <c r="G19" s="1" t="s">
        <v>1572</v>
      </c>
      <c r="H19" s="1" t="s">
        <v>83</v>
      </c>
      <c r="I19" s="1" t="s">
        <v>98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1579</v>
      </c>
      <c r="B20" s="1" t="s">
        <v>1394</v>
      </c>
      <c r="C20" s="1" t="s">
        <v>767</v>
      </c>
      <c r="D20" s="1" t="s">
        <v>1580</v>
      </c>
      <c r="E20" s="1" t="s">
        <v>119</v>
      </c>
      <c r="F20" s="1" t="s">
        <v>144</v>
      </c>
      <c r="G20" s="1" t="s">
        <v>1563</v>
      </c>
      <c r="H20" s="1" t="s">
        <v>83</v>
      </c>
      <c r="I20" s="1" t="s">
        <v>98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1581</v>
      </c>
      <c r="B21" s="1" t="s">
        <v>167</v>
      </c>
      <c r="C21" s="1" t="s">
        <v>1545</v>
      </c>
      <c r="D21" s="1" t="s">
        <v>1582</v>
      </c>
      <c r="E21" s="1" t="s">
        <v>119</v>
      </c>
      <c r="F21" s="1" t="s">
        <v>144</v>
      </c>
      <c r="G21" s="1" t="s">
        <v>1563</v>
      </c>
      <c r="H21" s="1" t="s">
        <v>83</v>
      </c>
      <c r="I21" s="1" t="s">
        <v>98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1583</v>
      </c>
      <c r="B22" s="1" t="s">
        <v>147</v>
      </c>
      <c r="C22" s="1" t="s">
        <v>1545</v>
      </c>
      <c r="D22" s="1" t="s">
        <v>1584</v>
      </c>
      <c r="E22" s="1" t="s">
        <v>119</v>
      </c>
      <c r="F22" s="1" t="s">
        <v>149</v>
      </c>
      <c r="G22" s="1" t="s">
        <v>1563</v>
      </c>
      <c r="H22" s="1" t="s">
        <v>83</v>
      </c>
      <c r="I22" s="1" t="s">
        <v>98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1585</v>
      </c>
      <c r="B23" s="1" t="s">
        <v>152</v>
      </c>
      <c r="C23" s="1" t="s">
        <v>1552</v>
      </c>
      <c r="D23" s="1" t="s">
        <v>1586</v>
      </c>
      <c r="E23" s="1" t="s">
        <v>119</v>
      </c>
      <c r="F23" s="1" t="s">
        <v>154</v>
      </c>
      <c r="G23" s="1" t="s">
        <v>1587</v>
      </c>
      <c r="H23" s="1" t="s">
        <v>77</v>
      </c>
      <c r="I23" s="1" t="s">
        <v>97</v>
      </c>
      <c r="J23" s="10" t="n">
        <v>46229</v>
      </c>
      <c r="K23" s="1" t="s">
        <v>1588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1589</v>
      </c>
      <c r="B24" s="1" t="s">
        <v>172</v>
      </c>
      <c r="C24" s="1" t="s">
        <v>1552</v>
      </c>
      <c r="D24" s="1" t="s">
        <v>1590</v>
      </c>
      <c r="E24" s="1" t="s">
        <v>119</v>
      </c>
      <c r="F24" s="1" t="s">
        <v>160</v>
      </c>
      <c r="G24" s="1" t="s">
        <v>1591</v>
      </c>
      <c r="H24" s="1" t="s">
        <v>77</v>
      </c>
      <c r="I24" s="1" t="s">
        <v>97</v>
      </c>
      <c r="J24" s="10" t="n">
        <v>46229</v>
      </c>
      <c r="K24" s="1" t="s">
        <v>1592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1593</v>
      </c>
      <c r="B25" s="1" t="s">
        <v>176</v>
      </c>
      <c r="C25" s="1" t="s">
        <v>1552</v>
      </c>
      <c r="D25" s="1" t="s">
        <v>1594</v>
      </c>
      <c r="E25" s="1" t="s">
        <v>119</v>
      </c>
      <c r="F25" s="1" t="s">
        <v>178</v>
      </c>
      <c r="G25" s="1" t="s">
        <v>1595</v>
      </c>
      <c r="H25" s="1" t="s">
        <v>83</v>
      </c>
      <c r="I25" s="1" t="s">
        <v>98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1596</v>
      </c>
      <c r="B26" s="1" t="s">
        <v>181</v>
      </c>
      <c r="C26" s="1" t="s">
        <v>1552</v>
      </c>
      <c r="D26" s="1" t="s">
        <v>1597</v>
      </c>
      <c r="E26" s="1" t="s">
        <v>119</v>
      </c>
      <c r="F26" s="1" t="s">
        <v>178</v>
      </c>
      <c r="G26" s="1" t="s">
        <v>1598</v>
      </c>
      <c r="H26" s="1" t="s">
        <v>83</v>
      </c>
      <c r="I26" s="1" t="s">
        <v>98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1599</v>
      </c>
      <c r="B27" s="1" t="s">
        <v>185</v>
      </c>
      <c r="C27" s="1" t="s">
        <v>1552</v>
      </c>
      <c r="D27" s="1" t="s">
        <v>1600</v>
      </c>
      <c r="E27" s="1" t="s">
        <v>187</v>
      </c>
      <c r="F27" s="1" t="s">
        <v>187</v>
      </c>
      <c r="G27" s="1" t="s">
        <v>188</v>
      </c>
      <c r="H27" s="1" t="s">
        <v>83</v>
      </c>
      <c r="I27" s="1" t="s">
        <v>98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1601</v>
      </c>
      <c r="B28" s="1" t="s">
        <v>190</v>
      </c>
      <c r="C28" s="1" t="s">
        <v>1552</v>
      </c>
      <c r="D28" s="1" t="s">
        <v>1602</v>
      </c>
      <c r="E28" s="1" t="s">
        <v>119</v>
      </c>
      <c r="F28" s="1" t="s">
        <v>119</v>
      </c>
      <c r="G28" s="1" t="s">
        <v>192</v>
      </c>
      <c r="H28" s="1" t="s">
        <v>83</v>
      </c>
      <c r="I28" s="1" t="s">
        <v>98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1604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COUNTA(A9:A28)</f>
        <v>20</v>
      </c>
      <c r="D4" s="5" t="s">
        <v>101</v>
      </c>
      <c r="E4" s="6" t="n">
        <f aca="false">SUM(M9:M28)</f>
        <v>18</v>
      </c>
      <c r="G4" s="5" t="s">
        <v>13</v>
      </c>
      <c r="H4" s="7" t="n">
        <f aca="false">IF(B4=0,0,E4/B4)</f>
        <v>0.9</v>
      </c>
      <c r="J4" s="5" t="s">
        <v>14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IF(COUNTIFS(I9:I28,"yes",M9:M28,0)&gt;0,"open","complete")</f>
        <v>open</v>
      </c>
      <c r="D5" s="5" t="s">
        <v>15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103</v>
      </c>
      <c r="B8" s="1" t="s">
        <v>104</v>
      </c>
      <c r="C8" s="1" t="s">
        <v>105</v>
      </c>
      <c r="D8" s="1" t="s">
        <v>106</v>
      </c>
      <c r="E8" s="1" t="s">
        <v>107</v>
      </c>
      <c r="F8" s="1" t="s">
        <v>108</v>
      </c>
      <c r="G8" s="1" t="s">
        <v>109</v>
      </c>
      <c r="H8" s="1" t="s">
        <v>110</v>
      </c>
      <c r="I8" s="1" t="s">
        <v>111</v>
      </c>
      <c r="J8" s="10" t="s">
        <v>112</v>
      </c>
      <c r="K8" s="1" t="s">
        <v>113</v>
      </c>
      <c r="L8" s="1" t="s">
        <v>114</v>
      </c>
      <c r="M8" s="1" t="s">
        <v>101</v>
      </c>
    </row>
    <row r="9" customFormat="false" ht="42" hidden="false" customHeight="true" outlineLevel="0" collapsed="false">
      <c r="A9" s="1" t="s">
        <v>1605</v>
      </c>
      <c r="B9" s="1" t="s">
        <v>116</v>
      </c>
      <c r="C9" s="1" t="s">
        <v>1606</v>
      </c>
      <c r="D9" s="1" t="s">
        <v>1607</v>
      </c>
      <c r="E9" s="1" t="s">
        <v>119</v>
      </c>
      <c r="F9" s="1" t="s">
        <v>120</v>
      </c>
      <c r="G9" s="1" t="s">
        <v>1608</v>
      </c>
      <c r="H9" s="1" t="s">
        <v>83</v>
      </c>
      <c r="I9" s="1" t="s">
        <v>98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1609</v>
      </c>
      <c r="B10" s="1" t="s">
        <v>1328</v>
      </c>
      <c r="C10" s="1" t="s">
        <v>1606</v>
      </c>
      <c r="D10" s="1" t="s">
        <v>1610</v>
      </c>
      <c r="E10" s="1" t="s">
        <v>119</v>
      </c>
      <c r="F10" s="1" t="s">
        <v>139</v>
      </c>
      <c r="G10" s="1" t="s">
        <v>1611</v>
      </c>
      <c r="H10" s="1" t="s">
        <v>83</v>
      </c>
      <c r="I10" s="1" t="s">
        <v>98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1612</v>
      </c>
      <c r="B11" s="1" t="s">
        <v>123</v>
      </c>
      <c r="C11" s="1" t="s">
        <v>56</v>
      </c>
      <c r="D11" s="1" t="s">
        <v>1613</v>
      </c>
      <c r="E11" s="1" t="s">
        <v>119</v>
      </c>
      <c r="F11" s="1" t="s">
        <v>119</v>
      </c>
      <c r="G11" s="1" t="s">
        <v>125</v>
      </c>
      <c r="H11" s="1" t="s">
        <v>83</v>
      </c>
      <c r="I11" s="1" t="s">
        <v>98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1614</v>
      </c>
      <c r="B12" s="1" t="s">
        <v>127</v>
      </c>
      <c r="C12" s="1" t="s">
        <v>1606</v>
      </c>
      <c r="D12" s="1" t="s">
        <v>1615</v>
      </c>
      <c r="E12" s="1" t="s">
        <v>119</v>
      </c>
      <c r="F12" s="1" t="s">
        <v>129</v>
      </c>
      <c r="G12" s="1" t="s">
        <v>1616</v>
      </c>
      <c r="H12" s="1" t="s">
        <v>83</v>
      </c>
      <c r="I12" s="1" t="s">
        <v>98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1617</v>
      </c>
      <c r="B13" s="1" t="s">
        <v>132</v>
      </c>
      <c r="C13" s="1" t="s">
        <v>1606</v>
      </c>
      <c r="D13" s="1" t="s">
        <v>1618</v>
      </c>
      <c r="E13" s="1" t="s">
        <v>119</v>
      </c>
      <c r="F13" s="1" t="s">
        <v>134</v>
      </c>
      <c r="G13" s="1" t="s">
        <v>1619</v>
      </c>
      <c r="H13" s="1" t="s">
        <v>83</v>
      </c>
      <c r="I13" s="1" t="s">
        <v>98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1620</v>
      </c>
      <c r="B14" s="1" t="s">
        <v>1561</v>
      </c>
      <c r="C14" s="1" t="s">
        <v>1606</v>
      </c>
      <c r="D14" s="1" t="s">
        <v>1621</v>
      </c>
      <c r="E14" s="1" t="s">
        <v>119</v>
      </c>
      <c r="F14" s="1" t="s">
        <v>144</v>
      </c>
      <c r="G14" s="1" t="s">
        <v>1622</v>
      </c>
      <c r="H14" s="1" t="s">
        <v>83</v>
      </c>
      <c r="I14" s="1" t="s">
        <v>98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1623</v>
      </c>
      <c r="B15" s="1" t="s">
        <v>1565</v>
      </c>
      <c r="C15" s="1" t="s">
        <v>767</v>
      </c>
      <c r="D15" s="1" t="s">
        <v>1624</v>
      </c>
      <c r="E15" s="1" t="s">
        <v>119</v>
      </c>
      <c r="F15" s="1" t="s">
        <v>144</v>
      </c>
      <c r="G15" s="1" t="s">
        <v>1622</v>
      </c>
      <c r="H15" s="1" t="s">
        <v>83</v>
      </c>
      <c r="I15" s="1" t="s">
        <v>98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1625</v>
      </c>
      <c r="B16" s="1" t="s">
        <v>1568</v>
      </c>
      <c r="C16" s="1" t="s">
        <v>767</v>
      </c>
      <c r="D16" s="1" t="s">
        <v>1626</v>
      </c>
      <c r="E16" s="1" t="s">
        <v>119</v>
      </c>
      <c r="F16" s="1" t="s">
        <v>144</v>
      </c>
      <c r="G16" s="1" t="s">
        <v>1622</v>
      </c>
      <c r="H16" s="1" t="s">
        <v>83</v>
      </c>
      <c r="I16" s="1" t="s">
        <v>98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1627</v>
      </c>
      <c r="B17" s="1" t="s">
        <v>75</v>
      </c>
      <c r="C17" s="1" t="s">
        <v>767</v>
      </c>
      <c r="D17" s="1" t="s">
        <v>1628</v>
      </c>
      <c r="E17" s="1" t="s">
        <v>119</v>
      </c>
      <c r="F17" s="1" t="s">
        <v>139</v>
      </c>
      <c r="G17" s="1" t="s">
        <v>1629</v>
      </c>
      <c r="H17" s="1" t="s">
        <v>83</v>
      </c>
      <c r="I17" s="1" t="s">
        <v>98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1630</v>
      </c>
      <c r="B18" s="1" t="s">
        <v>1574</v>
      </c>
      <c r="C18" s="1" t="s">
        <v>1606</v>
      </c>
      <c r="D18" s="1" t="s">
        <v>1631</v>
      </c>
      <c r="E18" s="1" t="s">
        <v>119</v>
      </c>
      <c r="F18" s="1" t="s">
        <v>144</v>
      </c>
      <c r="G18" s="1" t="s">
        <v>1629</v>
      </c>
      <c r="H18" s="1" t="s">
        <v>83</v>
      </c>
      <c r="I18" s="1" t="s">
        <v>98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1632</v>
      </c>
      <c r="B19" s="1" t="s">
        <v>1577</v>
      </c>
      <c r="C19" s="1" t="s">
        <v>1606</v>
      </c>
      <c r="D19" s="1" t="s">
        <v>1633</v>
      </c>
      <c r="E19" s="1" t="s">
        <v>119</v>
      </c>
      <c r="F19" s="1" t="s">
        <v>139</v>
      </c>
      <c r="G19" s="1" t="s">
        <v>1611</v>
      </c>
      <c r="H19" s="1" t="s">
        <v>83</v>
      </c>
      <c r="I19" s="1" t="s">
        <v>98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1634</v>
      </c>
      <c r="B20" s="1" t="s">
        <v>1394</v>
      </c>
      <c r="C20" s="1" t="s">
        <v>767</v>
      </c>
      <c r="D20" s="1" t="s">
        <v>1635</v>
      </c>
      <c r="E20" s="1" t="s">
        <v>119</v>
      </c>
      <c r="F20" s="1" t="s">
        <v>144</v>
      </c>
      <c r="G20" s="1" t="s">
        <v>1622</v>
      </c>
      <c r="H20" s="1" t="s">
        <v>83</v>
      </c>
      <c r="I20" s="1" t="s">
        <v>98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1636</v>
      </c>
      <c r="B21" s="1" t="s">
        <v>167</v>
      </c>
      <c r="C21" s="1" t="s">
        <v>1606</v>
      </c>
      <c r="D21" s="1" t="s">
        <v>1637</v>
      </c>
      <c r="E21" s="1" t="s">
        <v>119</v>
      </c>
      <c r="F21" s="1" t="s">
        <v>144</v>
      </c>
      <c r="G21" s="1" t="s">
        <v>1622</v>
      </c>
      <c r="H21" s="1" t="s">
        <v>83</v>
      </c>
      <c r="I21" s="1" t="s">
        <v>98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1638</v>
      </c>
      <c r="B22" s="1" t="s">
        <v>147</v>
      </c>
      <c r="C22" s="1" t="s">
        <v>1606</v>
      </c>
      <c r="D22" s="1" t="s">
        <v>1639</v>
      </c>
      <c r="E22" s="1" t="s">
        <v>119</v>
      </c>
      <c r="F22" s="1" t="s">
        <v>149</v>
      </c>
      <c r="G22" s="1" t="s">
        <v>1622</v>
      </c>
      <c r="H22" s="1" t="s">
        <v>83</v>
      </c>
      <c r="I22" s="1" t="s">
        <v>98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1640</v>
      </c>
      <c r="B23" s="1" t="s">
        <v>152</v>
      </c>
      <c r="C23" s="1" t="s">
        <v>56</v>
      </c>
      <c r="D23" s="1" t="s">
        <v>1641</v>
      </c>
      <c r="E23" s="1" t="s">
        <v>119</v>
      </c>
      <c r="F23" s="1" t="s">
        <v>154</v>
      </c>
      <c r="G23" s="1" t="s">
        <v>1642</v>
      </c>
      <c r="H23" s="1" t="s">
        <v>77</v>
      </c>
      <c r="I23" s="1" t="s">
        <v>97</v>
      </c>
      <c r="J23" s="10" t="n">
        <v>46229</v>
      </c>
      <c r="K23" s="1" t="s">
        <v>1643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1644</v>
      </c>
      <c r="B24" s="1" t="s">
        <v>172</v>
      </c>
      <c r="C24" s="1" t="s">
        <v>56</v>
      </c>
      <c r="D24" s="1" t="s">
        <v>1645</v>
      </c>
      <c r="E24" s="1" t="s">
        <v>119</v>
      </c>
      <c r="F24" s="1" t="s">
        <v>160</v>
      </c>
      <c r="G24" s="1" t="s">
        <v>1646</v>
      </c>
      <c r="H24" s="1" t="s">
        <v>77</v>
      </c>
      <c r="I24" s="1" t="s">
        <v>97</v>
      </c>
      <c r="J24" s="10" t="n">
        <v>46229</v>
      </c>
      <c r="K24" s="1" t="s">
        <v>1647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1648</v>
      </c>
      <c r="B25" s="1" t="s">
        <v>176</v>
      </c>
      <c r="C25" s="1" t="s">
        <v>56</v>
      </c>
      <c r="D25" s="1" t="s">
        <v>1594</v>
      </c>
      <c r="E25" s="1" t="s">
        <v>119</v>
      </c>
      <c r="F25" s="1" t="s">
        <v>178</v>
      </c>
      <c r="G25" s="1" t="s">
        <v>1649</v>
      </c>
      <c r="H25" s="1" t="s">
        <v>83</v>
      </c>
      <c r="I25" s="1" t="s">
        <v>98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1650</v>
      </c>
      <c r="B26" s="1" t="s">
        <v>181</v>
      </c>
      <c r="C26" s="1" t="s">
        <v>56</v>
      </c>
      <c r="D26" s="1" t="s">
        <v>1597</v>
      </c>
      <c r="E26" s="1" t="s">
        <v>119</v>
      </c>
      <c r="F26" s="1" t="s">
        <v>178</v>
      </c>
      <c r="G26" s="1" t="s">
        <v>1651</v>
      </c>
      <c r="H26" s="1" t="s">
        <v>83</v>
      </c>
      <c r="I26" s="1" t="s">
        <v>98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1652</v>
      </c>
      <c r="B27" s="1" t="s">
        <v>185</v>
      </c>
      <c r="C27" s="1" t="s">
        <v>56</v>
      </c>
      <c r="D27" s="1" t="s">
        <v>1653</v>
      </c>
      <c r="E27" s="1" t="s">
        <v>187</v>
      </c>
      <c r="F27" s="1" t="s">
        <v>187</v>
      </c>
      <c r="G27" s="1" t="s">
        <v>188</v>
      </c>
      <c r="H27" s="1" t="s">
        <v>83</v>
      </c>
      <c r="I27" s="1" t="s">
        <v>98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1654</v>
      </c>
      <c r="B28" s="1" t="s">
        <v>190</v>
      </c>
      <c r="C28" s="1" t="s">
        <v>56</v>
      </c>
      <c r="D28" s="1" t="s">
        <v>1655</v>
      </c>
      <c r="E28" s="1" t="s">
        <v>119</v>
      </c>
      <c r="F28" s="1" t="s">
        <v>119</v>
      </c>
      <c r="G28" s="1" t="s">
        <v>192</v>
      </c>
      <c r="H28" s="1" t="s">
        <v>83</v>
      </c>
      <c r="I28" s="1" t="s">
        <v>98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101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103</v>
      </c>
      <c r="B8" s="1" t="s">
        <v>104</v>
      </c>
      <c r="C8" s="1" t="s">
        <v>105</v>
      </c>
      <c r="D8" s="1" t="s">
        <v>106</v>
      </c>
      <c r="E8" s="1" t="s">
        <v>107</v>
      </c>
      <c r="F8" s="1" t="s">
        <v>108</v>
      </c>
      <c r="G8" s="1" t="s">
        <v>109</v>
      </c>
      <c r="H8" s="1" t="s">
        <v>110</v>
      </c>
      <c r="I8" s="1" t="s">
        <v>111</v>
      </c>
      <c r="J8" s="10" t="s">
        <v>112</v>
      </c>
      <c r="K8" s="1" t="s">
        <v>113</v>
      </c>
      <c r="L8" s="1" t="s">
        <v>114</v>
      </c>
      <c r="M8" s="1" t="s">
        <v>101</v>
      </c>
    </row>
    <row r="9" customFormat="false" ht="42" hidden="false" customHeight="true" outlineLevel="0" collapsed="false">
      <c r="A9" s="1" t="s">
        <v>1658</v>
      </c>
      <c r="B9" s="1" t="s">
        <v>75</v>
      </c>
      <c r="C9" s="1" t="s">
        <v>1659</v>
      </c>
      <c r="D9" s="1" t="s">
        <v>1660</v>
      </c>
      <c r="E9" s="1" t="s">
        <v>119</v>
      </c>
      <c r="F9" s="1" t="s">
        <v>120</v>
      </c>
      <c r="G9" s="1" t="s">
        <v>1661</v>
      </c>
      <c r="H9" s="1" t="s">
        <v>83</v>
      </c>
      <c r="I9" s="1" t="s">
        <v>98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1662</v>
      </c>
      <c r="B10" s="1" t="s">
        <v>1328</v>
      </c>
      <c r="C10" s="1" t="s">
        <v>1169</v>
      </c>
      <c r="D10" s="1" t="s">
        <v>1663</v>
      </c>
      <c r="E10" s="1" t="s">
        <v>119</v>
      </c>
      <c r="F10" s="1" t="s">
        <v>139</v>
      </c>
      <c r="G10" s="1" t="s">
        <v>1664</v>
      </c>
      <c r="H10" s="1" t="s">
        <v>83</v>
      </c>
      <c r="I10" s="1" t="s">
        <v>98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1665</v>
      </c>
      <c r="B11" s="1" t="s">
        <v>123</v>
      </c>
      <c r="C11" s="1" t="s">
        <v>57</v>
      </c>
      <c r="D11" s="1" t="s">
        <v>1666</v>
      </c>
      <c r="E11" s="1" t="s">
        <v>119</v>
      </c>
      <c r="F11" s="1" t="s">
        <v>119</v>
      </c>
      <c r="G11" s="1" t="s">
        <v>125</v>
      </c>
      <c r="H11" s="1" t="s">
        <v>83</v>
      </c>
      <c r="I11" s="1" t="s">
        <v>98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1667</v>
      </c>
      <c r="B12" s="1" t="s">
        <v>127</v>
      </c>
      <c r="C12" s="1" t="s">
        <v>1169</v>
      </c>
      <c r="D12" s="1" t="s">
        <v>1668</v>
      </c>
      <c r="E12" s="1" t="s">
        <v>119</v>
      </c>
      <c r="F12" s="1" t="s">
        <v>129</v>
      </c>
      <c r="G12" s="1" t="s">
        <v>1669</v>
      </c>
      <c r="H12" s="1" t="s">
        <v>83</v>
      </c>
      <c r="I12" s="1" t="s">
        <v>98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1670</v>
      </c>
      <c r="B13" s="1" t="s">
        <v>132</v>
      </c>
      <c r="C13" s="1" t="s">
        <v>1169</v>
      </c>
      <c r="D13" s="1" t="s">
        <v>1671</v>
      </c>
      <c r="E13" s="1" t="s">
        <v>119</v>
      </c>
      <c r="F13" s="1" t="s">
        <v>134</v>
      </c>
      <c r="G13" s="1" t="s">
        <v>1672</v>
      </c>
      <c r="H13" s="1" t="s">
        <v>83</v>
      </c>
      <c r="I13" s="1" t="s">
        <v>98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1673</v>
      </c>
      <c r="B14" s="1" t="s">
        <v>1561</v>
      </c>
      <c r="C14" s="1" t="s">
        <v>1674</v>
      </c>
      <c r="D14" s="1" t="s">
        <v>1675</v>
      </c>
      <c r="E14" s="1" t="s">
        <v>119</v>
      </c>
      <c r="F14" s="1" t="s">
        <v>144</v>
      </c>
      <c r="G14" s="1" t="s">
        <v>1676</v>
      </c>
      <c r="H14" s="1" t="s">
        <v>83</v>
      </c>
      <c r="I14" s="1" t="s">
        <v>98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1677</v>
      </c>
      <c r="B15" s="1" t="s">
        <v>1678</v>
      </c>
      <c r="C15" s="1" t="s">
        <v>1679</v>
      </c>
      <c r="D15" s="1" t="s">
        <v>1680</v>
      </c>
      <c r="E15" s="1" t="s">
        <v>119</v>
      </c>
      <c r="F15" s="1" t="s">
        <v>154</v>
      </c>
      <c r="G15" s="1" t="s">
        <v>1681</v>
      </c>
      <c r="H15" s="1" t="s">
        <v>85</v>
      </c>
      <c r="I15" s="1" t="s">
        <v>97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1682</v>
      </c>
      <c r="B16" s="1" t="s">
        <v>1683</v>
      </c>
      <c r="C16" s="1" t="s">
        <v>767</v>
      </c>
      <c r="D16" s="1" t="s">
        <v>1684</v>
      </c>
      <c r="E16" s="1" t="s">
        <v>119</v>
      </c>
      <c r="F16" s="1" t="s">
        <v>154</v>
      </c>
      <c r="G16" s="1" t="s">
        <v>1681</v>
      </c>
      <c r="H16" s="1" t="s">
        <v>85</v>
      </c>
      <c r="I16" s="1" t="s">
        <v>97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1685</v>
      </c>
      <c r="B17" s="1" t="s">
        <v>1071</v>
      </c>
      <c r="C17" s="1" t="s">
        <v>1686</v>
      </c>
      <c r="D17" s="1" t="s">
        <v>1687</v>
      </c>
      <c r="E17" s="1" t="s">
        <v>119</v>
      </c>
      <c r="F17" s="1" t="s">
        <v>144</v>
      </c>
      <c r="G17" s="1" t="s">
        <v>1688</v>
      </c>
      <c r="H17" s="1" t="s">
        <v>83</v>
      </c>
      <c r="I17" s="1" t="s">
        <v>98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1689</v>
      </c>
      <c r="B18" s="1" t="s">
        <v>1690</v>
      </c>
      <c r="C18" s="1" t="s">
        <v>1691</v>
      </c>
      <c r="D18" s="1" t="s">
        <v>1692</v>
      </c>
      <c r="E18" s="1" t="s">
        <v>119</v>
      </c>
      <c r="F18" s="1" t="s">
        <v>149</v>
      </c>
      <c r="G18" s="1" t="s">
        <v>1693</v>
      </c>
      <c r="H18" s="1" t="s">
        <v>83</v>
      </c>
      <c r="I18" s="1" t="s">
        <v>98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1694</v>
      </c>
      <c r="B19" s="1" t="s">
        <v>1695</v>
      </c>
      <c r="C19" s="1" t="s">
        <v>1696</v>
      </c>
      <c r="D19" s="1" t="s">
        <v>1697</v>
      </c>
      <c r="E19" s="1" t="s">
        <v>119</v>
      </c>
      <c r="F19" s="1" t="s">
        <v>139</v>
      </c>
      <c r="G19" s="1" t="s">
        <v>1693</v>
      </c>
      <c r="H19" s="1" t="s">
        <v>83</v>
      </c>
      <c r="I19" s="1" t="s">
        <v>98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1698</v>
      </c>
      <c r="B20" s="1" t="s">
        <v>1699</v>
      </c>
      <c r="C20" s="1" t="s">
        <v>1696</v>
      </c>
      <c r="D20" s="1" t="s">
        <v>1700</v>
      </c>
      <c r="E20" s="1" t="s">
        <v>119</v>
      </c>
      <c r="F20" s="1" t="s">
        <v>144</v>
      </c>
      <c r="G20" s="1" t="s">
        <v>1676</v>
      </c>
      <c r="H20" s="1" t="s">
        <v>83</v>
      </c>
      <c r="I20" s="1" t="s">
        <v>98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1701</v>
      </c>
      <c r="B21" s="1" t="s">
        <v>1702</v>
      </c>
      <c r="C21" s="1" t="s">
        <v>32</v>
      </c>
      <c r="D21" s="1" t="s">
        <v>1703</v>
      </c>
      <c r="E21" s="1" t="s">
        <v>119</v>
      </c>
      <c r="F21" s="1" t="s">
        <v>144</v>
      </c>
      <c r="G21" s="1" t="s">
        <v>1676</v>
      </c>
      <c r="H21" s="1" t="s">
        <v>83</v>
      </c>
      <c r="I21" s="1" t="s">
        <v>98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1704</v>
      </c>
      <c r="B22" s="1" t="s">
        <v>167</v>
      </c>
      <c r="C22" s="1" t="s">
        <v>1169</v>
      </c>
      <c r="D22" s="1" t="s">
        <v>1705</v>
      </c>
      <c r="E22" s="1" t="s">
        <v>119</v>
      </c>
      <c r="F22" s="1" t="s">
        <v>144</v>
      </c>
      <c r="G22" s="1" t="s">
        <v>1693</v>
      </c>
      <c r="H22" s="1" t="s">
        <v>83</v>
      </c>
      <c r="I22" s="1" t="s">
        <v>98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1706</v>
      </c>
      <c r="B23" s="1" t="s">
        <v>158</v>
      </c>
      <c r="C23" s="1" t="s">
        <v>1707</v>
      </c>
      <c r="D23" s="1" t="s">
        <v>1708</v>
      </c>
      <c r="E23" s="1" t="s">
        <v>119</v>
      </c>
      <c r="F23" s="1" t="s">
        <v>144</v>
      </c>
      <c r="G23" s="1" t="s">
        <v>1688</v>
      </c>
      <c r="H23" s="1" t="s">
        <v>83</v>
      </c>
      <c r="I23" s="1" t="s">
        <v>98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1709</v>
      </c>
      <c r="B24" s="1" t="s">
        <v>147</v>
      </c>
      <c r="C24" s="1" t="s">
        <v>1169</v>
      </c>
      <c r="D24" s="1" t="s">
        <v>1710</v>
      </c>
      <c r="E24" s="1" t="s">
        <v>119</v>
      </c>
      <c r="F24" s="1" t="s">
        <v>149</v>
      </c>
      <c r="G24" s="1" t="s">
        <v>1676</v>
      </c>
      <c r="H24" s="1" t="s">
        <v>83</v>
      </c>
      <c r="I24" s="1" t="s">
        <v>98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1711</v>
      </c>
      <c r="B25" s="1" t="s">
        <v>152</v>
      </c>
      <c r="C25" s="1" t="s">
        <v>57</v>
      </c>
      <c r="D25" s="1" t="s">
        <v>1712</v>
      </c>
      <c r="E25" s="1" t="s">
        <v>119</v>
      </c>
      <c r="F25" s="1" t="s">
        <v>154</v>
      </c>
      <c r="G25" s="1" t="s">
        <v>1681</v>
      </c>
      <c r="H25" s="1" t="s">
        <v>85</v>
      </c>
      <c r="I25" s="1" t="s">
        <v>97</v>
      </c>
      <c r="J25" s="10" t="n">
        <v>46229</v>
      </c>
      <c r="K25" s="1" t="s">
        <v>1713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1714</v>
      </c>
      <c r="B26" s="1" t="s">
        <v>172</v>
      </c>
      <c r="C26" s="1" t="s">
        <v>57</v>
      </c>
      <c r="D26" s="1" t="s">
        <v>1715</v>
      </c>
      <c r="E26" s="1" t="s">
        <v>119</v>
      </c>
      <c r="F26" s="1" t="s">
        <v>160</v>
      </c>
      <c r="G26" s="1" t="s">
        <v>1716</v>
      </c>
      <c r="H26" s="1" t="s">
        <v>77</v>
      </c>
      <c r="I26" s="1" t="s">
        <v>97</v>
      </c>
      <c r="J26" s="10" t="n">
        <v>46229</v>
      </c>
      <c r="K26" s="1" t="s">
        <v>1647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1717</v>
      </c>
      <c r="B27" s="1" t="s">
        <v>176</v>
      </c>
      <c r="C27" s="1" t="s">
        <v>57</v>
      </c>
      <c r="D27" s="1" t="s">
        <v>1718</v>
      </c>
      <c r="E27" s="1" t="s">
        <v>119</v>
      </c>
      <c r="F27" s="1" t="s">
        <v>178</v>
      </c>
      <c r="G27" s="1" t="s">
        <v>1719</v>
      </c>
      <c r="H27" s="1" t="s">
        <v>83</v>
      </c>
      <c r="I27" s="1" t="s">
        <v>98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1720</v>
      </c>
      <c r="B28" s="1" t="s">
        <v>181</v>
      </c>
      <c r="C28" s="1" t="s">
        <v>57</v>
      </c>
      <c r="D28" s="1" t="s">
        <v>1721</v>
      </c>
      <c r="E28" s="1" t="s">
        <v>119</v>
      </c>
      <c r="F28" s="1" t="s">
        <v>178</v>
      </c>
      <c r="G28" s="1" t="s">
        <v>1722</v>
      </c>
      <c r="H28" s="1" t="s">
        <v>83</v>
      </c>
      <c r="I28" s="1" t="s">
        <v>98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1723</v>
      </c>
      <c r="B29" s="1" t="s">
        <v>607</v>
      </c>
      <c r="C29" s="1" t="s">
        <v>57</v>
      </c>
      <c r="D29" s="1" t="s">
        <v>1724</v>
      </c>
      <c r="E29" s="1" t="s">
        <v>119</v>
      </c>
      <c r="F29" s="1" t="s">
        <v>609</v>
      </c>
      <c r="G29" s="1" t="s">
        <v>1725</v>
      </c>
      <c r="H29" s="1" t="s">
        <v>83</v>
      </c>
      <c r="I29" s="1" t="s">
        <v>98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1726</v>
      </c>
      <c r="B30" s="1" t="s">
        <v>185</v>
      </c>
      <c r="C30" s="1" t="s">
        <v>57</v>
      </c>
      <c r="D30" s="1" t="s">
        <v>1727</v>
      </c>
      <c r="E30" s="1" t="s">
        <v>187</v>
      </c>
      <c r="F30" s="1" t="s">
        <v>187</v>
      </c>
      <c r="G30" s="1" t="s">
        <v>188</v>
      </c>
      <c r="H30" s="1" t="s">
        <v>83</v>
      </c>
      <c r="I30" s="1" t="s">
        <v>98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1728</v>
      </c>
      <c r="B31" s="1" t="s">
        <v>190</v>
      </c>
      <c r="C31" s="1" t="s">
        <v>57</v>
      </c>
      <c r="D31" s="1" t="s">
        <v>1729</v>
      </c>
      <c r="E31" s="1" t="s">
        <v>119</v>
      </c>
      <c r="F31" s="1" t="s">
        <v>119</v>
      </c>
      <c r="G31" s="1" t="s">
        <v>192</v>
      </c>
      <c r="H31" s="1" t="s">
        <v>83</v>
      </c>
      <c r="I31" s="1" t="s">
        <v>98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101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42" hidden="false" customHeight="true" outlineLevel="0" collapsed="false">
      <c r="A9" s="1" t="s">
        <v>1732</v>
      </c>
      <c r="B9" s="1" t="s">
        <v>75</v>
      </c>
      <c r="C9" s="1" t="s">
        <v>1169</v>
      </c>
      <c r="D9" s="1" t="s">
        <v>1733</v>
      </c>
      <c r="E9" s="1" t="s">
        <v>119</v>
      </c>
      <c r="F9" s="1" t="s">
        <v>120</v>
      </c>
      <c r="G9" s="1" t="s">
        <v>1734</v>
      </c>
      <c r="H9" s="8" t="s">
        <v>83</v>
      </c>
      <c r="I9" s="8" t="s">
        <v>98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1735</v>
      </c>
      <c r="B10" s="1" t="s">
        <v>1328</v>
      </c>
      <c r="C10" s="1" t="s">
        <v>1736</v>
      </c>
      <c r="D10" s="1" t="s">
        <v>1737</v>
      </c>
      <c r="E10" s="1" t="s">
        <v>119</v>
      </c>
      <c r="F10" s="1" t="s">
        <v>139</v>
      </c>
      <c r="G10" s="1" t="s">
        <v>1738</v>
      </c>
      <c r="H10" s="8" t="s">
        <v>83</v>
      </c>
      <c r="I10" s="8" t="s">
        <v>98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1739</v>
      </c>
      <c r="B11" s="1" t="s">
        <v>123</v>
      </c>
      <c r="C11" s="1" t="s">
        <v>58</v>
      </c>
      <c r="D11" s="1" t="s">
        <v>1740</v>
      </c>
      <c r="E11" s="1" t="s">
        <v>119</v>
      </c>
      <c r="F11" s="1" t="s">
        <v>119</v>
      </c>
      <c r="G11" s="1" t="s">
        <v>125</v>
      </c>
      <c r="H11" s="8" t="s">
        <v>83</v>
      </c>
      <c r="I11" s="8" t="s">
        <v>98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1741</v>
      </c>
      <c r="B12" s="1" t="s">
        <v>127</v>
      </c>
      <c r="C12" s="1" t="s">
        <v>1169</v>
      </c>
      <c r="D12" s="1" t="s">
        <v>1742</v>
      </c>
      <c r="E12" s="1" t="s">
        <v>119</v>
      </c>
      <c r="F12" s="1" t="s">
        <v>129</v>
      </c>
      <c r="G12" s="1" t="s">
        <v>1743</v>
      </c>
      <c r="H12" s="8" t="s">
        <v>83</v>
      </c>
      <c r="I12" s="8" t="s">
        <v>98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1744</v>
      </c>
      <c r="B13" s="1" t="s">
        <v>132</v>
      </c>
      <c r="C13" s="1" t="s">
        <v>1169</v>
      </c>
      <c r="D13" s="1" t="s">
        <v>1745</v>
      </c>
      <c r="E13" s="1" t="s">
        <v>119</v>
      </c>
      <c r="F13" s="1" t="s">
        <v>134</v>
      </c>
      <c r="G13" s="1" t="s">
        <v>1746</v>
      </c>
      <c r="H13" s="8" t="s">
        <v>83</v>
      </c>
      <c r="I13" s="8" t="s">
        <v>98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1747</v>
      </c>
      <c r="B14" s="1" t="s">
        <v>1561</v>
      </c>
      <c r="C14" s="1" t="s">
        <v>1748</v>
      </c>
      <c r="D14" s="1" t="s">
        <v>1749</v>
      </c>
      <c r="E14" s="1" t="s">
        <v>119</v>
      </c>
      <c r="F14" s="1" t="s">
        <v>144</v>
      </c>
      <c r="G14" s="1" t="s">
        <v>1750</v>
      </c>
      <c r="H14" s="8" t="s">
        <v>83</v>
      </c>
      <c r="I14" s="8" t="s">
        <v>98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1751</v>
      </c>
      <c r="B15" s="1" t="s">
        <v>1678</v>
      </c>
      <c r="C15" s="1" t="s">
        <v>1169</v>
      </c>
      <c r="D15" s="1" t="s">
        <v>1752</v>
      </c>
      <c r="E15" s="1" t="s">
        <v>119</v>
      </c>
      <c r="F15" s="1" t="s">
        <v>154</v>
      </c>
      <c r="G15" s="1" t="s">
        <v>1753</v>
      </c>
      <c r="H15" s="8" t="s">
        <v>85</v>
      </c>
      <c r="I15" s="8" t="s">
        <v>97</v>
      </c>
      <c r="J15" s="10" t="n">
        <v>46229</v>
      </c>
      <c r="K15" s="1" t="s">
        <v>1754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1755</v>
      </c>
      <c r="B16" s="1" t="s">
        <v>1683</v>
      </c>
      <c r="C16" s="1" t="s">
        <v>1756</v>
      </c>
      <c r="D16" s="1" t="s">
        <v>1757</v>
      </c>
      <c r="E16" s="1" t="s">
        <v>119</v>
      </c>
      <c r="F16" s="1" t="s">
        <v>154</v>
      </c>
      <c r="G16" s="1" t="s">
        <v>1753</v>
      </c>
      <c r="H16" s="8" t="s">
        <v>85</v>
      </c>
      <c r="I16" s="8" t="s">
        <v>97</v>
      </c>
      <c r="J16" s="10" t="n">
        <v>46229</v>
      </c>
      <c r="K16" s="1" t="s">
        <v>1758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1759</v>
      </c>
      <c r="B17" s="1" t="s">
        <v>1760</v>
      </c>
      <c r="C17" s="1" t="s">
        <v>1761</v>
      </c>
      <c r="D17" s="1" t="s">
        <v>1762</v>
      </c>
      <c r="E17" s="1" t="s">
        <v>119</v>
      </c>
      <c r="F17" s="1" t="s">
        <v>144</v>
      </c>
      <c r="G17" s="1" t="s">
        <v>1763</v>
      </c>
      <c r="H17" s="8" t="s">
        <v>83</v>
      </c>
      <c r="I17" s="8" t="s">
        <v>98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1764</v>
      </c>
      <c r="B18" s="1" t="s">
        <v>1574</v>
      </c>
      <c r="C18" s="1" t="s">
        <v>1765</v>
      </c>
      <c r="D18" s="1" t="s">
        <v>1766</v>
      </c>
      <c r="E18" s="1" t="s">
        <v>119</v>
      </c>
      <c r="F18" s="1" t="s">
        <v>144</v>
      </c>
      <c r="G18" s="1" t="s">
        <v>1763</v>
      </c>
      <c r="H18" s="8" t="s">
        <v>83</v>
      </c>
      <c r="I18" s="8" t="s">
        <v>98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1767</v>
      </c>
      <c r="B19" s="1" t="s">
        <v>1768</v>
      </c>
      <c r="C19" s="1" t="s">
        <v>1761</v>
      </c>
      <c r="D19" s="1" t="s">
        <v>1769</v>
      </c>
      <c r="E19" s="1" t="s">
        <v>119</v>
      </c>
      <c r="F19" s="1" t="s">
        <v>144</v>
      </c>
      <c r="G19" s="1" t="s">
        <v>1750</v>
      </c>
      <c r="H19" s="8" t="s">
        <v>83</v>
      </c>
      <c r="I19" s="8" t="s">
        <v>98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1770</v>
      </c>
      <c r="B20" s="1" t="s">
        <v>1771</v>
      </c>
      <c r="C20" s="1" t="s">
        <v>1071</v>
      </c>
      <c r="D20" s="1" t="s">
        <v>1772</v>
      </c>
      <c r="E20" s="1" t="s">
        <v>119</v>
      </c>
      <c r="F20" s="1" t="s">
        <v>139</v>
      </c>
      <c r="G20" s="1" t="s">
        <v>1773</v>
      </c>
      <c r="H20" s="8" t="s">
        <v>83</v>
      </c>
      <c r="I20" s="8" t="s">
        <v>98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1774</v>
      </c>
      <c r="B21" s="1" t="s">
        <v>1775</v>
      </c>
      <c r="C21" s="1" t="s">
        <v>1775</v>
      </c>
      <c r="D21" s="1" t="s">
        <v>1776</v>
      </c>
      <c r="E21" s="1" t="s">
        <v>119</v>
      </c>
      <c r="F21" s="1" t="s">
        <v>154</v>
      </c>
      <c r="G21" s="1" t="s">
        <v>1753</v>
      </c>
      <c r="H21" s="8" t="s">
        <v>85</v>
      </c>
      <c r="I21" s="8" t="s">
        <v>97</v>
      </c>
      <c r="J21" s="10" t="n">
        <v>46229</v>
      </c>
      <c r="K21" s="1" t="s">
        <v>1777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1778</v>
      </c>
      <c r="B22" s="1" t="s">
        <v>167</v>
      </c>
      <c r="C22" s="1" t="s">
        <v>1748</v>
      </c>
      <c r="D22" s="1" t="s">
        <v>1779</v>
      </c>
      <c r="E22" s="1" t="s">
        <v>119</v>
      </c>
      <c r="F22" s="1" t="s">
        <v>144</v>
      </c>
      <c r="G22" s="1" t="s">
        <v>1773</v>
      </c>
      <c r="H22" s="8" t="s">
        <v>83</v>
      </c>
      <c r="I22" s="8" t="s">
        <v>98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1780</v>
      </c>
      <c r="B23" s="1" t="s">
        <v>158</v>
      </c>
      <c r="C23" s="1" t="s">
        <v>1707</v>
      </c>
      <c r="D23" s="1" t="s">
        <v>1781</v>
      </c>
      <c r="E23" s="1" t="s">
        <v>119</v>
      </c>
      <c r="F23" s="1" t="s">
        <v>144</v>
      </c>
      <c r="G23" s="1" t="s">
        <v>1763</v>
      </c>
      <c r="H23" s="8" t="s">
        <v>83</v>
      </c>
      <c r="I23" s="8" t="s">
        <v>98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1782</v>
      </c>
      <c r="B24" s="1" t="s">
        <v>1214</v>
      </c>
      <c r="C24" s="1" t="s">
        <v>1707</v>
      </c>
      <c r="D24" s="1" t="s">
        <v>1783</v>
      </c>
      <c r="E24" s="1" t="s">
        <v>119</v>
      </c>
      <c r="F24" s="1" t="s">
        <v>144</v>
      </c>
      <c r="G24" s="1" t="s">
        <v>1750</v>
      </c>
      <c r="H24" s="8" t="s">
        <v>83</v>
      </c>
      <c r="I24" s="8" t="s">
        <v>98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1784</v>
      </c>
      <c r="B25" s="1" t="s">
        <v>147</v>
      </c>
      <c r="C25" s="1" t="s">
        <v>1169</v>
      </c>
      <c r="D25" s="1" t="s">
        <v>1785</v>
      </c>
      <c r="E25" s="1" t="s">
        <v>119</v>
      </c>
      <c r="F25" s="1" t="s">
        <v>149</v>
      </c>
      <c r="G25" s="1" t="s">
        <v>1750</v>
      </c>
      <c r="H25" s="8" t="s">
        <v>83</v>
      </c>
      <c r="I25" s="8" t="s">
        <v>98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1786</v>
      </c>
      <c r="B26" s="1" t="s">
        <v>152</v>
      </c>
      <c r="C26" s="1" t="s">
        <v>58</v>
      </c>
      <c r="D26" s="1" t="s">
        <v>1787</v>
      </c>
      <c r="E26" s="1" t="s">
        <v>119</v>
      </c>
      <c r="F26" s="1" t="s">
        <v>154</v>
      </c>
      <c r="G26" s="1" t="s">
        <v>1753</v>
      </c>
      <c r="H26" s="8" t="s">
        <v>85</v>
      </c>
      <c r="I26" s="8" t="s">
        <v>97</v>
      </c>
      <c r="J26" s="10" t="n">
        <v>46229</v>
      </c>
      <c r="K26" s="1" t="s">
        <v>1788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1789</v>
      </c>
      <c r="B27" s="1" t="s">
        <v>172</v>
      </c>
      <c r="C27" s="1" t="s">
        <v>58</v>
      </c>
      <c r="D27" s="1" t="s">
        <v>1790</v>
      </c>
      <c r="E27" s="1" t="s">
        <v>119</v>
      </c>
      <c r="F27" s="1" t="s">
        <v>160</v>
      </c>
      <c r="G27" s="1" t="s">
        <v>1791</v>
      </c>
      <c r="H27" s="8" t="s">
        <v>77</v>
      </c>
      <c r="I27" s="8" t="s">
        <v>97</v>
      </c>
      <c r="J27" s="10" t="n">
        <v>46229</v>
      </c>
      <c r="K27" s="1" t="s">
        <v>1792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1793</v>
      </c>
      <c r="B28" s="1" t="s">
        <v>176</v>
      </c>
      <c r="C28" s="1" t="s">
        <v>58</v>
      </c>
      <c r="D28" s="1" t="s">
        <v>1794</v>
      </c>
      <c r="E28" s="1" t="s">
        <v>119</v>
      </c>
      <c r="F28" s="1" t="s">
        <v>178</v>
      </c>
      <c r="G28" s="1" t="s">
        <v>1795</v>
      </c>
      <c r="H28" s="8" t="s">
        <v>83</v>
      </c>
      <c r="I28" s="8" t="s">
        <v>98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1796</v>
      </c>
      <c r="B29" s="1" t="s">
        <v>607</v>
      </c>
      <c r="C29" s="1" t="s">
        <v>58</v>
      </c>
      <c r="D29" s="1" t="s">
        <v>1797</v>
      </c>
      <c r="E29" s="1" t="s">
        <v>119</v>
      </c>
      <c r="F29" s="1" t="s">
        <v>609</v>
      </c>
      <c r="G29" s="1" t="s">
        <v>1798</v>
      </c>
      <c r="H29" s="8" t="s">
        <v>83</v>
      </c>
      <c r="I29" s="8" t="s">
        <v>98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1799</v>
      </c>
      <c r="B30" s="1" t="s">
        <v>185</v>
      </c>
      <c r="C30" s="1" t="s">
        <v>58</v>
      </c>
      <c r="D30" s="1" t="s">
        <v>1800</v>
      </c>
      <c r="E30" s="1" t="s">
        <v>187</v>
      </c>
      <c r="F30" s="1" t="s">
        <v>187</v>
      </c>
      <c r="G30" s="1" t="s">
        <v>188</v>
      </c>
      <c r="H30" s="8" t="s">
        <v>83</v>
      </c>
      <c r="I30" s="8" t="s">
        <v>98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1801</v>
      </c>
      <c r="B31" s="1" t="s">
        <v>190</v>
      </c>
      <c r="C31" s="1" t="s">
        <v>58</v>
      </c>
      <c r="D31" s="1" t="s">
        <v>1802</v>
      </c>
      <c r="E31" s="1" t="s">
        <v>119</v>
      </c>
      <c r="F31" s="1" t="s">
        <v>119</v>
      </c>
      <c r="G31" s="1" t="s">
        <v>192</v>
      </c>
      <c r="H31" s="8" t="s">
        <v>83</v>
      </c>
      <c r="I31" s="8" t="s">
        <v>98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101</v>
      </c>
      <c r="E4" s="6" t="n">
        <f aca="false">SUM(M9:M30)</f>
        <v>21</v>
      </c>
      <c r="G4" s="5" t="s">
        <v>13</v>
      </c>
      <c r="H4" s="7" t="n">
        <f aca="false">IF(B4=0,0,E4/B4)</f>
        <v>0.954545454545455</v>
      </c>
      <c r="J4" s="5" t="s">
        <v>14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54" hidden="false" customHeight="true" outlineLevel="0" collapsed="false">
      <c r="A9" s="12" t="s">
        <v>1805</v>
      </c>
      <c r="B9" s="12" t="s">
        <v>75</v>
      </c>
      <c r="C9" s="12" t="s">
        <v>59</v>
      </c>
      <c r="D9" s="13" t="s">
        <v>1806</v>
      </c>
      <c r="E9" s="12" t="s">
        <v>119</v>
      </c>
      <c r="F9" s="12" t="s">
        <v>120</v>
      </c>
      <c r="G9" s="13" t="s">
        <v>1807</v>
      </c>
      <c r="H9" s="12" t="s">
        <v>83</v>
      </c>
      <c r="I9" s="12" t="s">
        <v>98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1808</v>
      </c>
      <c r="B10" s="12" t="s">
        <v>1328</v>
      </c>
      <c r="C10" s="12" t="s">
        <v>59</v>
      </c>
      <c r="D10" s="13" t="s">
        <v>1809</v>
      </c>
      <c r="E10" s="12" t="s">
        <v>119</v>
      </c>
      <c r="F10" s="12" t="s">
        <v>139</v>
      </c>
      <c r="G10" s="13" t="s">
        <v>1810</v>
      </c>
      <c r="H10" s="12" t="s">
        <v>83</v>
      </c>
      <c r="I10" s="12" t="s">
        <v>98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1811</v>
      </c>
      <c r="B11" s="12" t="s">
        <v>123</v>
      </c>
      <c r="C11" s="12" t="s">
        <v>59</v>
      </c>
      <c r="D11" s="13" t="s">
        <v>1812</v>
      </c>
      <c r="E11" s="12" t="s">
        <v>119</v>
      </c>
      <c r="F11" s="12" t="s">
        <v>119</v>
      </c>
      <c r="G11" s="13" t="s">
        <v>125</v>
      </c>
      <c r="H11" s="12" t="s">
        <v>83</v>
      </c>
      <c r="I11" s="12" t="s">
        <v>98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1813</v>
      </c>
      <c r="B12" s="12" t="s">
        <v>127</v>
      </c>
      <c r="C12" s="12" t="s">
        <v>59</v>
      </c>
      <c r="D12" s="13" t="s">
        <v>1814</v>
      </c>
      <c r="E12" s="12" t="s">
        <v>119</v>
      </c>
      <c r="F12" s="12" t="s">
        <v>129</v>
      </c>
      <c r="G12" s="13" t="s">
        <v>1815</v>
      </c>
      <c r="H12" s="12" t="s">
        <v>83</v>
      </c>
      <c r="I12" s="12" t="s">
        <v>98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1816</v>
      </c>
      <c r="B13" s="12" t="s">
        <v>132</v>
      </c>
      <c r="C13" s="12" t="s">
        <v>59</v>
      </c>
      <c r="D13" s="13" t="s">
        <v>1817</v>
      </c>
      <c r="E13" s="12" t="s">
        <v>119</v>
      </c>
      <c r="F13" s="12" t="s">
        <v>134</v>
      </c>
      <c r="G13" s="13" t="s">
        <v>1818</v>
      </c>
      <c r="H13" s="12" t="s">
        <v>83</v>
      </c>
      <c r="I13" s="12" t="s">
        <v>98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1819</v>
      </c>
      <c r="B14" s="12" t="s">
        <v>1561</v>
      </c>
      <c r="C14" s="12" t="s">
        <v>59</v>
      </c>
      <c r="D14" s="13" t="s">
        <v>1820</v>
      </c>
      <c r="E14" s="12" t="s">
        <v>119</v>
      </c>
      <c r="F14" s="12" t="s">
        <v>144</v>
      </c>
      <c r="G14" s="13" t="s">
        <v>1821</v>
      </c>
      <c r="H14" s="12" t="s">
        <v>83</v>
      </c>
      <c r="I14" s="12" t="s">
        <v>98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1822</v>
      </c>
      <c r="B15" s="12" t="s">
        <v>1678</v>
      </c>
      <c r="C15" s="12" t="s">
        <v>59</v>
      </c>
      <c r="D15" s="13" t="s">
        <v>1823</v>
      </c>
      <c r="E15" s="12" t="s">
        <v>119</v>
      </c>
      <c r="F15" s="12" t="s">
        <v>154</v>
      </c>
      <c r="G15" s="13" t="s">
        <v>1824</v>
      </c>
      <c r="H15" s="12" t="s">
        <v>85</v>
      </c>
      <c r="I15" s="12" t="s">
        <v>97</v>
      </c>
      <c r="J15" s="14" t="n">
        <v>46229</v>
      </c>
      <c r="K15" s="13" t="s">
        <v>1754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1825</v>
      </c>
      <c r="B16" s="12" t="s">
        <v>1826</v>
      </c>
      <c r="C16" s="12" t="s">
        <v>59</v>
      </c>
      <c r="D16" s="13" t="s">
        <v>1827</v>
      </c>
      <c r="E16" s="12" t="s">
        <v>119</v>
      </c>
      <c r="F16" s="12" t="s">
        <v>154</v>
      </c>
      <c r="G16" s="13" t="s">
        <v>1824</v>
      </c>
      <c r="H16" s="12" t="s">
        <v>85</v>
      </c>
      <c r="I16" s="12" t="s">
        <v>97</v>
      </c>
      <c r="J16" s="14" t="n">
        <v>46229</v>
      </c>
      <c r="K16" s="13" t="s">
        <v>1828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1829</v>
      </c>
      <c r="B17" s="12" t="s">
        <v>1830</v>
      </c>
      <c r="C17" s="12" t="s">
        <v>59</v>
      </c>
      <c r="D17" s="13" t="s">
        <v>1831</v>
      </c>
      <c r="E17" s="12" t="s">
        <v>119</v>
      </c>
      <c r="F17" s="12" t="s">
        <v>144</v>
      </c>
      <c r="G17" s="13" t="s">
        <v>1832</v>
      </c>
      <c r="H17" s="12" t="s">
        <v>83</v>
      </c>
      <c r="I17" s="12" t="s">
        <v>98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1833</v>
      </c>
      <c r="B18" s="12" t="s">
        <v>1834</v>
      </c>
      <c r="C18" s="12" t="s">
        <v>59</v>
      </c>
      <c r="D18" s="13" t="s">
        <v>1835</v>
      </c>
      <c r="E18" s="12" t="s">
        <v>119</v>
      </c>
      <c r="F18" s="12" t="s">
        <v>144</v>
      </c>
      <c r="G18" s="13" t="s">
        <v>1821</v>
      </c>
      <c r="H18" s="12" t="s">
        <v>83</v>
      </c>
      <c r="I18" s="12" t="s">
        <v>98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1836</v>
      </c>
      <c r="B19" s="12" t="s">
        <v>1837</v>
      </c>
      <c r="C19" s="12" t="s">
        <v>59</v>
      </c>
      <c r="D19" s="13" t="s">
        <v>1838</v>
      </c>
      <c r="E19" s="12" t="s">
        <v>119</v>
      </c>
      <c r="F19" s="12" t="s">
        <v>144</v>
      </c>
      <c r="G19" s="13" t="s">
        <v>1839</v>
      </c>
      <c r="H19" s="12" t="s">
        <v>83</v>
      </c>
      <c r="I19" s="12" t="s">
        <v>98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1840</v>
      </c>
      <c r="B20" s="12" t="s">
        <v>167</v>
      </c>
      <c r="C20" s="12" t="s">
        <v>59</v>
      </c>
      <c r="D20" s="13" t="s">
        <v>1841</v>
      </c>
      <c r="E20" s="12" t="s">
        <v>119</v>
      </c>
      <c r="F20" s="12" t="s">
        <v>154</v>
      </c>
      <c r="G20" s="13" t="s">
        <v>1824</v>
      </c>
      <c r="H20" s="12" t="s">
        <v>85</v>
      </c>
      <c r="I20" s="12" t="s">
        <v>97</v>
      </c>
      <c r="J20" s="14" t="n">
        <v>46229</v>
      </c>
      <c r="K20" s="13" t="s">
        <v>1842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1843</v>
      </c>
      <c r="B21" s="12" t="s">
        <v>147</v>
      </c>
      <c r="C21" s="12" t="s">
        <v>59</v>
      </c>
      <c r="D21" s="13" t="s">
        <v>1844</v>
      </c>
      <c r="E21" s="12" t="s">
        <v>119</v>
      </c>
      <c r="F21" s="12" t="s">
        <v>149</v>
      </c>
      <c r="G21" s="13" t="s">
        <v>1821</v>
      </c>
      <c r="H21" s="12" t="s">
        <v>83</v>
      </c>
      <c r="I21" s="12" t="s">
        <v>98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1845</v>
      </c>
      <c r="B22" s="12" t="s">
        <v>158</v>
      </c>
      <c r="C22" s="12" t="s">
        <v>59</v>
      </c>
      <c r="D22" s="13" t="s">
        <v>1846</v>
      </c>
      <c r="E22" s="12" t="s">
        <v>119</v>
      </c>
      <c r="F22" s="12" t="s">
        <v>144</v>
      </c>
      <c r="G22" s="13" t="s">
        <v>1832</v>
      </c>
      <c r="H22" s="12" t="s">
        <v>83</v>
      </c>
      <c r="I22" s="12" t="s">
        <v>98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1847</v>
      </c>
      <c r="B23" s="12" t="s">
        <v>1848</v>
      </c>
      <c r="C23" s="12" t="s">
        <v>59</v>
      </c>
      <c r="D23" s="13" t="s">
        <v>1849</v>
      </c>
      <c r="E23" s="12" t="s">
        <v>119</v>
      </c>
      <c r="F23" s="12" t="s">
        <v>154</v>
      </c>
      <c r="G23" s="13" t="s">
        <v>1824</v>
      </c>
      <c r="H23" s="12" t="s">
        <v>85</v>
      </c>
      <c r="I23" s="12" t="s">
        <v>97</v>
      </c>
      <c r="J23" s="14" t="n">
        <v>46229</v>
      </c>
      <c r="K23" s="13" t="s">
        <v>1850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1851</v>
      </c>
      <c r="B24" s="12" t="s">
        <v>152</v>
      </c>
      <c r="C24" s="12" t="s">
        <v>59</v>
      </c>
      <c r="D24" s="13" t="s">
        <v>1852</v>
      </c>
      <c r="E24" s="12" t="s">
        <v>119</v>
      </c>
      <c r="F24" s="12" t="s">
        <v>154</v>
      </c>
      <c r="G24" s="13" t="s">
        <v>1824</v>
      </c>
      <c r="H24" s="12" t="s">
        <v>85</v>
      </c>
      <c r="I24" s="12" t="s">
        <v>97</v>
      </c>
      <c r="J24" s="14" t="n">
        <v>46229</v>
      </c>
      <c r="K24" s="13" t="s">
        <v>1853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1854</v>
      </c>
      <c r="B25" s="12" t="s">
        <v>172</v>
      </c>
      <c r="C25" s="12" t="s">
        <v>59</v>
      </c>
      <c r="D25" s="13" t="s">
        <v>1855</v>
      </c>
      <c r="E25" s="12" t="s">
        <v>119</v>
      </c>
      <c r="F25" s="12" t="s">
        <v>160</v>
      </c>
      <c r="G25" s="13" t="s">
        <v>1856</v>
      </c>
      <c r="H25" s="12" t="s">
        <v>77</v>
      </c>
      <c r="I25" s="12" t="s">
        <v>97</v>
      </c>
      <c r="J25" s="14" t="n">
        <v>46229</v>
      </c>
      <c r="K25" s="13" t="s">
        <v>1792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1857</v>
      </c>
      <c r="B26" s="12" t="s">
        <v>176</v>
      </c>
      <c r="C26" s="12" t="s">
        <v>59</v>
      </c>
      <c r="D26" s="13" t="s">
        <v>1858</v>
      </c>
      <c r="E26" s="12" t="s">
        <v>119</v>
      </c>
      <c r="F26" s="12" t="s">
        <v>178</v>
      </c>
      <c r="G26" s="13" t="s">
        <v>1859</v>
      </c>
      <c r="H26" s="12" t="s">
        <v>83</v>
      </c>
      <c r="I26" s="12" t="s">
        <v>98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1860</v>
      </c>
      <c r="B27" s="12" t="s">
        <v>181</v>
      </c>
      <c r="C27" s="12" t="s">
        <v>59</v>
      </c>
      <c r="D27" s="13" t="s">
        <v>1861</v>
      </c>
      <c r="E27" s="12" t="s">
        <v>119</v>
      </c>
      <c r="F27" s="12" t="s">
        <v>178</v>
      </c>
      <c r="G27" s="13" t="s">
        <v>1862</v>
      </c>
      <c r="H27" s="12" t="s">
        <v>83</v>
      </c>
      <c r="I27" s="12" t="s">
        <v>98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1863</v>
      </c>
      <c r="B28" s="12" t="s">
        <v>607</v>
      </c>
      <c r="C28" s="12" t="s">
        <v>59</v>
      </c>
      <c r="D28" s="13" t="s">
        <v>1864</v>
      </c>
      <c r="E28" s="12" t="s">
        <v>119</v>
      </c>
      <c r="F28" s="12" t="s">
        <v>609</v>
      </c>
      <c r="G28" s="13" t="s">
        <v>1865</v>
      </c>
      <c r="H28" s="12" t="s">
        <v>83</v>
      </c>
      <c r="I28" s="12" t="s">
        <v>98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1866</v>
      </c>
      <c r="B29" s="12" t="s">
        <v>185</v>
      </c>
      <c r="C29" s="12" t="s">
        <v>59</v>
      </c>
      <c r="D29" s="13" t="s">
        <v>1867</v>
      </c>
      <c r="E29" s="12" t="s">
        <v>187</v>
      </c>
      <c r="F29" s="12" t="s">
        <v>187</v>
      </c>
      <c r="G29" s="13" t="s">
        <v>188</v>
      </c>
      <c r="H29" s="12" t="s">
        <v>83</v>
      </c>
      <c r="I29" s="12" t="s">
        <v>98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1868</v>
      </c>
      <c r="B30" s="12" t="s">
        <v>190</v>
      </c>
      <c r="C30" s="12" t="s">
        <v>59</v>
      </c>
      <c r="D30" s="13" t="s">
        <v>1869</v>
      </c>
      <c r="E30" s="12" t="s">
        <v>119</v>
      </c>
      <c r="F30" s="12" t="s">
        <v>119</v>
      </c>
      <c r="G30" s="13" t="s">
        <v>192</v>
      </c>
      <c r="H30" s="12" t="s">
        <v>83</v>
      </c>
      <c r="I30" s="12" t="s">
        <v>98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101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103</v>
      </c>
      <c r="B8" s="1" t="s">
        <v>104</v>
      </c>
      <c r="C8" s="1" t="s">
        <v>105</v>
      </c>
      <c r="D8" s="1" t="s">
        <v>106</v>
      </c>
      <c r="E8" s="1" t="s">
        <v>107</v>
      </c>
      <c r="F8" s="1" t="s">
        <v>108</v>
      </c>
      <c r="G8" s="1" t="s">
        <v>109</v>
      </c>
      <c r="H8" s="1" t="s">
        <v>110</v>
      </c>
      <c r="I8" s="1" t="s">
        <v>111</v>
      </c>
      <c r="J8" s="10" t="s">
        <v>112</v>
      </c>
      <c r="K8" s="1" t="s">
        <v>113</v>
      </c>
      <c r="L8" s="1" t="s">
        <v>114</v>
      </c>
      <c r="M8" s="1" t="s">
        <v>101</v>
      </c>
    </row>
    <row r="9" customFormat="false" ht="42" hidden="false" customHeight="true" outlineLevel="0" collapsed="false">
      <c r="A9" s="1" t="s">
        <v>1871</v>
      </c>
      <c r="B9" s="1" t="s">
        <v>75</v>
      </c>
      <c r="C9" s="1" t="s">
        <v>1169</v>
      </c>
      <c r="D9" s="1" t="s">
        <v>1872</v>
      </c>
      <c r="E9" s="1" t="s">
        <v>119</v>
      </c>
      <c r="F9" s="1" t="s">
        <v>120</v>
      </c>
      <c r="G9" s="1" t="s">
        <v>1873</v>
      </c>
      <c r="H9" s="1" t="s">
        <v>83</v>
      </c>
      <c r="I9" s="1" t="s">
        <v>98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1874</v>
      </c>
      <c r="B10" s="1" t="s">
        <v>1328</v>
      </c>
      <c r="C10" s="1" t="s">
        <v>1169</v>
      </c>
      <c r="D10" s="1" t="s">
        <v>1875</v>
      </c>
      <c r="E10" s="1" t="s">
        <v>119</v>
      </c>
      <c r="F10" s="1" t="s">
        <v>139</v>
      </c>
      <c r="G10" s="1" t="s">
        <v>1876</v>
      </c>
      <c r="H10" s="1" t="s">
        <v>83</v>
      </c>
      <c r="I10" s="1" t="s">
        <v>98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1877</v>
      </c>
      <c r="B11" s="1" t="s">
        <v>123</v>
      </c>
      <c r="C11" s="1" t="s">
        <v>1878</v>
      </c>
      <c r="D11" s="1" t="s">
        <v>1879</v>
      </c>
      <c r="E11" s="1" t="s">
        <v>119</v>
      </c>
      <c r="F11" s="1" t="s">
        <v>119</v>
      </c>
      <c r="G11" s="1" t="s">
        <v>1880</v>
      </c>
      <c r="H11" s="1" t="s">
        <v>83</v>
      </c>
      <c r="I11" s="1" t="s">
        <v>98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1881</v>
      </c>
      <c r="B12" s="1" t="s">
        <v>127</v>
      </c>
      <c r="C12" s="1" t="s">
        <v>1169</v>
      </c>
      <c r="D12" s="1" t="s">
        <v>1882</v>
      </c>
      <c r="E12" s="1" t="s">
        <v>119</v>
      </c>
      <c r="F12" s="1" t="s">
        <v>129</v>
      </c>
      <c r="G12" s="1" t="s">
        <v>1883</v>
      </c>
      <c r="H12" s="1" t="s">
        <v>83</v>
      </c>
      <c r="I12" s="1" t="s">
        <v>98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1884</v>
      </c>
      <c r="B13" s="1" t="s">
        <v>132</v>
      </c>
      <c r="C13" s="1" t="s">
        <v>1169</v>
      </c>
      <c r="D13" s="1" t="s">
        <v>1885</v>
      </c>
      <c r="E13" s="1" t="s">
        <v>119</v>
      </c>
      <c r="F13" s="1" t="s">
        <v>134</v>
      </c>
      <c r="G13" s="1" t="s">
        <v>1886</v>
      </c>
      <c r="H13" s="1" t="s">
        <v>83</v>
      </c>
      <c r="I13" s="1" t="s">
        <v>98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1887</v>
      </c>
      <c r="B14" s="1" t="s">
        <v>1561</v>
      </c>
      <c r="C14" s="1" t="s">
        <v>1888</v>
      </c>
      <c r="D14" s="1" t="s">
        <v>1889</v>
      </c>
      <c r="E14" s="1" t="s">
        <v>119</v>
      </c>
      <c r="F14" s="1" t="s">
        <v>144</v>
      </c>
      <c r="G14" s="1" t="s">
        <v>1890</v>
      </c>
      <c r="H14" s="1" t="s">
        <v>83</v>
      </c>
      <c r="I14" s="1" t="s">
        <v>98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1891</v>
      </c>
      <c r="B15" s="1" t="s">
        <v>1683</v>
      </c>
      <c r="C15" s="1" t="s">
        <v>1892</v>
      </c>
      <c r="D15" s="1" t="s">
        <v>1893</v>
      </c>
      <c r="E15" s="1" t="s">
        <v>119</v>
      </c>
      <c r="F15" s="1" t="s">
        <v>154</v>
      </c>
      <c r="G15" s="1" t="s">
        <v>1894</v>
      </c>
      <c r="H15" s="1" t="s">
        <v>85</v>
      </c>
      <c r="I15" s="1" t="s">
        <v>97</v>
      </c>
      <c r="J15" s="10" t="n">
        <v>46230</v>
      </c>
      <c r="K15" s="1" t="s">
        <v>1895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1896</v>
      </c>
      <c r="B16" s="1" t="s">
        <v>1328</v>
      </c>
      <c r="C16" s="1" t="s">
        <v>1897</v>
      </c>
      <c r="D16" s="1" t="s">
        <v>1898</v>
      </c>
      <c r="E16" s="1" t="s">
        <v>119</v>
      </c>
      <c r="F16" s="1" t="s">
        <v>154</v>
      </c>
      <c r="G16" s="1" t="s">
        <v>1894</v>
      </c>
      <c r="H16" s="1" t="s">
        <v>85</v>
      </c>
      <c r="I16" s="1" t="s">
        <v>97</v>
      </c>
      <c r="J16" s="10" t="n">
        <v>46230</v>
      </c>
      <c r="K16" s="1" t="s">
        <v>1899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1900</v>
      </c>
      <c r="B17" s="1" t="s">
        <v>1901</v>
      </c>
      <c r="C17" s="1" t="s">
        <v>1902</v>
      </c>
      <c r="D17" s="1" t="s">
        <v>1903</v>
      </c>
      <c r="E17" s="1" t="s">
        <v>119</v>
      </c>
      <c r="F17" s="1" t="s">
        <v>144</v>
      </c>
      <c r="G17" s="1" t="s">
        <v>1890</v>
      </c>
      <c r="H17" s="1" t="s">
        <v>83</v>
      </c>
      <c r="I17" s="1" t="s">
        <v>98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1904</v>
      </c>
      <c r="B18" s="1" t="s">
        <v>1574</v>
      </c>
      <c r="C18" s="1" t="s">
        <v>1905</v>
      </c>
      <c r="D18" s="1" t="s">
        <v>1906</v>
      </c>
      <c r="E18" s="1" t="s">
        <v>119</v>
      </c>
      <c r="F18" s="1" t="s">
        <v>144</v>
      </c>
      <c r="G18" s="1" t="s">
        <v>1907</v>
      </c>
      <c r="H18" s="1" t="s">
        <v>83</v>
      </c>
      <c r="I18" s="1" t="s">
        <v>98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1908</v>
      </c>
      <c r="B19" s="1" t="s">
        <v>1909</v>
      </c>
      <c r="C19" s="1" t="s">
        <v>1910</v>
      </c>
      <c r="D19" s="1" t="s">
        <v>1911</v>
      </c>
      <c r="E19" s="1" t="s">
        <v>119</v>
      </c>
      <c r="F19" s="1" t="s">
        <v>144</v>
      </c>
      <c r="G19" s="1" t="s">
        <v>1890</v>
      </c>
      <c r="H19" s="1" t="s">
        <v>83</v>
      </c>
      <c r="I19" s="1" t="s">
        <v>98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1912</v>
      </c>
      <c r="B20" s="1" t="s">
        <v>1568</v>
      </c>
      <c r="C20" s="1" t="s">
        <v>1402</v>
      </c>
      <c r="D20" s="1" t="s">
        <v>1913</v>
      </c>
      <c r="E20" s="1" t="s">
        <v>119</v>
      </c>
      <c r="F20" s="1" t="s">
        <v>144</v>
      </c>
      <c r="G20" s="1" t="s">
        <v>1890</v>
      </c>
      <c r="H20" s="1" t="s">
        <v>83</v>
      </c>
      <c r="I20" s="1" t="s">
        <v>98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1914</v>
      </c>
      <c r="B21" s="1" t="s">
        <v>167</v>
      </c>
      <c r="C21" s="1" t="s">
        <v>1915</v>
      </c>
      <c r="D21" s="1" t="s">
        <v>1916</v>
      </c>
      <c r="E21" s="1" t="s">
        <v>119</v>
      </c>
      <c r="F21" s="1" t="s">
        <v>144</v>
      </c>
      <c r="G21" s="1" t="s">
        <v>1917</v>
      </c>
      <c r="H21" s="1" t="s">
        <v>83</v>
      </c>
      <c r="I21" s="1" t="s">
        <v>98</v>
      </c>
      <c r="J21" s="10" t="n">
        <v>46230</v>
      </c>
      <c r="K21" s="1" t="s">
        <v>1777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1918</v>
      </c>
      <c r="B22" s="1" t="s">
        <v>158</v>
      </c>
      <c r="C22" s="1" t="s">
        <v>1892</v>
      </c>
      <c r="D22" s="1" t="s">
        <v>1919</v>
      </c>
      <c r="E22" s="1" t="s">
        <v>119</v>
      </c>
      <c r="F22" s="1" t="s">
        <v>144</v>
      </c>
      <c r="G22" s="1" t="s">
        <v>1907</v>
      </c>
      <c r="H22" s="1" t="s">
        <v>83</v>
      </c>
      <c r="I22" s="1" t="s">
        <v>98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1920</v>
      </c>
      <c r="B23" s="1" t="s">
        <v>1214</v>
      </c>
      <c r="C23" s="1" t="s">
        <v>1892</v>
      </c>
      <c r="D23" s="1" t="s">
        <v>1921</v>
      </c>
      <c r="E23" s="1" t="s">
        <v>119</v>
      </c>
      <c r="F23" s="1" t="s">
        <v>144</v>
      </c>
      <c r="G23" s="1" t="s">
        <v>1890</v>
      </c>
      <c r="H23" s="1" t="s">
        <v>83</v>
      </c>
      <c r="I23" s="1" t="s">
        <v>98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1922</v>
      </c>
      <c r="B24" s="1" t="s">
        <v>147</v>
      </c>
      <c r="C24" s="1" t="s">
        <v>1169</v>
      </c>
      <c r="D24" s="1" t="s">
        <v>1923</v>
      </c>
      <c r="E24" s="1" t="s">
        <v>119</v>
      </c>
      <c r="F24" s="1" t="s">
        <v>149</v>
      </c>
      <c r="G24" s="1" t="s">
        <v>1890</v>
      </c>
      <c r="H24" s="1" t="s">
        <v>83</v>
      </c>
      <c r="I24" s="1" t="s">
        <v>98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1924</v>
      </c>
      <c r="B25" s="1" t="s">
        <v>152</v>
      </c>
      <c r="C25" s="1" t="s">
        <v>1878</v>
      </c>
      <c r="D25" s="1" t="s">
        <v>1925</v>
      </c>
      <c r="E25" s="1" t="s">
        <v>119</v>
      </c>
      <c r="F25" s="1" t="s">
        <v>154</v>
      </c>
      <c r="G25" s="1" t="s">
        <v>1894</v>
      </c>
      <c r="H25" s="1" t="s">
        <v>85</v>
      </c>
      <c r="I25" s="1" t="s">
        <v>97</v>
      </c>
      <c r="J25" s="10" t="n">
        <v>46230</v>
      </c>
      <c r="K25" s="1" t="s">
        <v>1926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1927</v>
      </c>
      <c r="B26" s="1" t="s">
        <v>1568</v>
      </c>
      <c r="C26" s="1" t="s">
        <v>1928</v>
      </c>
      <c r="D26" s="1" t="s">
        <v>1929</v>
      </c>
      <c r="E26" s="1" t="s">
        <v>119</v>
      </c>
      <c r="F26" s="1" t="s">
        <v>144</v>
      </c>
      <c r="G26" s="1" t="s">
        <v>1890</v>
      </c>
      <c r="H26" s="1" t="s">
        <v>83</v>
      </c>
      <c r="I26" s="1" t="s">
        <v>98</v>
      </c>
      <c r="J26" s="10" t="n">
        <v>46230</v>
      </c>
      <c r="K26" s="1" t="s">
        <v>1788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1930</v>
      </c>
      <c r="B27" s="1" t="s">
        <v>172</v>
      </c>
      <c r="C27" s="1" t="s">
        <v>60</v>
      </c>
      <c r="D27" s="1" t="s">
        <v>1931</v>
      </c>
      <c r="E27" s="1" t="s">
        <v>119</v>
      </c>
      <c r="F27" s="1" t="s">
        <v>160</v>
      </c>
      <c r="G27" s="1" t="s">
        <v>1932</v>
      </c>
      <c r="H27" s="1" t="s">
        <v>77</v>
      </c>
      <c r="I27" s="1" t="s">
        <v>97</v>
      </c>
      <c r="J27" s="10" t="n">
        <v>46230</v>
      </c>
      <c r="K27" s="1" t="s">
        <v>1792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1933</v>
      </c>
      <c r="B28" s="1" t="s">
        <v>176</v>
      </c>
      <c r="C28" s="1" t="s">
        <v>60</v>
      </c>
      <c r="D28" s="1" t="s">
        <v>1794</v>
      </c>
      <c r="E28" s="1" t="s">
        <v>119</v>
      </c>
      <c r="F28" s="1" t="s">
        <v>178</v>
      </c>
      <c r="G28" s="1" t="s">
        <v>1934</v>
      </c>
      <c r="H28" s="1" t="s">
        <v>83</v>
      </c>
      <c r="I28" s="1" t="s">
        <v>98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1935</v>
      </c>
      <c r="B29" s="1" t="s">
        <v>607</v>
      </c>
      <c r="C29" s="1" t="s">
        <v>60</v>
      </c>
      <c r="D29" s="1" t="s">
        <v>1936</v>
      </c>
      <c r="E29" s="1" t="s">
        <v>119</v>
      </c>
      <c r="F29" s="1" t="s">
        <v>609</v>
      </c>
      <c r="G29" s="1" t="s">
        <v>1937</v>
      </c>
      <c r="H29" s="1" t="s">
        <v>83</v>
      </c>
      <c r="I29" s="1" t="s">
        <v>98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1938</v>
      </c>
      <c r="B30" s="1" t="s">
        <v>185</v>
      </c>
      <c r="C30" s="1" t="s">
        <v>60</v>
      </c>
      <c r="D30" s="1" t="s">
        <v>1939</v>
      </c>
      <c r="E30" s="1" t="s">
        <v>187</v>
      </c>
      <c r="F30" s="1" t="s">
        <v>187</v>
      </c>
      <c r="G30" s="1" t="s">
        <v>188</v>
      </c>
      <c r="H30" s="1" t="s">
        <v>83</v>
      </c>
      <c r="I30" s="1" t="s">
        <v>98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1940</v>
      </c>
      <c r="B31" s="1" t="s">
        <v>190</v>
      </c>
      <c r="C31" s="1" t="s">
        <v>60</v>
      </c>
      <c r="D31" s="1" t="s">
        <v>1802</v>
      </c>
      <c r="E31" s="1" t="s">
        <v>119</v>
      </c>
      <c r="F31" s="1" t="s">
        <v>119</v>
      </c>
      <c r="G31" s="1" t="s">
        <v>192</v>
      </c>
      <c r="H31" s="1" t="s">
        <v>83</v>
      </c>
      <c r="I31" s="1" t="s">
        <v>98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101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103</v>
      </c>
      <c r="B8" s="1" t="s">
        <v>104</v>
      </c>
      <c r="C8" s="1" t="s">
        <v>105</v>
      </c>
      <c r="D8" s="1" t="s">
        <v>106</v>
      </c>
      <c r="E8" s="1" t="s">
        <v>107</v>
      </c>
      <c r="F8" s="1" t="s">
        <v>108</v>
      </c>
      <c r="G8" s="1" t="s">
        <v>109</v>
      </c>
      <c r="H8" s="1" t="s">
        <v>110</v>
      </c>
      <c r="I8" s="1" t="s">
        <v>111</v>
      </c>
      <c r="J8" s="10" t="s">
        <v>112</v>
      </c>
      <c r="K8" s="1" t="s">
        <v>113</v>
      </c>
      <c r="L8" s="1" t="s">
        <v>114</v>
      </c>
      <c r="M8" s="1" t="s">
        <v>101</v>
      </c>
    </row>
    <row r="9" customFormat="false" ht="42" hidden="false" customHeight="true" outlineLevel="0" collapsed="false">
      <c r="A9" s="1" t="s">
        <v>1942</v>
      </c>
      <c r="B9" s="1" t="s">
        <v>75</v>
      </c>
      <c r="C9" s="1" t="s">
        <v>1169</v>
      </c>
      <c r="D9" s="1" t="s">
        <v>1943</v>
      </c>
      <c r="E9" s="1" t="s">
        <v>119</v>
      </c>
      <c r="F9" s="1" t="s">
        <v>120</v>
      </c>
      <c r="G9" s="1" t="s">
        <v>1944</v>
      </c>
      <c r="H9" s="1" t="s">
        <v>83</v>
      </c>
      <c r="I9" s="1" t="s">
        <v>98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1945</v>
      </c>
      <c r="B10" s="1" t="s">
        <v>1328</v>
      </c>
      <c r="C10" s="1" t="s">
        <v>1169</v>
      </c>
      <c r="D10" s="1" t="s">
        <v>1946</v>
      </c>
      <c r="E10" s="1" t="s">
        <v>119</v>
      </c>
      <c r="F10" s="1" t="s">
        <v>139</v>
      </c>
      <c r="G10" s="1" t="s">
        <v>1947</v>
      </c>
      <c r="H10" s="1" t="s">
        <v>83</v>
      </c>
      <c r="I10" s="1" t="s">
        <v>98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1948</v>
      </c>
      <c r="B11" s="1" t="s">
        <v>123</v>
      </c>
      <c r="C11" s="1" t="s">
        <v>1949</v>
      </c>
      <c r="D11" s="1" t="s">
        <v>1950</v>
      </c>
      <c r="E11" s="1" t="s">
        <v>119</v>
      </c>
      <c r="F11" s="1" t="s">
        <v>119</v>
      </c>
      <c r="G11" s="1" t="s">
        <v>1880</v>
      </c>
      <c r="H11" s="1" t="s">
        <v>83</v>
      </c>
      <c r="I11" s="1" t="s">
        <v>98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1951</v>
      </c>
      <c r="B12" s="1" t="s">
        <v>127</v>
      </c>
      <c r="C12" s="1" t="s">
        <v>1169</v>
      </c>
      <c r="D12" s="1" t="s">
        <v>1952</v>
      </c>
      <c r="E12" s="1" t="s">
        <v>119</v>
      </c>
      <c r="F12" s="1" t="s">
        <v>129</v>
      </c>
      <c r="G12" s="1" t="s">
        <v>1953</v>
      </c>
      <c r="H12" s="1" t="s">
        <v>83</v>
      </c>
      <c r="I12" s="1" t="s">
        <v>98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1954</v>
      </c>
      <c r="B13" s="1" t="s">
        <v>132</v>
      </c>
      <c r="C13" s="1" t="s">
        <v>1169</v>
      </c>
      <c r="D13" s="1" t="s">
        <v>1955</v>
      </c>
      <c r="E13" s="1" t="s">
        <v>119</v>
      </c>
      <c r="F13" s="1" t="s">
        <v>134</v>
      </c>
      <c r="G13" s="1" t="s">
        <v>1956</v>
      </c>
      <c r="H13" s="1" t="s">
        <v>83</v>
      </c>
      <c r="I13" s="1" t="s">
        <v>98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1957</v>
      </c>
      <c r="B14" s="1" t="s">
        <v>1958</v>
      </c>
      <c r="C14" s="1" t="s">
        <v>1402</v>
      </c>
      <c r="D14" s="1" t="s">
        <v>1959</v>
      </c>
      <c r="E14" s="1" t="s">
        <v>119</v>
      </c>
      <c r="F14" s="1" t="s">
        <v>144</v>
      </c>
      <c r="G14" s="1" t="s">
        <v>1960</v>
      </c>
      <c r="H14" s="1" t="s">
        <v>83</v>
      </c>
      <c r="I14" s="1" t="s">
        <v>98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1961</v>
      </c>
      <c r="B15" s="1" t="s">
        <v>1683</v>
      </c>
      <c r="C15" s="1" t="s">
        <v>1892</v>
      </c>
      <c r="D15" s="1" t="s">
        <v>1962</v>
      </c>
      <c r="E15" s="1" t="s">
        <v>119</v>
      </c>
      <c r="F15" s="1" t="s">
        <v>154</v>
      </c>
      <c r="G15" s="1" t="s">
        <v>1963</v>
      </c>
      <c r="H15" s="1" t="s">
        <v>85</v>
      </c>
      <c r="I15" s="1" t="s">
        <v>97</v>
      </c>
      <c r="J15" s="10" t="n">
        <v>46230</v>
      </c>
      <c r="K15" s="1" t="s">
        <v>1964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1965</v>
      </c>
      <c r="B16" s="1" t="s">
        <v>1328</v>
      </c>
      <c r="C16" s="1" t="s">
        <v>1966</v>
      </c>
      <c r="D16" s="1" t="s">
        <v>1967</v>
      </c>
      <c r="E16" s="1" t="s">
        <v>119</v>
      </c>
      <c r="F16" s="1" t="s">
        <v>154</v>
      </c>
      <c r="G16" s="1" t="s">
        <v>1963</v>
      </c>
      <c r="H16" s="1" t="s">
        <v>85</v>
      </c>
      <c r="I16" s="1" t="s">
        <v>97</v>
      </c>
      <c r="J16" s="10" t="n">
        <v>46230</v>
      </c>
      <c r="K16" s="1" t="s">
        <v>1964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1968</v>
      </c>
      <c r="B17" s="1" t="s">
        <v>1901</v>
      </c>
      <c r="C17" s="1" t="s">
        <v>1902</v>
      </c>
      <c r="D17" s="1" t="s">
        <v>1969</v>
      </c>
      <c r="E17" s="1" t="s">
        <v>119</v>
      </c>
      <c r="F17" s="1" t="s">
        <v>144</v>
      </c>
      <c r="G17" s="1" t="s">
        <v>1960</v>
      </c>
      <c r="H17" s="1" t="s">
        <v>83</v>
      </c>
      <c r="I17" s="1" t="s">
        <v>98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1970</v>
      </c>
      <c r="B18" s="1" t="s">
        <v>1574</v>
      </c>
      <c r="C18" s="1" t="s">
        <v>1905</v>
      </c>
      <c r="D18" s="1" t="s">
        <v>1971</v>
      </c>
      <c r="E18" s="1" t="s">
        <v>119</v>
      </c>
      <c r="F18" s="1" t="s">
        <v>144</v>
      </c>
      <c r="G18" s="1" t="s">
        <v>1960</v>
      </c>
      <c r="H18" s="1" t="s">
        <v>83</v>
      </c>
      <c r="I18" s="1" t="s">
        <v>98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1972</v>
      </c>
      <c r="B19" s="1" t="s">
        <v>1909</v>
      </c>
      <c r="C19" s="1" t="s">
        <v>1910</v>
      </c>
      <c r="D19" s="1" t="s">
        <v>1973</v>
      </c>
      <c r="E19" s="1" t="s">
        <v>119</v>
      </c>
      <c r="F19" s="1" t="s">
        <v>144</v>
      </c>
      <c r="G19" s="1" t="s">
        <v>1960</v>
      </c>
      <c r="H19" s="1" t="s">
        <v>83</v>
      </c>
      <c r="I19" s="1" t="s">
        <v>98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1974</v>
      </c>
      <c r="B20" s="1" t="s">
        <v>1568</v>
      </c>
      <c r="C20" s="1" t="s">
        <v>1928</v>
      </c>
      <c r="D20" s="1" t="s">
        <v>1929</v>
      </c>
      <c r="E20" s="1" t="s">
        <v>119</v>
      </c>
      <c r="F20" s="1" t="s">
        <v>144</v>
      </c>
      <c r="G20" s="1" t="s">
        <v>1960</v>
      </c>
      <c r="H20" s="1" t="s">
        <v>83</v>
      </c>
      <c r="I20" s="1" t="s">
        <v>98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1975</v>
      </c>
      <c r="B21" s="1" t="s">
        <v>167</v>
      </c>
      <c r="C21" s="1" t="s">
        <v>1976</v>
      </c>
      <c r="D21" s="1" t="s">
        <v>1977</v>
      </c>
      <c r="E21" s="1" t="s">
        <v>119</v>
      </c>
      <c r="F21" s="1" t="s">
        <v>144</v>
      </c>
      <c r="G21" s="1" t="s">
        <v>1960</v>
      </c>
      <c r="H21" s="1" t="s">
        <v>83</v>
      </c>
      <c r="I21" s="1" t="s">
        <v>98</v>
      </c>
      <c r="J21" s="10" t="n">
        <v>46230</v>
      </c>
      <c r="K21" s="1" t="s">
        <v>1777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1978</v>
      </c>
      <c r="B22" s="1" t="s">
        <v>158</v>
      </c>
      <c r="C22" s="1" t="s">
        <v>1169</v>
      </c>
      <c r="D22" s="1" t="s">
        <v>1979</v>
      </c>
      <c r="E22" s="1" t="s">
        <v>119</v>
      </c>
      <c r="F22" s="1" t="s">
        <v>144</v>
      </c>
      <c r="G22" s="1" t="s">
        <v>1960</v>
      </c>
      <c r="H22" s="1" t="s">
        <v>83</v>
      </c>
      <c r="I22" s="1" t="s">
        <v>98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1980</v>
      </c>
      <c r="B23" s="1" t="s">
        <v>1214</v>
      </c>
      <c r="C23" s="1" t="s">
        <v>1169</v>
      </c>
      <c r="D23" s="1" t="s">
        <v>1981</v>
      </c>
      <c r="E23" s="1" t="s">
        <v>119</v>
      </c>
      <c r="F23" s="1" t="s">
        <v>144</v>
      </c>
      <c r="G23" s="1" t="s">
        <v>1960</v>
      </c>
      <c r="H23" s="1" t="s">
        <v>83</v>
      </c>
      <c r="I23" s="1" t="s">
        <v>98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1982</v>
      </c>
      <c r="B24" s="1" t="s">
        <v>147</v>
      </c>
      <c r="C24" s="1" t="s">
        <v>1169</v>
      </c>
      <c r="D24" s="1" t="s">
        <v>1983</v>
      </c>
      <c r="E24" s="1" t="s">
        <v>119</v>
      </c>
      <c r="F24" s="1" t="s">
        <v>149</v>
      </c>
      <c r="G24" s="1" t="s">
        <v>1960</v>
      </c>
      <c r="H24" s="1" t="s">
        <v>83</v>
      </c>
      <c r="I24" s="1" t="s">
        <v>98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1984</v>
      </c>
      <c r="B25" s="1" t="s">
        <v>152</v>
      </c>
      <c r="C25" s="1" t="s">
        <v>1169</v>
      </c>
      <c r="D25" s="1" t="s">
        <v>1985</v>
      </c>
      <c r="E25" s="1" t="s">
        <v>119</v>
      </c>
      <c r="F25" s="1" t="s">
        <v>154</v>
      </c>
      <c r="G25" s="1" t="s">
        <v>1963</v>
      </c>
      <c r="H25" s="1" t="s">
        <v>85</v>
      </c>
      <c r="I25" s="1" t="s">
        <v>97</v>
      </c>
      <c r="J25" s="10" t="n">
        <v>46230</v>
      </c>
      <c r="K25" s="1" t="s">
        <v>1986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1987</v>
      </c>
      <c r="B26" s="1" t="s">
        <v>1988</v>
      </c>
      <c r="C26" s="1" t="s">
        <v>1169</v>
      </c>
      <c r="D26" s="1" t="s">
        <v>1989</v>
      </c>
      <c r="E26" s="1" t="s">
        <v>119</v>
      </c>
      <c r="F26" s="1" t="s">
        <v>144</v>
      </c>
      <c r="G26" s="1" t="s">
        <v>1960</v>
      </c>
      <c r="H26" s="1" t="s">
        <v>83</v>
      </c>
      <c r="I26" s="1" t="s">
        <v>98</v>
      </c>
      <c r="J26" s="10" t="n">
        <v>46230</v>
      </c>
      <c r="K26" s="1" t="s">
        <v>1788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1990</v>
      </c>
      <c r="B27" s="1" t="s">
        <v>172</v>
      </c>
      <c r="C27" s="1" t="s">
        <v>61</v>
      </c>
      <c r="D27" s="1" t="s">
        <v>1931</v>
      </c>
      <c r="E27" s="1" t="s">
        <v>119</v>
      </c>
      <c r="F27" s="1" t="s">
        <v>160</v>
      </c>
      <c r="G27" s="1" t="s">
        <v>1991</v>
      </c>
      <c r="H27" s="1" t="s">
        <v>77</v>
      </c>
      <c r="I27" s="1" t="s">
        <v>97</v>
      </c>
      <c r="J27" s="10" t="n">
        <v>46230</v>
      </c>
      <c r="K27" s="1" t="s">
        <v>1792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1992</v>
      </c>
      <c r="B28" s="1" t="s">
        <v>176</v>
      </c>
      <c r="C28" s="1" t="s">
        <v>61</v>
      </c>
      <c r="D28" s="1" t="s">
        <v>1794</v>
      </c>
      <c r="E28" s="1" t="s">
        <v>119</v>
      </c>
      <c r="F28" s="1" t="s">
        <v>178</v>
      </c>
      <c r="G28" s="1" t="s">
        <v>1993</v>
      </c>
      <c r="H28" s="1" t="s">
        <v>83</v>
      </c>
      <c r="I28" s="1" t="s">
        <v>98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1994</v>
      </c>
      <c r="B29" s="1" t="s">
        <v>607</v>
      </c>
      <c r="C29" s="1" t="s">
        <v>61</v>
      </c>
      <c r="D29" s="1" t="s">
        <v>1936</v>
      </c>
      <c r="E29" s="1" t="s">
        <v>119</v>
      </c>
      <c r="F29" s="1" t="s">
        <v>609</v>
      </c>
      <c r="G29" s="1" t="s">
        <v>1995</v>
      </c>
      <c r="H29" s="1" t="s">
        <v>83</v>
      </c>
      <c r="I29" s="1" t="s">
        <v>98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1996</v>
      </c>
      <c r="B30" s="1" t="s">
        <v>185</v>
      </c>
      <c r="C30" s="1" t="s">
        <v>61</v>
      </c>
      <c r="D30" s="1" t="s">
        <v>1939</v>
      </c>
      <c r="E30" s="1" t="s">
        <v>187</v>
      </c>
      <c r="F30" s="1" t="s">
        <v>187</v>
      </c>
      <c r="G30" s="1" t="s">
        <v>188</v>
      </c>
      <c r="H30" s="1" t="s">
        <v>83</v>
      </c>
      <c r="I30" s="1" t="s">
        <v>98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1997</v>
      </c>
      <c r="B31" s="1" t="s">
        <v>190</v>
      </c>
      <c r="C31" s="1" t="s">
        <v>61</v>
      </c>
      <c r="D31" s="1" t="s">
        <v>1802</v>
      </c>
      <c r="E31" s="1" t="s">
        <v>119</v>
      </c>
      <c r="F31" s="1" t="s">
        <v>119</v>
      </c>
      <c r="G31" s="1" t="s">
        <v>192</v>
      </c>
      <c r="H31" s="1" t="s">
        <v>83</v>
      </c>
      <c r="I31" s="1" t="s">
        <v>98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101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103</v>
      </c>
      <c r="B8" s="1" t="s">
        <v>104</v>
      </c>
      <c r="C8" s="1" t="s">
        <v>105</v>
      </c>
      <c r="D8" s="1" t="s">
        <v>106</v>
      </c>
      <c r="E8" s="1" t="s">
        <v>107</v>
      </c>
      <c r="F8" s="1" t="s">
        <v>108</v>
      </c>
      <c r="G8" s="1" t="s">
        <v>109</v>
      </c>
      <c r="H8" s="1" t="s">
        <v>110</v>
      </c>
      <c r="I8" s="1" t="s">
        <v>111</v>
      </c>
      <c r="J8" s="10" t="s">
        <v>112</v>
      </c>
      <c r="K8" s="1" t="s">
        <v>113</v>
      </c>
      <c r="L8" s="1" t="s">
        <v>114</v>
      </c>
      <c r="M8" s="1" t="s">
        <v>101</v>
      </c>
    </row>
    <row r="9" customFormat="false" ht="42" hidden="false" customHeight="true" outlineLevel="0" collapsed="false">
      <c r="A9" s="1" t="s">
        <v>1999</v>
      </c>
      <c r="B9" s="1" t="s">
        <v>75</v>
      </c>
      <c r="C9" s="1" t="s">
        <v>1169</v>
      </c>
      <c r="D9" s="1" t="s">
        <v>2000</v>
      </c>
      <c r="E9" s="1" t="s">
        <v>119</v>
      </c>
      <c r="F9" s="1" t="s">
        <v>120</v>
      </c>
      <c r="G9" s="1" t="s">
        <v>2001</v>
      </c>
      <c r="H9" s="1" t="s">
        <v>83</v>
      </c>
      <c r="I9" s="1" t="s">
        <v>98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2002</v>
      </c>
      <c r="B10" s="1" t="s">
        <v>1328</v>
      </c>
      <c r="C10" s="1" t="s">
        <v>1169</v>
      </c>
      <c r="D10" s="1" t="s">
        <v>1946</v>
      </c>
      <c r="E10" s="1" t="s">
        <v>119</v>
      </c>
      <c r="F10" s="1" t="s">
        <v>139</v>
      </c>
      <c r="G10" s="1" t="s">
        <v>2003</v>
      </c>
      <c r="H10" s="1" t="s">
        <v>83</v>
      </c>
      <c r="I10" s="1" t="s">
        <v>98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2004</v>
      </c>
      <c r="B11" s="1" t="s">
        <v>123</v>
      </c>
      <c r="C11" s="1" t="s">
        <v>62</v>
      </c>
      <c r="D11" s="1" t="s">
        <v>1950</v>
      </c>
      <c r="E11" s="1" t="s">
        <v>119</v>
      </c>
      <c r="F11" s="1" t="s">
        <v>119</v>
      </c>
      <c r="G11" s="1" t="s">
        <v>1880</v>
      </c>
      <c r="H11" s="1" t="s">
        <v>83</v>
      </c>
      <c r="I11" s="1" t="s">
        <v>98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2005</v>
      </c>
      <c r="B12" s="1" t="s">
        <v>127</v>
      </c>
      <c r="C12" s="1" t="s">
        <v>1169</v>
      </c>
      <c r="D12" s="1" t="s">
        <v>1952</v>
      </c>
      <c r="E12" s="1" t="s">
        <v>119</v>
      </c>
      <c r="F12" s="1" t="s">
        <v>129</v>
      </c>
      <c r="G12" s="1" t="s">
        <v>2006</v>
      </c>
      <c r="H12" s="1" t="s">
        <v>83</v>
      </c>
      <c r="I12" s="1" t="s">
        <v>98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2007</v>
      </c>
      <c r="B13" s="1" t="s">
        <v>132</v>
      </c>
      <c r="C13" s="1" t="s">
        <v>1169</v>
      </c>
      <c r="D13" s="1" t="s">
        <v>1955</v>
      </c>
      <c r="E13" s="1" t="s">
        <v>119</v>
      </c>
      <c r="F13" s="1" t="s">
        <v>134</v>
      </c>
      <c r="G13" s="1" t="s">
        <v>2008</v>
      </c>
      <c r="H13" s="1" t="s">
        <v>83</v>
      </c>
      <c r="I13" s="1" t="s">
        <v>98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2009</v>
      </c>
      <c r="B14" s="1" t="s">
        <v>1561</v>
      </c>
      <c r="C14" s="1" t="s">
        <v>2010</v>
      </c>
      <c r="D14" s="1" t="s">
        <v>2011</v>
      </c>
      <c r="E14" s="1" t="s">
        <v>119</v>
      </c>
      <c r="F14" s="1" t="s">
        <v>144</v>
      </c>
      <c r="G14" s="1" t="s">
        <v>2012</v>
      </c>
      <c r="H14" s="1" t="s">
        <v>83</v>
      </c>
      <c r="I14" s="1" t="s">
        <v>98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2013</v>
      </c>
      <c r="B15" s="1" t="s">
        <v>2014</v>
      </c>
      <c r="C15" s="1" t="s">
        <v>1369</v>
      </c>
      <c r="D15" s="1" t="s">
        <v>2015</v>
      </c>
      <c r="E15" s="1" t="s">
        <v>119</v>
      </c>
      <c r="F15" s="1" t="s">
        <v>144</v>
      </c>
      <c r="G15" s="1" t="s">
        <v>2012</v>
      </c>
      <c r="H15" s="1" t="s">
        <v>83</v>
      </c>
      <c r="I15" s="1" t="s">
        <v>98</v>
      </c>
      <c r="J15" s="10" t="n">
        <v>46230</v>
      </c>
      <c r="K15" s="1" t="s">
        <v>1754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2016</v>
      </c>
      <c r="B16" s="1" t="s">
        <v>1683</v>
      </c>
      <c r="C16" s="1" t="s">
        <v>2017</v>
      </c>
      <c r="D16" s="1" t="s">
        <v>2018</v>
      </c>
      <c r="E16" s="1" t="s">
        <v>119</v>
      </c>
      <c r="F16" s="1" t="s">
        <v>154</v>
      </c>
      <c r="G16" s="1" t="s">
        <v>2019</v>
      </c>
      <c r="H16" s="1" t="s">
        <v>85</v>
      </c>
      <c r="I16" s="1" t="s">
        <v>97</v>
      </c>
      <c r="J16" s="10" t="n">
        <v>46230</v>
      </c>
      <c r="K16" s="1" t="s">
        <v>1964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2020</v>
      </c>
      <c r="B17" s="1" t="s">
        <v>1574</v>
      </c>
      <c r="C17" s="1" t="s">
        <v>2021</v>
      </c>
      <c r="D17" s="1" t="s">
        <v>2022</v>
      </c>
      <c r="E17" s="1" t="s">
        <v>119</v>
      </c>
      <c r="F17" s="1" t="s">
        <v>144</v>
      </c>
      <c r="G17" s="1" t="s">
        <v>2012</v>
      </c>
      <c r="H17" s="1" t="s">
        <v>83</v>
      </c>
      <c r="I17" s="1" t="s">
        <v>98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2023</v>
      </c>
      <c r="B18" s="1" t="s">
        <v>1901</v>
      </c>
      <c r="C18" s="1" t="s">
        <v>1902</v>
      </c>
      <c r="D18" s="1" t="s">
        <v>2024</v>
      </c>
      <c r="E18" s="1" t="s">
        <v>119</v>
      </c>
      <c r="F18" s="1" t="s">
        <v>144</v>
      </c>
      <c r="G18" s="1" t="s">
        <v>2012</v>
      </c>
      <c r="H18" s="1" t="s">
        <v>83</v>
      </c>
      <c r="I18" s="1" t="s">
        <v>98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2025</v>
      </c>
      <c r="B19" s="1" t="s">
        <v>1909</v>
      </c>
      <c r="C19" s="1" t="s">
        <v>1910</v>
      </c>
      <c r="D19" s="1" t="s">
        <v>2026</v>
      </c>
      <c r="E19" s="1" t="s">
        <v>119</v>
      </c>
      <c r="F19" s="1" t="s">
        <v>144</v>
      </c>
      <c r="G19" s="1" t="s">
        <v>2012</v>
      </c>
      <c r="H19" s="1" t="s">
        <v>83</v>
      </c>
      <c r="I19" s="1" t="s">
        <v>98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2027</v>
      </c>
      <c r="B20" s="1" t="s">
        <v>1568</v>
      </c>
      <c r="C20" s="1" t="s">
        <v>1928</v>
      </c>
      <c r="D20" s="1" t="s">
        <v>1929</v>
      </c>
      <c r="E20" s="1" t="s">
        <v>119</v>
      </c>
      <c r="F20" s="1" t="s">
        <v>144</v>
      </c>
      <c r="G20" s="1" t="s">
        <v>2012</v>
      </c>
      <c r="H20" s="1" t="s">
        <v>83</v>
      </c>
      <c r="I20" s="1" t="s">
        <v>98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2028</v>
      </c>
      <c r="B21" s="1" t="s">
        <v>167</v>
      </c>
      <c r="C21" s="1" t="s">
        <v>1976</v>
      </c>
      <c r="D21" s="1" t="s">
        <v>1977</v>
      </c>
      <c r="E21" s="1" t="s">
        <v>119</v>
      </c>
      <c r="F21" s="1" t="s">
        <v>144</v>
      </c>
      <c r="G21" s="1" t="s">
        <v>2012</v>
      </c>
      <c r="H21" s="1" t="s">
        <v>83</v>
      </c>
      <c r="I21" s="1" t="s">
        <v>98</v>
      </c>
      <c r="J21" s="10" t="n">
        <v>46230</v>
      </c>
      <c r="K21" s="1" t="s">
        <v>1777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2029</v>
      </c>
      <c r="B22" s="1" t="s">
        <v>158</v>
      </c>
      <c r="C22" s="1" t="s">
        <v>1169</v>
      </c>
      <c r="D22" s="1" t="s">
        <v>1979</v>
      </c>
      <c r="E22" s="1" t="s">
        <v>119</v>
      </c>
      <c r="F22" s="1" t="s">
        <v>144</v>
      </c>
      <c r="G22" s="1" t="s">
        <v>2012</v>
      </c>
      <c r="H22" s="1" t="s">
        <v>83</v>
      </c>
      <c r="I22" s="1" t="s">
        <v>98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2030</v>
      </c>
      <c r="B23" s="1" t="s">
        <v>1214</v>
      </c>
      <c r="C23" s="1" t="s">
        <v>1169</v>
      </c>
      <c r="D23" s="1" t="s">
        <v>1981</v>
      </c>
      <c r="E23" s="1" t="s">
        <v>119</v>
      </c>
      <c r="F23" s="1" t="s">
        <v>144</v>
      </c>
      <c r="G23" s="1" t="s">
        <v>2012</v>
      </c>
      <c r="H23" s="1" t="s">
        <v>83</v>
      </c>
      <c r="I23" s="1" t="s">
        <v>98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2031</v>
      </c>
      <c r="B24" s="1" t="s">
        <v>147</v>
      </c>
      <c r="C24" s="1" t="s">
        <v>1169</v>
      </c>
      <c r="D24" s="1" t="s">
        <v>1983</v>
      </c>
      <c r="E24" s="1" t="s">
        <v>119</v>
      </c>
      <c r="F24" s="1" t="s">
        <v>149</v>
      </c>
      <c r="G24" s="1" t="s">
        <v>2012</v>
      </c>
      <c r="H24" s="1" t="s">
        <v>83</v>
      </c>
      <c r="I24" s="1" t="s">
        <v>98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2032</v>
      </c>
      <c r="B25" s="1" t="s">
        <v>152</v>
      </c>
      <c r="C25" s="1" t="s">
        <v>1169</v>
      </c>
      <c r="D25" s="1" t="s">
        <v>1985</v>
      </c>
      <c r="E25" s="1" t="s">
        <v>119</v>
      </c>
      <c r="F25" s="1" t="s">
        <v>154</v>
      </c>
      <c r="G25" s="1" t="s">
        <v>2019</v>
      </c>
      <c r="H25" s="1" t="s">
        <v>85</v>
      </c>
      <c r="I25" s="1" t="s">
        <v>97</v>
      </c>
      <c r="J25" s="10" t="n">
        <v>46230</v>
      </c>
      <c r="K25" s="1" t="s">
        <v>1986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2033</v>
      </c>
      <c r="B26" s="1" t="s">
        <v>1988</v>
      </c>
      <c r="C26" s="1" t="s">
        <v>1169</v>
      </c>
      <c r="D26" s="1" t="s">
        <v>1989</v>
      </c>
      <c r="E26" s="1" t="s">
        <v>119</v>
      </c>
      <c r="F26" s="1" t="s">
        <v>144</v>
      </c>
      <c r="G26" s="1" t="s">
        <v>2012</v>
      </c>
      <c r="H26" s="1" t="s">
        <v>83</v>
      </c>
      <c r="I26" s="1" t="s">
        <v>98</v>
      </c>
      <c r="J26" s="10" t="n">
        <v>46230</v>
      </c>
      <c r="K26" s="1" t="s">
        <v>1788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2034</v>
      </c>
      <c r="B27" s="1" t="s">
        <v>172</v>
      </c>
      <c r="C27" s="1" t="s">
        <v>62</v>
      </c>
      <c r="D27" s="1" t="s">
        <v>1931</v>
      </c>
      <c r="E27" s="1" t="s">
        <v>119</v>
      </c>
      <c r="F27" s="1" t="s">
        <v>160</v>
      </c>
      <c r="G27" s="1" t="s">
        <v>2035</v>
      </c>
      <c r="H27" s="1" t="s">
        <v>77</v>
      </c>
      <c r="I27" s="1" t="s">
        <v>97</v>
      </c>
      <c r="J27" s="10" t="n">
        <v>46230</v>
      </c>
      <c r="K27" s="1" t="s">
        <v>1792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2036</v>
      </c>
      <c r="B28" s="1" t="s">
        <v>176</v>
      </c>
      <c r="C28" s="1" t="s">
        <v>62</v>
      </c>
      <c r="D28" s="1" t="s">
        <v>1794</v>
      </c>
      <c r="E28" s="1" t="s">
        <v>119</v>
      </c>
      <c r="F28" s="1" t="s">
        <v>178</v>
      </c>
      <c r="G28" s="1" t="s">
        <v>2037</v>
      </c>
      <c r="H28" s="1" t="s">
        <v>83</v>
      </c>
      <c r="I28" s="1" t="s">
        <v>98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2038</v>
      </c>
      <c r="B29" s="1" t="s">
        <v>607</v>
      </c>
      <c r="C29" s="1" t="s">
        <v>62</v>
      </c>
      <c r="D29" s="1" t="s">
        <v>1936</v>
      </c>
      <c r="E29" s="1" t="s">
        <v>119</v>
      </c>
      <c r="F29" s="1" t="s">
        <v>609</v>
      </c>
      <c r="G29" s="1" t="s">
        <v>2039</v>
      </c>
      <c r="H29" s="1" t="s">
        <v>83</v>
      </c>
      <c r="I29" s="1" t="s">
        <v>98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2040</v>
      </c>
      <c r="B30" s="1" t="s">
        <v>185</v>
      </c>
      <c r="C30" s="1" t="s">
        <v>62</v>
      </c>
      <c r="D30" s="1" t="s">
        <v>1939</v>
      </c>
      <c r="E30" s="1" t="s">
        <v>187</v>
      </c>
      <c r="F30" s="1" t="s">
        <v>187</v>
      </c>
      <c r="G30" s="1" t="s">
        <v>188</v>
      </c>
      <c r="H30" s="1" t="s">
        <v>83</v>
      </c>
      <c r="I30" s="1" t="s">
        <v>98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2041</v>
      </c>
      <c r="B31" s="1" t="s">
        <v>190</v>
      </c>
      <c r="C31" s="1" t="s">
        <v>62</v>
      </c>
      <c r="D31" s="1" t="s">
        <v>1802</v>
      </c>
      <c r="E31" s="1" t="s">
        <v>119</v>
      </c>
      <c r="F31" s="1" t="s">
        <v>119</v>
      </c>
      <c r="G31" s="1" t="s">
        <v>192</v>
      </c>
      <c r="H31" s="1" t="s">
        <v>83</v>
      </c>
      <c r="I31" s="1" t="s">
        <v>98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101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103</v>
      </c>
      <c r="B8" s="1" t="s">
        <v>104</v>
      </c>
      <c r="C8" s="1" t="s">
        <v>105</v>
      </c>
      <c r="D8" s="1" t="s">
        <v>106</v>
      </c>
      <c r="E8" s="1" t="s">
        <v>107</v>
      </c>
      <c r="F8" s="1" t="s">
        <v>108</v>
      </c>
      <c r="G8" s="1" t="s">
        <v>109</v>
      </c>
      <c r="H8" s="1" t="s">
        <v>110</v>
      </c>
      <c r="I8" s="1" t="s">
        <v>111</v>
      </c>
      <c r="J8" s="10" t="s">
        <v>112</v>
      </c>
      <c r="K8" s="1" t="s">
        <v>113</v>
      </c>
      <c r="L8" s="1" t="s">
        <v>114</v>
      </c>
      <c r="M8" s="1" t="s">
        <v>101</v>
      </c>
    </row>
    <row r="9" customFormat="false" ht="42" hidden="false" customHeight="true" outlineLevel="0" collapsed="false">
      <c r="A9" s="1" t="s">
        <v>2043</v>
      </c>
      <c r="B9" s="1" t="s">
        <v>75</v>
      </c>
      <c r="C9" s="1" t="s">
        <v>1169</v>
      </c>
      <c r="D9" s="1" t="s">
        <v>2044</v>
      </c>
      <c r="E9" s="1" t="s">
        <v>119</v>
      </c>
      <c r="F9" s="1" t="s">
        <v>120</v>
      </c>
      <c r="G9" s="1" t="s">
        <v>2045</v>
      </c>
      <c r="H9" s="1" t="s">
        <v>83</v>
      </c>
      <c r="I9" s="1" t="s">
        <v>98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2046</v>
      </c>
      <c r="B10" s="1" t="s">
        <v>1328</v>
      </c>
      <c r="C10" s="1" t="s">
        <v>1169</v>
      </c>
      <c r="D10" s="1" t="s">
        <v>1946</v>
      </c>
      <c r="E10" s="1" t="s">
        <v>119</v>
      </c>
      <c r="F10" s="1" t="s">
        <v>139</v>
      </c>
      <c r="G10" s="1" t="s">
        <v>2047</v>
      </c>
      <c r="H10" s="1" t="s">
        <v>83</v>
      </c>
      <c r="I10" s="1" t="s">
        <v>98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2048</v>
      </c>
      <c r="B11" s="1" t="s">
        <v>123</v>
      </c>
      <c r="C11" s="1" t="s">
        <v>2049</v>
      </c>
      <c r="D11" s="1" t="s">
        <v>1950</v>
      </c>
      <c r="E11" s="1" t="s">
        <v>119</v>
      </c>
      <c r="F11" s="1" t="s">
        <v>119</v>
      </c>
      <c r="G11" s="1" t="s">
        <v>1880</v>
      </c>
      <c r="H11" s="1" t="s">
        <v>83</v>
      </c>
      <c r="I11" s="1" t="s">
        <v>98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2050</v>
      </c>
      <c r="B12" s="1" t="s">
        <v>127</v>
      </c>
      <c r="C12" s="1" t="s">
        <v>1169</v>
      </c>
      <c r="D12" s="1" t="s">
        <v>1952</v>
      </c>
      <c r="E12" s="1" t="s">
        <v>119</v>
      </c>
      <c r="F12" s="1" t="s">
        <v>129</v>
      </c>
      <c r="G12" s="1" t="s">
        <v>2051</v>
      </c>
      <c r="H12" s="1" t="s">
        <v>83</v>
      </c>
      <c r="I12" s="1" t="s">
        <v>98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2052</v>
      </c>
      <c r="B13" s="1" t="s">
        <v>132</v>
      </c>
      <c r="C13" s="1" t="s">
        <v>1169</v>
      </c>
      <c r="D13" s="1" t="s">
        <v>1955</v>
      </c>
      <c r="E13" s="1" t="s">
        <v>119</v>
      </c>
      <c r="F13" s="1" t="s">
        <v>134</v>
      </c>
      <c r="G13" s="1" t="s">
        <v>2053</v>
      </c>
      <c r="H13" s="1" t="s">
        <v>83</v>
      </c>
      <c r="I13" s="1" t="s">
        <v>98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2054</v>
      </c>
      <c r="B14" s="1" t="s">
        <v>1561</v>
      </c>
      <c r="C14" s="1" t="s">
        <v>2055</v>
      </c>
      <c r="D14" s="1" t="s">
        <v>2056</v>
      </c>
      <c r="E14" s="1" t="s">
        <v>119</v>
      </c>
      <c r="F14" s="1" t="s">
        <v>144</v>
      </c>
      <c r="G14" s="1" t="s">
        <v>2057</v>
      </c>
      <c r="H14" s="1" t="s">
        <v>83</v>
      </c>
      <c r="I14" s="1" t="s">
        <v>98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2058</v>
      </c>
      <c r="B15" s="1" t="s">
        <v>2059</v>
      </c>
      <c r="C15" s="1" t="s">
        <v>2060</v>
      </c>
      <c r="D15" s="1" t="s">
        <v>2061</v>
      </c>
      <c r="E15" s="1" t="s">
        <v>119</v>
      </c>
      <c r="F15" s="1" t="s">
        <v>144</v>
      </c>
      <c r="G15" s="1" t="s">
        <v>2057</v>
      </c>
      <c r="H15" s="1" t="s">
        <v>83</v>
      </c>
      <c r="I15" s="1" t="s">
        <v>98</v>
      </c>
      <c r="J15" s="10" t="n">
        <v>46230</v>
      </c>
      <c r="K15" s="1" t="s">
        <v>1754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2062</v>
      </c>
      <c r="B16" s="1" t="s">
        <v>1683</v>
      </c>
      <c r="C16" s="1" t="s">
        <v>2063</v>
      </c>
      <c r="D16" s="1" t="s">
        <v>2064</v>
      </c>
      <c r="E16" s="1" t="s">
        <v>119</v>
      </c>
      <c r="F16" s="1" t="s">
        <v>154</v>
      </c>
      <c r="G16" s="1" t="s">
        <v>2065</v>
      </c>
      <c r="H16" s="1" t="s">
        <v>85</v>
      </c>
      <c r="I16" s="1" t="s">
        <v>97</v>
      </c>
      <c r="J16" s="10" t="n">
        <v>46230</v>
      </c>
      <c r="K16" s="1" t="s">
        <v>1964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2066</v>
      </c>
      <c r="B17" s="1" t="s">
        <v>2014</v>
      </c>
      <c r="C17" s="1" t="s">
        <v>1707</v>
      </c>
      <c r="D17" s="1" t="s">
        <v>2067</v>
      </c>
      <c r="E17" s="1" t="s">
        <v>119</v>
      </c>
      <c r="F17" s="1" t="s">
        <v>144</v>
      </c>
      <c r="G17" s="1" t="s">
        <v>2057</v>
      </c>
      <c r="H17" s="1" t="s">
        <v>83</v>
      </c>
      <c r="I17" s="1" t="s">
        <v>98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2068</v>
      </c>
      <c r="B18" s="1" t="s">
        <v>2069</v>
      </c>
      <c r="C18" s="1" t="s">
        <v>2070</v>
      </c>
      <c r="D18" s="1" t="s">
        <v>2071</v>
      </c>
      <c r="E18" s="1" t="s">
        <v>119</v>
      </c>
      <c r="F18" s="1" t="s">
        <v>144</v>
      </c>
      <c r="G18" s="1" t="s">
        <v>2057</v>
      </c>
      <c r="H18" s="1" t="s">
        <v>83</v>
      </c>
      <c r="I18" s="1" t="s">
        <v>98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2072</v>
      </c>
      <c r="B19" s="1" t="s">
        <v>1574</v>
      </c>
      <c r="C19" s="1" t="s">
        <v>2073</v>
      </c>
      <c r="D19" s="1" t="s">
        <v>2074</v>
      </c>
      <c r="E19" s="1" t="s">
        <v>119</v>
      </c>
      <c r="F19" s="1" t="s">
        <v>144</v>
      </c>
      <c r="G19" s="1" t="s">
        <v>2057</v>
      </c>
      <c r="H19" s="1" t="s">
        <v>83</v>
      </c>
      <c r="I19" s="1" t="s">
        <v>98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2075</v>
      </c>
      <c r="B20" s="1" t="s">
        <v>1568</v>
      </c>
      <c r="C20" s="1" t="s">
        <v>1928</v>
      </c>
      <c r="D20" s="1" t="s">
        <v>1929</v>
      </c>
      <c r="E20" s="1" t="s">
        <v>119</v>
      </c>
      <c r="F20" s="1" t="s">
        <v>144</v>
      </c>
      <c r="G20" s="1" t="s">
        <v>2057</v>
      </c>
      <c r="H20" s="1" t="s">
        <v>83</v>
      </c>
      <c r="I20" s="1" t="s">
        <v>98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2076</v>
      </c>
      <c r="B21" s="1" t="s">
        <v>167</v>
      </c>
      <c r="C21" s="1" t="s">
        <v>1976</v>
      </c>
      <c r="D21" s="1" t="s">
        <v>1977</v>
      </c>
      <c r="E21" s="1" t="s">
        <v>119</v>
      </c>
      <c r="F21" s="1" t="s">
        <v>144</v>
      </c>
      <c r="G21" s="1" t="s">
        <v>2057</v>
      </c>
      <c r="H21" s="1" t="s">
        <v>83</v>
      </c>
      <c r="I21" s="1" t="s">
        <v>98</v>
      </c>
      <c r="J21" s="10" t="n">
        <v>46230</v>
      </c>
      <c r="K21" s="1" t="s">
        <v>1777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2077</v>
      </c>
      <c r="B22" s="1" t="s">
        <v>158</v>
      </c>
      <c r="C22" s="1" t="s">
        <v>1169</v>
      </c>
      <c r="D22" s="1" t="s">
        <v>1979</v>
      </c>
      <c r="E22" s="1" t="s">
        <v>119</v>
      </c>
      <c r="F22" s="1" t="s">
        <v>144</v>
      </c>
      <c r="G22" s="1" t="s">
        <v>2057</v>
      </c>
      <c r="H22" s="1" t="s">
        <v>83</v>
      </c>
      <c r="I22" s="1" t="s">
        <v>98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2078</v>
      </c>
      <c r="B23" s="1" t="s">
        <v>1214</v>
      </c>
      <c r="C23" s="1" t="s">
        <v>1169</v>
      </c>
      <c r="D23" s="1" t="s">
        <v>1981</v>
      </c>
      <c r="E23" s="1" t="s">
        <v>119</v>
      </c>
      <c r="F23" s="1" t="s">
        <v>144</v>
      </c>
      <c r="G23" s="1" t="s">
        <v>2057</v>
      </c>
      <c r="H23" s="1" t="s">
        <v>83</v>
      </c>
      <c r="I23" s="1" t="s">
        <v>98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2079</v>
      </c>
      <c r="B24" s="1" t="s">
        <v>147</v>
      </c>
      <c r="C24" s="1" t="s">
        <v>1169</v>
      </c>
      <c r="D24" s="1" t="s">
        <v>1983</v>
      </c>
      <c r="E24" s="1" t="s">
        <v>119</v>
      </c>
      <c r="F24" s="1" t="s">
        <v>149</v>
      </c>
      <c r="G24" s="1" t="s">
        <v>2057</v>
      </c>
      <c r="H24" s="1" t="s">
        <v>83</v>
      </c>
      <c r="I24" s="1" t="s">
        <v>98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2080</v>
      </c>
      <c r="B25" s="1" t="s">
        <v>152</v>
      </c>
      <c r="C25" s="1" t="s">
        <v>1169</v>
      </c>
      <c r="D25" s="1" t="s">
        <v>1985</v>
      </c>
      <c r="E25" s="1" t="s">
        <v>119</v>
      </c>
      <c r="F25" s="1" t="s">
        <v>154</v>
      </c>
      <c r="G25" s="1" t="s">
        <v>2065</v>
      </c>
      <c r="H25" s="1" t="s">
        <v>85</v>
      </c>
      <c r="I25" s="1" t="s">
        <v>97</v>
      </c>
      <c r="J25" s="10" t="n">
        <v>46230</v>
      </c>
      <c r="K25" s="1" t="s">
        <v>1986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2081</v>
      </c>
      <c r="B26" s="1" t="s">
        <v>1988</v>
      </c>
      <c r="C26" s="1" t="s">
        <v>1169</v>
      </c>
      <c r="D26" s="1" t="s">
        <v>1989</v>
      </c>
      <c r="E26" s="1" t="s">
        <v>119</v>
      </c>
      <c r="F26" s="1" t="s">
        <v>144</v>
      </c>
      <c r="G26" s="1" t="s">
        <v>2057</v>
      </c>
      <c r="H26" s="1" t="s">
        <v>83</v>
      </c>
      <c r="I26" s="1" t="s">
        <v>98</v>
      </c>
      <c r="J26" s="10" t="n">
        <v>46230</v>
      </c>
      <c r="K26" s="1" t="s">
        <v>1788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2082</v>
      </c>
      <c r="B27" s="1" t="s">
        <v>172</v>
      </c>
      <c r="C27" s="1" t="s">
        <v>63</v>
      </c>
      <c r="D27" s="1" t="s">
        <v>1931</v>
      </c>
      <c r="E27" s="1" t="s">
        <v>119</v>
      </c>
      <c r="F27" s="1" t="s">
        <v>160</v>
      </c>
      <c r="G27" s="1" t="s">
        <v>2083</v>
      </c>
      <c r="H27" s="1" t="s">
        <v>77</v>
      </c>
      <c r="I27" s="1" t="s">
        <v>97</v>
      </c>
      <c r="J27" s="10" t="n">
        <v>46230</v>
      </c>
      <c r="K27" s="1" t="s">
        <v>1792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2084</v>
      </c>
      <c r="B28" s="1" t="s">
        <v>176</v>
      </c>
      <c r="C28" s="1" t="s">
        <v>63</v>
      </c>
      <c r="D28" s="1" t="s">
        <v>1794</v>
      </c>
      <c r="E28" s="1" t="s">
        <v>119</v>
      </c>
      <c r="F28" s="1" t="s">
        <v>178</v>
      </c>
      <c r="G28" s="1" t="s">
        <v>2085</v>
      </c>
      <c r="H28" s="1" t="s">
        <v>83</v>
      </c>
      <c r="I28" s="1" t="s">
        <v>98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2086</v>
      </c>
      <c r="B29" s="1" t="s">
        <v>607</v>
      </c>
      <c r="C29" s="1" t="s">
        <v>63</v>
      </c>
      <c r="D29" s="1" t="s">
        <v>1936</v>
      </c>
      <c r="E29" s="1" t="s">
        <v>119</v>
      </c>
      <c r="F29" s="1" t="s">
        <v>609</v>
      </c>
      <c r="G29" s="1" t="s">
        <v>2087</v>
      </c>
      <c r="H29" s="1" t="s">
        <v>83</v>
      </c>
      <c r="I29" s="1" t="s">
        <v>98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2088</v>
      </c>
      <c r="B30" s="1" t="s">
        <v>185</v>
      </c>
      <c r="C30" s="1" t="s">
        <v>63</v>
      </c>
      <c r="D30" s="1" t="s">
        <v>1939</v>
      </c>
      <c r="E30" s="1" t="s">
        <v>187</v>
      </c>
      <c r="F30" s="1" t="s">
        <v>187</v>
      </c>
      <c r="G30" s="1" t="s">
        <v>188</v>
      </c>
      <c r="H30" s="1" t="s">
        <v>83</v>
      </c>
      <c r="I30" s="1" t="s">
        <v>98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2089</v>
      </c>
      <c r="B31" s="1" t="s">
        <v>190</v>
      </c>
      <c r="C31" s="1" t="s">
        <v>63</v>
      </c>
      <c r="D31" s="1" t="s">
        <v>1802</v>
      </c>
      <c r="E31" s="1" t="s">
        <v>119</v>
      </c>
      <c r="F31" s="1" t="s">
        <v>119</v>
      </c>
      <c r="G31" s="1" t="s">
        <v>192</v>
      </c>
      <c r="H31" s="1" t="s">
        <v>83</v>
      </c>
      <c r="I31" s="1" t="s">
        <v>98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2091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COUNTA(A9:A36)</f>
        <v>28</v>
      </c>
      <c r="D4" s="5" t="s">
        <v>101</v>
      </c>
      <c r="E4" s="6" t="n">
        <f aca="false">SUM(M9:M36)</f>
        <v>27</v>
      </c>
      <c r="G4" s="5" t="s">
        <v>13</v>
      </c>
      <c r="H4" s="7" t="n">
        <f aca="false">IF(B4=0,0,E4/B4)</f>
        <v>0.964285714285714</v>
      </c>
      <c r="J4" s="5" t="s">
        <v>14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IF(COUNTIFS(I9:I36,"yes",M9:M36,0)&gt;0,"open","complete")</f>
        <v>open</v>
      </c>
      <c r="D5" s="5" t="s">
        <v>15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54" hidden="false" customHeight="true" outlineLevel="0" collapsed="false">
      <c r="A9" s="12" t="s">
        <v>2092</v>
      </c>
      <c r="B9" s="12" t="s">
        <v>75</v>
      </c>
      <c r="C9" s="12" t="s">
        <v>1169</v>
      </c>
      <c r="D9" s="13" t="s">
        <v>2093</v>
      </c>
      <c r="E9" s="12" t="s">
        <v>119</v>
      </c>
      <c r="F9" s="12" t="s">
        <v>120</v>
      </c>
      <c r="G9" s="13" t="s">
        <v>2094</v>
      </c>
      <c r="H9" s="12" t="s">
        <v>83</v>
      </c>
      <c r="I9" s="12" t="s">
        <v>98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2095</v>
      </c>
      <c r="B10" s="12" t="s">
        <v>1328</v>
      </c>
      <c r="C10" s="12" t="s">
        <v>2096</v>
      </c>
      <c r="D10" s="13" t="s">
        <v>2097</v>
      </c>
      <c r="E10" s="12" t="s">
        <v>119</v>
      </c>
      <c r="F10" s="12" t="s">
        <v>139</v>
      </c>
      <c r="G10" s="13" t="s">
        <v>2098</v>
      </c>
      <c r="H10" s="12" t="s">
        <v>83</v>
      </c>
      <c r="I10" s="12" t="s">
        <v>98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2099</v>
      </c>
      <c r="B11" s="12" t="s">
        <v>123</v>
      </c>
      <c r="C11" s="12" t="s">
        <v>2100</v>
      </c>
      <c r="D11" s="13" t="s">
        <v>2101</v>
      </c>
      <c r="E11" s="12" t="s">
        <v>119</v>
      </c>
      <c r="F11" s="12" t="s">
        <v>119</v>
      </c>
      <c r="G11" s="13" t="s">
        <v>1880</v>
      </c>
      <c r="H11" s="12" t="s">
        <v>83</v>
      </c>
      <c r="I11" s="12" t="s">
        <v>98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2102</v>
      </c>
      <c r="B12" s="12" t="s">
        <v>127</v>
      </c>
      <c r="C12" s="12" t="s">
        <v>1169</v>
      </c>
      <c r="D12" s="13" t="s">
        <v>2103</v>
      </c>
      <c r="E12" s="12" t="s">
        <v>119</v>
      </c>
      <c r="F12" s="12" t="s">
        <v>129</v>
      </c>
      <c r="G12" s="13" t="s">
        <v>2104</v>
      </c>
      <c r="H12" s="12" t="s">
        <v>83</v>
      </c>
      <c r="I12" s="12" t="s">
        <v>98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2105</v>
      </c>
      <c r="B13" s="12" t="s">
        <v>132</v>
      </c>
      <c r="C13" s="12" t="s">
        <v>1169</v>
      </c>
      <c r="D13" s="13" t="s">
        <v>2106</v>
      </c>
      <c r="E13" s="12" t="s">
        <v>119</v>
      </c>
      <c r="F13" s="12" t="s">
        <v>134</v>
      </c>
      <c r="G13" s="13" t="s">
        <v>2107</v>
      </c>
      <c r="H13" s="12" t="s">
        <v>83</v>
      </c>
      <c r="I13" s="12" t="s">
        <v>98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2108</v>
      </c>
      <c r="B14" s="12" t="s">
        <v>1561</v>
      </c>
      <c r="C14" s="12" t="s">
        <v>2096</v>
      </c>
      <c r="D14" s="13" t="s">
        <v>2109</v>
      </c>
      <c r="E14" s="12" t="s">
        <v>119</v>
      </c>
      <c r="F14" s="12" t="s">
        <v>144</v>
      </c>
      <c r="G14" s="13" t="s">
        <v>2110</v>
      </c>
      <c r="H14" s="12" t="s">
        <v>83</v>
      </c>
      <c r="I14" s="12" t="s">
        <v>98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2111</v>
      </c>
      <c r="B15" s="12" t="s">
        <v>1118</v>
      </c>
      <c r="C15" s="12" t="s">
        <v>767</v>
      </c>
      <c r="D15" s="13" t="s">
        <v>2112</v>
      </c>
      <c r="E15" s="12" t="s">
        <v>119</v>
      </c>
      <c r="F15" s="12" t="s">
        <v>144</v>
      </c>
      <c r="G15" s="13" t="s">
        <v>2113</v>
      </c>
      <c r="H15" s="12" t="s">
        <v>83</v>
      </c>
      <c r="I15" s="12" t="s">
        <v>98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2114</v>
      </c>
      <c r="B16" s="12" t="s">
        <v>1760</v>
      </c>
      <c r="C16" s="12" t="s">
        <v>1545</v>
      </c>
      <c r="D16" s="13" t="s">
        <v>2115</v>
      </c>
      <c r="E16" s="12" t="s">
        <v>119</v>
      </c>
      <c r="F16" s="12" t="s">
        <v>144</v>
      </c>
      <c r="G16" s="13" t="s">
        <v>2113</v>
      </c>
      <c r="H16" s="12" t="s">
        <v>83</v>
      </c>
      <c r="I16" s="12" t="s">
        <v>98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2116</v>
      </c>
      <c r="B17" s="12" t="s">
        <v>1683</v>
      </c>
      <c r="C17" s="12" t="s">
        <v>1169</v>
      </c>
      <c r="D17" s="13" t="s">
        <v>2117</v>
      </c>
      <c r="E17" s="12" t="s">
        <v>119</v>
      </c>
      <c r="F17" s="12" t="s">
        <v>144</v>
      </c>
      <c r="G17" s="13" t="s">
        <v>2110</v>
      </c>
      <c r="H17" s="12" t="s">
        <v>83</v>
      </c>
      <c r="I17" s="12" t="s">
        <v>98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2118</v>
      </c>
      <c r="B18" s="12" t="s">
        <v>1275</v>
      </c>
      <c r="C18" s="12" t="s">
        <v>767</v>
      </c>
      <c r="D18" s="13" t="s">
        <v>2119</v>
      </c>
      <c r="E18" s="12" t="s">
        <v>119</v>
      </c>
      <c r="F18" s="12" t="s">
        <v>144</v>
      </c>
      <c r="G18" s="13" t="s">
        <v>2120</v>
      </c>
      <c r="H18" s="12" t="s">
        <v>83</v>
      </c>
      <c r="I18" s="12" t="s">
        <v>98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2121</v>
      </c>
      <c r="B19" s="12" t="s">
        <v>1901</v>
      </c>
      <c r="C19" s="12" t="s">
        <v>2122</v>
      </c>
      <c r="D19" s="13" t="s">
        <v>2123</v>
      </c>
      <c r="E19" s="12" t="s">
        <v>119</v>
      </c>
      <c r="F19" s="12" t="s">
        <v>144</v>
      </c>
      <c r="G19" s="13" t="s">
        <v>2113</v>
      </c>
      <c r="H19" s="12" t="s">
        <v>83</v>
      </c>
      <c r="I19" s="12" t="s">
        <v>98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2124</v>
      </c>
      <c r="B20" s="12" t="s">
        <v>1381</v>
      </c>
      <c r="C20" s="12" t="s">
        <v>2125</v>
      </c>
      <c r="D20" s="13" t="s">
        <v>2126</v>
      </c>
      <c r="E20" s="12" t="s">
        <v>119</v>
      </c>
      <c r="F20" s="12" t="s">
        <v>144</v>
      </c>
      <c r="G20" s="13" t="s">
        <v>2110</v>
      </c>
      <c r="H20" s="12" t="s">
        <v>83</v>
      </c>
      <c r="I20" s="12" t="s">
        <v>98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2127</v>
      </c>
      <c r="B21" s="12" t="s">
        <v>2128</v>
      </c>
      <c r="C21" s="12" t="s">
        <v>1545</v>
      </c>
      <c r="D21" s="13" t="s">
        <v>2129</v>
      </c>
      <c r="E21" s="12" t="s">
        <v>119</v>
      </c>
      <c r="F21" s="12" t="s">
        <v>139</v>
      </c>
      <c r="G21" s="13" t="s">
        <v>2130</v>
      </c>
      <c r="H21" s="12" t="s">
        <v>83</v>
      </c>
      <c r="I21" s="12" t="s">
        <v>98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2131</v>
      </c>
      <c r="B22" s="12" t="s">
        <v>2132</v>
      </c>
      <c r="C22" s="12" t="s">
        <v>840</v>
      </c>
      <c r="D22" s="13" t="s">
        <v>2133</v>
      </c>
      <c r="E22" s="12" t="s">
        <v>119</v>
      </c>
      <c r="F22" s="12" t="s">
        <v>144</v>
      </c>
      <c r="G22" s="13" t="s">
        <v>2120</v>
      </c>
      <c r="H22" s="12" t="s">
        <v>83</v>
      </c>
      <c r="I22" s="12" t="s">
        <v>98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2134</v>
      </c>
      <c r="B23" s="12" t="s">
        <v>1071</v>
      </c>
      <c r="C23" s="12" t="s">
        <v>2135</v>
      </c>
      <c r="D23" s="13" t="s">
        <v>2136</v>
      </c>
      <c r="E23" s="12" t="s">
        <v>119</v>
      </c>
      <c r="F23" s="12" t="s">
        <v>144</v>
      </c>
      <c r="G23" s="13" t="s">
        <v>2110</v>
      </c>
      <c r="H23" s="12" t="s">
        <v>83</v>
      </c>
      <c r="I23" s="12" t="s">
        <v>98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2137</v>
      </c>
      <c r="B24" s="12" t="s">
        <v>167</v>
      </c>
      <c r="C24" s="12" t="s">
        <v>1169</v>
      </c>
      <c r="D24" s="13" t="s">
        <v>2138</v>
      </c>
      <c r="E24" s="12" t="s">
        <v>119</v>
      </c>
      <c r="F24" s="12" t="s">
        <v>144</v>
      </c>
      <c r="G24" s="13" t="s">
        <v>2130</v>
      </c>
      <c r="H24" s="12" t="s">
        <v>83</v>
      </c>
      <c r="I24" s="12" t="s">
        <v>98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2139</v>
      </c>
      <c r="B25" s="12" t="s">
        <v>2140</v>
      </c>
      <c r="C25" s="12" t="s">
        <v>767</v>
      </c>
      <c r="D25" s="13" t="s">
        <v>2141</v>
      </c>
      <c r="E25" s="12" t="s">
        <v>119</v>
      </c>
      <c r="F25" s="12" t="s">
        <v>144</v>
      </c>
      <c r="G25" s="13" t="s">
        <v>2113</v>
      </c>
      <c r="H25" s="12" t="s">
        <v>83</v>
      </c>
      <c r="I25" s="12" t="s">
        <v>98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2142</v>
      </c>
      <c r="B26" s="12" t="s">
        <v>1516</v>
      </c>
      <c r="C26" s="12" t="s">
        <v>767</v>
      </c>
      <c r="D26" s="13" t="s">
        <v>2143</v>
      </c>
      <c r="E26" s="12" t="s">
        <v>119</v>
      </c>
      <c r="F26" s="12" t="s">
        <v>154</v>
      </c>
      <c r="G26" s="13" t="s">
        <v>2144</v>
      </c>
      <c r="H26" s="12" t="s">
        <v>85</v>
      </c>
      <c r="I26" s="12" t="s">
        <v>97</v>
      </c>
      <c r="J26" s="14" t="n">
        <v>46230</v>
      </c>
      <c r="K26" s="13" t="s">
        <v>2145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2146</v>
      </c>
      <c r="B27" s="12" t="s">
        <v>158</v>
      </c>
      <c r="C27" s="12" t="s">
        <v>1169</v>
      </c>
      <c r="D27" s="13" t="s">
        <v>2147</v>
      </c>
      <c r="E27" s="12" t="s">
        <v>119</v>
      </c>
      <c r="F27" s="12" t="s">
        <v>144</v>
      </c>
      <c r="G27" s="13" t="s">
        <v>2113</v>
      </c>
      <c r="H27" s="12" t="s">
        <v>83</v>
      </c>
      <c r="I27" s="12" t="s">
        <v>98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2148</v>
      </c>
      <c r="B28" s="12" t="s">
        <v>2149</v>
      </c>
      <c r="C28" s="12" t="s">
        <v>1169</v>
      </c>
      <c r="D28" s="13" t="s">
        <v>2150</v>
      </c>
      <c r="E28" s="12" t="s">
        <v>119</v>
      </c>
      <c r="F28" s="12" t="s">
        <v>144</v>
      </c>
      <c r="G28" s="13" t="s">
        <v>2113</v>
      </c>
      <c r="H28" s="12" t="s">
        <v>83</v>
      </c>
      <c r="I28" s="12" t="s">
        <v>98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2151</v>
      </c>
      <c r="B29" s="12" t="s">
        <v>147</v>
      </c>
      <c r="C29" s="12" t="s">
        <v>1169</v>
      </c>
      <c r="D29" s="13" t="s">
        <v>2152</v>
      </c>
      <c r="E29" s="12" t="s">
        <v>119</v>
      </c>
      <c r="F29" s="12" t="s">
        <v>149</v>
      </c>
      <c r="G29" s="13" t="s">
        <v>2110</v>
      </c>
      <c r="H29" s="12" t="s">
        <v>83</v>
      </c>
      <c r="I29" s="12" t="s">
        <v>98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2153</v>
      </c>
      <c r="B30" s="12" t="s">
        <v>152</v>
      </c>
      <c r="C30" s="12" t="s">
        <v>1169</v>
      </c>
      <c r="D30" s="13" t="s">
        <v>2154</v>
      </c>
      <c r="E30" s="12" t="s">
        <v>119</v>
      </c>
      <c r="F30" s="12" t="s">
        <v>154</v>
      </c>
      <c r="G30" s="13" t="s">
        <v>2155</v>
      </c>
      <c r="H30" s="12" t="s">
        <v>85</v>
      </c>
      <c r="I30" s="12" t="s">
        <v>97</v>
      </c>
      <c r="J30" s="14" t="n">
        <v>46230</v>
      </c>
      <c r="K30" s="13" t="s">
        <v>2156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2157</v>
      </c>
      <c r="B31" s="12" t="s">
        <v>172</v>
      </c>
      <c r="C31" s="12" t="s">
        <v>64</v>
      </c>
      <c r="D31" s="13" t="s">
        <v>2158</v>
      </c>
      <c r="E31" s="12" t="s">
        <v>119</v>
      </c>
      <c r="F31" s="12" t="s">
        <v>160</v>
      </c>
      <c r="G31" s="13" t="s">
        <v>2159</v>
      </c>
      <c r="H31" s="12" t="s">
        <v>77</v>
      </c>
      <c r="I31" s="12" t="s">
        <v>97</v>
      </c>
      <c r="J31" s="14" t="n">
        <v>46230</v>
      </c>
      <c r="K31" s="13" t="s">
        <v>1792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2160</v>
      </c>
      <c r="B32" s="12" t="s">
        <v>176</v>
      </c>
      <c r="C32" s="12" t="s">
        <v>64</v>
      </c>
      <c r="D32" s="13" t="s">
        <v>2161</v>
      </c>
      <c r="E32" s="12" t="s">
        <v>119</v>
      </c>
      <c r="F32" s="12" t="s">
        <v>178</v>
      </c>
      <c r="G32" s="13" t="s">
        <v>2162</v>
      </c>
      <c r="H32" s="12" t="s">
        <v>83</v>
      </c>
      <c r="I32" s="12" t="s">
        <v>98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2163</v>
      </c>
      <c r="B33" s="12" t="s">
        <v>181</v>
      </c>
      <c r="C33" s="12" t="s">
        <v>64</v>
      </c>
      <c r="D33" s="13" t="s">
        <v>2164</v>
      </c>
      <c r="E33" s="12" t="s">
        <v>119</v>
      </c>
      <c r="F33" s="12" t="s">
        <v>178</v>
      </c>
      <c r="G33" s="13" t="s">
        <v>2165</v>
      </c>
      <c r="H33" s="12" t="s">
        <v>83</v>
      </c>
      <c r="I33" s="12" t="s">
        <v>98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2166</v>
      </c>
      <c r="B34" s="12" t="s">
        <v>607</v>
      </c>
      <c r="C34" s="12" t="s">
        <v>64</v>
      </c>
      <c r="D34" s="13" t="s">
        <v>2167</v>
      </c>
      <c r="E34" s="12" t="s">
        <v>119</v>
      </c>
      <c r="F34" s="12" t="s">
        <v>609</v>
      </c>
      <c r="G34" s="13" t="s">
        <v>2168</v>
      </c>
      <c r="H34" s="12" t="s">
        <v>83</v>
      </c>
      <c r="I34" s="12" t="s">
        <v>98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2169</v>
      </c>
      <c r="B35" s="12" t="s">
        <v>185</v>
      </c>
      <c r="C35" s="12" t="s">
        <v>64</v>
      </c>
      <c r="D35" s="13" t="s">
        <v>2170</v>
      </c>
      <c r="E35" s="12" t="s">
        <v>187</v>
      </c>
      <c r="F35" s="12" t="s">
        <v>187</v>
      </c>
      <c r="G35" s="13" t="s">
        <v>188</v>
      </c>
      <c r="H35" s="12" t="s">
        <v>83</v>
      </c>
      <c r="I35" s="12" t="s">
        <v>98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2171</v>
      </c>
      <c r="B36" s="12" t="s">
        <v>190</v>
      </c>
      <c r="C36" s="12" t="s">
        <v>64</v>
      </c>
      <c r="D36" s="13" t="s">
        <v>2172</v>
      </c>
      <c r="E36" s="12" t="s">
        <v>119</v>
      </c>
      <c r="F36" s="12" t="s">
        <v>119</v>
      </c>
      <c r="G36" s="13" t="s">
        <v>192</v>
      </c>
      <c r="H36" s="12" t="s">
        <v>83</v>
      </c>
      <c r="I36" s="12" t="s">
        <v>98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2174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COUNTA(A9:A27)</f>
        <v>19</v>
      </c>
      <c r="D4" s="5" t="s">
        <v>101</v>
      </c>
      <c r="E4" s="6" t="n">
        <f aca="false">SUM(M9:M27)</f>
        <v>18</v>
      </c>
      <c r="G4" s="5" t="s">
        <v>13</v>
      </c>
      <c r="H4" s="7" t="n">
        <f aca="false">IF(B4=0,0,E4/B4)</f>
        <v>0.947368421052632</v>
      </c>
      <c r="J4" s="5" t="s">
        <v>14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IF(COUNTIFS(I9:I27,"yes",M9:M27,0)&gt;0,"open","complete")</f>
        <v>open</v>
      </c>
      <c r="D5" s="5" t="s">
        <v>15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54" hidden="false" customHeight="true" outlineLevel="0" collapsed="false">
      <c r="A9" s="12" t="s">
        <v>2175</v>
      </c>
      <c r="B9" s="12" t="s">
        <v>75</v>
      </c>
      <c r="C9" s="12" t="s">
        <v>767</v>
      </c>
      <c r="D9" s="13" t="s">
        <v>2176</v>
      </c>
      <c r="E9" s="12" t="s">
        <v>119</v>
      </c>
      <c r="F9" s="12" t="s">
        <v>120</v>
      </c>
      <c r="G9" s="13" t="s">
        <v>2177</v>
      </c>
      <c r="H9" s="12" t="s">
        <v>83</v>
      </c>
      <c r="I9" s="12" t="s">
        <v>98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2178</v>
      </c>
      <c r="B10" s="12" t="s">
        <v>1328</v>
      </c>
      <c r="C10" s="12" t="s">
        <v>767</v>
      </c>
      <c r="D10" s="13" t="s">
        <v>2179</v>
      </c>
      <c r="E10" s="12" t="s">
        <v>119</v>
      </c>
      <c r="F10" s="12" t="s">
        <v>139</v>
      </c>
      <c r="G10" s="13" t="s">
        <v>2180</v>
      </c>
      <c r="H10" s="12" t="s">
        <v>83</v>
      </c>
      <c r="I10" s="12" t="s">
        <v>98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2181</v>
      </c>
      <c r="B11" s="12" t="s">
        <v>123</v>
      </c>
      <c r="C11" s="12" t="s">
        <v>2182</v>
      </c>
      <c r="D11" s="13" t="s">
        <v>2183</v>
      </c>
      <c r="E11" s="12" t="s">
        <v>119</v>
      </c>
      <c r="F11" s="12" t="s">
        <v>119</v>
      </c>
      <c r="G11" s="13" t="s">
        <v>1880</v>
      </c>
      <c r="H11" s="12" t="s">
        <v>83</v>
      </c>
      <c r="I11" s="12" t="s">
        <v>98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2184</v>
      </c>
      <c r="B12" s="12" t="s">
        <v>127</v>
      </c>
      <c r="C12" s="12" t="s">
        <v>767</v>
      </c>
      <c r="D12" s="13" t="s">
        <v>2185</v>
      </c>
      <c r="E12" s="12" t="s">
        <v>119</v>
      </c>
      <c r="F12" s="12" t="s">
        <v>129</v>
      </c>
      <c r="G12" s="13" t="s">
        <v>2186</v>
      </c>
      <c r="H12" s="12" t="s">
        <v>83</v>
      </c>
      <c r="I12" s="12" t="s">
        <v>98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2187</v>
      </c>
      <c r="B13" s="12" t="s">
        <v>2188</v>
      </c>
      <c r="C13" s="12" t="s">
        <v>767</v>
      </c>
      <c r="D13" s="13" t="s">
        <v>2189</v>
      </c>
      <c r="E13" s="12" t="s">
        <v>119</v>
      </c>
      <c r="F13" s="12" t="s">
        <v>139</v>
      </c>
      <c r="G13" s="13" t="s">
        <v>2180</v>
      </c>
      <c r="H13" s="12" t="s">
        <v>83</v>
      </c>
      <c r="I13" s="12" t="s">
        <v>98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2190</v>
      </c>
      <c r="B14" s="12" t="s">
        <v>1278</v>
      </c>
      <c r="C14" s="12" t="s">
        <v>767</v>
      </c>
      <c r="D14" s="13" t="s">
        <v>2191</v>
      </c>
      <c r="E14" s="12" t="s">
        <v>119</v>
      </c>
      <c r="F14" s="12" t="s">
        <v>144</v>
      </c>
      <c r="G14" s="13" t="s">
        <v>2192</v>
      </c>
      <c r="H14" s="12" t="s">
        <v>83</v>
      </c>
      <c r="I14" s="12" t="s">
        <v>98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2193</v>
      </c>
      <c r="B15" s="12" t="s">
        <v>2194</v>
      </c>
      <c r="C15" s="12" t="s">
        <v>767</v>
      </c>
      <c r="D15" s="13" t="s">
        <v>2195</v>
      </c>
      <c r="E15" s="12" t="s">
        <v>119</v>
      </c>
      <c r="F15" s="12" t="s">
        <v>144</v>
      </c>
      <c r="G15" s="13" t="s">
        <v>2192</v>
      </c>
      <c r="H15" s="12" t="s">
        <v>83</v>
      </c>
      <c r="I15" s="12" t="s">
        <v>98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2196</v>
      </c>
      <c r="B16" s="12" t="s">
        <v>2197</v>
      </c>
      <c r="C16" s="12" t="s">
        <v>767</v>
      </c>
      <c r="D16" s="13" t="s">
        <v>2198</v>
      </c>
      <c r="E16" s="12" t="s">
        <v>119</v>
      </c>
      <c r="F16" s="12" t="s">
        <v>144</v>
      </c>
      <c r="G16" s="13" t="s">
        <v>2192</v>
      </c>
      <c r="H16" s="12" t="s">
        <v>83</v>
      </c>
      <c r="I16" s="12" t="s">
        <v>98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2199</v>
      </c>
      <c r="B17" s="12" t="s">
        <v>167</v>
      </c>
      <c r="C17" s="12" t="s">
        <v>767</v>
      </c>
      <c r="D17" s="13" t="s">
        <v>2200</v>
      </c>
      <c r="E17" s="12" t="s">
        <v>119</v>
      </c>
      <c r="F17" s="12" t="s">
        <v>144</v>
      </c>
      <c r="G17" s="13" t="s">
        <v>2201</v>
      </c>
      <c r="H17" s="12" t="s">
        <v>83</v>
      </c>
      <c r="I17" s="12" t="s">
        <v>98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2202</v>
      </c>
      <c r="B18" s="12" t="s">
        <v>2203</v>
      </c>
      <c r="C18" s="12" t="s">
        <v>767</v>
      </c>
      <c r="D18" s="13" t="s">
        <v>2204</v>
      </c>
      <c r="E18" s="12" t="s">
        <v>119</v>
      </c>
      <c r="F18" s="12" t="s">
        <v>144</v>
      </c>
      <c r="G18" s="13" t="s">
        <v>2192</v>
      </c>
      <c r="H18" s="12" t="s">
        <v>83</v>
      </c>
      <c r="I18" s="12" t="s">
        <v>98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2205</v>
      </c>
      <c r="B19" s="12" t="s">
        <v>158</v>
      </c>
      <c r="C19" s="12" t="s">
        <v>767</v>
      </c>
      <c r="D19" s="13" t="s">
        <v>2206</v>
      </c>
      <c r="E19" s="12" t="s">
        <v>119</v>
      </c>
      <c r="F19" s="12" t="s">
        <v>144</v>
      </c>
      <c r="G19" s="13" t="s">
        <v>2207</v>
      </c>
      <c r="H19" s="12" t="s">
        <v>83</v>
      </c>
      <c r="I19" s="12" t="s">
        <v>98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2208</v>
      </c>
      <c r="B20" s="12" t="s">
        <v>147</v>
      </c>
      <c r="C20" s="12" t="s">
        <v>767</v>
      </c>
      <c r="D20" s="13" t="s">
        <v>2209</v>
      </c>
      <c r="E20" s="12" t="s">
        <v>119</v>
      </c>
      <c r="F20" s="12" t="s">
        <v>149</v>
      </c>
      <c r="G20" s="13" t="s">
        <v>2192</v>
      </c>
      <c r="H20" s="12" t="s">
        <v>83</v>
      </c>
      <c r="I20" s="12" t="s">
        <v>98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2210</v>
      </c>
      <c r="B21" s="12" t="s">
        <v>152</v>
      </c>
      <c r="C21" s="12" t="s">
        <v>767</v>
      </c>
      <c r="D21" s="13" t="s">
        <v>2211</v>
      </c>
      <c r="E21" s="12" t="s">
        <v>119</v>
      </c>
      <c r="F21" s="12" t="s">
        <v>154</v>
      </c>
      <c r="G21" s="13" t="s">
        <v>2212</v>
      </c>
      <c r="H21" s="12" t="s">
        <v>85</v>
      </c>
      <c r="I21" s="12" t="s">
        <v>97</v>
      </c>
      <c r="J21" s="14" t="n">
        <v>46230</v>
      </c>
      <c r="K21" s="13" t="s">
        <v>2213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2214</v>
      </c>
      <c r="B22" s="12" t="s">
        <v>172</v>
      </c>
      <c r="C22" s="12" t="s">
        <v>65</v>
      </c>
      <c r="D22" s="13" t="s">
        <v>2215</v>
      </c>
      <c r="E22" s="12" t="s">
        <v>119</v>
      </c>
      <c r="F22" s="12" t="s">
        <v>160</v>
      </c>
      <c r="G22" s="13" t="s">
        <v>2216</v>
      </c>
      <c r="H22" s="12" t="s">
        <v>77</v>
      </c>
      <c r="I22" s="12" t="s">
        <v>97</v>
      </c>
      <c r="J22" s="14" t="n">
        <v>46230</v>
      </c>
      <c r="K22" s="13" t="s">
        <v>1792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2217</v>
      </c>
      <c r="B23" s="12" t="s">
        <v>176</v>
      </c>
      <c r="C23" s="12" t="s">
        <v>65</v>
      </c>
      <c r="D23" s="13" t="s">
        <v>2218</v>
      </c>
      <c r="E23" s="12" t="s">
        <v>119</v>
      </c>
      <c r="F23" s="12" t="s">
        <v>178</v>
      </c>
      <c r="G23" s="13" t="s">
        <v>2219</v>
      </c>
      <c r="H23" s="12" t="s">
        <v>83</v>
      </c>
      <c r="I23" s="12" t="s">
        <v>98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2220</v>
      </c>
      <c r="B24" s="12" t="s">
        <v>181</v>
      </c>
      <c r="C24" s="12" t="s">
        <v>65</v>
      </c>
      <c r="D24" s="13" t="s">
        <v>2221</v>
      </c>
      <c r="E24" s="12" t="s">
        <v>119</v>
      </c>
      <c r="F24" s="12" t="s">
        <v>178</v>
      </c>
      <c r="G24" s="13" t="s">
        <v>2222</v>
      </c>
      <c r="H24" s="12" t="s">
        <v>83</v>
      </c>
      <c r="I24" s="12" t="s">
        <v>98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2223</v>
      </c>
      <c r="B25" s="12" t="s">
        <v>607</v>
      </c>
      <c r="C25" s="12" t="s">
        <v>65</v>
      </c>
      <c r="D25" s="13" t="s">
        <v>2224</v>
      </c>
      <c r="E25" s="12" t="s">
        <v>119</v>
      </c>
      <c r="F25" s="12" t="s">
        <v>609</v>
      </c>
      <c r="G25" s="13" t="s">
        <v>2225</v>
      </c>
      <c r="H25" s="12" t="s">
        <v>83</v>
      </c>
      <c r="I25" s="12" t="s">
        <v>98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2226</v>
      </c>
      <c r="B26" s="12" t="s">
        <v>185</v>
      </c>
      <c r="C26" s="12" t="s">
        <v>65</v>
      </c>
      <c r="D26" s="13" t="s">
        <v>2227</v>
      </c>
      <c r="E26" s="12" t="s">
        <v>187</v>
      </c>
      <c r="F26" s="12" t="s">
        <v>187</v>
      </c>
      <c r="G26" s="13" t="s">
        <v>188</v>
      </c>
      <c r="H26" s="12" t="s">
        <v>83</v>
      </c>
      <c r="I26" s="12" t="s">
        <v>98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2228</v>
      </c>
      <c r="B27" s="12" t="s">
        <v>190</v>
      </c>
      <c r="C27" s="12" t="s">
        <v>65</v>
      </c>
      <c r="D27" s="13" t="s">
        <v>2229</v>
      </c>
      <c r="E27" s="12" t="s">
        <v>119</v>
      </c>
      <c r="F27" s="12" t="s">
        <v>119</v>
      </c>
      <c r="G27" s="13" t="s">
        <v>192</v>
      </c>
      <c r="H27" s="12" t="s">
        <v>83</v>
      </c>
      <c r="I27" s="12" t="s">
        <v>98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COUNTA(A9:A33)</f>
        <v>25</v>
      </c>
      <c r="D4" s="5" t="s">
        <v>101</v>
      </c>
      <c r="E4" s="6" t="n">
        <f aca="false">SUM(M9:M33)</f>
        <v>24</v>
      </c>
      <c r="G4" s="5" t="s">
        <v>13</v>
      </c>
      <c r="H4" s="7" t="n">
        <f aca="false">IF(B4=0,0,E4/B4)</f>
        <v>0.96</v>
      </c>
      <c r="J4" s="5" t="s">
        <v>14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IF(COUNTIFS(I9:I33,"yes",M9:M33,0)&gt;0,"open","complete")</f>
        <v>open</v>
      </c>
      <c r="D5" s="5" t="s">
        <v>15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54" hidden="false" customHeight="true" outlineLevel="0" collapsed="false">
      <c r="A9" s="12" t="s">
        <v>1022</v>
      </c>
      <c r="B9" s="12" t="s">
        <v>75</v>
      </c>
      <c r="C9" s="12" t="s">
        <v>767</v>
      </c>
      <c r="D9" s="13" t="s">
        <v>2232</v>
      </c>
      <c r="E9" s="12" t="s">
        <v>119</v>
      </c>
      <c r="F9" s="12" t="s">
        <v>120</v>
      </c>
      <c r="G9" s="13" t="s">
        <v>2233</v>
      </c>
      <c r="H9" s="12" t="s">
        <v>83</v>
      </c>
      <c r="I9" s="12" t="s">
        <v>98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1025</v>
      </c>
      <c r="B10" s="12" t="s">
        <v>1328</v>
      </c>
      <c r="C10" s="12" t="s">
        <v>1169</v>
      </c>
      <c r="D10" s="13" t="s">
        <v>2234</v>
      </c>
      <c r="E10" s="12" t="s">
        <v>119</v>
      </c>
      <c r="F10" s="12" t="s">
        <v>139</v>
      </c>
      <c r="G10" s="13" t="s">
        <v>2235</v>
      </c>
      <c r="H10" s="12" t="s">
        <v>83</v>
      </c>
      <c r="I10" s="12" t="s">
        <v>98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1027</v>
      </c>
      <c r="B11" s="12" t="s">
        <v>123</v>
      </c>
      <c r="C11" s="12" t="s">
        <v>1169</v>
      </c>
      <c r="D11" s="13" t="s">
        <v>2236</v>
      </c>
      <c r="E11" s="12" t="s">
        <v>119</v>
      </c>
      <c r="F11" s="12" t="s">
        <v>119</v>
      </c>
      <c r="G11" s="13" t="s">
        <v>125</v>
      </c>
      <c r="H11" s="12" t="s">
        <v>83</v>
      </c>
      <c r="I11" s="12" t="s">
        <v>98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1030</v>
      </c>
      <c r="B12" s="12" t="s">
        <v>127</v>
      </c>
      <c r="C12" s="12" t="s">
        <v>1169</v>
      </c>
      <c r="D12" s="13" t="s">
        <v>2237</v>
      </c>
      <c r="E12" s="12" t="s">
        <v>119</v>
      </c>
      <c r="F12" s="12" t="s">
        <v>129</v>
      </c>
      <c r="G12" s="13" t="s">
        <v>2238</v>
      </c>
      <c r="H12" s="12" t="s">
        <v>83</v>
      </c>
      <c r="I12" s="12" t="s">
        <v>98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1033</v>
      </c>
      <c r="B13" s="12" t="s">
        <v>132</v>
      </c>
      <c r="C13" s="12" t="s">
        <v>1169</v>
      </c>
      <c r="D13" s="13" t="s">
        <v>2239</v>
      </c>
      <c r="E13" s="12" t="s">
        <v>119</v>
      </c>
      <c r="F13" s="12" t="s">
        <v>134</v>
      </c>
      <c r="G13" s="13" t="s">
        <v>2240</v>
      </c>
      <c r="H13" s="12" t="s">
        <v>83</v>
      </c>
      <c r="I13" s="12" t="s">
        <v>98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1036</v>
      </c>
      <c r="B14" s="12" t="s">
        <v>1561</v>
      </c>
      <c r="C14" s="12" t="s">
        <v>767</v>
      </c>
      <c r="D14" s="13" t="s">
        <v>2241</v>
      </c>
      <c r="E14" s="12" t="s">
        <v>119</v>
      </c>
      <c r="F14" s="12" t="s">
        <v>144</v>
      </c>
      <c r="G14" s="13" t="s">
        <v>2242</v>
      </c>
      <c r="H14" s="12" t="s">
        <v>83</v>
      </c>
      <c r="I14" s="12" t="s">
        <v>98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1039</v>
      </c>
      <c r="B15" s="12" t="s">
        <v>1678</v>
      </c>
      <c r="C15" s="12" t="s">
        <v>767</v>
      </c>
      <c r="D15" s="13" t="s">
        <v>2243</v>
      </c>
      <c r="E15" s="12" t="s">
        <v>119</v>
      </c>
      <c r="F15" s="12" t="s">
        <v>154</v>
      </c>
      <c r="G15" s="13" t="s">
        <v>2244</v>
      </c>
      <c r="H15" s="12" t="s">
        <v>85</v>
      </c>
      <c r="I15" s="12" t="s">
        <v>97</v>
      </c>
      <c r="J15" s="14" t="n">
        <v>46230</v>
      </c>
      <c r="K15" s="13" t="s">
        <v>2245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1041</v>
      </c>
      <c r="B16" s="12" t="s">
        <v>1683</v>
      </c>
      <c r="C16" s="12" t="s">
        <v>767</v>
      </c>
      <c r="D16" s="13" t="s">
        <v>2246</v>
      </c>
      <c r="E16" s="12" t="s">
        <v>119</v>
      </c>
      <c r="F16" s="12" t="s">
        <v>154</v>
      </c>
      <c r="G16" s="13" t="s">
        <v>2244</v>
      </c>
      <c r="H16" s="12" t="s">
        <v>85</v>
      </c>
      <c r="I16" s="12" t="s">
        <v>97</v>
      </c>
      <c r="J16" s="14" t="n">
        <v>46230</v>
      </c>
      <c r="K16" s="13" t="s">
        <v>2247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1045</v>
      </c>
      <c r="B17" s="12" t="s">
        <v>1158</v>
      </c>
      <c r="C17" s="12" t="s">
        <v>767</v>
      </c>
      <c r="D17" s="13" t="s">
        <v>2248</v>
      </c>
      <c r="E17" s="12" t="s">
        <v>119</v>
      </c>
      <c r="F17" s="12" t="s">
        <v>139</v>
      </c>
      <c r="G17" s="13" t="s">
        <v>2249</v>
      </c>
      <c r="H17" s="12" t="s">
        <v>83</v>
      </c>
      <c r="I17" s="12" t="s">
        <v>98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1049</v>
      </c>
      <c r="B18" s="12" t="s">
        <v>2250</v>
      </c>
      <c r="C18" s="12" t="s">
        <v>2251</v>
      </c>
      <c r="D18" s="13" t="s">
        <v>2252</v>
      </c>
      <c r="E18" s="12" t="s">
        <v>119</v>
      </c>
      <c r="F18" s="12" t="s">
        <v>144</v>
      </c>
      <c r="G18" s="13" t="s">
        <v>2249</v>
      </c>
      <c r="H18" s="12" t="s">
        <v>83</v>
      </c>
      <c r="I18" s="12" t="s">
        <v>98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1051</v>
      </c>
      <c r="B19" s="12" t="s">
        <v>2253</v>
      </c>
      <c r="C19" s="12" t="s">
        <v>1071</v>
      </c>
      <c r="D19" s="13" t="s">
        <v>2254</v>
      </c>
      <c r="E19" s="12" t="s">
        <v>119</v>
      </c>
      <c r="F19" s="12" t="s">
        <v>144</v>
      </c>
      <c r="G19" s="13" t="s">
        <v>2249</v>
      </c>
      <c r="H19" s="12" t="s">
        <v>83</v>
      </c>
      <c r="I19" s="12" t="s">
        <v>98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1054</v>
      </c>
      <c r="B20" s="12" t="s">
        <v>2255</v>
      </c>
      <c r="C20" s="12" t="s">
        <v>2256</v>
      </c>
      <c r="D20" s="13" t="s">
        <v>2257</v>
      </c>
      <c r="E20" s="12" t="s">
        <v>119</v>
      </c>
      <c r="F20" s="12" t="s">
        <v>144</v>
      </c>
      <c r="G20" s="13" t="s">
        <v>2258</v>
      </c>
      <c r="H20" s="12" t="s">
        <v>83</v>
      </c>
      <c r="I20" s="12" t="s">
        <v>98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1057</v>
      </c>
      <c r="B21" s="12" t="s">
        <v>1775</v>
      </c>
      <c r="C21" s="12" t="s">
        <v>1775</v>
      </c>
      <c r="D21" s="13" t="s">
        <v>2259</v>
      </c>
      <c r="E21" s="12" t="s">
        <v>119</v>
      </c>
      <c r="F21" s="12" t="s">
        <v>154</v>
      </c>
      <c r="G21" s="13" t="s">
        <v>2244</v>
      </c>
      <c r="H21" s="12" t="s">
        <v>85</v>
      </c>
      <c r="I21" s="12" t="s">
        <v>97</v>
      </c>
      <c r="J21" s="14" t="n">
        <v>46230</v>
      </c>
      <c r="K21" s="13" t="s">
        <v>2260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1059</v>
      </c>
      <c r="B22" s="12" t="s">
        <v>167</v>
      </c>
      <c r="C22" s="12" t="s">
        <v>2261</v>
      </c>
      <c r="D22" s="13" t="s">
        <v>2262</v>
      </c>
      <c r="E22" s="12" t="s">
        <v>119</v>
      </c>
      <c r="F22" s="12" t="s">
        <v>139</v>
      </c>
      <c r="G22" s="13" t="s">
        <v>2249</v>
      </c>
      <c r="H22" s="12" t="s">
        <v>83</v>
      </c>
      <c r="I22" s="12" t="s">
        <v>98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1062</v>
      </c>
      <c r="B23" s="12" t="s">
        <v>2263</v>
      </c>
      <c r="C23" s="12" t="s">
        <v>1071</v>
      </c>
      <c r="D23" s="13" t="s">
        <v>2264</v>
      </c>
      <c r="E23" s="12" t="s">
        <v>119</v>
      </c>
      <c r="F23" s="12" t="s">
        <v>144</v>
      </c>
      <c r="G23" s="13" t="s">
        <v>2265</v>
      </c>
      <c r="H23" s="12" t="s">
        <v>83</v>
      </c>
      <c r="I23" s="12" t="s">
        <v>98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2266</v>
      </c>
      <c r="B24" s="12" t="s">
        <v>147</v>
      </c>
      <c r="C24" s="12" t="s">
        <v>1169</v>
      </c>
      <c r="D24" s="13" t="s">
        <v>2267</v>
      </c>
      <c r="E24" s="12" t="s">
        <v>119</v>
      </c>
      <c r="F24" s="12" t="s">
        <v>149</v>
      </c>
      <c r="G24" s="13" t="s">
        <v>2242</v>
      </c>
      <c r="H24" s="12" t="s">
        <v>83</v>
      </c>
      <c r="I24" s="12" t="s">
        <v>98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2268</v>
      </c>
      <c r="B25" s="12" t="s">
        <v>158</v>
      </c>
      <c r="C25" s="12" t="s">
        <v>1169</v>
      </c>
      <c r="D25" s="13" t="s">
        <v>2269</v>
      </c>
      <c r="E25" s="12" t="s">
        <v>119</v>
      </c>
      <c r="F25" s="12" t="s">
        <v>144</v>
      </c>
      <c r="G25" s="13" t="s">
        <v>2270</v>
      </c>
      <c r="H25" s="12" t="s">
        <v>83</v>
      </c>
      <c r="I25" s="12" t="s">
        <v>98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2271</v>
      </c>
      <c r="B26" s="12" t="s">
        <v>1848</v>
      </c>
      <c r="C26" s="12" t="s">
        <v>1169</v>
      </c>
      <c r="D26" s="13" t="s">
        <v>2272</v>
      </c>
      <c r="E26" s="12" t="s">
        <v>119</v>
      </c>
      <c r="F26" s="12" t="s">
        <v>154</v>
      </c>
      <c r="G26" s="13" t="s">
        <v>2244</v>
      </c>
      <c r="H26" s="12" t="s">
        <v>85</v>
      </c>
      <c r="I26" s="12" t="s">
        <v>97</v>
      </c>
      <c r="J26" s="14" t="n">
        <v>46230</v>
      </c>
      <c r="K26" s="13" t="s">
        <v>2273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2274</v>
      </c>
      <c r="B27" s="12" t="s">
        <v>152</v>
      </c>
      <c r="C27" s="12" t="s">
        <v>1169</v>
      </c>
      <c r="D27" s="13" t="s">
        <v>2275</v>
      </c>
      <c r="E27" s="12" t="s">
        <v>119</v>
      </c>
      <c r="F27" s="12" t="s">
        <v>154</v>
      </c>
      <c r="G27" s="13" t="s">
        <v>2244</v>
      </c>
      <c r="H27" s="12" t="s">
        <v>85</v>
      </c>
      <c r="I27" s="12" t="s">
        <v>97</v>
      </c>
      <c r="J27" s="14" t="n">
        <v>46230</v>
      </c>
      <c r="K27" s="13" t="s">
        <v>2276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2277</v>
      </c>
      <c r="B28" s="12" t="s">
        <v>607</v>
      </c>
      <c r="C28" s="12" t="s">
        <v>1169</v>
      </c>
      <c r="D28" s="13" t="s">
        <v>2278</v>
      </c>
      <c r="E28" s="12" t="s">
        <v>119</v>
      </c>
      <c r="F28" s="12" t="s">
        <v>609</v>
      </c>
      <c r="G28" s="13" t="s">
        <v>2279</v>
      </c>
      <c r="H28" s="12" t="s">
        <v>83</v>
      </c>
      <c r="I28" s="12" t="s">
        <v>98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2280</v>
      </c>
      <c r="B29" s="12" t="s">
        <v>172</v>
      </c>
      <c r="C29" s="12" t="s">
        <v>1169</v>
      </c>
      <c r="D29" s="13" t="s">
        <v>2281</v>
      </c>
      <c r="E29" s="12" t="s">
        <v>119</v>
      </c>
      <c r="F29" s="12" t="s">
        <v>160</v>
      </c>
      <c r="G29" s="13" t="s">
        <v>2282</v>
      </c>
      <c r="H29" s="12" t="s">
        <v>77</v>
      </c>
      <c r="I29" s="12" t="s">
        <v>97</v>
      </c>
      <c r="J29" s="14" t="n">
        <v>46230</v>
      </c>
      <c r="K29" s="13" t="s">
        <v>1792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2283</v>
      </c>
      <c r="B30" s="12" t="s">
        <v>176</v>
      </c>
      <c r="C30" s="12" t="s">
        <v>1169</v>
      </c>
      <c r="D30" s="13" t="s">
        <v>2284</v>
      </c>
      <c r="E30" s="12" t="s">
        <v>119</v>
      </c>
      <c r="F30" s="12" t="s">
        <v>178</v>
      </c>
      <c r="G30" s="13" t="s">
        <v>2285</v>
      </c>
      <c r="H30" s="12" t="s">
        <v>83</v>
      </c>
      <c r="I30" s="12" t="s">
        <v>98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2286</v>
      </c>
      <c r="B31" s="12" t="s">
        <v>181</v>
      </c>
      <c r="C31" s="12" t="s">
        <v>66</v>
      </c>
      <c r="D31" s="13" t="s">
        <v>2287</v>
      </c>
      <c r="E31" s="12" t="s">
        <v>119</v>
      </c>
      <c r="F31" s="12" t="s">
        <v>178</v>
      </c>
      <c r="G31" s="13" t="s">
        <v>2288</v>
      </c>
      <c r="H31" s="12" t="s">
        <v>83</v>
      </c>
      <c r="I31" s="12" t="s">
        <v>98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2289</v>
      </c>
      <c r="B32" s="12" t="s">
        <v>185</v>
      </c>
      <c r="C32" s="12" t="s">
        <v>66</v>
      </c>
      <c r="D32" s="13" t="s">
        <v>2290</v>
      </c>
      <c r="E32" s="12" t="s">
        <v>187</v>
      </c>
      <c r="F32" s="12" t="s">
        <v>187</v>
      </c>
      <c r="G32" s="13" t="s">
        <v>188</v>
      </c>
      <c r="H32" s="12" t="s">
        <v>83</v>
      </c>
      <c r="I32" s="12" t="s">
        <v>98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2291</v>
      </c>
      <c r="B33" s="12" t="s">
        <v>190</v>
      </c>
      <c r="C33" s="12" t="s">
        <v>66</v>
      </c>
      <c r="D33" s="13" t="s">
        <v>2292</v>
      </c>
      <c r="E33" s="12" t="s">
        <v>119</v>
      </c>
      <c r="F33" s="12" t="s">
        <v>119</v>
      </c>
      <c r="G33" s="13" t="s">
        <v>2293</v>
      </c>
      <c r="H33" s="12" t="s">
        <v>83</v>
      </c>
      <c r="I33" s="12" t="s">
        <v>98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2295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COUNTA(A9:A34)</f>
        <v>26</v>
      </c>
      <c r="D4" s="5" t="s">
        <v>101</v>
      </c>
      <c r="E4" s="6" t="n">
        <f aca="false">SUM(M9:M34)</f>
        <v>25</v>
      </c>
      <c r="G4" s="5" t="s">
        <v>13</v>
      </c>
      <c r="H4" s="7" t="n">
        <f aca="false">IF(B4=0,0,E4/B4)</f>
        <v>0.961538461538462</v>
      </c>
      <c r="J4" s="5" t="s">
        <v>14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IF(COUNTIFS(I9:I34,"yes",M9:M34,0)&gt;0,"open","complete")</f>
        <v>open</v>
      </c>
      <c r="D5" s="5" t="s">
        <v>15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103</v>
      </c>
      <c r="B8" s="1" t="s">
        <v>104</v>
      </c>
      <c r="C8" s="1" t="s">
        <v>105</v>
      </c>
      <c r="D8" s="1" t="s">
        <v>106</v>
      </c>
      <c r="E8" s="1" t="s">
        <v>107</v>
      </c>
      <c r="F8" s="1" t="s">
        <v>108</v>
      </c>
      <c r="G8" s="1" t="s">
        <v>109</v>
      </c>
      <c r="H8" s="1" t="s">
        <v>110</v>
      </c>
      <c r="I8" s="1" t="s">
        <v>111</v>
      </c>
      <c r="J8" s="10" t="s">
        <v>112</v>
      </c>
      <c r="K8" s="1" t="s">
        <v>113</v>
      </c>
      <c r="L8" s="1" t="s">
        <v>114</v>
      </c>
      <c r="M8" s="1" t="s">
        <v>101</v>
      </c>
    </row>
    <row r="9" customFormat="false" ht="54" hidden="false" customHeight="true" outlineLevel="0" collapsed="false">
      <c r="A9" s="12" t="s">
        <v>2296</v>
      </c>
      <c r="B9" s="12" t="s">
        <v>75</v>
      </c>
      <c r="C9" s="12" t="s">
        <v>767</v>
      </c>
      <c r="D9" s="13" t="s">
        <v>2297</v>
      </c>
      <c r="E9" s="12" t="s">
        <v>119</v>
      </c>
      <c r="F9" s="12" t="s">
        <v>120</v>
      </c>
      <c r="G9" s="13" t="s">
        <v>2298</v>
      </c>
      <c r="H9" s="12" t="s">
        <v>83</v>
      </c>
      <c r="I9" s="12" t="s">
        <v>98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2299</v>
      </c>
      <c r="B10" s="12" t="s">
        <v>1328</v>
      </c>
      <c r="C10" s="12" t="s">
        <v>1169</v>
      </c>
      <c r="D10" s="13" t="s">
        <v>2300</v>
      </c>
      <c r="E10" s="12" t="s">
        <v>119</v>
      </c>
      <c r="F10" s="12" t="s">
        <v>139</v>
      </c>
      <c r="G10" s="13" t="s">
        <v>2301</v>
      </c>
      <c r="H10" s="12" t="s">
        <v>83</v>
      </c>
      <c r="I10" s="12" t="s">
        <v>98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2302</v>
      </c>
      <c r="B11" s="12" t="s">
        <v>123</v>
      </c>
      <c r="C11" s="12" t="s">
        <v>1169</v>
      </c>
      <c r="D11" s="13" t="s">
        <v>2303</v>
      </c>
      <c r="E11" s="12" t="s">
        <v>119</v>
      </c>
      <c r="F11" s="12" t="s">
        <v>119</v>
      </c>
      <c r="G11" s="13" t="s">
        <v>125</v>
      </c>
      <c r="H11" s="12" t="s">
        <v>83</v>
      </c>
      <c r="I11" s="12" t="s">
        <v>98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2304</v>
      </c>
      <c r="B12" s="12" t="s">
        <v>127</v>
      </c>
      <c r="C12" s="12" t="s">
        <v>1169</v>
      </c>
      <c r="D12" s="13" t="s">
        <v>2305</v>
      </c>
      <c r="E12" s="12" t="s">
        <v>119</v>
      </c>
      <c r="F12" s="12" t="s">
        <v>129</v>
      </c>
      <c r="G12" s="13" t="s">
        <v>2306</v>
      </c>
      <c r="H12" s="12" t="s">
        <v>83</v>
      </c>
      <c r="I12" s="12" t="s">
        <v>98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2307</v>
      </c>
      <c r="B13" s="12" t="s">
        <v>132</v>
      </c>
      <c r="C13" s="12" t="s">
        <v>1169</v>
      </c>
      <c r="D13" s="13" t="s">
        <v>2308</v>
      </c>
      <c r="E13" s="12" t="s">
        <v>119</v>
      </c>
      <c r="F13" s="12" t="s">
        <v>134</v>
      </c>
      <c r="G13" s="13" t="s">
        <v>2309</v>
      </c>
      <c r="H13" s="12" t="s">
        <v>83</v>
      </c>
      <c r="I13" s="12" t="s">
        <v>98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2310</v>
      </c>
      <c r="B14" s="12" t="s">
        <v>1561</v>
      </c>
      <c r="C14" s="12" t="s">
        <v>767</v>
      </c>
      <c r="D14" s="13" t="s">
        <v>2311</v>
      </c>
      <c r="E14" s="12" t="s">
        <v>119</v>
      </c>
      <c r="F14" s="12" t="s">
        <v>144</v>
      </c>
      <c r="G14" s="13" t="s">
        <v>2312</v>
      </c>
      <c r="H14" s="12" t="s">
        <v>83</v>
      </c>
      <c r="I14" s="12" t="s">
        <v>98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2313</v>
      </c>
      <c r="B15" s="12" t="s">
        <v>1678</v>
      </c>
      <c r="C15" s="12" t="s">
        <v>767</v>
      </c>
      <c r="D15" s="13" t="s">
        <v>2314</v>
      </c>
      <c r="E15" s="12" t="s">
        <v>119</v>
      </c>
      <c r="F15" s="12" t="s">
        <v>154</v>
      </c>
      <c r="G15" s="13" t="s">
        <v>2315</v>
      </c>
      <c r="H15" s="12" t="s">
        <v>85</v>
      </c>
      <c r="I15" s="12" t="s">
        <v>97</v>
      </c>
      <c r="J15" s="14" t="n">
        <v>46230</v>
      </c>
      <c r="K15" s="13" t="s">
        <v>2245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2316</v>
      </c>
      <c r="B16" s="12" t="s">
        <v>1683</v>
      </c>
      <c r="C16" s="12" t="s">
        <v>767</v>
      </c>
      <c r="D16" s="13" t="s">
        <v>2317</v>
      </c>
      <c r="E16" s="12" t="s">
        <v>119</v>
      </c>
      <c r="F16" s="12" t="s">
        <v>154</v>
      </c>
      <c r="G16" s="13" t="s">
        <v>2315</v>
      </c>
      <c r="H16" s="12" t="s">
        <v>85</v>
      </c>
      <c r="I16" s="12" t="s">
        <v>97</v>
      </c>
      <c r="J16" s="14" t="n">
        <v>46230</v>
      </c>
      <c r="K16" s="13" t="s">
        <v>2247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2318</v>
      </c>
      <c r="B17" s="12" t="s">
        <v>2319</v>
      </c>
      <c r="C17" s="12" t="s">
        <v>822</v>
      </c>
      <c r="D17" s="13" t="s">
        <v>2320</v>
      </c>
      <c r="E17" s="12" t="s">
        <v>119</v>
      </c>
      <c r="F17" s="12" t="s">
        <v>139</v>
      </c>
      <c r="G17" s="13" t="s">
        <v>2321</v>
      </c>
      <c r="H17" s="12" t="s">
        <v>83</v>
      </c>
      <c r="I17" s="12" t="s">
        <v>98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2322</v>
      </c>
      <c r="B18" s="12" t="s">
        <v>2323</v>
      </c>
      <c r="C18" s="12" t="s">
        <v>822</v>
      </c>
      <c r="D18" s="13" t="s">
        <v>2324</v>
      </c>
      <c r="E18" s="12" t="s">
        <v>119</v>
      </c>
      <c r="F18" s="12" t="s">
        <v>139</v>
      </c>
      <c r="G18" s="13" t="s">
        <v>2321</v>
      </c>
      <c r="H18" s="12" t="s">
        <v>83</v>
      </c>
      <c r="I18" s="12" t="s">
        <v>98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2325</v>
      </c>
      <c r="B19" s="12" t="s">
        <v>2326</v>
      </c>
      <c r="C19" s="12" t="s">
        <v>767</v>
      </c>
      <c r="D19" s="13" t="s">
        <v>2327</v>
      </c>
      <c r="E19" s="12" t="s">
        <v>119</v>
      </c>
      <c r="F19" s="12" t="s">
        <v>139</v>
      </c>
      <c r="G19" s="13" t="s">
        <v>2301</v>
      </c>
      <c r="H19" s="12" t="s">
        <v>83</v>
      </c>
      <c r="I19" s="12" t="s">
        <v>98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2328</v>
      </c>
      <c r="B20" s="12" t="s">
        <v>2329</v>
      </c>
      <c r="C20" s="12" t="s">
        <v>1765</v>
      </c>
      <c r="D20" s="13" t="s">
        <v>2330</v>
      </c>
      <c r="E20" s="12" t="s">
        <v>119</v>
      </c>
      <c r="F20" s="12" t="s">
        <v>144</v>
      </c>
      <c r="G20" s="13" t="s">
        <v>2321</v>
      </c>
      <c r="H20" s="12" t="s">
        <v>83</v>
      </c>
      <c r="I20" s="12" t="s">
        <v>98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2331</v>
      </c>
      <c r="B21" s="12" t="s">
        <v>2250</v>
      </c>
      <c r="C21" s="12" t="s">
        <v>2332</v>
      </c>
      <c r="D21" s="13" t="s">
        <v>2333</v>
      </c>
      <c r="E21" s="12" t="s">
        <v>119</v>
      </c>
      <c r="F21" s="12" t="s">
        <v>144</v>
      </c>
      <c r="G21" s="13" t="s">
        <v>2321</v>
      </c>
      <c r="H21" s="12" t="s">
        <v>83</v>
      </c>
      <c r="I21" s="12" t="s">
        <v>98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2334</v>
      </c>
      <c r="B22" s="12" t="s">
        <v>2253</v>
      </c>
      <c r="C22" s="12" t="s">
        <v>1071</v>
      </c>
      <c r="D22" s="13" t="s">
        <v>2335</v>
      </c>
      <c r="E22" s="12" t="s">
        <v>119</v>
      </c>
      <c r="F22" s="12" t="s">
        <v>144</v>
      </c>
      <c r="G22" s="13" t="s">
        <v>2321</v>
      </c>
      <c r="H22" s="12" t="s">
        <v>83</v>
      </c>
      <c r="I22" s="12" t="s">
        <v>98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2336</v>
      </c>
      <c r="B23" s="12" t="s">
        <v>2255</v>
      </c>
      <c r="C23" s="12" t="s">
        <v>2337</v>
      </c>
      <c r="D23" s="13" t="s">
        <v>2338</v>
      </c>
      <c r="E23" s="12" t="s">
        <v>119</v>
      </c>
      <c r="F23" s="12" t="s">
        <v>144</v>
      </c>
      <c r="G23" s="13" t="s">
        <v>2339</v>
      </c>
      <c r="H23" s="12" t="s">
        <v>83</v>
      </c>
      <c r="I23" s="12" t="s">
        <v>98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2340</v>
      </c>
      <c r="B24" s="12" t="s">
        <v>1568</v>
      </c>
      <c r="C24" s="12" t="s">
        <v>1765</v>
      </c>
      <c r="D24" s="13" t="s">
        <v>2341</v>
      </c>
      <c r="E24" s="12" t="s">
        <v>119</v>
      </c>
      <c r="F24" s="12" t="s">
        <v>144</v>
      </c>
      <c r="G24" s="13" t="s">
        <v>2312</v>
      </c>
      <c r="H24" s="12" t="s">
        <v>83</v>
      </c>
      <c r="I24" s="12" t="s">
        <v>98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2342</v>
      </c>
      <c r="B25" s="12" t="s">
        <v>2014</v>
      </c>
      <c r="C25" s="12" t="s">
        <v>1169</v>
      </c>
      <c r="D25" s="13" t="s">
        <v>2343</v>
      </c>
      <c r="E25" s="12" t="s">
        <v>119</v>
      </c>
      <c r="F25" s="12" t="s">
        <v>154</v>
      </c>
      <c r="G25" s="13" t="s">
        <v>2344</v>
      </c>
      <c r="H25" s="12" t="s">
        <v>85</v>
      </c>
      <c r="I25" s="12" t="s">
        <v>97</v>
      </c>
      <c r="J25" s="14" t="n">
        <v>46230</v>
      </c>
      <c r="K25" s="13" t="s">
        <v>2345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2346</v>
      </c>
      <c r="B26" s="12" t="s">
        <v>167</v>
      </c>
      <c r="C26" s="12" t="s">
        <v>2347</v>
      </c>
      <c r="D26" s="13" t="s">
        <v>2348</v>
      </c>
      <c r="E26" s="12" t="s">
        <v>119</v>
      </c>
      <c r="F26" s="12" t="s">
        <v>139</v>
      </c>
      <c r="G26" s="13" t="s">
        <v>2301</v>
      </c>
      <c r="H26" s="12" t="s">
        <v>83</v>
      </c>
      <c r="I26" s="12" t="s">
        <v>98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2349</v>
      </c>
      <c r="B27" s="12" t="s">
        <v>2350</v>
      </c>
      <c r="C27" s="12" t="s">
        <v>1169</v>
      </c>
      <c r="D27" s="13" t="s">
        <v>2351</v>
      </c>
      <c r="E27" s="12" t="s">
        <v>119</v>
      </c>
      <c r="F27" s="12" t="s">
        <v>149</v>
      </c>
      <c r="G27" s="13" t="s">
        <v>2312</v>
      </c>
      <c r="H27" s="12" t="s">
        <v>83</v>
      </c>
      <c r="I27" s="12" t="s">
        <v>98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2352</v>
      </c>
      <c r="B28" s="12" t="s">
        <v>1848</v>
      </c>
      <c r="C28" s="12" t="s">
        <v>1169</v>
      </c>
      <c r="D28" s="13" t="s">
        <v>2272</v>
      </c>
      <c r="E28" s="12" t="s">
        <v>119</v>
      </c>
      <c r="F28" s="12" t="s">
        <v>154</v>
      </c>
      <c r="G28" s="13" t="s">
        <v>2315</v>
      </c>
      <c r="H28" s="12" t="s">
        <v>85</v>
      </c>
      <c r="I28" s="12" t="s">
        <v>97</v>
      </c>
      <c r="J28" s="14" t="n">
        <v>46230</v>
      </c>
      <c r="K28" s="13" t="s">
        <v>2273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2353</v>
      </c>
      <c r="B29" s="12" t="s">
        <v>152</v>
      </c>
      <c r="C29" s="12" t="s">
        <v>1169</v>
      </c>
      <c r="D29" s="13" t="s">
        <v>2354</v>
      </c>
      <c r="E29" s="12" t="s">
        <v>119</v>
      </c>
      <c r="F29" s="12" t="s">
        <v>154</v>
      </c>
      <c r="G29" s="13" t="s">
        <v>2315</v>
      </c>
      <c r="H29" s="12" t="s">
        <v>85</v>
      </c>
      <c r="I29" s="12" t="s">
        <v>97</v>
      </c>
      <c r="J29" s="14" t="n">
        <v>46230</v>
      </c>
      <c r="K29" s="13" t="s">
        <v>2355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2356</v>
      </c>
      <c r="B30" s="12" t="s">
        <v>607</v>
      </c>
      <c r="C30" s="12" t="s">
        <v>1169</v>
      </c>
      <c r="D30" s="13" t="s">
        <v>2357</v>
      </c>
      <c r="E30" s="12" t="s">
        <v>119</v>
      </c>
      <c r="F30" s="12" t="s">
        <v>609</v>
      </c>
      <c r="G30" s="13" t="s">
        <v>2358</v>
      </c>
      <c r="H30" s="12" t="s">
        <v>83</v>
      </c>
      <c r="I30" s="12" t="s">
        <v>98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2359</v>
      </c>
      <c r="B31" s="12" t="s">
        <v>172</v>
      </c>
      <c r="C31" s="12" t="s">
        <v>1169</v>
      </c>
      <c r="D31" s="13" t="s">
        <v>2281</v>
      </c>
      <c r="E31" s="12" t="s">
        <v>119</v>
      </c>
      <c r="F31" s="12" t="s">
        <v>160</v>
      </c>
      <c r="G31" s="13" t="s">
        <v>2360</v>
      </c>
      <c r="H31" s="12" t="s">
        <v>77</v>
      </c>
      <c r="I31" s="12" t="s">
        <v>97</v>
      </c>
      <c r="J31" s="14" t="n">
        <v>46230</v>
      </c>
      <c r="K31" s="13" t="s">
        <v>1792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2361</v>
      </c>
      <c r="B32" s="12" t="s">
        <v>2362</v>
      </c>
      <c r="C32" s="12" t="s">
        <v>1169</v>
      </c>
      <c r="D32" s="13" t="s">
        <v>2363</v>
      </c>
      <c r="E32" s="12" t="s">
        <v>119</v>
      </c>
      <c r="F32" s="12" t="s">
        <v>178</v>
      </c>
      <c r="G32" s="13" t="s">
        <v>2364</v>
      </c>
      <c r="H32" s="12" t="s">
        <v>83</v>
      </c>
      <c r="I32" s="12" t="s">
        <v>98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2365</v>
      </c>
      <c r="B33" s="12" t="s">
        <v>185</v>
      </c>
      <c r="C33" s="12" t="s">
        <v>67</v>
      </c>
      <c r="D33" s="13" t="s">
        <v>2366</v>
      </c>
      <c r="E33" s="12" t="s">
        <v>187</v>
      </c>
      <c r="F33" s="12" t="s">
        <v>187</v>
      </c>
      <c r="G33" s="13" t="s">
        <v>188</v>
      </c>
      <c r="H33" s="12" t="s">
        <v>83</v>
      </c>
      <c r="I33" s="12" t="s">
        <v>98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2367</v>
      </c>
      <c r="B34" s="12" t="s">
        <v>190</v>
      </c>
      <c r="C34" s="12" t="s">
        <v>67</v>
      </c>
      <c r="D34" s="13" t="s">
        <v>2368</v>
      </c>
      <c r="E34" s="12" t="s">
        <v>119</v>
      </c>
      <c r="F34" s="12" t="s">
        <v>119</v>
      </c>
      <c r="G34" s="13" t="s">
        <v>2293</v>
      </c>
      <c r="H34" s="12" t="s">
        <v>83</v>
      </c>
      <c r="I34" s="12" t="s">
        <v>98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COUNTA(A9:A39)</f>
        <v>31</v>
      </c>
      <c r="D4" s="5" t="s">
        <v>101</v>
      </c>
      <c r="E4" s="6" t="n">
        <f aca="false">SUM(M9:M39)</f>
        <v>30</v>
      </c>
      <c r="G4" s="5" t="s">
        <v>13</v>
      </c>
      <c r="H4" s="7" t="n">
        <f aca="false">IF(B4=0,0,E4/B4)</f>
        <v>0.967741935483871</v>
      </c>
      <c r="J4" s="5" t="s">
        <v>14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102</v>
      </c>
      <c r="B5" s="6" t="str">
        <f aca="false">IF(COUNTIFS(I9:I39,"yes",M9:M39,0)&gt;0,"open","complete")</f>
        <v>open</v>
      </c>
      <c r="D5" s="5" t="s">
        <v>15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103</v>
      </c>
      <c r="B8" s="8" t="s">
        <v>104</v>
      </c>
      <c r="C8" s="8" t="s">
        <v>105</v>
      </c>
      <c r="D8" s="8" t="s">
        <v>106</v>
      </c>
      <c r="E8" s="8" t="s">
        <v>107</v>
      </c>
      <c r="F8" s="8" t="s">
        <v>108</v>
      </c>
      <c r="G8" s="8" t="s">
        <v>109</v>
      </c>
      <c r="H8" s="8" t="s">
        <v>110</v>
      </c>
      <c r="I8" s="8" t="s">
        <v>111</v>
      </c>
      <c r="J8" s="11" t="s">
        <v>112</v>
      </c>
      <c r="K8" s="8" t="s">
        <v>113</v>
      </c>
      <c r="L8" s="8" t="s">
        <v>114</v>
      </c>
      <c r="M8" s="8" t="s">
        <v>101</v>
      </c>
    </row>
    <row r="9" customFormat="false" ht="54" hidden="false" customHeight="true" outlineLevel="0" collapsed="false">
      <c r="A9" s="12" t="s">
        <v>2371</v>
      </c>
      <c r="B9" s="12" t="s">
        <v>75</v>
      </c>
      <c r="C9" s="12" t="s">
        <v>1169</v>
      </c>
      <c r="D9" s="13" t="s">
        <v>2372</v>
      </c>
      <c r="E9" s="12" t="s">
        <v>119</v>
      </c>
      <c r="F9" s="12" t="s">
        <v>120</v>
      </c>
      <c r="G9" s="13" t="s">
        <v>2373</v>
      </c>
      <c r="H9" s="12" t="s">
        <v>83</v>
      </c>
      <c r="I9" s="12" t="s">
        <v>98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2374</v>
      </c>
      <c r="B10" s="12" t="s">
        <v>2375</v>
      </c>
      <c r="C10" s="12" t="s">
        <v>2376</v>
      </c>
      <c r="D10" s="13" t="s">
        <v>2377</v>
      </c>
      <c r="E10" s="12" t="s">
        <v>119</v>
      </c>
      <c r="F10" s="12" t="s">
        <v>139</v>
      </c>
      <c r="G10" s="13" t="s">
        <v>2378</v>
      </c>
      <c r="H10" s="12" t="s">
        <v>83</v>
      </c>
      <c r="I10" s="12" t="s">
        <v>98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2379</v>
      </c>
      <c r="B11" s="12" t="s">
        <v>1328</v>
      </c>
      <c r="C11" s="12" t="s">
        <v>1169</v>
      </c>
      <c r="D11" s="13" t="s">
        <v>2380</v>
      </c>
      <c r="E11" s="12" t="s">
        <v>119</v>
      </c>
      <c r="F11" s="12" t="s">
        <v>139</v>
      </c>
      <c r="G11" s="13" t="s">
        <v>2378</v>
      </c>
      <c r="H11" s="12" t="s">
        <v>83</v>
      </c>
      <c r="I11" s="12" t="s">
        <v>98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2381</v>
      </c>
      <c r="B12" s="12" t="s">
        <v>123</v>
      </c>
      <c r="C12" s="12" t="s">
        <v>1169</v>
      </c>
      <c r="D12" s="13" t="s">
        <v>2382</v>
      </c>
      <c r="E12" s="12" t="s">
        <v>119</v>
      </c>
      <c r="F12" s="12" t="s">
        <v>119</v>
      </c>
      <c r="G12" s="13" t="s">
        <v>567</v>
      </c>
      <c r="H12" s="12" t="s">
        <v>83</v>
      </c>
      <c r="I12" s="12" t="s">
        <v>98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2383</v>
      </c>
      <c r="B13" s="12" t="s">
        <v>127</v>
      </c>
      <c r="C13" s="12" t="s">
        <v>2384</v>
      </c>
      <c r="D13" s="13" t="s">
        <v>2385</v>
      </c>
      <c r="E13" s="12" t="s">
        <v>119</v>
      </c>
      <c r="F13" s="12" t="s">
        <v>129</v>
      </c>
      <c r="G13" s="13" t="s">
        <v>2386</v>
      </c>
      <c r="H13" s="12" t="s">
        <v>83</v>
      </c>
      <c r="I13" s="12" t="s">
        <v>98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2387</v>
      </c>
      <c r="B14" s="12" t="s">
        <v>132</v>
      </c>
      <c r="C14" s="12" t="s">
        <v>1169</v>
      </c>
      <c r="D14" s="13" t="s">
        <v>2388</v>
      </c>
      <c r="E14" s="12" t="s">
        <v>119</v>
      </c>
      <c r="F14" s="12" t="s">
        <v>134</v>
      </c>
      <c r="G14" s="13" t="s">
        <v>2389</v>
      </c>
      <c r="H14" s="12" t="s">
        <v>83</v>
      </c>
      <c r="I14" s="12" t="s">
        <v>98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2390</v>
      </c>
      <c r="B15" s="12" t="s">
        <v>1561</v>
      </c>
      <c r="C15" s="12" t="s">
        <v>2391</v>
      </c>
      <c r="D15" s="13" t="s">
        <v>2392</v>
      </c>
      <c r="E15" s="12" t="s">
        <v>119</v>
      </c>
      <c r="F15" s="12" t="s">
        <v>144</v>
      </c>
      <c r="G15" s="13" t="s">
        <v>2393</v>
      </c>
      <c r="H15" s="12" t="s">
        <v>83</v>
      </c>
      <c r="I15" s="12" t="s">
        <v>98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2394</v>
      </c>
      <c r="B16" s="12" t="s">
        <v>127</v>
      </c>
      <c r="C16" s="12" t="s">
        <v>2395</v>
      </c>
      <c r="D16" s="13" t="s">
        <v>2396</v>
      </c>
      <c r="E16" s="12" t="s">
        <v>119</v>
      </c>
      <c r="F16" s="12" t="s">
        <v>154</v>
      </c>
      <c r="G16" s="13" t="s">
        <v>2397</v>
      </c>
      <c r="H16" s="12" t="s">
        <v>85</v>
      </c>
      <c r="I16" s="12" t="s">
        <v>97</v>
      </c>
      <c r="J16" s="14" t="n">
        <v>46230</v>
      </c>
      <c r="K16" s="13" t="s">
        <v>2398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2399</v>
      </c>
      <c r="B17" s="12" t="s">
        <v>1071</v>
      </c>
      <c r="C17" s="12" t="s">
        <v>2400</v>
      </c>
      <c r="D17" s="13" t="s">
        <v>2401</v>
      </c>
      <c r="E17" s="12" t="s">
        <v>119</v>
      </c>
      <c r="F17" s="12" t="s">
        <v>154</v>
      </c>
      <c r="G17" s="13" t="s">
        <v>2402</v>
      </c>
      <c r="H17" s="12" t="s">
        <v>85</v>
      </c>
      <c r="I17" s="12" t="s">
        <v>97</v>
      </c>
      <c r="J17" s="14" t="n">
        <v>46230</v>
      </c>
      <c r="K17" s="13" t="s">
        <v>2403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2404</v>
      </c>
      <c r="B18" s="12" t="s">
        <v>2405</v>
      </c>
      <c r="C18" s="12" t="s">
        <v>2406</v>
      </c>
      <c r="D18" s="13" t="s">
        <v>2407</v>
      </c>
      <c r="E18" s="12" t="s">
        <v>119</v>
      </c>
      <c r="F18" s="12" t="s">
        <v>144</v>
      </c>
      <c r="G18" s="13" t="s">
        <v>2393</v>
      </c>
      <c r="H18" s="12" t="s">
        <v>83</v>
      </c>
      <c r="I18" s="12" t="s">
        <v>98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2408</v>
      </c>
      <c r="B19" s="12" t="s">
        <v>2409</v>
      </c>
      <c r="C19" s="12" t="s">
        <v>2410</v>
      </c>
      <c r="D19" s="13" t="s">
        <v>2411</v>
      </c>
      <c r="E19" s="12" t="s">
        <v>119</v>
      </c>
      <c r="F19" s="12" t="s">
        <v>144</v>
      </c>
      <c r="G19" s="13" t="s">
        <v>2412</v>
      </c>
      <c r="H19" s="12" t="s">
        <v>83</v>
      </c>
      <c r="I19" s="12" t="s">
        <v>98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2413</v>
      </c>
      <c r="B20" s="12" t="s">
        <v>2414</v>
      </c>
      <c r="C20" s="12" t="s">
        <v>2069</v>
      </c>
      <c r="D20" s="13" t="s">
        <v>2415</v>
      </c>
      <c r="E20" s="12" t="s">
        <v>119</v>
      </c>
      <c r="F20" s="12" t="s">
        <v>154</v>
      </c>
      <c r="G20" s="13" t="s">
        <v>2412</v>
      </c>
      <c r="H20" s="12" t="s">
        <v>85</v>
      </c>
      <c r="I20" s="12" t="s">
        <v>97</v>
      </c>
      <c r="J20" s="14" t="n">
        <v>46230</v>
      </c>
      <c r="K20" s="13" t="s">
        <v>2416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2417</v>
      </c>
      <c r="B21" s="12" t="s">
        <v>2418</v>
      </c>
      <c r="C21" s="12" t="s">
        <v>2410</v>
      </c>
      <c r="D21" s="13" t="s">
        <v>2419</v>
      </c>
      <c r="E21" s="12" t="s">
        <v>119</v>
      </c>
      <c r="F21" s="12" t="s">
        <v>144</v>
      </c>
      <c r="G21" s="13" t="s">
        <v>2412</v>
      </c>
      <c r="H21" s="12" t="s">
        <v>83</v>
      </c>
      <c r="I21" s="12" t="s">
        <v>98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2420</v>
      </c>
      <c r="B22" s="12" t="s">
        <v>2421</v>
      </c>
      <c r="C22" s="12" t="s">
        <v>2422</v>
      </c>
      <c r="D22" s="13" t="s">
        <v>2423</v>
      </c>
      <c r="E22" s="12" t="s">
        <v>119</v>
      </c>
      <c r="F22" s="12" t="s">
        <v>144</v>
      </c>
      <c r="G22" s="13" t="s">
        <v>2424</v>
      </c>
      <c r="H22" s="12" t="s">
        <v>83</v>
      </c>
      <c r="I22" s="12" t="s">
        <v>98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2425</v>
      </c>
      <c r="B23" s="12" t="s">
        <v>2426</v>
      </c>
      <c r="C23" s="12" t="s">
        <v>2427</v>
      </c>
      <c r="D23" s="13" t="s">
        <v>2428</v>
      </c>
      <c r="E23" s="12" t="s">
        <v>119</v>
      </c>
      <c r="F23" s="12" t="s">
        <v>139</v>
      </c>
      <c r="G23" s="13" t="s">
        <v>2429</v>
      </c>
      <c r="H23" s="12" t="s">
        <v>83</v>
      </c>
      <c r="I23" s="12" t="s">
        <v>98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2430</v>
      </c>
      <c r="B24" s="12" t="s">
        <v>2431</v>
      </c>
      <c r="C24" s="12" t="s">
        <v>2422</v>
      </c>
      <c r="D24" s="13" t="s">
        <v>2432</v>
      </c>
      <c r="E24" s="12" t="s">
        <v>119</v>
      </c>
      <c r="F24" s="12" t="s">
        <v>149</v>
      </c>
      <c r="G24" s="13" t="s">
        <v>2393</v>
      </c>
      <c r="H24" s="12" t="s">
        <v>83</v>
      </c>
      <c r="I24" s="12" t="s">
        <v>98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2433</v>
      </c>
      <c r="B25" s="12" t="s">
        <v>1568</v>
      </c>
      <c r="C25" s="12" t="s">
        <v>2434</v>
      </c>
      <c r="D25" s="13" t="s">
        <v>2435</v>
      </c>
      <c r="E25" s="12" t="s">
        <v>119</v>
      </c>
      <c r="F25" s="12" t="s">
        <v>144</v>
      </c>
      <c r="G25" s="13" t="s">
        <v>2424</v>
      </c>
      <c r="H25" s="12" t="s">
        <v>83</v>
      </c>
      <c r="I25" s="12" t="s">
        <v>98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2436</v>
      </c>
      <c r="B26" s="12" t="s">
        <v>2437</v>
      </c>
      <c r="C26" s="12" t="s">
        <v>767</v>
      </c>
      <c r="D26" s="13" t="s">
        <v>2438</v>
      </c>
      <c r="E26" s="12" t="s">
        <v>119</v>
      </c>
      <c r="F26" s="12" t="s">
        <v>120</v>
      </c>
      <c r="G26" s="13" t="s">
        <v>2439</v>
      </c>
      <c r="H26" s="12" t="s">
        <v>83</v>
      </c>
      <c r="I26" s="12" t="s">
        <v>98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2440</v>
      </c>
      <c r="B27" s="12" t="s">
        <v>2441</v>
      </c>
      <c r="C27" s="12" t="s">
        <v>2442</v>
      </c>
      <c r="D27" s="13" t="s">
        <v>2443</v>
      </c>
      <c r="E27" s="12" t="s">
        <v>119</v>
      </c>
      <c r="F27" s="12" t="s">
        <v>139</v>
      </c>
      <c r="G27" s="13" t="s">
        <v>2444</v>
      </c>
      <c r="H27" s="12" t="s">
        <v>83</v>
      </c>
      <c r="I27" s="12" t="s">
        <v>98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2445</v>
      </c>
      <c r="B28" s="12" t="s">
        <v>1516</v>
      </c>
      <c r="C28" s="12" t="s">
        <v>1169</v>
      </c>
      <c r="D28" s="13" t="s">
        <v>2446</v>
      </c>
      <c r="E28" s="12" t="s">
        <v>119</v>
      </c>
      <c r="F28" s="12" t="s">
        <v>139</v>
      </c>
      <c r="G28" s="13" t="s">
        <v>2447</v>
      </c>
      <c r="H28" s="12" t="s">
        <v>83</v>
      </c>
      <c r="I28" s="12" t="s">
        <v>98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2448</v>
      </c>
      <c r="B29" s="12" t="s">
        <v>2449</v>
      </c>
      <c r="C29" s="12" t="s">
        <v>1169</v>
      </c>
      <c r="D29" s="13" t="s">
        <v>2450</v>
      </c>
      <c r="E29" s="12" t="s">
        <v>119</v>
      </c>
      <c r="F29" s="12" t="s">
        <v>154</v>
      </c>
      <c r="G29" s="13" t="s">
        <v>2412</v>
      </c>
      <c r="H29" s="12" t="s">
        <v>85</v>
      </c>
      <c r="I29" s="12" t="s">
        <v>97</v>
      </c>
      <c r="J29" s="14" t="n">
        <v>46230</v>
      </c>
      <c r="K29" s="13" t="s">
        <v>2451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2452</v>
      </c>
      <c r="B30" s="12" t="s">
        <v>1848</v>
      </c>
      <c r="C30" s="12" t="s">
        <v>1169</v>
      </c>
      <c r="D30" s="13" t="s">
        <v>2453</v>
      </c>
      <c r="E30" s="12" t="s">
        <v>119</v>
      </c>
      <c r="F30" s="12" t="s">
        <v>154</v>
      </c>
      <c r="G30" s="13" t="s">
        <v>2397</v>
      </c>
      <c r="H30" s="12" t="s">
        <v>85</v>
      </c>
      <c r="I30" s="12" t="s">
        <v>97</v>
      </c>
      <c r="J30" s="14" t="n">
        <v>46230</v>
      </c>
      <c r="K30" s="13" t="s">
        <v>2454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2455</v>
      </c>
      <c r="B31" s="12" t="s">
        <v>2456</v>
      </c>
      <c r="C31" s="12" t="s">
        <v>2395</v>
      </c>
      <c r="D31" s="13" t="s">
        <v>2457</v>
      </c>
      <c r="E31" s="12" t="s">
        <v>119</v>
      </c>
      <c r="F31" s="12" t="s">
        <v>154</v>
      </c>
      <c r="G31" s="13" t="s">
        <v>2397</v>
      </c>
      <c r="H31" s="12" t="s">
        <v>85</v>
      </c>
      <c r="I31" s="12" t="s">
        <v>97</v>
      </c>
      <c r="J31" s="14" t="n">
        <v>46230</v>
      </c>
      <c r="K31" s="13" t="s">
        <v>2458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2459</v>
      </c>
      <c r="B32" s="12" t="s">
        <v>147</v>
      </c>
      <c r="C32" s="12" t="s">
        <v>1169</v>
      </c>
      <c r="D32" s="13" t="s">
        <v>2460</v>
      </c>
      <c r="E32" s="12" t="s">
        <v>119</v>
      </c>
      <c r="F32" s="12" t="s">
        <v>149</v>
      </c>
      <c r="G32" s="13" t="s">
        <v>2424</v>
      </c>
      <c r="H32" s="12" t="s">
        <v>83</v>
      </c>
      <c r="I32" s="12" t="s">
        <v>98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2461</v>
      </c>
      <c r="B33" s="12" t="s">
        <v>152</v>
      </c>
      <c r="C33" s="12" t="s">
        <v>1169</v>
      </c>
      <c r="D33" s="13" t="s">
        <v>2462</v>
      </c>
      <c r="E33" s="12" t="s">
        <v>119</v>
      </c>
      <c r="F33" s="12" t="s">
        <v>154</v>
      </c>
      <c r="G33" s="13" t="s">
        <v>2397</v>
      </c>
      <c r="H33" s="12" t="s">
        <v>85</v>
      </c>
      <c r="I33" s="12" t="s">
        <v>97</v>
      </c>
      <c r="J33" s="14" t="n">
        <v>46230</v>
      </c>
      <c r="K33" s="13" t="s">
        <v>2463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2464</v>
      </c>
      <c r="B34" s="12" t="s">
        <v>607</v>
      </c>
      <c r="C34" s="12" t="s">
        <v>1169</v>
      </c>
      <c r="D34" s="13" t="s">
        <v>2465</v>
      </c>
      <c r="E34" s="12" t="s">
        <v>119</v>
      </c>
      <c r="F34" s="12" t="s">
        <v>609</v>
      </c>
      <c r="G34" s="13" t="s">
        <v>2466</v>
      </c>
      <c r="H34" s="12" t="s">
        <v>83</v>
      </c>
      <c r="I34" s="12" t="s">
        <v>98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2467</v>
      </c>
      <c r="B35" s="12" t="s">
        <v>172</v>
      </c>
      <c r="C35" s="12" t="s">
        <v>1169</v>
      </c>
      <c r="D35" s="13" t="s">
        <v>2468</v>
      </c>
      <c r="E35" s="12" t="s">
        <v>119</v>
      </c>
      <c r="F35" s="12" t="s">
        <v>160</v>
      </c>
      <c r="G35" s="13" t="s">
        <v>2469</v>
      </c>
      <c r="H35" s="12" t="s">
        <v>77</v>
      </c>
      <c r="I35" s="12" t="s">
        <v>97</v>
      </c>
      <c r="J35" s="14" t="n">
        <v>46230</v>
      </c>
      <c r="K35" s="13" t="s">
        <v>1792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2470</v>
      </c>
      <c r="B36" s="12" t="s">
        <v>2362</v>
      </c>
      <c r="C36" s="12" t="s">
        <v>68</v>
      </c>
      <c r="D36" s="13" t="s">
        <v>2471</v>
      </c>
      <c r="E36" s="12" t="s">
        <v>119</v>
      </c>
      <c r="F36" s="12" t="s">
        <v>178</v>
      </c>
      <c r="G36" s="13" t="s">
        <v>2472</v>
      </c>
      <c r="H36" s="12" t="s">
        <v>83</v>
      </c>
      <c r="I36" s="12" t="s">
        <v>98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2473</v>
      </c>
      <c r="B37" s="12" t="s">
        <v>181</v>
      </c>
      <c r="C37" s="12" t="s">
        <v>68</v>
      </c>
      <c r="D37" s="13" t="s">
        <v>2474</v>
      </c>
      <c r="E37" s="12" t="s">
        <v>119</v>
      </c>
      <c r="F37" s="12" t="s">
        <v>178</v>
      </c>
      <c r="G37" s="13" t="s">
        <v>2475</v>
      </c>
      <c r="H37" s="12" t="s">
        <v>83</v>
      </c>
      <c r="I37" s="12" t="s">
        <v>98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2476</v>
      </c>
      <c r="B38" s="12" t="s">
        <v>185</v>
      </c>
      <c r="C38" s="12" t="s">
        <v>2376</v>
      </c>
      <c r="D38" s="13" t="s">
        <v>2477</v>
      </c>
      <c r="E38" s="12" t="s">
        <v>187</v>
      </c>
      <c r="F38" s="12" t="s">
        <v>187</v>
      </c>
      <c r="G38" s="13" t="s">
        <v>188</v>
      </c>
      <c r="H38" s="12" t="s">
        <v>83</v>
      </c>
      <c r="I38" s="12" t="s">
        <v>98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2478</v>
      </c>
      <c r="B39" s="12" t="s">
        <v>190</v>
      </c>
      <c r="C39" s="12" t="s">
        <v>68</v>
      </c>
      <c r="D39" s="13" t="s">
        <v>2479</v>
      </c>
      <c r="E39" s="12" t="s">
        <v>119</v>
      </c>
      <c r="F39" s="12" t="s">
        <v>119</v>
      </c>
      <c r="G39" s="13" t="s">
        <v>2480</v>
      </c>
      <c r="H39" s="12" t="s">
        <v>83</v>
      </c>
      <c r="I39" s="12" t="s">
        <v>98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2026-07-28T00:22:11Z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