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Index!$A$1:$N$12</definedName>
    <definedName function="false" hidden="true" localSheetId="0" name="_xlnm._FilterDatabase" vbProcedure="false">Index!$A$7:$N$12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<sst xmlns="http://schemas.openxmlformats.org/spreadsheetml/2006/main" count="1753" uniqueCount="523">
  <si>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</si>
  <si>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</si>
  <si>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</si>
  <si>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</si>
  <si>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</si>
  <si>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</si>
  <si>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</si>
  <si>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</si>
  <si>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</si>
  <si>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</si>
  <si>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</si>
  <si>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</si>
  <si>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</si>
  <si>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</si>
  <si>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</si>
  <si>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</si>
  <si>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</si>
  <si>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</si>
  <si>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</si>
  <si>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</si>
  <si>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</si>
  <si>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</si>
  <si>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</si>
  <si>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</si>
  <si>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</si>
  <si>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</si>
  <si>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</si>
  <si>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</si>
  <si>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</si>
  <si>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</si>
  <si>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</si>
  <si>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</si>
  <si>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</si>
  <si>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</si>
  <si>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</si>
  <si>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</si>
  <si>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</si>
  <si>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</si>
  <si>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</si>
  <si>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</si>
  <si>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</si>
  <si>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</si>
  <si>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</si>
  <si>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</si>
  <si>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</si>
  <si>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</si>
  <si>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</si>
  <si>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</si>
  <si>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</si>
  <si>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</si>
  <si>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</si>
  <si>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</si>
  <si>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</si>
  <si>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</si>
  <si>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</si>
  <si>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</si>
  <si>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</si>
  <si>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</si>
  <si>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</si>
  <si>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</si>
  <si>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</si>
  <si>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</si>
  <si>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</si>
  <si>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</si>
  <si>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</si>
  <si>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</si>
  <si>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</si>
  <si>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</si>
  <si>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</si>
  <si>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</si>
  <si>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</si>
  <si>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</si>
  <si>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</si>
  <si>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</si>
  <si>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</si>
  <si>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</si>
  <si>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</si>
  <si>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</si>
  <si>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</si>
  <si>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</si>
  <si>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</si>
  <si>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</si>
  <si>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</si>
  <si>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</si>
  <si>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</si>
  <si>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</si>
  <si>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</si>
  <si>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</si>
  <si>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</si>
  <si>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</si>
  <si>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</si>
  <si>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</si>
  <si>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</si>
  <si>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</si>
  <si>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</si>
  <si>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</si>
  <si>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</si>
  <si>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</si>
  <si>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</si>
  <si>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</si>
  <si>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</si>
  <si>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</si>
  <si>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</si>
  <si>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</si>
  <si>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</si>
  <si>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</si>
  <si>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</si>
  <si>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</si>
  <si>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</si>
  <si>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</si>
  <si>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</si>
  <si>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</si>
  <si>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</si>
  <si>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</si>
  <si>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</si>
  <si>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</si>
  <si>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</si>
  <si>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</si>
  <si>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</si>
  <si>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</si>
  <si>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</si>
  <si>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</si>
  <si>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</si>
  <si>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</si>
  <si>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</si>
  <si>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</si>
  <si>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</si>
  <si>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</si>
  <si>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</si>
  <si>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</si>
  <si>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</si>
  <si>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</si>
  <si>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</si>
  <si>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</si>
  <si>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</si>
  <si>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</si>
  <si>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</si>
  <si>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</si>
  <si>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</si>
  <si>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</si>
  <si>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</si>
  <si>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</si>
  <si>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</si>
  <si>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</si>
  <si>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</si>
  <si>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</si>
  <si>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</si>
  <si>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</si>
  <si>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</si>
  <si>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</si>
  <si>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</si>
  <si>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</si>
  <si>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</si>
  <si>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</si>
  <si>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</si>
  <si>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</si>
  <si>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</si>
  <si>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</si>
  <si>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</si>
  <si>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</si>
  <si>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</si>
  <si>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</si>
  <si>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</si>
  <si>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</si>
  <si>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</si>
  <si>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</si>
  <si>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</si>
  <si>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</si>
  <si>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</si>
  <si>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</si>
  <si>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</si>
  <si>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</si>
  <si>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</si>
  <si>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</si>
  <si>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</si>
  <si>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</si>
  <si>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</si>
  <si>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</si>
  <si>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</si>
  <si>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</si>
  <si>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</si>
  <si>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</si>
  <si>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</si>
  <si>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</si>
  <si>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</si>
  <si>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</si>
  <si>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</si>
  <si>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</si>
  <si>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</si>
  <si>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</si>
  <si>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</si>
  <si>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</si>
  <si>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</si>
  <si>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</si>
  <si>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</si>
  <si>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</si>
  <si>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</si>
  <si>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</si>
  <si>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</si>
  <si>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</si>
  <si>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</si>
  <si>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</si>
  <si>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</si>
  <si>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</si>
  <si>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</si>
  <si>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</si>
  <si>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</si>
  <si>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</si>
  <si>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</si>
  <si>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</si>
  <si>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</si>
  <si>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</si>
  <si>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</si>
  <si>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</si>
  <si>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</si>
  <si>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</si>
  <si>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</si>
  <si>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</si>
  <si>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</si>
  <si>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</si>
  <si>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</si>
  <si>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</si>
  <si>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</si>
  <si>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</si>
  <si>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</si>
  <si>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</si>
  <si>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</si>
  <si>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</si>
  <si>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</si>
  <si>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</si>
  <si>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</si>
  <si>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</si>
  <si>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</si>
  <si>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</si>
  <si>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</si>
  <si>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</si>
  <si>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</si>
  <si>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</si>
  <si>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</si>
  <si>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</si>
  <si>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</si>
  <si>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</si>
  <si>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</si>
  <si>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</si>
  <si>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</si>
  <si>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</si>
  <si>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</si>
  <si>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</si>
  <si>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</si>
  <si>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</si>
  <si>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</si>
  <si>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</si>
  <si>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</si>
  <si>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</si>
  <si>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</si>
  <si>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</si>
  <si>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</si>
  <si>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</si>
  <si>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</si>
  <si>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</si>
  <si>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</si>
  <si>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</si>
  <si>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</si>
  <si>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</si>
  <si>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</si>
  <si>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</si>
  <si>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</si>
  <si>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</si>
  <si>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</si>
  <si>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</si>
  <si>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</si>
  <si>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</si>
  <si>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</si>
  <si>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</si>
  <si>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</si>
  <si>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</si>
  <si>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</si>
  <si>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</si>
  <si>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</si>
  <si>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</si>
  <si>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</si>
  <si>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</si>
  <si>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</si>
  <si>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</si>
  <si>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</si>
  <si>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</si>
  <si>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</si>
  <si>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</si>
  <si>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</si>
  <si>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</si>
  <si>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</si>
  <si>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</si>
  <si>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</si>
  <si>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</si>
  <si>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</si>
  <si>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</si>
  <si>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</si>
  <si>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</si>
  <si>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</si>
  <si>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</si>
  <si>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</si>
  <si>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</si>
  <si>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</si>
  <si>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</si>
  <si>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</si>
  <si>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</si>
  <si>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</si>
  <si>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</si>
  <si>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</si>
  <si>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</si>
  <si>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</si>
  <si>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</si>
  <si>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</si>
  <si>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</si>
  <si>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</si>
  <si>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</si>
  <si>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</si>
  <si>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</si>
  <si>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</si>
  <si>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</si>
  <si>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</si>
  <si>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</si>
  <si>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</si>
  <si>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</si>
  <si>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</si>
  <si>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</si>
  <si>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</si>
  <si>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</si>
  <si>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</si>
  <si>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</si>
  <si>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</si>
  <si>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</si>
  <si>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</si>
  <si>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</si>
  <si>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</si>
  <si>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</si>
  <si>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</si>
  <si>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</si>
  <si>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</si>
  <si>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</si>
  <si>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</si>
  <si>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</si>
  <si>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</si>
  <si>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</si>
  <si>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</si>
  <si>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</si>
  <si>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</si>
  <si>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</si>
  <si>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</si>
  <si>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</si>
  <si>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</si>
  <si>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</si>
  <si>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</si>
  <si>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</si>
  <si>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</si>
  <si>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</si>
  <si>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</si>
  <si>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</si>
  <si>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</si>
  <si>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</si>
  <si>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</si>
  <si>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</si>
  <si>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</si>
  <si>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</si>
  <si>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</si>
  <si>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</si>
  <si>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</si>
  <si>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</si>
  <si>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</si>
  <si>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Owner manual review pending.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</si>
  <si>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</si>
  <si>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</si>
  <si>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</si>
  <si>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</si>
  <si>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</si>
  <si>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</si>
  <si>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</si>
  <si>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</si>
  <si>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</si>
  <si>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</si>
  <si>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</si>
  <si>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</si>
  <si>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</si>
  <si>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</si>
  <si>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</si>
  <si>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</si>
  <si>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</si>
  <si>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</si>
  <si>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</si>
  <si>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</si>
  <si>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</si>
  <si>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</si>
  <si>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</si>
  <si>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</si>
  <si>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</si>
  <si>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</si>
  <si>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</si>
  <si>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</si>
  <si>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</si>
  <si>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</si>
  <si>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</si>
  <si>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</si>
  <si>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</si>
  <si>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</si>
  <si>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</si>
  <si>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</si>
  <si>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</si>
  <si>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</si>
  <si>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</si>
  <si>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</si>
  <si>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</si>
  <si>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</si>
  <si>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</si>
  <si>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</si>
  <si>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</si>
  <si>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</si>
  <si>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</si>
  <si>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</si>
  <si>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</si>
  <si>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</si>
  <si>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</si>
  <si>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</si>
  <si>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</si>
  <si>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</si>
  <si>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</si>
  <si>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</si>
  <si>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</si>
  <si>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</si>
  <si>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</si>
  <si>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Package owner-review gate remains open; legacy source is retained until it passes.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</si>
  <si>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</si>
  <si>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</si>
  <si>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</si>
  <si>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0.3.2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</si>
  <si>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</si>
  <si>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</si>
  <si>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</si>
  <si>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</si>
  <si>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</si>
  <si>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</si>
  <si>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</si>
  <si>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</si>
  <si>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</si>
  <si>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</si>
  <si>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</si>
  <si>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</si>
  <si>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</si>
  <si>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</si>
  <si>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</si>
  <si>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</si>
  <si>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</si>
  <si>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</si>
  <si>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</si>
  <si>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</si>
  <si>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</si>
  <si>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</si>
  <si>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</si>
  <si>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</si>
  <si>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</si>
  <si>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</si>
  <si>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</si>
  <si>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</si>
  <si>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</si>
  <si>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</si>
  <si>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</si>
  <si>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</si>
  <si>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</si>
  <si>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</si>
  <si>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</si>
  <si>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</si>
  <si>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</si>
  <si>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</si>
  <si>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</si>
  <si>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</si>
  <si>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</si>
  <si>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</si>
  <si>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</si>
  <si>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</si>
  <si>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</si>
  <si>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</si>
  <si>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</si>
  <si>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</si>
  <si>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</si>
  <si>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</si>
  <si>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</si>
  <si>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</si>
  <si>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</si>
  <si>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</si>
  <si>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</si>
  <si>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</si>
  <si>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</si>
  <si>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</si>
  <si>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</si>
  <si>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</si>
  <si>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</si>
  <si>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</si>
  <si>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</si>
  <si>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</si>
  <si>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 for all eleven focused scenarios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</si>
  <si>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</si>
  <si>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</si>
  <si>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</si>
  <si>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</si>
  <si>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</si>
  <si>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</si>
  <si>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</si>
  <si>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</si>
  <si>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</si>
  <si>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</si>
  <si>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</si>
  <si>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manual review intentionally deferred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</si>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</sst>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sz val="12"/>
      <color theme="10"/>
      <name val="Calibri"/>
      <family val="2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2" headerRowCount="1" totalsRowCount="0" totalsRowShown="0">
  <autoFilter ref="A7:N12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src/components/button/Button.tsx" TargetMode="External"/><Relationship Id="rId2" Type="http://schemas.openxmlformats.org/officeDocument/2006/relationships/hyperlink" Target="../../docs/button-component-brief.md" TargetMode="External"/><Relationship Id="rId3" Type="http://schemas.openxmlformats.org/officeDocument/2006/relationships/hyperlink" Target="../src/button.ts" TargetMode="External"/><Relationship Id="rId4" Type="http://schemas.openxmlformats.org/officeDocument/2006/relationships/hyperlink" Target="../test/components/button.test.tsx" TargetMode="External"/><Relationship Id="rId5" Type="http://schemas.openxmlformats.org/officeDocument/2006/relationships/hyperlink" Target="../src/components/button/button.css" TargetMode="External"/><Relationship Id="rId6" Type="http://schemas.openxmlformats.org/officeDocument/2006/relationships/hyperlink" Target="manual-tests/button.md" TargetMode="External"/><Relationship Id="rId7" Type="http://schemas.openxmlformats.org/officeDocument/2006/relationships/hyperlink" Target="manual-tests/button.md" TargetMode="External"/><Relationship Id="rId8" Type="http://schemas.openxmlformats.org/officeDocument/2006/relationships/hyperlink" Target="manual-tests/button.md" TargetMode="External"/><Relationship Id="rId9" Type="http://schemas.openxmlformats.org/officeDocument/2006/relationships/hyperlink" Target="manual-tests/button.md" TargetMode="External"/><Relationship Id="rId10" Type="http://schemas.openxmlformats.org/officeDocument/2006/relationships/hyperlink" Target="tests/preferences.spec.ts" TargetMode="External"/><Relationship Id="rId11" Type="http://schemas.openxmlformats.org/officeDocument/2006/relationships/hyperlink" Target="manual-tests/button.md" TargetMode="External"/><Relationship Id="rId12" Type="http://schemas.openxmlformats.org/officeDocument/2006/relationships/hyperlink" Target="manual-tests/button.md" TargetMode="External"/><Relationship Id="rId13" Type="http://schemas.openxmlformats.org/officeDocument/2006/relationships/hyperlink" Target="tests/button.spec.ts" TargetMode="External"/><Relationship Id="rId14" Type="http://schemas.openxmlformats.org/officeDocument/2006/relationships/hyperlink" Target="../test/components/button.test.tsx" TargetMode="External"/><Relationship Id="rId15" Type="http://schemas.openxmlformats.org/officeDocument/2006/relationships/hyperlink" Target="../test/types/public-api.test.ts" TargetMode="External"/><Relationship Id="rId16" Type="http://schemas.openxmlformats.org/officeDocument/2006/relationships/hyperlink" Target="tests/button.spec.ts" TargetMode="External"/><Relationship Id="rId17" Type="http://schemas.openxmlformats.org/officeDocument/2006/relationships/hyperlink" Target="tests/foundation.spec.ts" TargetMode="External"/><Relationship Id="rId18" Type="http://schemas.openxmlformats.org/officeDocument/2006/relationships/hyperlink" Target="tests/visual.spec.ts" TargetMode="External"/><Relationship Id="rId19" Type="http://schemas.openxmlformats.org/officeDocument/2006/relationships/hyperlink" Target="../../playwright.config.ts" TargetMode="External"/><Relationship Id="rId20" Type="http://schemas.openxmlformats.org/officeDocument/2006/relationships/hyperlink" Target="../scripts/verify-consumers.mjs" TargetMode="External"/><Relationship Id="rId21" Type="http://schemas.openxmlformats.org/officeDocument/2006/relationships/hyperlink" Target="manual-tests/button.md" TargetMode="External"/><Relationship Id="rId22" Type="http://schemas.openxmlformats.org/officeDocument/2006/relationships/hyperlink" Target="manual-tests/button.md" TargetMode="External"/><Relationship Id="rId23" Type="http://schemas.openxmlformats.org/officeDocument/2006/relationships/hyperlink" Target="../docs/components/button/README.md" TargetMode="External"/><Relationship Id="rId24" Type="http://schemas.openxmlformats.org/officeDocument/2006/relationships/hyperlink" Target="../docs/components/button/CHANGELOG.md" TargetMode="External"/><Relationship Id="rId25" Type="http://schemas.openxmlformats.org/officeDocument/2006/relationships/hyperlink" Target="../../../../apps/brick-consumer/tests/consumer.spec.ts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src/components/card/Card.tsx" TargetMode="External"/><Relationship Id="rId2" Type="http://schemas.openxmlformats.org/officeDocument/2006/relationships/hyperlink" Target="../../docs/card-component-brief.md" TargetMode="External"/><Relationship Id="rId3" Type="http://schemas.openxmlformats.org/officeDocument/2006/relationships/hyperlink" Target="../src/card.ts" TargetMode="External"/><Relationship Id="rId4" Type="http://schemas.openxmlformats.org/officeDocument/2006/relationships/hyperlink" Target="../test/components/card.test.tsx" TargetMode="External"/><Relationship Id="rId5" Type="http://schemas.openxmlformats.org/officeDocument/2006/relationships/hyperlink" Target="../test/components/card.test.tsx" TargetMode="External"/><Relationship Id="rId6" Type="http://schemas.openxmlformats.org/officeDocument/2006/relationships/hyperlink" Target="manual-tests/card.md" TargetMode="External"/><Relationship Id="rId7" Type="http://schemas.openxmlformats.org/officeDocument/2006/relationships/hyperlink" Target="../test/components/card.test.tsx" TargetMode="External"/><Relationship Id="rId8" Type="http://schemas.openxmlformats.org/officeDocument/2006/relationships/hyperlink" Target="../test/components/card.test.tsx" TargetMode="External"/><Relationship Id="rId9" Type="http://schemas.openxmlformats.org/officeDocument/2006/relationships/hyperlink" Target="tests/card.spec.ts" TargetMode="External"/><Relationship Id="rId10" Type="http://schemas.openxmlformats.org/officeDocument/2006/relationships/hyperlink" Target="../test/components/card.test.tsx" TargetMode="External"/><Relationship Id="rId11" Type="http://schemas.openxmlformats.org/officeDocument/2006/relationships/hyperlink" Target="manual-tests/card.md" TargetMode="External"/><Relationship Id="rId12" Type="http://schemas.openxmlformats.org/officeDocument/2006/relationships/hyperlink" Target="../src/components/card/card.css" TargetMode="External"/><Relationship Id="rId13" Type="http://schemas.openxmlformats.org/officeDocument/2006/relationships/hyperlink" Target="manual-tests/card.md" TargetMode="External"/><Relationship Id="rId14" Type="http://schemas.openxmlformats.org/officeDocument/2006/relationships/hyperlink" Target="manual-tests/card.md" TargetMode="External"/><Relationship Id="rId15" Type="http://schemas.openxmlformats.org/officeDocument/2006/relationships/hyperlink" Target="tests/card.spec.ts" TargetMode="External"/><Relationship Id="rId16" Type="http://schemas.openxmlformats.org/officeDocument/2006/relationships/hyperlink" Target="manual-tests/card.md" TargetMode="External"/><Relationship Id="rId17" Type="http://schemas.openxmlformats.org/officeDocument/2006/relationships/hyperlink" Target="tests/preferences.spec.ts" TargetMode="External"/><Relationship Id="rId18" Type="http://schemas.openxmlformats.org/officeDocument/2006/relationships/hyperlink" Target="manual-tests/card.md" TargetMode="External"/><Relationship Id="rId19" Type="http://schemas.openxmlformats.org/officeDocument/2006/relationships/hyperlink" Target="manual-tests/card.md" TargetMode="External"/><Relationship Id="rId20" Type="http://schemas.openxmlformats.org/officeDocument/2006/relationships/hyperlink" Target="tests/card.spec.ts" TargetMode="External"/><Relationship Id="rId21" Type="http://schemas.openxmlformats.org/officeDocument/2006/relationships/hyperlink" Target="../test/components/card.test.tsx" TargetMode="External"/><Relationship Id="rId22" Type="http://schemas.openxmlformats.org/officeDocument/2006/relationships/hyperlink" Target="../test/types/public-api.test.ts" TargetMode="External"/><Relationship Id="rId23" Type="http://schemas.openxmlformats.org/officeDocument/2006/relationships/hyperlink" Target="tests/card.spec.ts" TargetMode="External"/><Relationship Id="rId24" Type="http://schemas.openxmlformats.org/officeDocument/2006/relationships/hyperlink" Target="tests/foundation.spec.ts" TargetMode="External"/><Relationship Id="rId25" Type="http://schemas.openxmlformats.org/officeDocument/2006/relationships/hyperlink" Target="tests/visual.spec.ts" TargetMode="External"/><Relationship Id="rId26" Type="http://schemas.openxmlformats.org/officeDocument/2006/relationships/hyperlink" Target="../playwright.config.ts" TargetMode="External"/><Relationship Id="rId27" Type="http://schemas.openxmlformats.org/officeDocument/2006/relationships/hyperlink" Target="../test/package/ssr.test.mjs" TargetMode="External"/><Relationship Id="rId28" Type="http://schemas.openxmlformats.org/officeDocument/2006/relationships/hyperlink" Target="manual-tests/card.md" TargetMode="External"/><Relationship Id="rId29" Type="http://schemas.openxmlformats.org/officeDocument/2006/relationships/hyperlink" Target="manual-tests/card.md" TargetMode="External"/><Relationship Id="rId30" Type="http://schemas.openxmlformats.org/officeDocument/2006/relationships/hyperlink" Target="../docs/components/card/README.md" TargetMode="External"/><Relationship Id="rId31" Type="http://schemas.openxmlformats.org/officeDocument/2006/relationships/hyperlink" Target="../docs/components/card/CHANGELOG.md" TargetMode="External"/><Relationship Id="rId32" Type="http://schemas.openxmlformats.org/officeDocument/2006/relationships/hyperlink" Target="../../../../apps/brick-consumer/tests/consumer.spec.ts" TargetMode="External"/><Relationship Id="rId33" Type="http://schemas.openxmlformats.org/officeDocument/2006/relationships/hyperlink" Target="../../docs/core-dependency-ledger.md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src/components/dialog/Dialog.tsx" TargetMode="External"/><Relationship Id="rId2" Type="http://schemas.openxmlformats.org/officeDocument/2006/relationships/hyperlink" Target="../../docs/dialog-component-brief.md" TargetMode="External"/><Relationship Id="rId3" Type="http://schemas.openxmlformats.org/officeDocument/2006/relationships/hyperlink" Target="../test/types/public-api.test.ts" TargetMode="External"/><Relationship Id="rId4" Type="http://schemas.openxmlformats.org/officeDocument/2006/relationships/hyperlink" Target="../test/components/dialog.test.tsx" TargetMode="External"/><Relationship Id="rId5" Type="http://schemas.openxmlformats.org/officeDocument/2006/relationships/hyperlink" Target="../test/components/dialog.test.tsx" TargetMode="External"/><Relationship Id="rId6" Type="http://schemas.openxmlformats.org/officeDocument/2006/relationships/hyperlink" Target="../test/components/dialog.test.tsx%20+%20tests/dialog.spec.ts" TargetMode="External"/><Relationship Id="rId7" Type="http://schemas.openxmlformats.org/officeDocument/2006/relationships/hyperlink" Target="tests/dialog.spec.ts" TargetMode="External"/><Relationship Id="rId8" Type="http://schemas.openxmlformats.org/officeDocument/2006/relationships/hyperlink" Target="../test/components/dialog.test.tsx" TargetMode="External"/><Relationship Id="rId9" Type="http://schemas.openxmlformats.org/officeDocument/2006/relationships/hyperlink" Target="../test/components/dialog.test.tsx" TargetMode="External"/><Relationship Id="rId10" Type="http://schemas.openxmlformats.org/officeDocument/2006/relationships/hyperlink" Target="../test/components/dialog.test.tsx" TargetMode="External"/><Relationship Id="rId11" Type="http://schemas.openxmlformats.org/officeDocument/2006/relationships/hyperlink" Target="../test/components/dialog.test.tsx" TargetMode="External"/><Relationship Id="rId12" Type="http://schemas.openxmlformats.org/officeDocument/2006/relationships/hyperlink" Target="manual-tests/dialog.md" TargetMode="External"/><Relationship Id="rId13" Type="http://schemas.openxmlformats.org/officeDocument/2006/relationships/hyperlink" Target="manual-tests/dialog.md" TargetMode="External"/><Relationship Id="rId14" Type="http://schemas.openxmlformats.org/officeDocument/2006/relationships/hyperlink" Target="../test/components/dialog.test.tsx" TargetMode="External"/><Relationship Id="rId15" Type="http://schemas.openxmlformats.org/officeDocument/2006/relationships/hyperlink" Target="../test/components/dialog.test.tsx" TargetMode="External"/><Relationship Id="rId16" Type="http://schemas.openxmlformats.org/officeDocument/2006/relationships/hyperlink" Target="../src/components/dialog/dialog.css" TargetMode="External"/><Relationship Id="rId17" Type="http://schemas.openxmlformats.org/officeDocument/2006/relationships/hyperlink" Target="manual-tests/dialog.md" TargetMode="External"/><Relationship Id="rId18" Type="http://schemas.openxmlformats.org/officeDocument/2006/relationships/hyperlink" Target="manual-tests/dialog.md" TargetMode="External"/><Relationship Id="rId19" Type="http://schemas.openxmlformats.org/officeDocument/2006/relationships/hyperlink" Target="tests/dialog.spec.ts" TargetMode="External"/><Relationship Id="rId20" Type="http://schemas.openxmlformats.org/officeDocument/2006/relationships/hyperlink" Target="manual-tests/dialog.md" TargetMode="External"/><Relationship Id="rId21" Type="http://schemas.openxmlformats.org/officeDocument/2006/relationships/hyperlink" Target="tests/visual.spec.ts" TargetMode="External"/><Relationship Id="rId22" Type="http://schemas.openxmlformats.org/officeDocument/2006/relationships/hyperlink" Target="manual-tests/dialog.md" TargetMode="External"/><Relationship Id="rId23" Type="http://schemas.openxmlformats.org/officeDocument/2006/relationships/hyperlink" Target="manual-tests/dialog.md" TargetMode="External"/><Relationship Id="rId24" Type="http://schemas.openxmlformats.org/officeDocument/2006/relationships/hyperlink" Target="tests/dialog.spec.ts" TargetMode="External"/><Relationship Id="rId25" Type="http://schemas.openxmlformats.org/officeDocument/2006/relationships/hyperlink" Target="../test/components/dialog.test.tsx" TargetMode="External"/><Relationship Id="rId26" Type="http://schemas.openxmlformats.org/officeDocument/2006/relationships/hyperlink" Target="../test/types/public-api.test.ts" TargetMode="External"/><Relationship Id="rId27" Type="http://schemas.openxmlformats.org/officeDocument/2006/relationships/hyperlink" Target="tests/dialog.spec.ts" TargetMode="External"/><Relationship Id="rId28" Type="http://schemas.openxmlformats.org/officeDocument/2006/relationships/hyperlink" Target="tests/dialog.spec.ts" TargetMode="External"/><Relationship Id="rId29" Type="http://schemas.openxmlformats.org/officeDocument/2006/relationships/hyperlink" Target="tests/visual.spec.ts" TargetMode="External"/><Relationship Id="rId30" Type="http://schemas.openxmlformats.org/officeDocument/2006/relationships/hyperlink" Target="../playwright.config.ts" TargetMode="External"/><Relationship Id="rId31" Type="http://schemas.openxmlformats.org/officeDocument/2006/relationships/hyperlink" Target="../scripts/verify-consumers.mjs" TargetMode="External"/><Relationship Id="rId32" Type="http://schemas.openxmlformats.org/officeDocument/2006/relationships/hyperlink" Target="manual-tests/dialog.md" TargetMode="External"/><Relationship Id="rId33" Type="http://schemas.openxmlformats.org/officeDocument/2006/relationships/hyperlink" Target="manual-tests/dialog.md" TargetMode="External"/><Relationship Id="rId34" Type="http://schemas.openxmlformats.org/officeDocument/2006/relationships/hyperlink" Target="../docs/components/dialog/README.md" TargetMode="External"/><Relationship Id="rId35" Type="http://schemas.openxmlformats.org/officeDocument/2006/relationships/hyperlink" Target="../docs/components/dialog/CHANGELOG.md" TargetMode="External"/><Relationship Id="rId36" Type="http://schemas.openxmlformats.org/officeDocument/2006/relationships/hyperlink" Target="../../../../apps/brick-consumer/tests/consumer.spec.ts" TargetMode="External"/><Relationship Id="rId37" Type="http://schemas.openxmlformats.org/officeDocument/2006/relationships/hyperlink" Target="../../docs/core-dependency-ledger.md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src/components/alert-dialog/AlertDialog.tsx" TargetMode="External"/><Relationship Id="rId2" Type="http://schemas.openxmlformats.org/officeDocument/2006/relationships/hyperlink" Target="../../docs/alert-dialog-component-brief.md" TargetMode="External"/><Relationship Id="rId3" Type="http://schemas.openxmlformats.org/officeDocument/2006/relationships/hyperlink" Target="../test/types/public-api.test.ts" TargetMode="External"/><Relationship Id="rId4" Type="http://schemas.openxmlformats.org/officeDocument/2006/relationships/hyperlink" Target="../test/components/alert-dialog.test.tsx" TargetMode="External"/><Relationship Id="rId5" Type="http://schemas.openxmlformats.org/officeDocument/2006/relationships/hyperlink" Target="../test/components/alert-dialog.test.tsx" TargetMode="External"/><Relationship Id="rId6" Type="http://schemas.openxmlformats.org/officeDocument/2006/relationships/hyperlink" Target="../test/components/alert-dialog.test.tsx" TargetMode="External"/><Relationship Id="rId7" Type="http://schemas.openxmlformats.org/officeDocument/2006/relationships/hyperlink" Target="tests/alert-dialog.spec.ts" TargetMode="External"/><Relationship Id="rId8" Type="http://schemas.openxmlformats.org/officeDocument/2006/relationships/hyperlink" Target="../test/components/alert-dialog.test.tsx" TargetMode="External"/><Relationship Id="rId9" Type="http://schemas.openxmlformats.org/officeDocument/2006/relationships/hyperlink" Target="../test/components/alert-dialog.test.tsx" TargetMode="External"/><Relationship Id="rId10" Type="http://schemas.openxmlformats.org/officeDocument/2006/relationships/hyperlink" Target="../test/components/alert-dialog.test.tsx" TargetMode="External"/><Relationship Id="rId11" Type="http://schemas.openxmlformats.org/officeDocument/2006/relationships/hyperlink" Target="../test/components/alert-dialog.test.tsx" TargetMode="External"/><Relationship Id="rId12" Type="http://schemas.openxmlformats.org/officeDocument/2006/relationships/hyperlink" Target="manual-tests/alert-dialog.md" TargetMode="External"/><Relationship Id="rId13" Type="http://schemas.openxmlformats.org/officeDocument/2006/relationships/hyperlink" Target="manual-tests/alert-dialog.md" TargetMode="External"/><Relationship Id="rId14" Type="http://schemas.openxmlformats.org/officeDocument/2006/relationships/hyperlink" Target="../test/components/alert-dialog.test.tsx%20+%20tests/alert-dialog.spec.ts" TargetMode="External"/><Relationship Id="rId15" Type="http://schemas.openxmlformats.org/officeDocument/2006/relationships/hyperlink" Target="../test/components/alert-dialog.test.tsx%20+%20tests/alert-dialog.spec.ts" TargetMode="External"/><Relationship Id="rId16" Type="http://schemas.openxmlformats.org/officeDocument/2006/relationships/hyperlink" Target="../src/components/alert-dialog/alert-dialog.css" TargetMode="External"/><Relationship Id="rId17" Type="http://schemas.openxmlformats.org/officeDocument/2006/relationships/hyperlink" Target="manual-tests/alert-dialog.md" TargetMode="External"/><Relationship Id="rId18" Type="http://schemas.openxmlformats.org/officeDocument/2006/relationships/hyperlink" Target="src/main.tsx" TargetMode="External"/><Relationship Id="rId19" Type="http://schemas.openxmlformats.org/officeDocument/2006/relationships/hyperlink" Target="tests/alert-dialog.spec.ts" TargetMode="External"/><Relationship Id="rId20" Type="http://schemas.openxmlformats.org/officeDocument/2006/relationships/hyperlink" Target="tests/alert-dialog.spec.ts" TargetMode="External"/><Relationship Id="rId21" Type="http://schemas.openxmlformats.org/officeDocument/2006/relationships/hyperlink" Target="manual-tests/alert-dialog.md" TargetMode="External"/><Relationship Id="rId22" Type="http://schemas.openxmlformats.org/officeDocument/2006/relationships/hyperlink" Target="manual-tests/alert-dialog.md" TargetMode="External"/><Relationship Id="rId23" Type="http://schemas.openxmlformats.org/officeDocument/2006/relationships/hyperlink" Target="manual-tests/alert-dialog.md" TargetMode="External"/><Relationship Id="rId24" Type="http://schemas.openxmlformats.org/officeDocument/2006/relationships/hyperlink" Target="tests/alert-dialog.spec.ts" TargetMode="External"/><Relationship Id="rId25" Type="http://schemas.openxmlformats.org/officeDocument/2006/relationships/hyperlink" Target="../test/components/alert-dialog.test.tsx" TargetMode="External"/><Relationship Id="rId26" Type="http://schemas.openxmlformats.org/officeDocument/2006/relationships/hyperlink" Target="../test/types/public-api.test.ts" TargetMode="External"/><Relationship Id="rId27" Type="http://schemas.openxmlformats.org/officeDocument/2006/relationships/hyperlink" Target="tests/alert-dialog.spec.ts" TargetMode="External"/><Relationship Id="rId28" Type="http://schemas.openxmlformats.org/officeDocument/2006/relationships/hyperlink" Target="tests/alert-dialog.spec.ts" TargetMode="External"/><Relationship Id="rId29" Type="http://schemas.openxmlformats.org/officeDocument/2006/relationships/hyperlink" Target="tests/alert-dialog.spec.ts" TargetMode="External"/><Relationship Id="rId30" Type="http://schemas.openxmlformats.org/officeDocument/2006/relationships/hyperlink" Target="tests/alert-dialog.spec.ts" TargetMode="External"/><Relationship Id="rId31" Type="http://schemas.openxmlformats.org/officeDocument/2006/relationships/hyperlink" Target="tests/visual.spec.ts" TargetMode="External"/><Relationship Id="rId32" Type="http://schemas.openxmlformats.org/officeDocument/2006/relationships/hyperlink" Target="../playwright.config.ts" TargetMode="External"/><Relationship Id="rId33" Type="http://schemas.openxmlformats.org/officeDocument/2006/relationships/hyperlink" Target="../scripts/verify-consumers.mjs" TargetMode="External"/><Relationship Id="rId34" Type="http://schemas.openxmlformats.org/officeDocument/2006/relationships/hyperlink" Target="manual-tests/alert-dialog.md" TargetMode="External"/><Relationship Id="rId35" Type="http://schemas.openxmlformats.org/officeDocument/2006/relationships/hyperlink" Target="manual-tests/alert-dialog.md" TargetMode="External"/><Relationship Id="rId36" Type="http://schemas.openxmlformats.org/officeDocument/2006/relationships/hyperlink" Target="../docs/components/alert-dialog/README.md" TargetMode="External"/><Relationship Id="rId37" Type="http://schemas.openxmlformats.org/officeDocument/2006/relationships/hyperlink" Target="../docs/components/alert-dialog/CHANGELOG.md" TargetMode="External"/><Relationship Id="rId38" Type="http://schemas.openxmlformats.org/officeDocument/2006/relationships/hyperlink" Target="../../../../apps/brick-consumer/tests/consumer.spec.ts" TargetMode="External"/><Relationship Id="rId39" Type="http://schemas.openxmlformats.org/officeDocument/2006/relationships/hyperlink" Target="../../docs/core-dependency-ledger.md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src/components/drawer/Drawer.tsx" TargetMode="External"/><Relationship Id="rId2" Type="http://schemas.openxmlformats.org/officeDocument/2006/relationships/hyperlink" Target="../../docs/drawer-component-brief.md" TargetMode="External"/><Relationship Id="rId3" Type="http://schemas.openxmlformats.org/officeDocument/2006/relationships/hyperlink" Target="../../TODO.md" TargetMode="External"/><Relationship Id="rId4" Type="http://schemas.openxmlformats.org/officeDocument/2006/relationships/hyperlink" Target="../test/types/public-api.test.ts" TargetMode="External"/><Relationship Id="rId5" Type="http://schemas.openxmlformats.org/officeDocument/2006/relationships/hyperlink" Target="../test/components/drawer.test.tsx" TargetMode="External"/><Relationship Id="rId6" Type="http://schemas.openxmlformats.org/officeDocument/2006/relationships/hyperlink" Target="../test/components/drawer.test.tsx" TargetMode="External"/><Relationship Id="rId7" Type="http://schemas.openxmlformats.org/officeDocument/2006/relationships/hyperlink" Target="../test/components/drawer.test.tsx" TargetMode="External"/><Relationship Id="rId8" Type="http://schemas.openxmlformats.org/officeDocument/2006/relationships/hyperlink" Target="tests/drawer.spec.ts" TargetMode="External"/><Relationship Id="rId9" Type="http://schemas.openxmlformats.org/officeDocument/2006/relationships/hyperlink" Target="../test/components/drawer.test.tsx" TargetMode="External"/><Relationship Id="rId10" Type="http://schemas.openxmlformats.org/officeDocument/2006/relationships/hyperlink" Target="../test/components/drawer.test.tsx" TargetMode="External"/><Relationship Id="rId11" Type="http://schemas.openxmlformats.org/officeDocument/2006/relationships/hyperlink" Target="../test/components/drawer.test.tsx" TargetMode="External"/><Relationship Id="rId12" Type="http://schemas.openxmlformats.org/officeDocument/2006/relationships/hyperlink" Target="../test/components/drawer.test.tsx" TargetMode="External"/><Relationship Id="rId13" Type="http://schemas.openxmlformats.org/officeDocument/2006/relationships/hyperlink" Target="tests/drawer.spec.ts" TargetMode="External"/><Relationship Id="rId14" Type="http://schemas.openxmlformats.org/officeDocument/2006/relationships/hyperlink" Target="tests/drawer.spec.ts" TargetMode="External"/><Relationship Id="rId15" Type="http://schemas.openxmlformats.org/officeDocument/2006/relationships/hyperlink" Target="../test/components/drawer.test.tsx" TargetMode="External"/><Relationship Id="rId16" Type="http://schemas.openxmlformats.org/officeDocument/2006/relationships/hyperlink" Target="tests/drawer.spec.ts" TargetMode="External"/><Relationship Id="rId17" Type="http://schemas.openxmlformats.org/officeDocument/2006/relationships/hyperlink" Target="tests/drawer.spec.ts" TargetMode="External"/><Relationship Id="rId18" Type="http://schemas.openxmlformats.org/officeDocument/2006/relationships/hyperlink" Target="../test/components/drawer.test.tsx" TargetMode="External"/><Relationship Id="rId19" Type="http://schemas.openxmlformats.org/officeDocument/2006/relationships/hyperlink" Target="tests/drawer.spec.ts" TargetMode="External"/><Relationship Id="rId20" Type="http://schemas.openxmlformats.org/officeDocument/2006/relationships/hyperlink" Target="tests/visual.spec.ts" TargetMode="External"/><Relationship Id="rId21" Type="http://schemas.openxmlformats.org/officeDocument/2006/relationships/hyperlink" Target="tests/visual.spec.ts" TargetMode="External"/><Relationship Id="rId22" Type="http://schemas.openxmlformats.org/officeDocument/2006/relationships/hyperlink" Target="tests/drawer.spec.ts" TargetMode="External"/><Relationship Id="rId23" Type="http://schemas.openxmlformats.org/officeDocument/2006/relationships/hyperlink" Target="tests/visual.spec.ts" TargetMode="External"/><Relationship Id="rId24" Type="http://schemas.openxmlformats.org/officeDocument/2006/relationships/hyperlink" Target="src/main.tsx" TargetMode="External"/><Relationship Id="rId25" Type="http://schemas.openxmlformats.org/officeDocument/2006/relationships/hyperlink" Target="src/main.tsx" TargetMode="External"/><Relationship Id="rId26" Type="http://schemas.openxmlformats.org/officeDocument/2006/relationships/hyperlink" Target="src/main.tsx" TargetMode="External"/><Relationship Id="rId27" Type="http://schemas.openxmlformats.org/officeDocument/2006/relationships/hyperlink" Target="../test/components/drawer.test.tsx" TargetMode="External"/><Relationship Id="rId28" Type="http://schemas.openxmlformats.org/officeDocument/2006/relationships/hyperlink" Target="../test/types/public-api.test.ts" TargetMode="External"/><Relationship Id="rId29" Type="http://schemas.openxmlformats.org/officeDocument/2006/relationships/hyperlink" Target="../test/package/package.test.mjs" TargetMode="External"/><Relationship Id="rId30" Type="http://schemas.openxmlformats.org/officeDocument/2006/relationships/hyperlink" Target="tests/drawer.spec.ts" TargetMode="External"/><Relationship Id="rId31" Type="http://schemas.openxmlformats.org/officeDocument/2006/relationships/hyperlink" Target="tests/drawer.spec.ts" TargetMode="External"/><Relationship Id="rId32" Type="http://schemas.openxmlformats.org/officeDocument/2006/relationships/hyperlink" Target="tests/visual.spec.ts" TargetMode="External"/><Relationship Id="rId33" Type="http://schemas.openxmlformats.org/officeDocument/2006/relationships/hyperlink" Target="../scripts/verify-consumers.mjs" TargetMode="External"/><Relationship Id="rId34" Type="http://schemas.openxmlformats.org/officeDocument/2006/relationships/hyperlink" Target="manual-tests/drawer.md" TargetMode="External"/><Relationship Id="rId35" Type="http://schemas.openxmlformats.org/officeDocument/2006/relationships/hyperlink" Target="manual-tests/drawer.md" TargetMode="External"/><Relationship Id="rId36" Type="http://schemas.openxmlformats.org/officeDocument/2006/relationships/hyperlink" Target="../docs/components/drawer/README.md" TargetMode="External"/><Relationship Id="rId37" Type="http://schemas.openxmlformats.org/officeDocument/2006/relationships/hyperlink" Target="../docs/components/drawer/CHANGELOG.md" TargetMode="External"/><Relationship Id="rId38" Type="http://schemas.openxmlformats.org/officeDocument/2006/relationships/hyperlink" Target="../../../../apps/brick-consumer/tests/consumer.spec.ts" TargetMode="External"/><Relationship Id="rId39" Type="http://schemas.openxmlformats.org/officeDocument/2006/relationships/hyperlink" Target="../../docs/core-dependency-ledger.md" TargetMode="External"/><Relationship Id="rId40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COUNTA(A8:A12)</f>
        <v>5</v>
      </c>
      <c r="C4" s="4" t="s">
        <v>3</v>
      </c>
      <c r="D4" s="5" t="n">
        <f aca="false">COUNTIF(N8:N12,"complete")</f>
        <v>0</v>
      </c>
      <c r="E4" s="4" t="s">
        <v>4</v>
      </c>
      <c r="F4" s="5" t="n">
        <f aca="false">SUM(H8:H12)</f>
        <v>4</v>
      </c>
      <c r="G4" s="4" t="s">
        <v>5</v>
      </c>
      <c r="H4" s="6" t="n">
        <f aca="false">IFERROR(SUMPRODUCT(B8:B12,J8:J12)/SUM(B8:B12),0)</f>
        <v>0.925287356321839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10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7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2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0.794871794871795</v>
      </c>
      <c r="K11" s="8" t="str">
        <f aca="false">IF(COUNTIFS(AlertDialog!E9:E47,"package",AlertDialog!M9:M47,"&lt;1")=0,"complete","open")</f>
        <v>open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10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1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1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</sheetData>
  <autoFilter ref="A7:N12"/>
  <mergeCells count="2">
    <mergeCell ref="A1:N1"/>
    <mergeCell ref="A2:N2"/>
  </mergeCells>
  <conditionalFormatting sqref="N8:N12">
    <cfRule type="expression" priority="2" aboveAverage="0" equalAverage="0" bottom="0" percent="0" rank="0" text="" dxfId="7">
      <formula>$N8="not started"</formula>
    </cfRule>
    <cfRule type="expression" priority="3" aboveAverage="0" equalAverage="0" bottom="0" percent="0" rank="0" text="" dxfId="8">
      <formula>$N8="partial"</formula>
    </cfRule>
    <cfRule type="expression" priority="4" aboveAverage="0" equalAverage="0" bottom="0" percent="0" rank="0" text="" dxfId="9">
      <formula>$N8="implemented"</formula>
    </cfRule>
    <cfRule type="expression" priority="5" aboveAverage="0" equalAverage="0" bottom="0" percent="0" rank="0" text="" dxfId="10">
      <formula>$N8="tested"</formula>
    </cfRule>
    <cfRule type="expression" priority="6" aboveAverage="0" equalAverage="0" bottom="0" percent="0" rank="0" text="" dxfId="11">
      <formula>$N8="verified"</formula>
    </cfRule>
    <cfRule type="expression" priority="7" aboveAverage="0" equalAverage="0" bottom="0" percent="0" rank="0" text="" dxfId="12">
      <formula>$N8="blocked"</formula>
    </cfRule>
    <cfRule type="expression" priority="8" aboveAverage="0" equalAverage="0" bottom="0" percent="0" rank="0" text="" dxfId="13">
      <formula>$N8="not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24</v>
      </c>
      <c r="B1" s="2"/>
      <c r="C1" s="2"/>
      <c r="D1" s="2"/>
    </row>
    <row r="2" customFormat="false" ht="33.75" hidden="false" customHeight="true" outlineLevel="0" collapsed="false">
      <c r="A2" s="3" t="s">
        <v>25</v>
      </c>
      <c r="B2" s="3"/>
      <c r="C2" s="3"/>
      <c r="D2" s="3"/>
    </row>
    <row r="4" customFormat="false" ht="15" hidden="false" customHeight="true" outlineLevel="0" collapsed="false">
      <c r="A4" s="7" t="s">
        <v>26</v>
      </c>
      <c r="B4" s="7" t="s">
        <v>27</v>
      </c>
    </row>
    <row r="5" customFormat="false" ht="30" hidden="false" customHeight="true" outlineLevel="0" collapsed="false">
      <c r="A5" s="11" t="s">
        <v>28</v>
      </c>
      <c r="B5" s="12" t="s">
        <v>29</v>
      </c>
    </row>
    <row r="6" customFormat="false" ht="30" hidden="false" customHeight="true" outlineLevel="0" collapsed="false">
      <c r="A6" s="13" t="s">
        <v>18</v>
      </c>
      <c r="B6" s="14" t="s">
        <v>30</v>
      </c>
    </row>
    <row r="7" customFormat="false" ht="30" hidden="false" customHeight="true" outlineLevel="0" collapsed="false">
      <c r="A7" s="11" t="s">
        <v>18</v>
      </c>
      <c r="B7" s="12" t="s">
        <v>31</v>
      </c>
    </row>
    <row r="8" customFormat="false" ht="30" hidden="false" customHeight="true" outlineLevel="0" collapsed="false">
      <c r="A8" s="13" t="s">
        <v>18</v>
      </c>
      <c r="B8" s="14" t="s">
        <v>32</v>
      </c>
    </row>
    <row r="9" customFormat="false" ht="30" hidden="false" customHeight="true" outlineLevel="0" collapsed="false">
      <c r="A9" s="11" t="s">
        <v>18</v>
      </c>
      <c r="B9" s="12" t="s">
        <v>33</v>
      </c>
    </row>
    <row r="10" customFormat="false" ht="30" hidden="false" customHeight="true" outlineLevel="0" collapsed="false">
      <c r="A10" s="13" t="s">
        <v>18</v>
      </c>
      <c r="B10" s="14" t="s">
        <v>34</v>
      </c>
    </row>
    <row r="11" customFormat="false" ht="30" hidden="false" customHeight="true" outlineLevel="0" collapsed="false">
      <c r="A11" s="11" t="s">
        <v>18</v>
      </c>
      <c r="B11" s="12" t="s">
        <v>35</v>
      </c>
    </row>
    <row r="12" customFormat="false" ht="30" hidden="false" customHeight="true" outlineLevel="0" collapsed="false">
      <c r="A12" s="13" t="s">
        <v>18</v>
      </c>
      <c r="B12" s="14" t="s">
        <v>36</v>
      </c>
    </row>
    <row r="13" customFormat="false" ht="30" hidden="false" customHeight="true" outlineLevel="0" collapsed="false">
      <c r="A13" s="11" t="s">
        <v>14</v>
      </c>
      <c r="B13" s="12" t="s">
        <v>37</v>
      </c>
    </row>
    <row r="14" customFormat="false" ht="30" hidden="false" customHeight="true" outlineLevel="0" collapsed="false">
      <c r="A14" s="13" t="s">
        <v>15</v>
      </c>
      <c r="B14" s="14" t="s">
        <v>38</v>
      </c>
    </row>
    <row r="15" customFormat="false" ht="30" hidden="false" customHeight="true" outlineLevel="0" collapsed="false">
      <c r="A15" s="11" t="s">
        <v>16</v>
      </c>
      <c r="B15" s="12" t="s">
        <v>39</v>
      </c>
    </row>
    <row r="16" customFormat="false" ht="30" hidden="false" customHeight="true" outlineLevel="0" collapsed="false">
      <c r="A16" s="13" t="s">
        <v>17</v>
      </c>
      <c r="B16" s="14" t="s">
        <v>40</v>
      </c>
    </row>
    <row r="17" customFormat="false" ht="30" hidden="false" customHeight="true" outlineLevel="0" collapsed="false">
      <c r="A17" s="11" t="s">
        <v>41</v>
      </c>
      <c r="B17" s="12" t="s">
        <v>42</v>
      </c>
    </row>
    <row r="18" customFormat="false" ht="30" hidden="false" customHeight="true" outlineLevel="0" collapsed="false">
      <c r="A18" s="13" t="s">
        <v>43</v>
      </c>
      <c r="B18" s="14" t="s">
        <v>44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47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5" t="s">
        <v>48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49</v>
      </c>
      <c r="B8" s="7" t="s">
        <v>50</v>
      </c>
      <c r="C8" s="7" t="s">
        <v>51</v>
      </c>
      <c r="D8" s="7" t="s">
        <v>52</v>
      </c>
      <c r="E8" s="7" t="s">
        <v>53</v>
      </c>
      <c r="F8" s="7" t="s">
        <v>54</v>
      </c>
      <c r="G8" s="7" t="s">
        <v>55</v>
      </c>
      <c r="H8" s="7" t="s">
        <v>18</v>
      </c>
      <c r="I8" s="7" t="s">
        <v>56</v>
      </c>
      <c r="J8" s="7" t="s">
        <v>57</v>
      </c>
      <c r="K8" s="7" t="s">
        <v>58</v>
      </c>
      <c r="L8" s="7" t="s">
        <v>59</v>
      </c>
      <c r="M8" s="7" t="s">
        <v>47</v>
      </c>
    </row>
    <row r="9" customFormat="false" ht="42.75" hidden="false" customHeight="true" outlineLevel="0" collapsed="false">
      <c r="A9" s="16" t="s">
        <v>60</v>
      </c>
      <c r="B9" s="16" t="s">
        <v>61</v>
      </c>
      <c r="C9" s="16" t="s">
        <v>6</v>
      </c>
      <c r="D9" s="16" t="s">
        <v>62</v>
      </c>
      <c r="E9" s="16" t="s">
        <v>63</v>
      </c>
      <c r="F9" s="16" t="s">
        <v>64</v>
      </c>
      <c r="G9" s="10" t="s">
        <v>65</v>
      </c>
      <c r="H9" s="16" t="s">
        <v>66</v>
      </c>
      <c r="I9" s="16" t="s">
        <v>67</v>
      </c>
      <c r="J9" s="17" t="n">
        <v>46219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6" t="s">
        <v>68</v>
      </c>
      <c r="B10" s="16" t="s">
        <v>69</v>
      </c>
      <c r="C10" s="16" t="s">
        <v>6</v>
      </c>
      <c r="D10" s="16" t="s">
        <v>70</v>
      </c>
      <c r="E10" s="16" t="s">
        <v>63</v>
      </c>
      <c r="F10" s="16" t="s">
        <v>71</v>
      </c>
      <c r="G10" s="10" t="s">
        <v>72</v>
      </c>
      <c r="H10" s="16" t="s">
        <v>73</v>
      </c>
      <c r="I10" s="16" t="s">
        <v>74</v>
      </c>
      <c r="J10" s="17" t="n">
        <v>46219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6" t="s">
        <v>75</v>
      </c>
      <c r="B11" s="16" t="s">
        <v>61</v>
      </c>
      <c r="C11" s="16" t="s">
        <v>6</v>
      </c>
      <c r="D11" s="16" t="s">
        <v>76</v>
      </c>
      <c r="E11" s="16" t="s">
        <v>63</v>
      </c>
      <c r="F11" s="16" t="s">
        <v>77</v>
      </c>
      <c r="G11" s="10" t="s">
        <v>78</v>
      </c>
      <c r="H11" s="16" t="s">
        <v>66</v>
      </c>
      <c r="I11" s="16" t="s">
        <v>67</v>
      </c>
      <c r="J11" s="17" t="n">
        <v>46219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6" t="s">
        <v>79</v>
      </c>
      <c r="B12" s="16" t="s">
        <v>61</v>
      </c>
      <c r="C12" s="16" t="s">
        <v>6</v>
      </c>
      <c r="D12" s="16" t="s">
        <v>80</v>
      </c>
      <c r="E12" s="16" t="s">
        <v>63</v>
      </c>
      <c r="F12" s="16" t="s">
        <v>77</v>
      </c>
      <c r="G12" s="10" t="s">
        <v>81</v>
      </c>
      <c r="H12" s="16" t="s">
        <v>66</v>
      </c>
      <c r="I12" s="16" t="s">
        <v>67</v>
      </c>
      <c r="J12" s="17" t="n">
        <v>46219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6" t="s">
        <v>82</v>
      </c>
      <c r="B13" s="16" t="s">
        <v>83</v>
      </c>
      <c r="C13" s="16" t="s">
        <v>6</v>
      </c>
      <c r="D13" s="16" t="s">
        <v>84</v>
      </c>
      <c r="E13" s="16" t="s">
        <v>63</v>
      </c>
      <c r="F13" s="16" t="s">
        <v>64</v>
      </c>
      <c r="G13" s="10" t="s">
        <v>85</v>
      </c>
      <c r="H13" s="16" t="s">
        <v>66</v>
      </c>
      <c r="I13" s="16" t="s">
        <v>67</v>
      </c>
      <c r="J13" s="17" t="n">
        <v>46219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6" t="s">
        <v>86</v>
      </c>
      <c r="B14" s="16" t="s">
        <v>83</v>
      </c>
      <c r="C14" s="16" t="s">
        <v>6</v>
      </c>
      <c r="D14" s="16" t="s">
        <v>87</v>
      </c>
      <c r="E14" s="16" t="s">
        <v>63</v>
      </c>
      <c r="F14" s="16" t="s">
        <v>64</v>
      </c>
      <c r="G14" s="10" t="s">
        <v>88</v>
      </c>
      <c r="H14" s="16" t="s">
        <v>73</v>
      </c>
      <c r="I14" s="16" t="s">
        <v>74</v>
      </c>
      <c r="J14" s="17" t="n">
        <v>46219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6" t="s">
        <v>89</v>
      </c>
      <c r="B15" s="16" t="s">
        <v>90</v>
      </c>
      <c r="C15" s="16" t="s">
        <v>6</v>
      </c>
      <c r="D15" s="16" t="s">
        <v>91</v>
      </c>
      <c r="E15" s="16" t="s">
        <v>63</v>
      </c>
      <c r="F15" s="16" t="s">
        <v>92</v>
      </c>
      <c r="G15" s="10" t="s">
        <v>93</v>
      </c>
      <c r="H15" s="16" t="s">
        <v>73</v>
      </c>
      <c r="I15" s="16" t="s">
        <v>74</v>
      </c>
      <c r="J15" s="17" t="n">
        <v>46219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6" t="s">
        <v>94</v>
      </c>
      <c r="B16" s="16" t="s">
        <v>90</v>
      </c>
      <c r="C16" s="16" t="s">
        <v>6</v>
      </c>
      <c r="D16" s="16" t="s">
        <v>95</v>
      </c>
      <c r="E16" s="16" t="s">
        <v>63</v>
      </c>
      <c r="F16" s="16" t="s">
        <v>92</v>
      </c>
      <c r="G16" s="10" t="s">
        <v>93</v>
      </c>
      <c r="H16" s="16" t="s">
        <v>73</v>
      </c>
      <c r="I16" s="16" t="s">
        <v>74</v>
      </c>
      <c r="J16" s="17" t="n">
        <v>46219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6" t="s">
        <v>96</v>
      </c>
      <c r="B17" s="16" t="s">
        <v>90</v>
      </c>
      <c r="C17" s="16" t="s">
        <v>6</v>
      </c>
      <c r="D17" s="16" t="s">
        <v>97</v>
      </c>
      <c r="E17" s="16" t="s">
        <v>63</v>
      </c>
      <c r="F17" s="16" t="s">
        <v>92</v>
      </c>
      <c r="G17" s="10" t="s">
        <v>93</v>
      </c>
      <c r="H17" s="16" t="s">
        <v>73</v>
      </c>
      <c r="I17" s="16" t="s">
        <v>74</v>
      </c>
      <c r="J17" s="17" t="n">
        <v>46219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6" t="s">
        <v>98</v>
      </c>
      <c r="B18" s="16" t="s">
        <v>90</v>
      </c>
      <c r="C18" s="16" t="s">
        <v>6</v>
      </c>
      <c r="D18" s="16" t="s">
        <v>99</v>
      </c>
      <c r="E18" s="16" t="s">
        <v>63</v>
      </c>
      <c r="F18" s="16" t="s">
        <v>92</v>
      </c>
      <c r="G18" s="10" t="s">
        <v>100</v>
      </c>
      <c r="H18" s="16" t="s">
        <v>73</v>
      </c>
      <c r="I18" s="16" t="s">
        <v>74</v>
      </c>
      <c r="J18" s="17" t="n">
        <v>46219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6" t="s">
        <v>101</v>
      </c>
      <c r="B19" s="16" t="s">
        <v>90</v>
      </c>
      <c r="C19" s="16" t="s">
        <v>6</v>
      </c>
      <c r="D19" s="16" t="s">
        <v>102</v>
      </c>
      <c r="E19" s="16" t="s">
        <v>63</v>
      </c>
      <c r="F19" s="16" t="s">
        <v>92</v>
      </c>
      <c r="G19" s="10" t="s">
        <v>93</v>
      </c>
      <c r="H19" s="16" t="s">
        <v>73</v>
      </c>
      <c r="I19" s="16" t="s">
        <v>74</v>
      </c>
      <c r="J19" s="17" t="n">
        <v>46219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6" t="s">
        <v>103</v>
      </c>
      <c r="B20" s="16" t="s">
        <v>90</v>
      </c>
      <c r="C20" s="16" t="s">
        <v>6</v>
      </c>
      <c r="D20" s="16" t="s">
        <v>104</v>
      </c>
      <c r="E20" s="16" t="s">
        <v>63</v>
      </c>
      <c r="F20" s="16" t="s">
        <v>92</v>
      </c>
      <c r="G20" s="10" t="s">
        <v>93</v>
      </c>
      <c r="H20" s="16" t="s">
        <v>73</v>
      </c>
      <c r="I20" s="16" t="s">
        <v>74</v>
      </c>
      <c r="J20" s="17" t="n">
        <v>46219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6" t="s">
        <v>105</v>
      </c>
      <c r="B21" s="16" t="s">
        <v>90</v>
      </c>
      <c r="C21" s="16" t="s">
        <v>6</v>
      </c>
      <c r="D21" s="16" t="s">
        <v>106</v>
      </c>
      <c r="E21" s="16" t="s">
        <v>63</v>
      </c>
      <c r="F21" s="16" t="s">
        <v>92</v>
      </c>
      <c r="G21" s="10" t="s">
        <v>107</v>
      </c>
      <c r="H21" s="16" t="s">
        <v>66</v>
      </c>
      <c r="I21" s="16" t="s">
        <v>67</v>
      </c>
      <c r="J21" s="17" t="n">
        <v>46219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6" t="s">
        <v>108</v>
      </c>
      <c r="B22" s="16" t="s">
        <v>109</v>
      </c>
      <c r="C22" s="16" t="s">
        <v>6</v>
      </c>
      <c r="D22" s="16" t="s">
        <v>110</v>
      </c>
      <c r="E22" s="16" t="s">
        <v>63</v>
      </c>
      <c r="F22" s="16" t="s">
        <v>111</v>
      </c>
      <c r="G22" s="10" t="s">
        <v>81</v>
      </c>
      <c r="H22" s="16" t="s">
        <v>66</v>
      </c>
      <c r="I22" s="16" t="s">
        <v>67</v>
      </c>
      <c r="J22" s="17" t="n">
        <v>46219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6" t="s">
        <v>112</v>
      </c>
      <c r="B23" s="16" t="s">
        <v>109</v>
      </c>
      <c r="C23" s="16" t="s">
        <v>6</v>
      </c>
      <c r="D23" s="16" t="s">
        <v>113</v>
      </c>
      <c r="E23" s="16" t="s">
        <v>63</v>
      </c>
      <c r="F23" s="16" t="s">
        <v>111</v>
      </c>
      <c r="G23" s="10" t="s">
        <v>114</v>
      </c>
      <c r="H23" s="16" t="s">
        <v>66</v>
      </c>
      <c r="I23" s="16" t="s">
        <v>67</v>
      </c>
      <c r="J23" s="17" t="n">
        <v>46219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6" t="s">
        <v>115</v>
      </c>
      <c r="B24" s="16" t="s">
        <v>109</v>
      </c>
      <c r="C24" s="16" t="s">
        <v>6</v>
      </c>
      <c r="D24" s="16" t="s">
        <v>116</v>
      </c>
      <c r="E24" s="16" t="s">
        <v>63</v>
      </c>
      <c r="F24" s="16" t="s">
        <v>111</v>
      </c>
      <c r="G24" s="10" t="s">
        <v>107</v>
      </c>
      <c r="H24" s="16" t="s">
        <v>66</v>
      </c>
      <c r="I24" s="16" t="s">
        <v>67</v>
      </c>
      <c r="J24" s="17" t="n">
        <v>46219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6" t="s">
        <v>117</v>
      </c>
      <c r="B25" s="16" t="s">
        <v>109</v>
      </c>
      <c r="C25" s="16" t="s">
        <v>6</v>
      </c>
      <c r="D25" s="16" t="s">
        <v>118</v>
      </c>
      <c r="E25" s="16" t="s">
        <v>63</v>
      </c>
      <c r="F25" s="16" t="s">
        <v>111</v>
      </c>
      <c r="G25" s="10" t="s">
        <v>119</v>
      </c>
      <c r="H25" s="16" t="s">
        <v>66</v>
      </c>
      <c r="I25" s="16" t="s">
        <v>67</v>
      </c>
      <c r="J25" s="17" t="n">
        <v>46219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6" t="s">
        <v>120</v>
      </c>
      <c r="B26" s="16" t="s">
        <v>109</v>
      </c>
      <c r="C26" s="16" t="s">
        <v>6</v>
      </c>
      <c r="D26" s="16" t="s">
        <v>121</v>
      </c>
      <c r="E26" s="16" t="s">
        <v>63</v>
      </c>
      <c r="F26" s="16" t="s">
        <v>111</v>
      </c>
      <c r="G26" s="16" t="s">
        <v>122</v>
      </c>
      <c r="H26" s="16" t="s">
        <v>73</v>
      </c>
      <c r="I26" s="16" t="s">
        <v>74</v>
      </c>
      <c r="J26" s="19" t="n">
        <v>46219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6" t="s">
        <v>123</v>
      </c>
      <c r="B27" s="16" t="s">
        <v>109</v>
      </c>
      <c r="C27" s="16" t="s">
        <v>6</v>
      </c>
      <c r="D27" s="16" t="s">
        <v>124</v>
      </c>
      <c r="E27" s="16" t="s">
        <v>63</v>
      </c>
      <c r="F27" s="16" t="s">
        <v>111</v>
      </c>
      <c r="G27" s="10" t="s">
        <v>125</v>
      </c>
      <c r="H27" s="16" t="s">
        <v>66</v>
      </c>
      <c r="I27" s="16" t="s">
        <v>67</v>
      </c>
      <c r="J27" s="17" t="n">
        <v>46219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6" t="s">
        <v>126</v>
      </c>
      <c r="B28" s="16" t="s">
        <v>109</v>
      </c>
      <c r="C28" s="16" t="s">
        <v>6</v>
      </c>
      <c r="D28" s="16" t="s">
        <v>127</v>
      </c>
      <c r="E28" s="16" t="s">
        <v>63</v>
      </c>
      <c r="F28" s="16" t="s">
        <v>111</v>
      </c>
      <c r="G28" s="10" t="s">
        <v>128</v>
      </c>
      <c r="H28" s="16" t="s">
        <v>66</v>
      </c>
      <c r="I28" s="16" t="s">
        <v>67</v>
      </c>
      <c r="J28" s="17" t="n">
        <v>46219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6" t="s">
        <v>129</v>
      </c>
      <c r="B29" s="16" t="s">
        <v>130</v>
      </c>
      <c r="C29" s="16" t="s">
        <v>6</v>
      </c>
      <c r="D29" s="16" t="s">
        <v>131</v>
      </c>
      <c r="E29" s="16" t="s">
        <v>63</v>
      </c>
      <c r="F29" s="16" t="s">
        <v>132</v>
      </c>
      <c r="G29" s="10" t="s">
        <v>93</v>
      </c>
      <c r="H29" s="16" t="s">
        <v>66</v>
      </c>
      <c r="I29" s="16" t="s">
        <v>67</v>
      </c>
      <c r="J29" s="17" t="n">
        <v>46219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6" t="s">
        <v>133</v>
      </c>
      <c r="B30" s="16" t="s">
        <v>130</v>
      </c>
      <c r="C30" s="16" t="s">
        <v>6</v>
      </c>
      <c r="D30" s="16" t="s">
        <v>134</v>
      </c>
      <c r="E30" s="16" t="s">
        <v>63</v>
      </c>
      <c r="F30" s="16" t="s">
        <v>132</v>
      </c>
      <c r="G30" s="16" t="s">
        <v>93</v>
      </c>
      <c r="H30" s="16" t="s">
        <v>73</v>
      </c>
      <c r="I30" s="16" t="s">
        <v>74</v>
      </c>
      <c r="J30" s="19" t="n">
        <v>46219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6" t="s">
        <v>135</v>
      </c>
      <c r="B31" s="16" t="s">
        <v>136</v>
      </c>
      <c r="C31" s="16" t="s">
        <v>6</v>
      </c>
      <c r="D31" s="16" t="s">
        <v>137</v>
      </c>
      <c r="E31" s="16" t="s">
        <v>63</v>
      </c>
      <c r="F31" s="16" t="s">
        <v>138</v>
      </c>
      <c r="G31" s="10" t="s">
        <v>139</v>
      </c>
      <c r="H31" s="16" t="s">
        <v>73</v>
      </c>
      <c r="I31" s="16" t="s">
        <v>74</v>
      </c>
      <c r="J31" s="17" t="n">
        <v>46219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6" t="s">
        <v>140</v>
      </c>
      <c r="B32" s="16" t="s">
        <v>136</v>
      </c>
      <c r="C32" s="16" t="s">
        <v>6</v>
      </c>
      <c r="D32" s="16" t="s">
        <v>141</v>
      </c>
      <c r="E32" s="16" t="s">
        <v>63</v>
      </c>
      <c r="F32" s="16" t="s">
        <v>138</v>
      </c>
      <c r="G32" s="10" t="s">
        <v>142</v>
      </c>
      <c r="H32" s="16" t="s">
        <v>66</v>
      </c>
      <c r="I32" s="16" t="s">
        <v>67</v>
      </c>
      <c r="J32" s="17" t="n">
        <v>46219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6" t="s">
        <v>143</v>
      </c>
      <c r="B33" s="16" t="s">
        <v>144</v>
      </c>
      <c r="C33" s="16" t="s">
        <v>6</v>
      </c>
      <c r="D33" s="16" t="s">
        <v>145</v>
      </c>
      <c r="E33" s="16" t="s">
        <v>146</v>
      </c>
      <c r="F33" s="16" t="s">
        <v>146</v>
      </c>
      <c r="G33" s="16" t="s">
        <v>147</v>
      </c>
      <c r="H33" s="16" t="s">
        <v>73</v>
      </c>
      <c r="I33" s="16" t="s">
        <v>74</v>
      </c>
      <c r="J33" s="19" t="n">
        <v>46219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6" t="s">
        <v>148</v>
      </c>
      <c r="B34" s="16" t="s">
        <v>149</v>
      </c>
      <c r="C34" s="16" t="s">
        <v>6</v>
      </c>
      <c r="D34" s="16" t="s">
        <v>150</v>
      </c>
      <c r="E34" s="16" t="s">
        <v>151</v>
      </c>
      <c r="F34" s="16" t="s">
        <v>152</v>
      </c>
      <c r="G34" s="16"/>
      <c r="H34" s="16" t="s">
        <v>153</v>
      </c>
      <c r="I34" s="16" t="s">
        <v>74</v>
      </c>
      <c r="J34" s="16"/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7">
      <formula>$H9="not started"</formula>
    </cfRule>
    <cfRule type="expression" priority="3" aboveAverage="0" equalAverage="0" bottom="0" percent="0" rank="0" text="" dxfId="8">
      <formula>$H9="partial"</formula>
    </cfRule>
    <cfRule type="expression" priority="4" aboveAverage="0" equalAverage="0" bottom="0" percent="0" rank="0" text="" dxfId="9">
      <formula>$H9="implemented"</formula>
    </cfRule>
    <cfRule type="expression" priority="5" aboveAverage="0" equalAverage="0" bottom="0" percent="0" rank="0" text="" dxfId="10">
      <formula>$H9="tested"</formula>
    </cfRule>
    <cfRule type="expression" priority="6" aboveAverage="0" equalAverage="0" bottom="0" percent="0" rank="0" text="" dxfId="11">
      <formula>$H9="verified"</formula>
    </cfRule>
    <cfRule type="expression" priority="7" aboveAverage="0" equalAverage="0" bottom="0" percent="0" rank="0" text="" dxfId="12">
      <formula>$H9="blocked"</formula>
    </cfRule>
    <cfRule type="expression" priority="8" aboveAverage="0" equalAverage="0" bottom="0" percent="0" rank="0" text="" dxfId="13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155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47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5" t="s">
        <v>48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49</v>
      </c>
      <c r="B8" s="7" t="s">
        <v>50</v>
      </c>
      <c r="C8" s="7" t="s">
        <v>51</v>
      </c>
      <c r="D8" s="7" t="s">
        <v>52</v>
      </c>
      <c r="E8" s="7" t="s">
        <v>53</v>
      </c>
      <c r="F8" s="7" t="s">
        <v>54</v>
      </c>
      <c r="G8" s="7" t="s">
        <v>55</v>
      </c>
      <c r="H8" s="7" t="s">
        <v>18</v>
      </c>
      <c r="I8" s="7" t="s">
        <v>56</v>
      </c>
      <c r="J8" s="7" t="s">
        <v>57</v>
      </c>
      <c r="K8" s="7" t="s">
        <v>58</v>
      </c>
      <c r="L8" s="7" t="s">
        <v>59</v>
      </c>
      <c r="M8" s="7" t="s">
        <v>47</v>
      </c>
    </row>
    <row r="9" customFormat="false" ht="42.75" hidden="false" customHeight="true" outlineLevel="0" collapsed="false">
      <c r="A9" s="16" t="s">
        <v>156</v>
      </c>
      <c r="B9" s="16" t="s">
        <v>61</v>
      </c>
      <c r="C9" s="16" t="s">
        <v>157</v>
      </c>
      <c r="D9" s="16" t="s">
        <v>158</v>
      </c>
      <c r="E9" s="16" t="s">
        <v>63</v>
      </c>
      <c r="F9" s="16" t="s">
        <v>64</v>
      </c>
      <c r="G9" s="16" t="s">
        <v>159</v>
      </c>
      <c r="H9" s="16" t="s">
        <v>66</v>
      </c>
      <c r="I9" s="16" t="s">
        <v>67</v>
      </c>
      <c r="J9" s="17" t="n">
        <v>46220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6" t="s">
        <v>160</v>
      </c>
      <c r="B10" s="16" t="s">
        <v>69</v>
      </c>
      <c r="C10" s="16" t="s">
        <v>6</v>
      </c>
      <c r="D10" s="16" t="s">
        <v>161</v>
      </c>
      <c r="E10" s="16" t="s">
        <v>63</v>
      </c>
      <c r="F10" s="16" t="s">
        <v>71</v>
      </c>
      <c r="G10" s="16" t="s">
        <v>162</v>
      </c>
      <c r="H10" s="16" t="s">
        <v>73</v>
      </c>
      <c r="I10" s="16" t="s">
        <v>74</v>
      </c>
      <c r="J10" s="17" t="n">
        <v>46220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6" t="s">
        <v>163</v>
      </c>
      <c r="B11" s="16" t="s">
        <v>61</v>
      </c>
      <c r="C11" s="16" t="s">
        <v>157</v>
      </c>
      <c r="D11" s="16" t="s">
        <v>164</v>
      </c>
      <c r="E11" s="16" t="s">
        <v>63</v>
      </c>
      <c r="F11" s="16" t="s">
        <v>77</v>
      </c>
      <c r="G11" s="16" t="s">
        <v>165</v>
      </c>
      <c r="H11" s="16" t="s">
        <v>66</v>
      </c>
      <c r="I11" s="16" t="s">
        <v>67</v>
      </c>
      <c r="J11" s="17" t="n">
        <v>46220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6" t="s">
        <v>166</v>
      </c>
      <c r="B12" s="16" t="s">
        <v>61</v>
      </c>
      <c r="C12" s="16" t="s">
        <v>167</v>
      </c>
      <c r="D12" s="16" t="s">
        <v>168</v>
      </c>
      <c r="E12" s="16" t="s">
        <v>63</v>
      </c>
      <c r="F12" s="16" t="s">
        <v>111</v>
      </c>
      <c r="G12" s="16" t="s">
        <v>169</v>
      </c>
      <c r="H12" s="16" t="s">
        <v>66</v>
      </c>
      <c r="I12" s="16" t="s">
        <v>67</v>
      </c>
      <c r="J12" s="17" t="n">
        <v>46220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6" t="s">
        <v>170</v>
      </c>
      <c r="B13" s="16" t="s">
        <v>41</v>
      </c>
      <c r="C13" s="16" t="s">
        <v>171</v>
      </c>
      <c r="D13" s="16" t="s">
        <v>172</v>
      </c>
      <c r="E13" s="16" t="s">
        <v>63</v>
      </c>
      <c r="F13" s="16" t="s">
        <v>111</v>
      </c>
      <c r="G13" s="16" t="s">
        <v>169</v>
      </c>
      <c r="H13" s="16" t="s">
        <v>66</v>
      </c>
      <c r="I13" s="16" t="s">
        <v>67</v>
      </c>
      <c r="J13" s="17" t="n">
        <v>46220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6" t="s">
        <v>173</v>
      </c>
      <c r="B14" s="16" t="s">
        <v>41</v>
      </c>
      <c r="C14" s="16" t="s">
        <v>174</v>
      </c>
      <c r="D14" s="16" t="s">
        <v>175</v>
      </c>
      <c r="E14" s="16" t="s">
        <v>63</v>
      </c>
      <c r="F14" s="16" t="s">
        <v>132</v>
      </c>
      <c r="G14" s="16" t="s">
        <v>176</v>
      </c>
      <c r="H14" s="16" t="s">
        <v>73</v>
      </c>
      <c r="I14" s="16" t="s">
        <v>74</v>
      </c>
      <c r="J14" s="17" t="n">
        <v>46220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6" t="s">
        <v>177</v>
      </c>
      <c r="B15" s="16" t="s">
        <v>41</v>
      </c>
      <c r="C15" s="16" t="s">
        <v>178</v>
      </c>
      <c r="D15" s="16" t="s">
        <v>179</v>
      </c>
      <c r="E15" s="16" t="s">
        <v>63</v>
      </c>
      <c r="F15" s="16" t="s">
        <v>111</v>
      </c>
      <c r="G15" s="16" t="s">
        <v>169</v>
      </c>
      <c r="H15" s="16" t="s">
        <v>66</v>
      </c>
      <c r="I15" s="16" t="s">
        <v>67</v>
      </c>
      <c r="J15" s="17" t="n">
        <v>46220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6" t="s">
        <v>180</v>
      </c>
      <c r="B16" s="16" t="s">
        <v>41</v>
      </c>
      <c r="C16" s="16" t="s">
        <v>181</v>
      </c>
      <c r="D16" s="16" t="s">
        <v>182</v>
      </c>
      <c r="E16" s="16" t="s">
        <v>63</v>
      </c>
      <c r="F16" s="16" t="s">
        <v>111</v>
      </c>
      <c r="G16" s="16" t="s">
        <v>169</v>
      </c>
      <c r="H16" s="16" t="s">
        <v>66</v>
      </c>
      <c r="I16" s="16" t="s">
        <v>67</v>
      </c>
      <c r="J16" s="17" t="n">
        <v>46220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6" t="s">
        <v>183</v>
      </c>
      <c r="B17" s="16" t="s">
        <v>41</v>
      </c>
      <c r="C17" s="16" t="s">
        <v>184</v>
      </c>
      <c r="D17" s="16" t="s">
        <v>185</v>
      </c>
      <c r="E17" s="16" t="s">
        <v>63</v>
      </c>
      <c r="F17" s="16" t="s">
        <v>111</v>
      </c>
      <c r="G17" s="16" t="s">
        <v>186</v>
      </c>
      <c r="H17" s="16" t="s">
        <v>66</v>
      </c>
      <c r="I17" s="16" t="s">
        <v>67</v>
      </c>
      <c r="J17" s="17" t="n">
        <v>46220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6" t="s">
        <v>187</v>
      </c>
      <c r="B18" s="16" t="s">
        <v>41</v>
      </c>
      <c r="C18" s="16" t="s">
        <v>188</v>
      </c>
      <c r="D18" s="16" t="s">
        <v>189</v>
      </c>
      <c r="E18" s="16" t="s">
        <v>63</v>
      </c>
      <c r="F18" s="16" t="s">
        <v>111</v>
      </c>
      <c r="G18" s="16" t="s">
        <v>169</v>
      </c>
      <c r="H18" s="16" t="s">
        <v>66</v>
      </c>
      <c r="I18" s="16" t="s">
        <v>67</v>
      </c>
      <c r="J18" s="17" t="n">
        <v>46220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6" t="s">
        <v>190</v>
      </c>
      <c r="B19" s="16" t="s">
        <v>41</v>
      </c>
      <c r="C19" s="16" t="s">
        <v>191</v>
      </c>
      <c r="D19" s="16" t="s">
        <v>192</v>
      </c>
      <c r="E19" s="16" t="s">
        <v>63</v>
      </c>
      <c r="F19" s="16" t="s">
        <v>132</v>
      </c>
      <c r="G19" s="16" t="s">
        <v>176</v>
      </c>
      <c r="H19" s="16" t="s">
        <v>73</v>
      </c>
      <c r="I19" s="16" t="s">
        <v>74</v>
      </c>
      <c r="J19" s="17" t="n">
        <v>46220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6" t="s">
        <v>193</v>
      </c>
      <c r="B20" s="16" t="s">
        <v>83</v>
      </c>
      <c r="C20" s="16" t="s">
        <v>167</v>
      </c>
      <c r="D20" s="16" t="s">
        <v>194</v>
      </c>
      <c r="E20" s="16" t="s">
        <v>63</v>
      </c>
      <c r="F20" s="16" t="s">
        <v>64</v>
      </c>
      <c r="G20" s="16" t="s">
        <v>195</v>
      </c>
      <c r="H20" s="16" t="s">
        <v>66</v>
      </c>
      <c r="I20" s="16" t="s">
        <v>67</v>
      </c>
      <c r="J20" s="17" t="n">
        <v>46220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6" t="s">
        <v>196</v>
      </c>
      <c r="B21" s="16" t="s">
        <v>83</v>
      </c>
      <c r="C21" s="16" t="s">
        <v>171</v>
      </c>
      <c r="D21" s="16" t="s">
        <v>197</v>
      </c>
      <c r="E21" s="16" t="s">
        <v>63</v>
      </c>
      <c r="F21" s="16" t="s">
        <v>132</v>
      </c>
      <c r="G21" s="16" t="s">
        <v>176</v>
      </c>
      <c r="H21" s="16" t="s">
        <v>73</v>
      </c>
      <c r="I21" s="16" t="s">
        <v>74</v>
      </c>
      <c r="J21" s="17" t="n">
        <v>46220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6" t="s">
        <v>198</v>
      </c>
      <c r="B22" s="16" t="s">
        <v>90</v>
      </c>
      <c r="C22" s="16" t="s">
        <v>167</v>
      </c>
      <c r="D22" s="16" t="s">
        <v>199</v>
      </c>
      <c r="E22" s="16" t="s">
        <v>63</v>
      </c>
      <c r="F22" s="16" t="s">
        <v>92</v>
      </c>
      <c r="G22" s="16" t="s">
        <v>176</v>
      </c>
      <c r="H22" s="16" t="s">
        <v>73</v>
      </c>
      <c r="I22" s="16" t="s">
        <v>74</v>
      </c>
      <c r="J22" s="17" t="n">
        <v>46220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6" t="s">
        <v>200</v>
      </c>
      <c r="B23" s="16" t="s">
        <v>90</v>
      </c>
      <c r="C23" s="16" t="s">
        <v>171</v>
      </c>
      <c r="D23" s="16" t="s">
        <v>201</v>
      </c>
      <c r="E23" s="16" t="s">
        <v>63</v>
      </c>
      <c r="F23" s="16" t="s">
        <v>92</v>
      </c>
      <c r="G23" s="16" t="s">
        <v>186</v>
      </c>
      <c r="H23" s="16" t="s">
        <v>73</v>
      </c>
      <c r="I23" s="16" t="s">
        <v>74</v>
      </c>
      <c r="J23" s="17" t="n">
        <v>46220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6" t="s">
        <v>202</v>
      </c>
      <c r="B24" s="16" t="s">
        <v>90</v>
      </c>
      <c r="C24" s="16" t="s">
        <v>167</v>
      </c>
      <c r="D24" s="16" t="s">
        <v>203</v>
      </c>
      <c r="E24" s="16" t="s">
        <v>63</v>
      </c>
      <c r="F24" s="16" t="s">
        <v>132</v>
      </c>
      <c r="G24" s="16" t="s">
        <v>176</v>
      </c>
      <c r="H24" s="16" t="s">
        <v>73</v>
      </c>
      <c r="I24" s="16" t="s">
        <v>74</v>
      </c>
      <c r="J24" s="17" t="n">
        <v>46220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6" t="s">
        <v>204</v>
      </c>
      <c r="B25" s="16" t="s">
        <v>90</v>
      </c>
      <c r="C25" s="16" t="s">
        <v>171</v>
      </c>
      <c r="D25" s="16" t="s">
        <v>205</v>
      </c>
      <c r="E25" s="16" t="s">
        <v>63</v>
      </c>
      <c r="F25" s="16" t="s">
        <v>111</v>
      </c>
      <c r="G25" s="16" t="s">
        <v>100</v>
      </c>
      <c r="H25" s="16" t="s">
        <v>73</v>
      </c>
      <c r="I25" s="16" t="s">
        <v>74</v>
      </c>
      <c r="J25" s="17" t="n">
        <v>46220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6" t="s">
        <v>206</v>
      </c>
      <c r="B26" s="16" t="s">
        <v>90</v>
      </c>
      <c r="C26" s="16" t="s">
        <v>167</v>
      </c>
      <c r="D26" s="16" t="s">
        <v>207</v>
      </c>
      <c r="E26" s="16" t="s">
        <v>63</v>
      </c>
      <c r="F26" s="16" t="s">
        <v>132</v>
      </c>
      <c r="G26" s="16" t="s">
        <v>176</v>
      </c>
      <c r="H26" s="16" t="s">
        <v>73</v>
      </c>
      <c r="I26" s="16" t="s">
        <v>74</v>
      </c>
      <c r="J26" s="17" t="n">
        <v>46220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6" t="s">
        <v>208</v>
      </c>
      <c r="B27" s="16" t="s">
        <v>90</v>
      </c>
      <c r="C27" s="16" t="s">
        <v>167</v>
      </c>
      <c r="D27" s="16" t="s">
        <v>209</v>
      </c>
      <c r="E27" s="16" t="s">
        <v>63</v>
      </c>
      <c r="F27" s="16" t="s">
        <v>132</v>
      </c>
      <c r="G27" s="16" t="s">
        <v>176</v>
      </c>
      <c r="H27" s="16" t="s">
        <v>73</v>
      </c>
      <c r="I27" s="16" t="s">
        <v>74</v>
      </c>
      <c r="J27" s="17" t="n">
        <v>46220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6" t="s">
        <v>210</v>
      </c>
      <c r="B28" s="16" t="s">
        <v>90</v>
      </c>
      <c r="C28" s="16" t="s">
        <v>6</v>
      </c>
      <c r="D28" s="16" t="s">
        <v>211</v>
      </c>
      <c r="E28" s="16" t="s">
        <v>63</v>
      </c>
      <c r="F28" s="16" t="s">
        <v>92</v>
      </c>
      <c r="G28" s="16" t="s">
        <v>186</v>
      </c>
      <c r="H28" s="16" t="s">
        <v>66</v>
      </c>
      <c r="I28" s="16" t="s">
        <v>67</v>
      </c>
      <c r="J28" s="17" t="n">
        <v>46220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6" t="s">
        <v>212</v>
      </c>
      <c r="B29" s="16" t="s">
        <v>109</v>
      </c>
      <c r="C29" s="16" t="s">
        <v>167</v>
      </c>
      <c r="D29" s="16" t="s">
        <v>213</v>
      </c>
      <c r="E29" s="16" t="s">
        <v>63</v>
      </c>
      <c r="F29" s="16" t="s">
        <v>111</v>
      </c>
      <c r="G29" s="16" t="s">
        <v>169</v>
      </c>
      <c r="H29" s="16" t="s">
        <v>66</v>
      </c>
      <c r="I29" s="16" t="s">
        <v>67</v>
      </c>
      <c r="J29" s="17" t="n">
        <v>46220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6" t="s">
        <v>214</v>
      </c>
      <c r="B30" s="16" t="s">
        <v>109</v>
      </c>
      <c r="C30" s="16" t="s">
        <v>157</v>
      </c>
      <c r="D30" s="16" t="s">
        <v>215</v>
      </c>
      <c r="E30" s="16" t="s">
        <v>63</v>
      </c>
      <c r="F30" s="16" t="s">
        <v>111</v>
      </c>
      <c r="G30" s="16" t="s">
        <v>114</v>
      </c>
      <c r="H30" s="16" t="s">
        <v>66</v>
      </c>
      <c r="I30" s="16" t="s">
        <v>67</v>
      </c>
      <c r="J30" s="17" t="n">
        <v>46220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6" t="s">
        <v>216</v>
      </c>
      <c r="B31" s="16" t="s">
        <v>109</v>
      </c>
      <c r="C31" s="16" t="s">
        <v>171</v>
      </c>
      <c r="D31" s="16" t="s">
        <v>217</v>
      </c>
      <c r="E31" s="16" t="s">
        <v>63</v>
      </c>
      <c r="F31" s="16" t="s">
        <v>111</v>
      </c>
      <c r="G31" s="16" t="s">
        <v>186</v>
      </c>
      <c r="H31" s="16" t="s">
        <v>66</v>
      </c>
      <c r="I31" s="16" t="s">
        <v>67</v>
      </c>
      <c r="J31" s="17" t="n">
        <v>46220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6" t="s">
        <v>218</v>
      </c>
      <c r="B32" s="16" t="s">
        <v>109</v>
      </c>
      <c r="C32" s="16" t="s">
        <v>171</v>
      </c>
      <c r="D32" s="16" t="s">
        <v>219</v>
      </c>
      <c r="E32" s="16" t="s">
        <v>63</v>
      </c>
      <c r="F32" s="16" t="s">
        <v>111</v>
      </c>
      <c r="G32" s="16" t="s">
        <v>119</v>
      </c>
      <c r="H32" s="16" t="s">
        <v>66</v>
      </c>
      <c r="I32" s="16" t="s">
        <v>67</v>
      </c>
      <c r="J32" s="17" t="n">
        <v>46220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6" t="s">
        <v>220</v>
      </c>
      <c r="B33" s="16" t="s">
        <v>109</v>
      </c>
      <c r="C33" s="16" t="s">
        <v>171</v>
      </c>
      <c r="D33" s="16" t="s">
        <v>221</v>
      </c>
      <c r="E33" s="16" t="s">
        <v>63</v>
      </c>
      <c r="F33" s="16" t="s">
        <v>111</v>
      </c>
      <c r="G33" s="16" t="s">
        <v>122</v>
      </c>
      <c r="H33" s="16" t="s">
        <v>73</v>
      </c>
      <c r="I33" s="16" t="s">
        <v>74</v>
      </c>
      <c r="J33" s="17" t="n">
        <v>46220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6" t="s">
        <v>222</v>
      </c>
      <c r="B34" s="16" t="s">
        <v>109</v>
      </c>
      <c r="C34" s="16" t="s">
        <v>167</v>
      </c>
      <c r="D34" s="16" t="s">
        <v>223</v>
      </c>
      <c r="E34" s="16" t="s">
        <v>63</v>
      </c>
      <c r="F34" s="16" t="s">
        <v>111</v>
      </c>
      <c r="G34" s="16" t="s">
        <v>224</v>
      </c>
      <c r="H34" s="16" t="s">
        <v>66</v>
      </c>
      <c r="I34" s="16" t="s">
        <v>67</v>
      </c>
      <c r="J34" s="17" t="n">
        <v>46220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6" t="s">
        <v>225</v>
      </c>
      <c r="B35" s="16" t="s">
        <v>109</v>
      </c>
      <c r="C35" s="16" t="s">
        <v>6</v>
      </c>
      <c r="D35" s="16" t="s">
        <v>226</v>
      </c>
      <c r="E35" s="16" t="s">
        <v>63</v>
      </c>
      <c r="F35" s="16" t="s">
        <v>111</v>
      </c>
      <c r="G35" s="16" t="s">
        <v>227</v>
      </c>
      <c r="H35" s="16" t="s">
        <v>66</v>
      </c>
      <c r="I35" s="16" t="s">
        <v>67</v>
      </c>
      <c r="J35" s="17" t="n">
        <v>46220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6" t="s">
        <v>228</v>
      </c>
      <c r="B36" s="16" t="s">
        <v>130</v>
      </c>
      <c r="C36" s="16" t="s">
        <v>6</v>
      </c>
      <c r="D36" s="16" t="s">
        <v>229</v>
      </c>
      <c r="E36" s="16" t="s">
        <v>63</v>
      </c>
      <c r="F36" s="16" t="s">
        <v>132</v>
      </c>
      <c r="G36" s="16" t="s">
        <v>176</v>
      </c>
      <c r="H36" s="16" t="s">
        <v>66</v>
      </c>
      <c r="I36" s="16" t="s">
        <v>67</v>
      </c>
      <c r="J36" s="17" t="n">
        <v>46220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6" t="s">
        <v>230</v>
      </c>
      <c r="B37" s="16" t="s">
        <v>130</v>
      </c>
      <c r="C37" s="16" t="s">
        <v>167</v>
      </c>
      <c r="D37" s="16" t="s">
        <v>231</v>
      </c>
      <c r="E37" s="16" t="s">
        <v>63</v>
      </c>
      <c r="F37" s="16" t="s">
        <v>132</v>
      </c>
      <c r="G37" s="16" t="s">
        <v>176</v>
      </c>
      <c r="H37" s="16" t="s">
        <v>73</v>
      </c>
      <c r="I37" s="16" t="s">
        <v>74</v>
      </c>
      <c r="J37" s="17" t="n">
        <v>46220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6" t="s">
        <v>232</v>
      </c>
      <c r="B38" s="16" t="s">
        <v>136</v>
      </c>
      <c r="C38" s="16" t="s">
        <v>6</v>
      </c>
      <c r="D38" s="16" t="s">
        <v>233</v>
      </c>
      <c r="E38" s="16" t="s">
        <v>63</v>
      </c>
      <c r="F38" s="16" t="s">
        <v>138</v>
      </c>
      <c r="G38" s="16" t="s">
        <v>234</v>
      </c>
      <c r="H38" s="16" t="s">
        <v>73</v>
      </c>
      <c r="I38" s="16" t="s">
        <v>74</v>
      </c>
      <c r="J38" s="17" t="n">
        <v>46220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6" t="s">
        <v>235</v>
      </c>
      <c r="B39" s="16" t="s">
        <v>136</v>
      </c>
      <c r="C39" s="16" t="s">
        <v>6</v>
      </c>
      <c r="D39" s="16" t="s">
        <v>236</v>
      </c>
      <c r="E39" s="16" t="s">
        <v>63</v>
      </c>
      <c r="F39" s="16" t="s">
        <v>138</v>
      </c>
      <c r="G39" s="16" t="s">
        <v>237</v>
      </c>
      <c r="H39" s="16" t="s">
        <v>66</v>
      </c>
      <c r="I39" s="16" t="s">
        <v>67</v>
      </c>
      <c r="J39" s="17" t="n">
        <v>46220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6" t="s">
        <v>238</v>
      </c>
      <c r="B40" s="16" t="s">
        <v>144</v>
      </c>
      <c r="C40" s="16" t="s">
        <v>6</v>
      </c>
      <c r="D40" s="16" t="s">
        <v>239</v>
      </c>
      <c r="E40" s="16" t="s">
        <v>146</v>
      </c>
      <c r="F40" s="16" t="s">
        <v>146</v>
      </c>
      <c r="G40" s="16" t="s">
        <v>147</v>
      </c>
      <c r="H40" s="16" t="s">
        <v>73</v>
      </c>
      <c r="I40" s="16" t="s">
        <v>74</v>
      </c>
      <c r="J40" s="17" t="n">
        <v>46220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6" t="s">
        <v>240</v>
      </c>
      <c r="B41" s="16" t="s">
        <v>149</v>
      </c>
      <c r="C41" s="16" t="s">
        <v>241</v>
      </c>
      <c r="D41" s="16" t="s">
        <v>242</v>
      </c>
      <c r="E41" s="16" t="s">
        <v>151</v>
      </c>
      <c r="F41" s="16" t="s">
        <v>152</v>
      </c>
      <c r="G41" s="16" t="s">
        <v>243</v>
      </c>
      <c r="H41" s="16" t="s">
        <v>244</v>
      </c>
      <c r="I41" s="16" t="s">
        <v>74</v>
      </c>
      <c r="J41" s="17" t="n">
        <v>46220</v>
      </c>
      <c r="K41" s="16" t="s">
        <v>245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7">
      <formula>$H9="not started"</formula>
    </cfRule>
    <cfRule type="expression" priority="3" aboveAverage="0" equalAverage="0" bottom="0" percent="0" rank="0" text="" dxfId="8">
      <formula>$H9="partial"</formula>
    </cfRule>
    <cfRule type="expression" priority="4" aboveAverage="0" equalAverage="0" bottom="0" percent="0" rank="0" text="" dxfId="9">
      <formula>$H9="implemented"</formula>
    </cfRule>
    <cfRule type="expression" priority="5" aboveAverage="0" equalAverage="0" bottom="0" percent="0" rank="0" text="" dxfId="10">
      <formula>$H9="tested"</formula>
    </cfRule>
    <cfRule type="expression" priority="6" aboveAverage="0" equalAverage="0" bottom="0" percent="0" rank="0" text="" dxfId="11">
      <formula>$H9="verified"</formula>
    </cfRule>
    <cfRule type="expression" priority="7" aboveAverage="0" equalAverage="0" bottom="0" percent="0" rank="0" text="" dxfId="12">
      <formula>$H9="blocked"</formula>
    </cfRule>
    <cfRule type="expression" priority="8" aboveAverage="0" equalAverage="0" bottom="0" percent="0" rank="0" text="" dxfId="13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247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47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5" t="s">
        <v>48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49</v>
      </c>
      <c r="B8" s="7" t="s">
        <v>50</v>
      </c>
      <c r="C8" s="7" t="s">
        <v>51</v>
      </c>
      <c r="D8" s="7" t="s">
        <v>52</v>
      </c>
      <c r="E8" s="7" t="s">
        <v>53</v>
      </c>
      <c r="F8" s="7" t="s">
        <v>54</v>
      </c>
      <c r="G8" s="7" t="s">
        <v>55</v>
      </c>
      <c r="H8" s="7" t="s">
        <v>18</v>
      </c>
      <c r="I8" s="7" t="s">
        <v>56</v>
      </c>
      <c r="J8" s="7" t="s">
        <v>57</v>
      </c>
      <c r="K8" s="7" t="s">
        <v>58</v>
      </c>
      <c r="L8" s="7" t="s">
        <v>59</v>
      </c>
      <c r="M8" s="7" t="s">
        <v>47</v>
      </c>
    </row>
    <row r="9" customFormat="false" ht="42" hidden="false" customHeight="true" outlineLevel="0" collapsed="false">
      <c r="A9" s="16" t="s">
        <v>248</v>
      </c>
      <c r="B9" s="16" t="s">
        <v>61</v>
      </c>
      <c r="C9" s="16" t="s">
        <v>6</v>
      </c>
      <c r="D9" s="16" t="s">
        <v>249</v>
      </c>
      <c r="E9" s="16" t="s">
        <v>63</v>
      </c>
      <c r="F9" s="16" t="s">
        <v>64</v>
      </c>
      <c r="G9" s="16" t="s">
        <v>250</v>
      </c>
      <c r="H9" s="16" t="s">
        <v>66</v>
      </c>
      <c r="I9" s="16" t="s">
        <v>67</v>
      </c>
      <c r="J9" s="19" t="n">
        <v>46220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6" t="s">
        <v>251</v>
      </c>
      <c r="B10" s="16" t="s">
        <v>69</v>
      </c>
      <c r="C10" s="16" t="s">
        <v>6</v>
      </c>
      <c r="D10" s="16" t="s">
        <v>252</v>
      </c>
      <c r="E10" s="16" t="s">
        <v>63</v>
      </c>
      <c r="F10" s="16" t="s">
        <v>71</v>
      </c>
      <c r="G10" s="16" t="s">
        <v>253</v>
      </c>
      <c r="H10" s="16" t="s">
        <v>73</v>
      </c>
      <c r="I10" s="16" t="s">
        <v>74</v>
      </c>
      <c r="J10" s="19" t="n">
        <v>46220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6" t="s">
        <v>254</v>
      </c>
      <c r="B11" s="16" t="s">
        <v>61</v>
      </c>
      <c r="C11" s="16" t="s">
        <v>157</v>
      </c>
      <c r="D11" s="16" t="s">
        <v>255</v>
      </c>
      <c r="E11" s="16" t="s">
        <v>63</v>
      </c>
      <c r="F11" s="16" t="s">
        <v>77</v>
      </c>
      <c r="G11" s="16" t="s">
        <v>114</v>
      </c>
      <c r="H11" s="16" t="s">
        <v>66</v>
      </c>
      <c r="I11" s="16" t="s">
        <v>67</v>
      </c>
      <c r="J11" s="19" t="n">
        <v>46220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6" t="s">
        <v>256</v>
      </c>
      <c r="B12" s="16" t="s">
        <v>41</v>
      </c>
      <c r="C12" s="16" t="s">
        <v>171</v>
      </c>
      <c r="D12" s="16" t="s">
        <v>257</v>
      </c>
      <c r="E12" s="16" t="s">
        <v>63</v>
      </c>
      <c r="F12" s="16" t="s">
        <v>111</v>
      </c>
      <c r="G12" s="16" t="s">
        <v>258</v>
      </c>
      <c r="H12" s="16" t="s">
        <v>66</v>
      </c>
      <c r="I12" s="16" t="s">
        <v>67</v>
      </c>
      <c r="J12" s="19" t="n">
        <v>46221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6" t="s">
        <v>259</v>
      </c>
      <c r="B13" s="16" t="s">
        <v>41</v>
      </c>
      <c r="C13" s="16" t="s">
        <v>260</v>
      </c>
      <c r="D13" s="16" t="s">
        <v>261</v>
      </c>
      <c r="E13" s="16" t="s">
        <v>63</v>
      </c>
      <c r="F13" s="16" t="s">
        <v>111</v>
      </c>
      <c r="G13" s="16" t="s">
        <v>258</v>
      </c>
      <c r="H13" s="16" t="s">
        <v>66</v>
      </c>
      <c r="I13" s="16" t="s">
        <v>67</v>
      </c>
      <c r="J13" s="19" t="n">
        <v>46221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6" t="s">
        <v>262</v>
      </c>
      <c r="B14" s="16" t="s">
        <v>41</v>
      </c>
      <c r="C14" s="16" t="s">
        <v>263</v>
      </c>
      <c r="D14" s="16" t="s">
        <v>264</v>
      </c>
      <c r="E14" s="16" t="s">
        <v>63</v>
      </c>
      <c r="F14" s="16" t="s">
        <v>111</v>
      </c>
      <c r="G14" s="16" t="s">
        <v>265</v>
      </c>
      <c r="H14" s="16" t="s">
        <v>66</v>
      </c>
      <c r="I14" s="16" t="s">
        <v>67</v>
      </c>
      <c r="J14" s="19" t="n">
        <v>46221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6" t="s">
        <v>266</v>
      </c>
      <c r="B15" s="16" t="s">
        <v>41</v>
      </c>
      <c r="C15" s="16" t="s">
        <v>267</v>
      </c>
      <c r="D15" s="16" t="s">
        <v>268</v>
      </c>
      <c r="E15" s="16" t="s">
        <v>63</v>
      </c>
      <c r="F15" s="16" t="s">
        <v>111</v>
      </c>
      <c r="G15" s="16" t="s">
        <v>269</v>
      </c>
      <c r="H15" s="16" t="s">
        <v>66</v>
      </c>
      <c r="I15" s="16" t="s">
        <v>67</v>
      </c>
      <c r="J15" s="19" t="n">
        <v>46221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6" t="s">
        <v>270</v>
      </c>
      <c r="B16" s="16" t="s">
        <v>41</v>
      </c>
      <c r="C16" s="16" t="s">
        <v>188</v>
      </c>
      <c r="D16" s="16" t="s">
        <v>271</v>
      </c>
      <c r="E16" s="16" t="s">
        <v>63</v>
      </c>
      <c r="F16" s="16" t="s">
        <v>111</v>
      </c>
      <c r="G16" s="16" t="s">
        <v>258</v>
      </c>
      <c r="H16" s="16" t="s">
        <v>66</v>
      </c>
      <c r="I16" s="16" t="s">
        <v>67</v>
      </c>
      <c r="J16" s="19" t="n">
        <v>46220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6" t="s">
        <v>272</v>
      </c>
      <c r="B17" s="16" t="s">
        <v>41</v>
      </c>
      <c r="C17" s="16" t="s">
        <v>174</v>
      </c>
      <c r="D17" s="16" t="s">
        <v>273</v>
      </c>
      <c r="E17" s="16" t="s">
        <v>63</v>
      </c>
      <c r="F17" s="16" t="s">
        <v>111</v>
      </c>
      <c r="G17" s="16" t="s">
        <v>258</v>
      </c>
      <c r="H17" s="16" t="s">
        <v>66</v>
      </c>
      <c r="I17" s="16" t="s">
        <v>67</v>
      </c>
      <c r="J17" s="19" t="n">
        <v>46220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6" t="s">
        <v>274</v>
      </c>
      <c r="B18" s="16" t="s">
        <v>41</v>
      </c>
      <c r="C18" s="16" t="s">
        <v>178</v>
      </c>
      <c r="D18" s="16" t="s">
        <v>275</v>
      </c>
      <c r="E18" s="16" t="s">
        <v>63</v>
      </c>
      <c r="F18" s="16" t="s">
        <v>111</v>
      </c>
      <c r="G18" s="16" t="s">
        <v>258</v>
      </c>
      <c r="H18" s="16" t="s">
        <v>66</v>
      </c>
      <c r="I18" s="16" t="s">
        <v>67</v>
      </c>
      <c r="J18" s="19" t="n">
        <v>46221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6" t="s">
        <v>276</v>
      </c>
      <c r="B19" s="16" t="s">
        <v>41</v>
      </c>
      <c r="C19" s="16" t="s">
        <v>181</v>
      </c>
      <c r="D19" s="16" t="s">
        <v>277</v>
      </c>
      <c r="E19" s="16" t="s">
        <v>63</v>
      </c>
      <c r="F19" s="16" t="s">
        <v>111</v>
      </c>
      <c r="G19" s="16" t="s">
        <v>258</v>
      </c>
      <c r="H19" s="16" t="s">
        <v>66</v>
      </c>
      <c r="I19" s="16" t="s">
        <v>67</v>
      </c>
      <c r="J19" s="19" t="n">
        <v>46220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6" t="s">
        <v>278</v>
      </c>
      <c r="B20" s="16" t="s">
        <v>41</v>
      </c>
      <c r="C20" s="16" t="s">
        <v>279</v>
      </c>
      <c r="D20" s="16" t="s">
        <v>280</v>
      </c>
      <c r="E20" s="16" t="s">
        <v>63</v>
      </c>
      <c r="F20" s="16" t="s">
        <v>132</v>
      </c>
      <c r="G20" s="16" t="s">
        <v>281</v>
      </c>
      <c r="H20" s="16" t="s">
        <v>73</v>
      </c>
      <c r="I20" s="16" t="s">
        <v>74</v>
      </c>
      <c r="J20" s="19" t="n">
        <v>46220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6" t="s">
        <v>282</v>
      </c>
      <c r="B21" s="16" t="s">
        <v>41</v>
      </c>
      <c r="C21" s="16" t="s">
        <v>191</v>
      </c>
      <c r="D21" s="16" t="s">
        <v>283</v>
      </c>
      <c r="E21" s="16" t="s">
        <v>63</v>
      </c>
      <c r="F21" s="16" t="s">
        <v>132</v>
      </c>
      <c r="G21" s="16" t="s">
        <v>281</v>
      </c>
      <c r="H21" s="16" t="s">
        <v>73</v>
      </c>
      <c r="I21" s="16" t="s">
        <v>74</v>
      </c>
      <c r="J21" s="19" t="n">
        <v>46220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6" t="s">
        <v>284</v>
      </c>
      <c r="B22" s="16" t="s">
        <v>41</v>
      </c>
      <c r="C22" s="16" t="s">
        <v>285</v>
      </c>
      <c r="D22" s="16" t="s">
        <v>286</v>
      </c>
      <c r="E22" s="16" t="s">
        <v>63</v>
      </c>
      <c r="F22" s="16" t="s">
        <v>111</v>
      </c>
      <c r="G22" s="16" t="s">
        <v>258</v>
      </c>
      <c r="H22" s="16" t="s">
        <v>66</v>
      </c>
      <c r="I22" s="16" t="s">
        <v>67</v>
      </c>
      <c r="J22" s="19" t="n">
        <v>46221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6" t="s">
        <v>287</v>
      </c>
      <c r="B23" s="16" t="s">
        <v>41</v>
      </c>
      <c r="C23" s="16" t="s">
        <v>288</v>
      </c>
      <c r="D23" s="16" t="s">
        <v>289</v>
      </c>
      <c r="E23" s="16" t="s">
        <v>63</v>
      </c>
      <c r="F23" s="16" t="s">
        <v>111</v>
      </c>
      <c r="G23" s="16" t="s">
        <v>258</v>
      </c>
      <c r="H23" s="16" t="s">
        <v>66</v>
      </c>
      <c r="I23" s="16" t="s">
        <v>67</v>
      </c>
      <c r="J23" s="19" t="n">
        <v>46221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6" t="s">
        <v>290</v>
      </c>
      <c r="B24" s="16" t="s">
        <v>83</v>
      </c>
      <c r="C24" s="16" t="s">
        <v>167</v>
      </c>
      <c r="D24" s="16" t="s">
        <v>291</v>
      </c>
      <c r="E24" s="16" t="s">
        <v>63</v>
      </c>
      <c r="F24" s="16" t="s">
        <v>64</v>
      </c>
      <c r="G24" s="16" t="s">
        <v>292</v>
      </c>
      <c r="H24" s="16" t="s">
        <v>66</v>
      </c>
      <c r="I24" s="16" t="s">
        <v>67</v>
      </c>
      <c r="J24" s="19" t="n">
        <v>46220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6" t="s">
        <v>293</v>
      </c>
      <c r="B25" s="16" t="s">
        <v>83</v>
      </c>
      <c r="C25" s="16" t="s">
        <v>188</v>
      </c>
      <c r="D25" s="16" t="s">
        <v>294</v>
      </c>
      <c r="E25" s="16" t="s">
        <v>63</v>
      </c>
      <c r="F25" s="16" t="s">
        <v>132</v>
      </c>
      <c r="G25" s="16" t="s">
        <v>281</v>
      </c>
      <c r="H25" s="16" t="s">
        <v>73</v>
      </c>
      <c r="I25" s="16" t="s">
        <v>74</v>
      </c>
      <c r="J25" s="19" t="n">
        <v>46220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6" t="s">
        <v>295</v>
      </c>
      <c r="B26" s="16" t="s">
        <v>90</v>
      </c>
      <c r="C26" s="16" t="s">
        <v>167</v>
      </c>
      <c r="D26" s="16" t="s">
        <v>296</v>
      </c>
      <c r="E26" s="16" t="s">
        <v>63</v>
      </c>
      <c r="F26" s="16" t="s">
        <v>92</v>
      </c>
      <c r="G26" s="16" t="s">
        <v>281</v>
      </c>
      <c r="H26" s="16" t="s">
        <v>73</v>
      </c>
      <c r="I26" s="16" t="s">
        <v>74</v>
      </c>
      <c r="J26" s="19" t="n">
        <v>46220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6" t="s">
        <v>297</v>
      </c>
      <c r="B27" s="16" t="s">
        <v>90</v>
      </c>
      <c r="C27" s="16" t="s">
        <v>6</v>
      </c>
      <c r="D27" s="16" t="s">
        <v>298</v>
      </c>
      <c r="E27" s="16" t="s">
        <v>63</v>
      </c>
      <c r="F27" s="16" t="s">
        <v>92</v>
      </c>
      <c r="G27" s="16" t="s">
        <v>269</v>
      </c>
      <c r="H27" s="16" t="s">
        <v>73</v>
      </c>
      <c r="I27" s="16" t="s">
        <v>74</v>
      </c>
      <c r="J27" s="19" t="n">
        <v>46220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6" t="s">
        <v>299</v>
      </c>
      <c r="B28" s="16" t="s">
        <v>90</v>
      </c>
      <c r="C28" s="16" t="s">
        <v>188</v>
      </c>
      <c r="D28" s="16" t="s">
        <v>300</v>
      </c>
      <c r="E28" s="16" t="s">
        <v>63</v>
      </c>
      <c r="F28" s="16" t="s">
        <v>132</v>
      </c>
      <c r="G28" s="16" t="s">
        <v>281</v>
      </c>
      <c r="H28" s="16" t="s">
        <v>73</v>
      </c>
      <c r="I28" s="16" t="s">
        <v>74</v>
      </c>
      <c r="J28" s="19" t="n">
        <v>46220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6" t="s">
        <v>301</v>
      </c>
      <c r="B29" s="16" t="s">
        <v>90</v>
      </c>
      <c r="C29" s="16" t="s">
        <v>167</v>
      </c>
      <c r="D29" s="16" t="s">
        <v>302</v>
      </c>
      <c r="E29" s="16" t="s">
        <v>63</v>
      </c>
      <c r="F29" s="16" t="s">
        <v>111</v>
      </c>
      <c r="G29" s="16" t="s">
        <v>122</v>
      </c>
      <c r="H29" s="16" t="s">
        <v>73</v>
      </c>
      <c r="I29" s="16" t="s">
        <v>74</v>
      </c>
      <c r="J29" s="19" t="n">
        <v>46220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6" t="s">
        <v>303</v>
      </c>
      <c r="B30" s="16" t="s">
        <v>90</v>
      </c>
      <c r="C30" s="16" t="s">
        <v>167</v>
      </c>
      <c r="D30" s="16" t="s">
        <v>304</v>
      </c>
      <c r="E30" s="16" t="s">
        <v>63</v>
      </c>
      <c r="F30" s="16" t="s">
        <v>132</v>
      </c>
      <c r="G30" s="16" t="s">
        <v>281</v>
      </c>
      <c r="H30" s="16" t="s">
        <v>73</v>
      </c>
      <c r="I30" s="16" t="s">
        <v>74</v>
      </c>
      <c r="J30" s="19" t="n">
        <v>46220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6" t="s">
        <v>305</v>
      </c>
      <c r="B31" s="16" t="s">
        <v>90</v>
      </c>
      <c r="C31" s="16" t="s">
        <v>167</v>
      </c>
      <c r="D31" s="16" t="s">
        <v>306</v>
      </c>
      <c r="E31" s="16" t="s">
        <v>63</v>
      </c>
      <c r="F31" s="16" t="s">
        <v>132</v>
      </c>
      <c r="G31" s="16" t="s">
        <v>281</v>
      </c>
      <c r="H31" s="16" t="s">
        <v>73</v>
      </c>
      <c r="I31" s="16" t="s">
        <v>74</v>
      </c>
      <c r="J31" s="19" t="n">
        <v>46220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6" t="s">
        <v>307</v>
      </c>
      <c r="B32" s="16" t="s">
        <v>90</v>
      </c>
      <c r="C32" s="16" t="s">
        <v>6</v>
      </c>
      <c r="D32" s="16" t="s">
        <v>308</v>
      </c>
      <c r="E32" s="16" t="s">
        <v>63</v>
      </c>
      <c r="F32" s="16" t="s">
        <v>92</v>
      </c>
      <c r="G32" s="16" t="s">
        <v>269</v>
      </c>
      <c r="H32" s="16" t="s">
        <v>66</v>
      </c>
      <c r="I32" s="16" t="s">
        <v>67</v>
      </c>
      <c r="J32" s="19" t="n">
        <v>46220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6" t="s">
        <v>309</v>
      </c>
      <c r="B33" s="16" t="s">
        <v>109</v>
      </c>
      <c r="C33" s="16" t="s">
        <v>167</v>
      </c>
      <c r="D33" s="16" t="s">
        <v>310</v>
      </c>
      <c r="E33" s="16" t="s">
        <v>63</v>
      </c>
      <c r="F33" s="16" t="s">
        <v>111</v>
      </c>
      <c r="G33" s="16" t="s">
        <v>258</v>
      </c>
      <c r="H33" s="16" t="s">
        <v>66</v>
      </c>
      <c r="I33" s="16" t="s">
        <v>67</v>
      </c>
      <c r="J33" s="19" t="n">
        <v>46221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6" t="s">
        <v>311</v>
      </c>
      <c r="B34" s="16" t="s">
        <v>109</v>
      </c>
      <c r="C34" s="16" t="s">
        <v>157</v>
      </c>
      <c r="D34" s="16" t="s">
        <v>312</v>
      </c>
      <c r="E34" s="16" t="s">
        <v>63</v>
      </c>
      <c r="F34" s="16" t="s">
        <v>111</v>
      </c>
      <c r="G34" s="16" t="s">
        <v>114</v>
      </c>
      <c r="H34" s="16" t="s">
        <v>66</v>
      </c>
      <c r="I34" s="16" t="s">
        <v>67</v>
      </c>
      <c r="J34" s="19" t="n">
        <v>46220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6" t="s">
        <v>313</v>
      </c>
      <c r="B35" s="16" t="s">
        <v>109</v>
      </c>
      <c r="C35" s="16" t="s">
        <v>6</v>
      </c>
      <c r="D35" s="16" t="s">
        <v>314</v>
      </c>
      <c r="E35" s="16" t="s">
        <v>63</v>
      </c>
      <c r="F35" s="16" t="s">
        <v>111</v>
      </c>
      <c r="G35" s="16" t="s">
        <v>269</v>
      </c>
      <c r="H35" s="16" t="s">
        <v>66</v>
      </c>
      <c r="I35" s="16" t="s">
        <v>67</v>
      </c>
      <c r="J35" s="19" t="n">
        <v>46221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6" t="s">
        <v>315</v>
      </c>
      <c r="B36" s="16" t="s">
        <v>109</v>
      </c>
      <c r="C36" s="16" t="s">
        <v>188</v>
      </c>
      <c r="D36" s="16" t="s">
        <v>316</v>
      </c>
      <c r="E36" s="16" t="s">
        <v>63</v>
      </c>
      <c r="F36" s="16" t="s">
        <v>111</v>
      </c>
      <c r="G36" s="16" t="s">
        <v>269</v>
      </c>
      <c r="H36" s="16" t="s">
        <v>66</v>
      </c>
      <c r="I36" s="16" t="s">
        <v>67</v>
      </c>
      <c r="J36" s="19" t="n">
        <v>46220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6" t="s">
        <v>317</v>
      </c>
      <c r="B37" s="16" t="s">
        <v>109</v>
      </c>
      <c r="C37" s="16" t="s">
        <v>167</v>
      </c>
      <c r="D37" s="16" t="s">
        <v>318</v>
      </c>
      <c r="E37" s="16" t="s">
        <v>63</v>
      </c>
      <c r="F37" s="16" t="s">
        <v>111</v>
      </c>
      <c r="G37" s="16" t="s">
        <v>122</v>
      </c>
      <c r="H37" s="16" t="s">
        <v>73</v>
      </c>
      <c r="I37" s="16" t="s">
        <v>74</v>
      </c>
      <c r="J37" s="19" t="n">
        <v>46220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6" t="s">
        <v>319</v>
      </c>
      <c r="B38" s="16" t="s">
        <v>109</v>
      </c>
      <c r="C38" s="16" t="s">
        <v>167</v>
      </c>
      <c r="D38" s="16" t="s">
        <v>320</v>
      </c>
      <c r="E38" s="16" t="s">
        <v>63</v>
      </c>
      <c r="F38" s="16" t="s">
        <v>111</v>
      </c>
      <c r="G38" s="16" t="s">
        <v>224</v>
      </c>
      <c r="H38" s="16" t="s">
        <v>66</v>
      </c>
      <c r="I38" s="16" t="s">
        <v>67</v>
      </c>
      <c r="J38" s="19" t="n">
        <v>46221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6" t="s">
        <v>321</v>
      </c>
      <c r="B39" s="16" t="s">
        <v>109</v>
      </c>
      <c r="C39" s="16" t="s">
        <v>6</v>
      </c>
      <c r="D39" s="16" t="s">
        <v>226</v>
      </c>
      <c r="E39" s="16" t="s">
        <v>63</v>
      </c>
      <c r="F39" s="16" t="s">
        <v>111</v>
      </c>
      <c r="G39" s="16" t="s">
        <v>128</v>
      </c>
      <c r="H39" s="16" t="s">
        <v>66</v>
      </c>
      <c r="I39" s="16" t="s">
        <v>67</v>
      </c>
      <c r="J39" s="19" t="n">
        <v>46220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6" t="s">
        <v>322</v>
      </c>
      <c r="B40" s="16" t="s">
        <v>130</v>
      </c>
      <c r="C40" s="16" t="s">
        <v>6</v>
      </c>
      <c r="D40" s="16" t="s">
        <v>323</v>
      </c>
      <c r="E40" s="16" t="s">
        <v>63</v>
      </c>
      <c r="F40" s="16" t="s">
        <v>132</v>
      </c>
      <c r="G40" s="16" t="s">
        <v>281</v>
      </c>
      <c r="H40" s="16" t="s">
        <v>66</v>
      </c>
      <c r="I40" s="16" t="s">
        <v>67</v>
      </c>
      <c r="J40" s="19" t="n">
        <v>46220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6" t="s">
        <v>324</v>
      </c>
      <c r="B41" s="16" t="s">
        <v>130</v>
      </c>
      <c r="C41" s="16" t="s">
        <v>167</v>
      </c>
      <c r="D41" s="16" t="s">
        <v>325</v>
      </c>
      <c r="E41" s="16" t="s">
        <v>63</v>
      </c>
      <c r="F41" s="16" t="s">
        <v>132</v>
      </c>
      <c r="G41" s="16" t="s">
        <v>281</v>
      </c>
      <c r="H41" s="16" t="s">
        <v>73</v>
      </c>
      <c r="I41" s="16" t="s">
        <v>74</v>
      </c>
      <c r="J41" s="19" t="n">
        <v>46220</v>
      </c>
      <c r="K41" s="16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6" t="s">
        <v>326</v>
      </c>
      <c r="B42" s="16" t="s">
        <v>136</v>
      </c>
      <c r="C42" s="16" t="s">
        <v>6</v>
      </c>
      <c r="D42" s="16" t="s">
        <v>327</v>
      </c>
      <c r="E42" s="16" t="s">
        <v>63</v>
      </c>
      <c r="F42" s="16" t="s">
        <v>138</v>
      </c>
      <c r="G42" s="16" t="s">
        <v>328</v>
      </c>
      <c r="H42" s="16" t="s">
        <v>73</v>
      </c>
      <c r="I42" s="16" t="s">
        <v>74</v>
      </c>
      <c r="J42" s="19" t="n">
        <v>46221</v>
      </c>
      <c r="K42" s="16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6" t="s">
        <v>329</v>
      </c>
      <c r="B43" s="16" t="s">
        <v>136</v>
      </c>
      <c r="C43" s="16" t="s">
        <v>6</v>
      </c>
      <c r="D43" s="16" t="s">
        <v>330</v>
      </c>
      <c r="E43" s="16" t="s">
        <v>63</v>
      </c>
      <c r="F43" s="16" t="s">
        <v>138</v>
      </c>
      <c r="G43" s="16" t="s">
        <v>331</v>
      </c>
      <c r="H43" s="16" t="s">
        <v>66</v>
      </c>
      <c r="I43" s="16" t="s">
        <v>67</v>
      </c>
      <c r="J43" s="19" t="n">
        <v>46221</v>
      </c>
      <c r="K43" s="16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6" t="s">
        <v>332</v>
      </c>
      <c r="B44" s="16" t="s">
        <v>144</v>
      </c>
      <c r="C44" s="16" t="s">
        <v>6</v>
      </c>
      <c r="D44" s="16" t="s">
        <v>333</v>
      </c>
      <c r="E44" s="16" t="s">
        <v>146</v>
      </c>
      <c r="F44" s="16" t="s">
        <v>146</v>
      </c>
      <c r="G44" s="16" t="s">
        <v>147</v>
      </c>
      <c r="H44" s="16" t="s">
        <v>73</v>
      </c>
      <c r="I44" s="16" t="s">
        <v>74</v>
      </c>
      <c r="J44" s="19" t="n">
        <v>46220</v>
      </c>
      <c r="K44" s="16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6" t="s">
        <v>334</v>
      </c>
      <c r="B45" s="16" t="s">
        <v>149</v>
      </c>
      <c r="C45" s="16" t="s">
        <v>335</v>
      </c>
      <c r="D45" s="16" t="s">
        <v>336</v>
      </c>
      <c r="E45" s="16" t="s">
        <v>151</v>
      </c>
      <c r="F45" s="16" t="s">
        <v>152</v>
      </c>
      <c r="G45" s="16" t="s">
        <v>243</v>
      </c>
      <c r="H45" s="16" t="s">
        <v>244</v>
      </c>
      <c r="I45" s="16" t="s">
        <v>74</v>
      </c>
      <c r="J45" s="19" t="n">
        <v>46220</v>
      </c>
      <c r="K45" s="16" t="s">
        <v>337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7">
      <formula>$H9="not started"</formula>
    </cfRule>
    <cfRule type="expression" priority="3" aboveAverage="0" equalAverage="0" bottom="0" percent="0" rank="0" text="" dxfId="8">
      <formula>$H9="partial"</formula>
    </cfRule>
    <cfRule type="expression" priority="4" aboveAverage="0" equalAverage="0" bottom="0" percent="0" rank="0" text="" dxfId="9">
      <formula>$H9="implemented"</formula>
    </cfRule>
    <cfRule type="expression" priority="5" aboveAverage="0" equalAverage="0" bottom="0" percent="0" rank="0" text="" dxfId="10">
      <formula>$H9="tested"</formula>
    </cfRule>
    <cfRule type="expression" priority="6" aboveAverage="0" equalAverage="0" bottom="0" percent="0" rank="0" text="" dxfId="11">
      <formula>$H9="verified"</formula>
    </cfRule>
    <cfRule type="expression" priority="7" aboveAverage="0" equalAverage="0" bottom="0" percent="0" rank="0" text="" dxfId="12">
      <formula>$H9="blocked"</formula>
    </cfRule>
    <cfRule type="expression" priority="8" aboveAverage="0" equalAverage="0" bottom="0" percent="0" rank="0" text="" dxfId="13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153</v>
      </c>
      <c r="B1" s="1" t="s">
        <v>74</v>
      </c>
    </row>
    <row r="2" customFormat="false" ht="15" hidden="false" customHeight="true" outlineLevel="0" collapsed="false">
      <c r="A2" s="1" t="s">
        <v>338</v>
      </c>
      <c r="B2" s="1" t="s">
        <v>67</v>
      </c>
    </row>
    <row r="3" customFormat="false" ht="15" hidden="false" customHeight="true" outlineLevel="0" collapsed="false">
      <c r="A3" s="1" t="s">
        <v>339</v>
      </c>
    </row>
    <row r="4" customFormat="false" ht="15" hidden="false" customHeight="true" outlineLevel="0" collapsed="false">
      <c r="A4" s="1" t="s">
        <v>66</v>
      </c>
    </row>
    <row r="5" customFormat="false" ht="15" hidden="false" customHeight="true" outlineLevel="0" collapsed="false">
      <c r="A5" s="1" t="s">
        <v>73</v>
      </c>
    </row>
    <row r="6" customFormat="false" ht="15" hidden="false" customHeight="true" outlineLevel="0" collapsed="false">
      <c r="A6" s="1" t="s">
        <v>244</v>
      </c>
    </row>
    <row r="7" customFormat="false" ht="15" hidden="false" customHeight="true" outlineLevel="0" collapsed="false">
      <c r="A7" s="1" t="s">
        <v>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342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47</v>
      </c>
      <c r="D4" s="5" t="n">
        <f aca="false">SUM(M9:M47)</f>
        <v>31</v>
      </c>
      <c r="E4" s="4" t="s">
        <v>14</v>
      </c>
      <c r="F4" s="6" t="n">
        <f aca="false">IFERROR(D4/SUM(L9:L47),0)</f>
        <v>0.794871794871795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5" t="s">
        <v>48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49</v>
      </c>
      <c r="B8" s="7" t="s">
        <v>50</v>
      </c>
      <c r="C8" s="7" t="s">
        <v>51</v>
      </c>
      <c r="D8" s="7" t="s">
        <v>52</v>
      </c>
      <c r="E8" s="7" t="s">
        <v>53</v>
      </c>
      <c r="F8" s="7" t="s">
        <v>54</v>
      </c>
      <c r="G8" s="7" t="s">
        <v>55</v>
      </c>
      <c r="H8" s="7" t="s">
        <v>18</v>
      </c>
      <c r="I8" s="7" t="s">
        <v>56</v>
      </c>
      <c r="J8" s="7" t="s">
        <v>57</v>
      </c>
      <c r="K8" s="7" t="s">
        <v>58</v>
      </c>
      <c r="L8" s="7" t="s">
        <v>59</v>
      </c>
      <c r="M8" s="7" t="s">
        <v>47</v>
      </c>
    </row>
    <row r="9" customFormat="false" ht="42" hidden="false" customHeight="true" outlineLevel="0" collapsed="false">
      <c r="A9" s="16" t="s">
        <v>343</v>
      </c>
      <c r="B9" s="16" t="s">
        <v>61</v>
      </c>
      <c r="C9" s="16" t="s">
        <v>6</v>
      </c>
      <c r="D9" s="16" t="s">
        <v>344</v>
      </c>
      <c r="E9" s="16" t="s">
        <v>63</v>
      </c>
      <c r="F9" s="16" t="s">
        <v>64</v>
      </c>
      <c r="G9" s="10" t="s">
        <v>345</v>
      </c>
      <c r="H9" s="16" t="s">
        <v>66</v>
      </c>
      <c r="I9" s="16" t="s">
        <v>67</v>
      </c>
      <c r="J9" s="19" t="n">
        <v>46221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6" t="s">
        <v>346</v>
      </c>
      <c r="B10" s="16" t="s">
        <v>69</v>
      </c>
      <c r="C10" s="16" t="s">
        <v>6</v>
      </c>
      <c r="D10" s="16" t="s">
        <v>347</v>
      </c>
      <c r="E10" s="16" t="s">
        <v>63</v>
      </c>
      <c r="F10" s="16" t="s">
        <v>71</v>
      </c>
      <c r="G10" s="10" t="s">
        <v>348</v>
      </c>
      <c r="H10" s="16" t="s">
        <v>73</v>
      </c>
      <c r="I10" s="16" t="s">
        <v>74</v>
      </c>
      <c r="J10" s="19" t="n">
        <v>46221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6" t="s">
        <v>349</v>
      </c>
      <c r="B11" s="16" t="s">
        <v>61</v>
      </c>
      <c r="C11" s="16" t="s">
        <v>157</v>
      </c>
      <c r="D11" s="16" t="s">
        <v>350</v>
      </c>
      <c r="E11" s="16" t="s">
        <v>63</v>
      </c>
      <c r="F11" s="16" t="s">
        <v>77</v>
      </c>
      <c r="G11" s="10" t="s">
        <v>114</v>
      </c>
      <c r="H11" s="16" t="s">
        <v>66</v>
      </c>
      <c r="I11" s="16" t="s">
        <v>67</v>
      </c>
      <c r="J11" s="19" t="n">
        <v>46221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6" t="s">
        <v>351</v>
      </c>
      <c r="B12" s="16" t="s">
        <v>41</v>
      </c>
      <c r="C12" s="16" t="s">
        <v>171</v>
      </c>
      <c r="D12" s="16" t="s">
        <v>352</v>
      </c>
      <c r="E12" s="16" t="s">
        <v>63</v>
      </c>
      <c r="F12" s="16" t="s">
        <v>111</v>
      </c>
      <c r="G12" s="10" t="s">
        <v>353</v>
      </c>
      <c r="H12" s="16" t="s">
        <v>66</v>
      </c>
      <c r="I12" s="16" t="s">
        <v>67</v>
      </c>
      <c r="J12" s="19" t="n">
        <v>46221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6" t="s">
        <v>354</v>
      </c>
      <c r="B13" s="16" t="s">
        <v>41</v>
      </c>
      <c r="C13" s="16" t="s">
        <v>260</v>
      </c>
      <c r="D13" s="16" t="s">
        <v>261</v>
      </c>
      <c r="E13" s="16" t="s">
        <v>63</v>
      </c>
      <c r="F13" s="16" t="s">
        <v>111</v>
      </c>
      <c r="G13" s="10" t="s">
        <v>353</v>
      </c>
      <c r="H13" s="16" t="s">
        <v>66</v>
      </c>
      <c r="I13" s="16" t="s">
        <v>67</v>
      </c>
      <c r="J13" s="19" t="n">
        <v>46221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6" t="s">
        <v>355</v>
      </c>
      <c r="B14" s="16" t="s">
        <v>41</v>
      </c>
      <c r="C14" s="16" t="s">
        <v>263</v>
      </c>
      <c r="D14" s="16" t="s">
        <v>264</v>
      </c>
      <c r="E14" s="16" t="s">
        <v>63</v>
      </c>
      <c r="F14" s="16" t="s">
        <v>111</v>
      </c>
      <c r="G14" s="10" t="s">
        <v>353</v>
      </c>
      <c r="H14" s="16" t="s">
        <v>66</v>
      </c>
      <c r="I14" s="16" t="s">
        <v>67</v>
      </c>
      <c r="J14" s="19" t="n">
        <v>46221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6" t="s">
        <v>356</v>
      </c>
      <c r="B15" s="16" t="s">
        <v>41</v>
      </c>
      <c r="C15" s="16" t="s">
        <v>267</v>
      </c>
      <c r="D15" s="16" t="s">
        <v>357</v>
      </c>
      <c r="E15" s="16" t="s">
        <v>63</v>
      </c>
      <c r="F15" s="16" t="s">
        <v>111</v>
      </c>
      <c r="G15" s="10" t="s">
        <v>358</v>
      </c>
      <c r="H15" s="16" t="s">
        <v>66</v>
      </c>
      <c r="I15" s="16" t="s">
        <v>67</v>
      </c>
      <c r="J15" s="19" t="n">
        <v>46221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6" t="s">
        <v>359</v>
      </c>
      <c r="B16" s="16" t="s">
        <v>41</v>
      </c>
      <c r="C16" s="16" t="s">
        <v>188</v>
      </c>
      <c r="D16" s="16" t="s">
        <v>360</v>
      </c>
      <c r="E16" s="16" t="s">
        <v>63</v>
      </c>
      <c r="F16" s="16" t="s">
        <v>111</v>
      </c>
      <c r="G16" s="10" t="s">
        <v>353</v>
      </c>
      <c r="H16" s="16" t="s">
        <v>66</v>
      </c>
      <c r="I16" s="16" t="s">
        <v>67</v>
      </c>
      <c r="J16" s="19" t="n">
        <v>46221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6" t="s">
        <v>361</v>
      </c>
      <c r="B17" s="16" t="s">
        <v>41</v>
      </c>
      <c r="C17" s="16" t="s">
        <v>174</v>
      </c>
      <c r="D17" s="16" t="s">
        <v>362</v>
      </c>
      <c r="E17" s="16" t="s">
        <v>63</v>
      </c>
      <c r="F17" s="16" t="s">
        <v>111</v>
      </c>
      <c r="G17" s="10" t="s">
        <v>353</v>
      </c>
      <c r="H17" s="16" t="s">
        <v>66</v>
      </c>
      <c r="I17" s="16" t="s">
        <v>67</v>
      </c>
      <c r="J17" s="19" t="n">
        <v>46221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6" t="s">
        <v>363</v>
      </c>
      <c r="B18" s="16" t="s">
        <v>41</v>
      </c>
      <c r="C18" s="16" t="s">
        <v>178</v>
      </c>
      <c r="D18" s="16" t="s">
        <v>275</v>
      </c>
      <c r="E18" s="16" t="s">
        <v>63</v>
      </c>
      <c r="F18" s="16" t="s">
        <v>111</v>
      </c>
      <c r="G18" s="10" t="s">
        <v>353</v>
      </c>
      <c r="H18" s="16" t="s">
        <v>66</v>
      </c>
      <c r="I18" s="16" t="s">
        <v>67</v>
      </c>
      <c r="J18" s="19" t="n">
        <v>46221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6" t="s">
        <v>364</v>
      </c>
      <c r="B19" s="16" t="s">
        <v>41</v>
      </c>
      <c r="C19" s="16" t="s">
        <v>181</v>
      </c>
      <c r="D19" s="16" t="s">
        <v>365</v>
      </c>
      <c r="E19" s="16" t="s">
        <v>63</v>
      </c>
      <c r="F19" s="16" t="s">
        <v>111</v>
      </c>
      <c r="G19" s="10" t="s">
        <v>353</v>
      </c>
      <c r="H19" s="16" t="s">
        <v>66</v>
      </c>
      <c r="I19" s="16" t="s">
        <v>67</v>
      </c>
      <c r="J19" s="19" t="n">
        <v>46221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6" t="s">
        <v>366</v>
      </c>
      <c r="B20" s="16" t="s">
        <v>41</v>
      </c>
      <c r="C20" s="16" t="s">
        <v>279</v>
      </c>
      <c r="D20" s="16" t="s">
        <v>367</v>
      </c>
      <c r="E20" s="16" t="s">
        <v>63</v>
      </c>
      <c r="F20" s="16" t="s">
        <v>132</v>
      </c>
      <c r="G20" s="10" t="s">
        <v>368</v>
      </c>
      <c r="H20" s="16" t="s">
        <v>338</v>
      </c>
      <c r="I20" s="16" t="s">
        <v>74</v>
      </c>
      <c r="J20" s="19"/>
      <c r="K20" s="16" t="s">
        <v>369</v>
      </c>
      <c r="L20" s="18" t="n">
        <v>1</v>
      </c>
      <c r="M20" s="18" t="n">
        <f aca="false">IF(H20="not applicable",IF(K20&lt;&gt;"",1,0),IF(I20="yes",IF(H20="verified",1,0),IF(OR(H20="tested",H20="verified"),1,0)))</f>
        <v>0</v>
      </c>
    </row>
    <row r="21" customFormat="false" ht="42" hidden="false" customHeight="true" outlineLevel="0" collapsed="false">
      <c r="A21" s="16" t="s">
        <v>370</v>
      </c>
      <c r="B21" s="16" t="s">
        <v>41</v>
      </c>
      <c r="C21" s="16" t="s">
        <v>191</v>
      </c>
      <c r="D21" s="16" t="s">
        <v>371</v>
      </c>
      <c r="E21" s="16" t="s">
        <v>63</v>
      </c>
      <c r="F21" s="16" t="s">
        <v>132</v>
      </c>
      <c r="G21" s="10" t="s">
        <v>368</v>
      </c>
      <c r="H21" s="16" t="s">
        <v>338</v>
      </c>
      <c r="I21" s="16" t="s">
        <v>74</v>
      </c>
      <c r="J21" s="19"/>
      <c r="K21" s="16" t="s">
        <v>369</v>
      </c>
      <c r="L21" s="18" t="n">
        <v>1</v>
      </c>
      <c r="M21" s="18" t="n">
        <f aca="false">IF(H21="not applicable",IF(K21&lt;&gt;"",1,0),IF(I21="yes",IF(H21="verified",1,0),IF(OR(H21="tested",H21="verified"),1,0)))</f>
        <v>0</v>
      </c>
    </row>
    <row r="22" customFormat="false" ht="42" hidden="false" customHeight="true" outlineLevel="0" collapsed="false">
      <c r="A22" s="16" t="s">
        <v>372</v>
      </c>
      <c r="B22" s="16" t="s">
        <v>41</v>
      </c>
      <c r="C22" s="16" t="s">
        <v>373</v>
      </c>
      <c r="D22" s="16" t="s">
        <v>374</v>
      </c>
      <c r="E22" s="16" t="s">
        <v>63</v>
      </c>
      <c r="F22" s="16" t="s">
        <v>111</v>
      </c>
      <c r="G22" s="10" t="s">
        <v>375</v>
      </c>
      <c r="H22" s="16" t="s">
        <v>66</v>
      </c>
      <c r="I22" s="16" t="s">
        <v>67</v>
      </c>
      <c r="J22" s="19" t="n">
        <v>46221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6" t="s">
        <v>376</v>
      </c>
      <c r="B23" s="16" t="s">
        <v>41</v>
      </c>
      <c r="C23" s="16" t="s">
        <v>184</v>
      </c>
      <c r="D23" s="16" t="s">
        <v>377</v>
      </c>
      <c r="E23" s="16" t="s">
        <v>63</v>
      </c>
      <c r="F23" s="16" t="s">
        <v>111</v>
      </c>
      <c r="G23" s="10" t="s">
        <v>375</v>
      </c>
      <c r="H23" s="16" t="s">
        <v>66</v>
      </c>
      <c r="I23" s="16" t="s">
        <v>67</v>
      </c>
      <c r="J23" s="19" t="n">
        <v>46221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6" t="s">
        <v>378</v>
      </c>
      <c r="B24" s="16" t="s">
        <v>83</v>
      </c>
      <c r="C24" s="16" t="s">
        <v>167</v>
      </c>
      <c r="D24" s="16" t="s">
        <v>379</v>
      </c>
      <c r="E24" s="16" t="s">
        <v>63</v>
      </c>
      <c r="F24" s="16" t="s">
        <v>64</v>
      </c>
      <c r="G24" s="10" t="s">
        <v>380</v>
      </c>
      <c r="H24" s="16" t="s">
        <v>66</v>
      </c>
      <c r="I24" s="16" t="s">
        <v>67</v>
      </c>
      <c r="J24" s="19" t="n">
        <v>46221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6" t="s">
        <v>381</v>
      </c>
      <c r="B25" s="16" t="s">
        <v>83</v>
      </c>
      <c r="C25" s="16" t="s">
        <v>188</v>
      </c>
      <c r="D25" s="16" t="s">
        <v>382</v>
      </c>
      <c r="E25" s="16" t="s">
        <v>63</v>
      </c>
      <c r="F25" s="16" t="s">
        <v>132</v>
      </c>
      <c r="G25" s="10" t="s">
        <v>368</v>
      </c>
      <c r="H25" s="16" t="s">
        <v>338</v>
      </c>
      <c r="I25" s="16" t="s">
        <v>74</v>
      </c>
      <c r="J25" s="19"/>
      <c r="K25" s="16" t="s">
        <v>369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6" t="s">
        <v>383</v>
      </c>
      <c r="B26" s="16" t="s">
        <v>90</v>
      </c>
      <c r="C26" s="16" t="s">
        <v>167</v>
      </c>
      <c r="D26" s="16" t="s">
        <v>384</v>
      </c>
      <c r="E26" s="16" t="s">
        <v>63</v>
      </c>
      <c r="F26" s="16" t="s">
        <v>92</v>
      </c>
      <c r="G26" s="10" t="s">
        <v>385</v>
      </c>
      <c r="H26" s="16" t="s">
        <v>66</v>
      </c>
      <c r="I26" s="16" t="s">
        <v>67</v>
      </c>
      <c r="J26" s="19" t="n">
        <v>46221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6" t="s">
        <v>386</v>
      </c>
      <c r="B27" s="16" t="s">
        <v>90</v>
      </c>
      <c r="C27" s="16" t="s">
        <v>6</v>
      </c>
      <c r="D27" s="16" t="s">
        <v>387</v>
      </c>
      <c r="E27" s="16" t="s">
        <v>63</v>
      </c>
      <c r="F27" s="16" t="s">
        <v>92</v>
      </c>
      <c r="G27" s="10" t="s">
        <v>358</v>
      </c>
      <c r="H27" s="16" t="s">
        <v>66</v>
      </c>
      <c r="I27" s="16" t="s">
        <v>67</v>
      </c>
      <c r="J27" s="19" t="n">
        <v>46221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6" t="s">
        <v>388</v>
      </c>
      <c r="B28" s="16" t="s">
        <v>90</v>
      </c>
      <c r="C28" s="16" t="s">
        <v>188</v>
      </c>
      <c r="D28" s="16" t="s">
        <v>389</v>
      </c>
      <c r="E28" s="16" t="s">
        <v>63</v>
      </c>
      <c r="F28" s="16" t="s">
        <v>111</v>
      </c>
      <c r="G28" s="10" t="s">
        <v>358</v>
      </c>
      <c r="H28" s="16" t="s">
        <v>66</v>
      </c>
      <c r="I28" s="16" t="s">
        <v>67</v>
      </c>
      <c r="J28" s="19" t="n">
        <v>46221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6" t="s">
        <v>390</v>
      </c>
      <c r="B29" s="16" t="s">
        <v>90</v>
      </c>
      <c r="C29" s="16" t="s">
        <v>167</v>
      </c>
      <c r="D29" s="16" t="s">
        <v>302</v>
      </c>
      <c r="E29" s="16" t="s">
        <v>63</v>
      </c>
      <c r="F29" s="16" t="s">
        <v>132</v>
      </c>
      <c r="G29" s="10" t="s">
        <v>368</v>
      </c>
      <c r="H29" s="16" t="s">
        <v>338</v>
      </c>
      <c r="I29" s="16" t="s">
        <v>74</v>
      </c>
      <c r="J29" s="19"/>
      <c r="K29" s="16" t="s">
        <v>369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6" t="s">
        <v>391</v>
      </c>
      <c r="B30" s="16" t="s">
        <v>90</v>
      </c>
      <c r="C30" s="16" t="s">
        <v>167</v>
      </c>
      <c r="D30" s="16" t="s">
        <v>304</v>
      </c>
      <c r="E30" s="16" t="s">
        <v>63</v>
      </c>
      <c r="F30" s="16" t="s">
        <v>132</v>
      </c>
      <c r="G30" s="10" t="s">
        <v>368</v>
      </c>
      <c r="H30" s="16" t="s">
        <v>338</v>
      </c>
      <c r="I30" s="16" t="s">
        <v>74</v>
      </c>
      <c r="J30" s="19"/>
      <c r="K30" s="16" t="s">
        <v>369</v>
      </c>
      <c r="L30" s="18" t="n">
        <v>1</v>
      </c>
      <c r="M30" s="18" t="n">
        <f aca="false">IF(H30="not applicable",IF(K30&lt;&gt;"",1,0),IF(I30="yes",IF(H30="verified",1,0),IF(OR(H30="tested",H30="verified"),1,0)))</f>
        <v>0</v>
      </c>
    </row>
    <row r="31" customFormat="false" ht="42" hidden="false" customHeight="true" outlineLevel="0" collapsed="false">
      <c r="A31" s="16" t="s">
        <v>392</v>
      </c>
      <c r="B31" s="16" t="s">
        <v>90</v>
      </c>
      <c r="C31" s="16" t="s">
        <v>167</v>
      </c>
      <c r="D31" s="16" t="s">
        <v>393</v>
      </c>
      <c r="E31" s="16" t="s">
        <v>63</v>
      </c>
      <c r="F31" s="16" t="s">
        <v>132</v>
      </c>
      <c r="G31" s="10" t="s">
        <v>368</v>
      </c>
      <c r="H31" s="16" t="s">
        <v>338</v>
      </c>
      <c r="I31" s="16" t="s">
        <v>74</v>
      </c>
      <c r="J31" s="19"/>
      <c r="K31" s="16" t="s">
        <v>369</v>
      </c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" hidden="false" customHeight="true" outlineLevel="0" collapsed="false">
      <c r="A32" s="16" t="s">
        <v>394</v>
      </c>
      <c r="B32" s="16" t="s">
        <v>90</v>
      </c>
      <c r="C32" s="16" t="s">
        <v>6</v>
      </c>
      <c r="D32" s="16" t="s">
        <v>395</v>
      </c>
      <c r="E32" s="16" t="s">
        <v>63</v>
      </c>
      <c r="F32" s="16" t="s">
        <v>92</v>
      </c>
      <c r="G32" s="10" t="s">
        <v>358</v>
      </c>
      <c r="H32" s="16" t="s">
        <v>66</v>
      </c>
      <c r="I32" s="16" t="s">
        <v>67</v>
      </c>
      <c r="J32" s="19" t="n">
        <v>46221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6" t="s">
        <v>396</v>
      </c>
      <c r="B33" s="16" t="s">
        <v>109</v>
      </c>
      <c r="C33" s="16" t="s">
        <v>167</v>
      </c>
      <c r="D33" s="16" t="s">
        <v>397</v>
      </c>
      <c r="E33" s="16" t="s">
        <v>63</v>
      </c>
      <c r="F33" s="16" t="s">
        <v>111</v>
      </c>
      <c r="G33" s="10" t="s">
        <v>353</v>
      </c>
      <c r="H33" s="16" t="s">
        <v>66</v>
      </c>
      <c r="I33" s="16" t="s">
        <v>67</v>
      </c>
      <c r="J33" s="19" t="n">
        <v>46221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6" t="s">
        <v>398</v>
      </c>
      <c r="B34" s="16" t="s">
        <v>109</v>
      </c>
      <c r="C34" s="16" t="s">
        <v>157</v>
      </c>
      <c r="D34" s="16" t="s">
        <v>399</v>
      </c>
      <c r="E34" s="16" t="s">
        <v>63</v>
      </c>
      <c r="F34" s="16" t="s">
        <v>111</v>
      </c>
      <c r="G34" s="10" t="s">
        <v>114</v>
      </c>
      <c r="H34" s="16" t="s">
        <v>66</v>
      </c>
      <c r="I34" s="16" t="s">
        <v>67</v>
      </c>
      <c r="J34" s="19" t="n">
        <v>46221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6" t="s">
        <v>400</v>
      </c>
      <c r="B35" s="16" t="s">
        <v>109</v>
      </c>
      <c r="C35" s="16" t="s">
        <v>6</v>
      </c>
      <c r="D35" s="16" t="s">
        <v>401</v>
      </c>
      <c r="E35" s="16" t="s">
        <v>63</v>
      </c>
      <c r="F35" s="16" t="s">
        <v>111</v>
      </c>
      <c r="G35" s="10" t="s">
        <v>358</v>
      </c>
      <c r="H35" s="16" t="s">
        <v>66</v>
      </c>
      <c r="I35" s="16" t="s">
        <v>67</v>
      </c>
      <c r="J35" s="19" t="n">
        <v>46221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6" t="s">
        <v>402</v>
      </c>
      <c r="B36" s="16" t="s">
        <v>109</v>
      </c>
      <c r="C36" s="16" t="s">
        <v>403</v>
      </c>
      <c r="D36" s="16" t="s">
        <v>404</v>
      </c>
      <c r="E36" s="16" t="s">
        <v>63</v>
      </c>
      <c r="F36" s="16" t="s">
        <v>111</v>
      </c>
      <c r="G36" s="10" t="s">
        <v>358</v>
      </c>
      <c r="H36" s="16" t="s">
        <v>66</v>
      </c>
      <c r="I36" s="16" t="s">
        <v>67</v>
      </c>
      <c r="J36" s="19" t="n">
        <v>46221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6" t="s">
        <v>405</v>
      </c>
      <c r="B37" s="16" t="s">
        <v>109</v>
      </c>
      <c r="C37" s="16" t="s">
        <v>6</v>
      </c>
      <c r="D37" s="16" t="s">
        <v>406</v>
      </c>
      <c r="E37" s="16" t="s">
        <v>63</v>
      </c>
      <c r="F37" s="16" t="s">
        <v>111</v>
      </c>
      <c r="G37" s="10" t="s">
        <v>358</v>
      </c>
      <c r="H37" s="16" t="s">
        <v>66</v>
      </c>
      <c r="I37" s="16" t="s">
        <v>67</v>
      </c>
      <c r="J37" s="19" t="n">
        <v>46221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6" t="s">
        <v>407</v>
      </c>
      <c r="B38" s="16" t="s">
        <v>109</v>
      </c>
      <c r="C38" s="16" t="s">
        <v>188</v>
      </c>
      <c r="D38" s="16" t="s">
        <v>408</v>
      </c>
      <c r="E38" s="16" t="s">
        <v>63</v>
      </c>
      <c r="F38" s="16" t="s">
        <v>111</v>
      </c>
      <c r="G38" s="10" t="s">
        <v>358</v>
      </c>
      <c r="H38" s="16" t="s">
        <v>66</v>
      </c>
      <c r="I38" s="16" t="s">
        <v>67</v>
      </c>
      <c r="J38" s="19" t="n">
        <v>46221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6" t="s">
        <v>409</v>
      </c>
      <c r="B39" s="16" t="s">
        <v>109</v>
      </c>
      <c r="C39" s="16" t="s">
        <v>167</v>
      </c>
      <c r="D39" s="16" t="s">
        <v>318</v>
      </c>
      <c r="E39" s="16" t="s">
        <v>63</v>
      </c>
      <c r="F39" s="16" t="s">
        <v>111</v>
      </c>
      <c r="G39" s="10" t="s">
        <v>122</v>
      </c>
      <c r="H39" s="16" t="s">
        <v>73</v>
      </c>
      <c r="I39" s="16" t="s">
        <v>74</v>
      </c>
      <c r="J39" s="19" t="n">
        <v>46221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6" t="s">
        <v>410</v>
      </c>
      <c r="B40" s="16" t="s">
        <v>109</v>
      </c>
      <c r="C40" s="16" t="s">
        <v>167</v>
      </c>
      <c r="D40" s="16" t="s">
        <v>411</v>
      </c>
      <c r="E40" s="16" t="s">
        <v>63</v>
      </c>
      <c r="F40" s="16" t="s">
        <v>111</v>
      </c>
      <c r="G40" s="10" t="s">
        <v>224</v>
      </c>
      <c r="H40" s="16" t="s">
        <v>66</v>
      </c>
      <c r="I40" s="16" t="s">
        <v>67</v>
      </c>
      <c r="J40" s="19" t="n">
        <v>46221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6" t="s">
        <v>412</v>
      </c>
      <c r="B41" s="16" t="s">
        <v>109</v>
      </c>
      <c r="C41" s="16" t="s">
        <v>6</v>
      </c>
      <c r="D41" s="16" t="s">
        <v>413</v>
      </c>
      <c r="E41" s="16" t="s">
        <v>63</v>
      </c>
      <c r="F41" s="16" t="s">
        <v>111</v>
      </c>
      <c r="G41" s="10" t="s">
        <v>128</v>
      </c>
      <c r="H41" s="16" t="s">
        <v>66</v>
      </c>
      <c r="I41" s="16" t="s">
        <v>67</v>
      </c>
      <c r="J41" s="19" t="n">
        <v>46221</v>
      </c>
      <c r="K41" s="16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6" t="s">
        <v>414</v>
      </c>
      <c r="B42" s="16" t="s">
        <v>130</v>
      </c>
      <c r="C42" s="16" t="s">
        <v>6</v>
      </c>
      <c r="D42" s="16" t="s">
        <v>415</v>
      </c>
      <c r="E42" s="16" t="s">
        <v>63</v>
      </c>
      <c r="F42" s="16" t="s">
        <v>132</v>
      </c>
      <c r="G42" s="10" t="s">
        <v>368</v>
      </c>
      <c r="H42" s="16" t="s">
        <v>66</v>
      </c>
      <c r="I42" s="16" t="s">
        <v>67</v>
      </c>
      <c r="J42" s="19" t="n">
        <v>46221</v>
      </c>
      <c r="K42" s="16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6" t="s">
        <v>416</v>
      </c>
      <c r="B43" s="16" t="s">
        <v>130</v>
      </c>
      <c r="C43" s="16" t="s">
        <v>167</v>
      </c>
      <c r="D43" s="16" t="s">
        <v>417</v>
      </c>
      <c r="E43" s="16" t="s">
        <v>63</v>
      </c>
      <c r="F43" s="16" t="s">
        <v>132</v>
      </c>
      <c r="G43" s="10" t="s">
        <v>368</v>
      </c>
      <c r="H43" s="16" t="s">
        <v>338</v>
      </c>
      <c r="I43" s="16" t="s">
        <v>74</v>
      </c>
      <c r="J43" s="19"/>
      <c r="K43" s="16" t="s">
        <v>369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6" t="s">
        <v>418</v>
      </c>
      <c r="B44" s="16" t="s">
        <v>136</v>
      </c>
      <c r="C44" s="16" t="s">
        <v>6</v>
      </c>
      <c r="D44" s="16" t="s">
        <v>419</v>
      </c>
      <c r="E44" s="16" t="s">
        <v>63</v>
      </c>
      <c r="F44" s="16" t="s">
        <v>138</v>
      </c>
      <c r="G44" s="10" t="s">
        <v>420</v>
      </c>
      <c r="H44" s="16" t="s">
        <v>66</v>
      </c>
      <c r="I44" s="16" t="s">
        <v>67</v>
      </c>
      <c r="J44" s="19" t="n">
        <v>46221</v>
      </c>
      <c r="K44" s="16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6" t="s">
        <v>421</v>
      </c>
      <c r="B45" s="16" t="s">
        <v>136</v>
      </c>
      <c r="C45" s="16" t="s">
        <v>6</v>
      </c>
      <c r="D45" s="16" t="s">
        <v>422</v>
      </c>
      <c r="E45" s="16" t="s">
        <v>63</v>
      </c>
      <c r="F45" s="16" t="s">
        <v>138</v>
      </c>
      <c r="G45" s="10" t="s">
        <v>423</v>
      </c>
      <c r="H45" s="16" t="s">
        <v>66</v>
      </c>
      <c r="I45" s="16" t="s">
        <v>67</v>
      </c>
      <c r="J45" s="19" t="n">
        <v>46221</v>
      </c>
      <c r="K45" s="16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6" t="s">
        <v>424</v>
      </c>
      <c r="B46" s="16" t="s">
        <v>144</v>
      </c>
      <c r="C46" s="16" t="s">
        <v>6</v>
      </c>
      <c r="D46" s="16" t="s">
        <v>425</v>
      </c>
      <c r="E46" s="16" t="s">
        <v>146</v>
      </c>
      <c r="F46" s="16" t="s">
        <v>146</v>
      </c>
      <c r="G46" s="10" t="s">
        <v>147</v>
      </c>
      <c r="H46" s="16" t="s">
        <v>66</v>
      </c>
      <c r="I46" s="16" t="s">
        <v>67</v>
      </c>
      <c r="J46" s="19" t="n">
        <v>46221</v>
      </c>
      <c r="K46" s="16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6" t="s">
        <v>426</v>
      </c>
      <c r="B47" s="16" t="s">
        <v>149</v>
      </c>
      <c r="C47" s="16" t="s">
        <v>427</v>
      </c>
      <c r="D47" s="16" t="s">
        <v>428</v>
      </c>
      <c r="E47" s="16" t="s">
        <v>151</v>
      </c>
      <c r="F47" s="16" t="s">
        <v>152</v>
      </c>
      <c r="G47" s="10" t="s">
        <v>243</v>
      </c>
      <c r="H47" s="16" t="s">
        <v>244</v>
      </c>
      <c r="I47" s="16" t="s">
        <v>74</v>
      </c>
      <c r="J47" s="19"/>
      <c r="K47" s="16" t="s">
        <v>429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7">
      <formula>$H9="not started"</formula>
    </cfRule>
    <cfRule type="expression" priority="3" aboveAverage="0" equalAverage="0" bottom="0" percent="0" rank="0" text="" dxfId="8">
      <formula>$H9="partial"</formula>
    </cfRule>
    <cfRule type="expression" priority="4" aboveAverage="0" equalAverage="0" bottom="0" percent="0" rank="0" text="" dxfId="9">
      <formula>$H9="implemented"</formula>
    </cfRule>
    <cfRule type="expression" priority="5" aboveAverage="0" equalAverage="0" bottom="0" percent="0" rank="0" text="" dxfId="10">
      <formula>$H9="tested"</formula>
    </cfRule>
    <cfRule type="expression" priority="6" aboveAverage="0" equalAverage="0" bottom="0" percent="0" rank="0" text="" dxfId="11">
      <formula>$H9="verified"</formula>
    </cfRule>
    <cfRule type="expression" priority="7" aboveAverage="0" equalAverage="0" bottom="0" percent="0" rank="0" text="" dxfId="12">
      <formula>$H9="blocked"</formula>
    </cfRule>
    <cfRule type="expression" priority="8" aboveAverage="0" equalAverage="0" bottom="0" percent="0" rank="0" text="" dxfId="13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431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47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5" t="s">
        <v>48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49</v>
      </c>
      <c r="B8" s="7" t="s">
        <v>50</v>
      </c>
      <c r="C8" s="7" t="s">
        <v>51</v>
      </c>
      <c r="D8" s="7" t="s">
        <v>52</v>
      </c>
      <c r="E8" s="7" t="s">
        <v>53</v>
      </c>
      <c r="F8" s="7" t="s">
        <v>54</v>
      </c>
      <c r="G8" s="7" t="s">
        <v>55</v>
      </c>
      <c r="H8" s="7" t="s">
        <v>18</v>
      </c>
      <c r="I8" s="7" t="s">
        <v>56</v>
      </c>
      <c r="J8" s="7" t="s">
        <v>57</v>
      </c>
      <c r="K8" s="7" t="s">
        <v>58</v>
      </c>
      <c r="L8" s="7" t="s">
        <v>59</v>
      </c>
      <c r="M8" s="7" t="s">
        <v>47</v>
      </c>
    </row>
    <row r="9" customFormat="false" ht="42" hidden="false" customHeight="true" outlineLevel="0" collapsed="false">
      <c r="A9" s="16" t="s">
        <v>432</v>
      </c>
      <c r="B9" s="16" t="s">
        <v>61</v>
      </c>
      <c r="C9" s="16" t="s">
        <v>6</v>
      </c>
      <c r="D9" s="16" t="s">
        <v>433</v>
      </c>
      <c r="E9" s="16" t="s">
        <v>63</v>
      </c>
      <c r="F9" s="16" t="s">
        <v>64</v>
      </c>
      <c r="G9" s="10" t="s">
        <v>434</v>
      </c>
      <c r="H9" s="16" t="s">
        <v>66</v>
      </c>
      <c r="I9" s="16" t="s">
        <v>67</v>
      </c>
      <c r="J9" s="19" t="n">
        <v>46221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6" t="s">
        <v>435</v>
      </c>
      <c r="B10" s="16" t="s">
        <v>69</v>
      </c>
      <c r="C10" s="16" t="s">
        <v>6</v>
      </c>
      <c r="D10" s="16" t="s">
        <v>436</v>
      </c>
      <c r="E10" s="16" t="s">
        <v>63</v>
      </c>
      <c r="F10" s="16" t="s">
        <v>71</v>
      </c>
      <c r="G10" s="10" t="s">
        <v>437</v>
      </c>
      <c r="H10" s="16" t="s">
        <v>73</v>
      </c>
      <c r="I10" s="16" t="s">
        <v>74</v>
      </c>
      <c r="J10" s="19" t="n">
        <v>46221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6" t="s">
        <v>438</v>
      </c>
      <c r="B11" s="16" t="s">
        <v>69</v>
      </c>
      <c r="C11" s="16" t="s">
        <v>6</v>
      </c>
      <c r="D11" s="16" t="s">
        <v>439</v>
      </c>
      <c r="E11" s="16" t="s">
        <v>63</v>
      </c>
      <c r="F11" s="16" t="s">
        <v>71</v>
      </c>
      <c r="G11" s="10" t="s">
        <v>440</v>
      </c>
      <c r="H11" s="16" t="s">
        <v>73</v>
      </c>
      <c r="I11" s="16" t="s">
        <v>74</v>
      </c>
      <c r="J11" s="19" t="n">
        <v>46221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6" t="s">
        <v>441</v>
      </c>
      <c r="B12" s="16" t="s">
        <v>61</v>
      </c>
      <c r="C12" s="16" t="s">
        <v>157</v>
      </c>
      <c r="D12" s="16" t="s">
        <v>442</v>
      </c>
      <c r="E12" s="16" t="s">
        <v>63</v>
      </c>
      <c r="F12" s="16" t="s">
        <v>77</v>
      </c>
      <c r="G12" s="10" t="s">
        <v>114</v>
      </c>
      <c r="H12" s="16" t="s">
        <v>66</v>
      </c>
      <c r="I12" s="16" t="s">
        <v>67</v>
      </c>
      <c r="J12" s="19" t="n">
        <v>46221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6" t="s">
        <v>443</v>
      </c>
      <c r="B13" s="16" t="s">
        <v>41</v>
      </c>
      <c r="C13" s="16" t="s">
        <v>171</v>
      </c>
      <c r="D13" s="16" t="s">
        <v>444</v>
      </c>
      <c r="E13" s="16" t="s">
        <v>63</v>
      </c>
      <c r="F13" s="16" t="s">
        <v>111</v>
      </c>
      <c r="G13" s="10" t="s">
        <v>445</v>
      </c>
      <c r="H13" s="16" t="s">
        <v>66</v>
      </c>
      <c r="I13" s="16" t="s">
        <v>67</v>
      </c>
      <c r="J13" s="19" t="n">
        <v>46221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6" t="s">
        <v>446</v>
      </c>
      <c r="B14" s="16" t="s">
        <v>41</v>
      </c>
      <c r="C14" s="16" t="s">
        <v>260</v>
      </c>
      <c r="D14" s="16" t="s">
        <v>447</v>
      </c>
      <c r="E14" s="16" t="s">
        <v>63</v>
      </c>
      <c r="F14" s="16" t="s">
        <v>111</v>
      </c>
      <c r="G14" s="10" t="s">
        <v>445</v>
      </c>
      <c r="H14" s="16" t="s">
        <v>66</v>
      </c>
      <c r="I14" s="16" t="s">
        <v>67</v>
      </c>
      <c r="J14" s="19" t="n">
        <v>46221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6" t="s">
        <v>448</v>
      </c>
      <c r="B15" s="16" t="s">
        <v>41</v>
      </c>
      <c r="C15" s="16" t="s">
        <v>263</v>
      </c>
      <c r="D15" s="16" t="s">
        <v>449</v>
      </c>
      <c r="E15" s="16" t="s">
        <v>63</v>
      </c>
      <c r="F15" s="16" t="s">
        <v>111</v>
      </c>
      <c r="G15" s="10" t="s">
        <v>445</v>
      </c>
      <c r="H15" s="16" t="s">
        <v>66</v>
      </c>
      <c r="I15" s="16" t="s">
        <v>67</v>
      </c>
      <c r="J15" s="19" t="n">
        <v>46221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6" t="s">
        <v>450</v>
      </c>
      <c r="B16" s="16" t="s">
        <v>41</v>
      </c>
      <c r="C16" s="16" t="s">
        <v>267</v>
      </c>
      <c r="D16" s="16" t="s">
        <v>451</v>
      </c>
      <c r="E16" s="16" t="s">
        <v>63</v>
      </c>
      <c r="F16" s="16" t="s">
        <v>111</v>
      </c>
      <c r="G16" s="10" t="s">
        <v>452</v>
      </c>
      <c r="H16" s="16" t="s">
        <v>66</v>
      </c>
      <c r="I16" s="16" t="s">
        <v>67</v>
      </c>
      <c r="J16" s="19" t="n">
        <v>46221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6" t="s">
        <v>453</v>
      </c>
      <c r="B17" s="16" t="s">
        <v>41</v>
      </c>
      <c r="C17" s="16" t="s">
        <v>188</v>
      </c>
      <c r="D17" s="16" t="s">
        <v>454</v>
      </c>
      <c r="E17" s="16" t="s">
        <v>63</v>
      </c>
      <c r="F17" s="16" t="s">
        <v>111</v>
      </c>
      <c r="G17" s="10" t="s">
        <v>445</v>
      </c>
      <c r="H17" s="16" t="s">
        <v>66</v>
      </c>
      <c r="I17" s="16" t="s">
        <v>67</v>
      </c>
      <c r="J17" s="19" t="n">
        <v>46221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6" t="s">
        <v>455</v>
      </c>
      <c r="B18" s="16" t="s">
        <v>41</v>
      </c>
      <c r="C18" s="16" t="s">
        <v>174</v>
      </c>
      <c r="D18" s="16" t="s">
        <v>456</v>
      </c>
      <c r="E18" s="16" t="s">
        <v>63</v>
      </c>
      <c r="F18" s="16" t="s">
        <v>111</v>
      </c>
      <c r="G18" s="10" t="s">
        <v>445</v>
      </c>
      <c r="H18" s="16" t="s">
        <v>66</v>
      </c>
      <c r="I18" s="16" t="s">
        <v>67</v>
      </c>
      <c r="J18" s="19" t="n">
        <v>46221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6" t="s">
        <v>457</v>
      </c>
      <c r="B19" s="16" t="s">
        <v>41</v>
      </c>
      <c r="C19" s="16" t="s">
        <v>178</v>
      </c>
      <c r="D19" s="16" t="s">
        <v>458</v>
      </c>
      <c r="E19" s="16" t="s">
        <v>63</v>
      </c>
      <c r="F19" s="16" t="s">
        <v>111</v>
      </c>
      <c r="G19" s="10" t="s">
        <v>445</v>
      </c>
      <c r="H19" s="16" t="s">
        <v>66</v>
      </c>
      <c r="I19" s="16" t="s">
        <v>67</v>
      </c>
      <c r="J19" s="19" t="n">
        <v>46221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6" t="s">
        <v>459</v>
      </c>
      <c r="B20" s="16" t="s">
        <v>41</v>
      </c>
      <c r="C20" s="16" t="s">
        <v>181</v>
      </c>
      <c r="D20" s="16" t="s">
        <v>460</v>
      </c>
      <c r="E20" s="16" t="s">
        <v>63</v>
      </c>
      <c r="F20" s="16" t="s">
        <v>111</v>
      </c>
      <c r="G20" s="10" t="s">
        <v>445</v>
      </c>
      <c r="H20" s="16" t="s">
        <v>66</v>
      </c>
      <c r="I20" s="16" t="s">
        <v>67</v>
      </c>
      <c r="J20" s="19" t="n">
        <v>46221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6" t="s">
        <v>461</v>
      </c>
      <c r="B21" s="16" t="s">
        <v>41</v>
      </c>
      <c r="C21" s="16" t="s">
        <v>279</v>
      </c>
      <c r="D21" s="16" t="s">
        <v>462</v>
      </c>
      <c r="E21" s="16" t="s">
        <v>63</v>
      </c>
      <c r="F21" s="16" t="s">
        <v>111</v>
      </c>
      <c r="G21" s="10" t="s">
        <v>452</v>
      </c>
      <c r="H21" s="16" t="s">
        <v>66</v>
      </c>
      <c r="I21" s="16" t="s">
        <v>67</v>
      </c>
      <c r="J21" s="19" t="n">
        <v>46221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6" t="s">
        <v>463</v>
      </c>
      <c r="B22" s="16" t="s">
        <v>41</v>
      </c>
      <c r="C22" s="16" t="s">
        <v>191</v>
      </c>
      <c r="D22" s="16" t="s">
        <v>464</v>
      </c>
      <c r="E22" s="16" t="s">
        <v>63</v>
      </c>
      <c r="F22" s="16" t="s">
        <v>111</v>
      </c>
      <c r="G22" s="10" t="s">
        <v>452</v>
      </c>
      <c r="H22" s="16" t="s">
        <v>66</v>
      </c>
      <c r="I22" s="16" t="s">
        <v>67</v>
      </c>
      <c r="J22" s="19" t="n">
        <v>46221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6" t="s">
        <v>465</v>
      </c>
      <c r="B23" s="16" t="s">
        <v>41</v>
      </c>
      <c r="C23" s="16" t="s">
        <v>285</v>
      </c>
      <c r="D23" s="16" t="s">
        <v>466</v>
      </c>
      <c r="E23" s="16" t="s">
        <v>63</v>
      </c>
      <c r="F23" s="16" t="s">
        <v>111</v>
      </c>
      <c r="G23" s="10" t="s">
        <v>445</v>
      </c>
      <c r="H23" s="16" t="s">
        <v>66</v>
      </c>
      <c r="I23" s="16" t="s">
        <v>67</v>
      </c>
      <c r="J23" s="19" t="n">
        <v>46221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6" t="s">
        <v>467</v>
      </c>
      <c r="B24" s="16" t="s">
        <v>41</v>
      </c>
      <c r="C24" s="16" t="s">
        <v>288</v>
      </c>
      <c r="D24" s="16" t="s">
        <v>468</v>
      </c>
      <c r="E24" s="16" t="s">
        <v>63</v>
      </c>
      <c r="F24" s="16" t="s">
        <v>111</v>
      </c>
      <c r="G24" s="10" t="s">
        <v>452</v>
      </c>
      <c r="H24" s="16" t="s">
        <v>66</v>
      </c>
      <c r="I24" s="16" t="s">
        <v>67</v>
      </c>
      <c r="J24" s="19" t="n">
        <v>46221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6" t="s">
        <v>469</v>
      </c>
      <c r="B25" s="16" t="s">
        <v>83</v>
      </c>
      <c r="C25" s="16" t="s">
        <v>188</v>
      </c>
      <c r="D25" s="16" t="s">
        <v>470</v>
      </c>
      <c r="E25" s="16" t="s">
        <v>63</v>
      </c>
      <c r="F25" s="16" t="s">
        <v>111</v>
      </c>
      <c r="G25" s="10" t="s">
        <v>452</v>
      </c>
      <c r="H25" s="16" t="s">
        <v>66</v>
      </c>
      <c r="I25" s="16" t="s">
        <v>67</v>
      </c>
      <c r="J25" s="19" t="n">
        <v>46221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6" t="s">
        <v>471</v>
      </c>
      <c r="B26" s="16" t="s">
        <v>83</v>
      </c>
      <c r="C26" s="16" t="s">
        <v>188</v>
      </c>
      <c r="D26" s="16" t="s">
        <v>472</v>
      </c>
      <c r="E26" s="16" t="s">
        <v>63</v>
      </c>
      <c r="F26" s="16" t="s">
        <v>111</v>
      </c>
      <c r="G26" s="10" t="s">
        <v>445</v>
      </c>
      <c r="H26" s="16" t="s">
        <v>66</v>
      </c>
      <c r="I26" s="16" t="s">
        <v>67</v>
      </c>
      <c r="J26" s="19" t="n">
        <v>46221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6" t="s">
        <v>473</v>
      </c>
      <c r="B27" s="16" t="s">
        <v>83</v>
      </c>
      <c r="C27" s="16" t="s">
        <v>188</v>
      </c>
      <c r="D27" s="16" t="s">
        <v>474</v>
      </c>
      <c r="E27" s="16" t="s">
        <v>63</v>
      </c>
      <c r="F27" s="16" t="s">
        <v>111</v>
      </c>
      <c r="G27" s="10" t="s">
        <v>452</v>
      </c>
      <c r="H27" s="16" t="s">
        <v>66</v>
      </c>
      <c r="I27" s="16" t="s">
        <v>67</v>
      </c>
      <c r="J27" s="19" t="n">
        <v>46221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6" t="s">
        <v>475</v>
      </c>
      <c r="B28" s="16" t="s">
        <v>83</v>
      </c>
      <c r="C28" s="16" t="s">
        <v>167</v>
      </c>
      <c r="D28" s="16" t="s">
        <v>476</v>
      </c>
      <c r="E28" s="16" t="s">
        <v>63</v>
      </c>
      <c r="F28" s="16" t="s">
        <v>477</v>
      </c>
      <c r="G28" s="10" t="s">
        <v>122</v>
      </c>
      <c r="H28" s="16" t="s">
        <v>73</v>
      </c>
      <c r="I28" s="16" t="s">
        <v>74</v>
      </c>
      <c r="J28" s="19" t="n">
        <v>46221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6" t="s">
        <v>478</v>
      </c>
      <c r="B29" s="16" t="s">
        <v>83</v>
      </c>
      <c r="C29" s="16" t="s">
        <v>167</v>
      </c>
      <c r="D29" s="16" t="s">
        <v>479</v>
      </c>
      <c r="E29" s="16" t="s">
        <v>63</v>
      </c>
      <c r="F29" s="16" t="s">
        <v>477</v>
      </c>
      <c r="G29" s="10" t="s">
        <v>122</v>
      </c>
      <c r="H29" s="16" t="s">
        <v>73</v>
      </c>
      <c r="I29" s="16" t="s">
        <v>74</v>
      </c>
      <c r="J29" s="19" t="n">
        <v>46221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6" t="s">
        <v>480</v>
      </c>
      <c r="B30" s="16" t="s">
        <v>83</v>
      </c>
      <c r="C30" s="16" t="s">
        <v>188</v>
      </c>
      <c r="D30" s="16" t="s">
        <v>481</v>
      </c>
      <c r="E30" s="16" t="s">
        <v>63</v>
      </c>
      <c r="F30" s="16" t="s">
        <v>111</v>
      </c>
      <c r="G30" s="10" t="s">
        <v>452</v>
      </c>
      <c r="H30" s="16" t="s">
        <v>66</v>
      </c>
      <c r="I30" s="16" t="s">
        <v>67</v>
      </c>
      <c r="J30" s="19" t="n">
        <v>46221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6" t="s">
        <v>482</v>
      </c>
      <c r="B31" s="16" t="s">
        <v>83</v>
      </c>
      <c r="C31" s="16" t="s">
        <v>167</v>
      </c>
      <c r="D31" s="16" t="s">
        <v>483</v>
      </c>
      <c r="E31" s="16" t="s">
        <v>63</v>
      </c>
      <c r="F31" s="16" t="s">
        <v>477</v>
      </c>
      <c r="G31" s="10" t="s">
        <v>122</v>
      </c>
      <c r="H31" s="16" t="s">
        <v>73</v>
      </c>
      <c r="I31" s="16" t="s">
        <v>74</v>
      </c>
      <c r="J31" s="19" t="n">
        <v>46221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6" t="s">
        <v>484</v>
      </c>
      <c r="B32" s="16" t="s">
        <v>83</v>
      </c>
      <c r="C32" s="16" t="s">
        <v>188</v>
      </c>
      <c r="D32" s="16" t="s">
        <v>485</v>
      </c>
      <c r="E32" s="16" t="s">
        <v>63</v>
      </c>
      <c r="F32" s="16" t="s">
        <v>92</v>
      </c>
      <c r="G32" s="10" t="s">
        <v>385</v>
      </c>
      <c r="H32" s="16" t="s">
        <v>66</v>
      </c>
      <c r="I32" s="16" t="s">
        <v>67</v>
      </c>
      <c r="J32" s="19" t="n">
        <v>46221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6" t="s">
        <v>486</v>
      </c>
      <c r="B33" s="16" t="s">
        <v>90</v>
      </c>
      <c r="C33" s="16" t="s">
        <v>167</v>
      </c>
      <c r="D33" s="16" t="s">
        <v>487</v>
      </c>
      <c r="E33" s="16" t="s">
        <v>63</v>
      </c>
      <c r="F33" s="16" t="s">
        <v>92</v>
      </c>
      <c r="G33" s="10" t="s">
        <v>385</v>
      </c>
      <c r="H33" s="16" t="s">
        <v>66</v>
      </c>
      <c r="I33" s="16" t="s">
        <v>67</v>
      </c>
      <c r="J33" s="19" t="n">
        <v>46221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6" t="s">
        <v>488</v>
      </c>
      <c r="B34" s="16" t="s">
        <v>90</v>
      </c>
      <c r="C34" s="16" t="s">
        <v>167</v>
      </c>
      <c r="D34" s="16" t="s">
        <v>489</v>
      </c>
      <c r="E34" s="16" t="s">
        <v>63</v>
      </c>
      <c r="F34" s="16" t="s">
        <v>92</v>
      </c>
      <c r="G34" s="10" t="s">
        <v>385</v>
      </c>
      <c r="H34" s="16" t="s">
        <v>66</v>
      </c>
      <c r="I34" s="16" t="s">
        <v>67</v>
      </c>
      <c r="J34" s="19" t="n">
        <v>46221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6" t="s">
        <v>490</v>
      </c>
      <c r="B35" s="16" t="s">
        <v>109</v>
      </c>
      <c r="C35" s="16" t="s">
        <v>6</v>
      </c>
      <c r="D35" s="16" t="s">
        <v>491</v>
      </c>
      <c r="E35" s="16" t="s">
        <v>63</v>
      </c>
      <c r="F35" s="16" t="s">
        <v>111</v>
      </c>
      <c r="G35" s="10" t="s">
        <v>445</v>
      </c>
      <c r="H35" s="16" t="s">
        <v>66</v>
      </c>
      <c r="I35" s="16" t="s">
        <v>67</v>
      </c>
      <c r="J35" s="19" t="n">
        <v>46221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6" t="s">
        <v>492</v>
      </c>
      <c r="B36" s="16" t="s">
        <v>109</v>
      </c>
      <c r="C36" s="16" t="s">
        <v>157</v>
      </c>
      <c r="D36" s="16" t="s">
        <v>493</v>
      </c>
      <c r="E36" s="16" t="s">
        <v>63</v>
      </c>
      <c r="F36" s="16" t="s">
        <v>77</v>
      </c>
      <c r="G36" s="10" t="s">
        <v>114</v>
      </c>
      <c r="H36" s="16" t="s">
        <v>66</v>
      </c>
      <c r="I36" s="16" t="s">
        <v>67</v>
      </c>
      <c r="J36" s="19" t="n">
        <v>46221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6" t="s">
        <v>494</v>
      </c>
      <c r="B37" s="16" t="s">
        <v>109</v>
      </c>
      <c r="C37" s="16" t="s">
        <v>6</v>
      </c>
      <c r="D37" s="16" t="s">
        <v>495</v>
      </c>
      <c r="E37" s="16" t="s">
        <v>63</v>
      </c>
      <c r="F37" s="16" t="s">
        <v>111</v>
      </c>
      <c r="G37" s="10" t="s">
        <v>496</v>
      </c>
      <c r="H37" s="16" t="s">
        <v>66</v>
      </c>
      <c r="I37" s="16" t="s">
        <v>67</v>
      </c>
      <c r="J37" s="19" t="n">
        <v>46221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6" t="s">
        <v>497</v>
      </c>
      <c r="B38" s="16" t="s">
        <v>109</v>
      </c>
      <c r="C38" s="16" t="s">
        <v>6</v>
      </c>
      <c r="D38" s="16" t="s">
        <v>498</v>
      </c>
      <c r="E38" s="16" t="s">
        <v>63</v>
      </c>
      <c r="F38" s="16" t="s">
        <v>111</v>
      </c>
      <c r="G38" s="10" t="s">
        <v>452</v>
      </c>
      <c r="H38" s="16" t="s">
        <v>66</v>
      </c>
      <c r="I38" s="16" t="s">
        <v>67</v>
      </c>
      <c r="J38" s="19" t="n">
        <v>46221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6" t="s">
        <v>499</v>
      </c>
      <c r="B39" s="16" t="s">
        <v>109</v>
      </c>
      <c r="C39" s="16" t="s">
        <v>188</v>
      </c>
      <c r="D39" s="16" t="s">
        <v>500</v>
      </c>
      <c r="E39" s="16" t="s">
        <v>63</v>
      </c>
      <c r="F39" s="16" t="s">
        <v>111</v>
      </c>
      <c r="G39" s="10" t="s">
        <v>452</v>
      </c>
      <c r="H39" s="16" t="s">
        <v>66</v>
      </c>
      <c r="I39" s="16" t="s">
        <v>67</v>
      </c>
      <c r="J39" s="19" t="n">
        <v>46221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6" t="s">
        <v>501</v>
      </c>
      <c r="B40" s="16" t="s">
        <v>109</v>
      </c>
      <c r="C40" s="16" t="s">
        <v>167</v>
      </c>
      <c r="D40" s="16" t="s">
        <v>502</v>
      </c>
      <c r="E40" s="16" t="s">
        <v>63</v>
      </c>
      <c r="F40" s="16" t="s">
        <v>477</v>
      </c>
      <c r="G40" s="10" t="s">
        <v>122</v>
      </c>
      <c r="H40" s="16" t="s">
        <v>73</v>
      </c>
      <c r="I40" s="16" t="s">
        <v>74</v>
      </c>
      <c r="J40" s="19" t="n">
        <v>46221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6" t="s">
        <v>503</v>
      </c>
      <c r="B41" s="16" t="s">
        <v>109</v>
      </c>
      <c r="C41" s="16" t="s">
        <v>6</v>
      </c>
      <c r="D41" s="16" t="s">
        <v>504</v>
      </c>
      <c r="E41" s="16" t="s">
        <v>63</v>
      </c>
      <c r="F41" s="16" t="s">
        <v>63</v>
      </c>
      <c r="G41" s="10" t="s">
        <v>128</v>
      </c>
      <c r="H41" s="16" t="s">
        <v>66</v>
      </c>
      <c r="I41" s="16" t="s">
        <v>67</v>
      </c>
      <c r="J41" s="19" t="n">
        <v>46221</v>
      </c>
      <c r="K41" s="16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6" t="s">
        <v>505</v>
      </c>
      <c r="B42" s="16" t="s">
        <v>130</v>
      </c>
      <c r="C42" s="16" t="s">
        <v>6</v>
      </c>
      <c r="D42" s="16" t="s">
        <v>506</v>
      </c>
      <c r="E42" s="16" t="s">
        <v>63</v>
      </c>
      <c r="F42" s="16" t="s">
        <v>132</v>
      </c>
      <c r="G42" s="10" t="s">
        <v>507</v>
      </c>
      <c r="H42" s="16" t="s">
        <v>66</v>
      </c>
      <c r="I42" s="16" t="s">
        <v>67</v>
      </c>
      <c r="J42" s="19" t="n">
        <v>46221</v>
      </c>
      <c r="K42" s="16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6" t="s">
        <v>508</v>
      </c>
      <c r="B43" s="16" t="s">
        <v>130</v>
      </c>
      <c r="C43" s="16" t="s">
        <v>6</v>
      </c>
      <c r="D43" s="16" t="s">
        <v>509</v>
      </c>
      <c r="E43" s="16" t="s">
        <v>63</v>
      </c>
      <c r="F43" s="16" t="s">
        <v>132</v>
      </c>
      <c r="G43" s="10" t="s">
        <v>507</v>
      </c>
      <c r="H43" s="16" t="s">
        <v>338</v>
      </c>
      <c r="I43" s="16" t="s">
        <v>74</v>
      </c>
      <c r="J43" s="19"/>
      <c r="K43" s="16" t="s">
        <v>510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6" t="s">
        <v>511</v>
      </c>
      <c r="B44" s="16" t="s">
        <v>136</v>
      </c>
      <c r="C44" s="16" t="s">
        <v>6</v>
      </c>
      <c r="D44" s="16" t="s">
        <v>512</v>
      </c>
      <c r="E44" s="16" t="s">
        <v>63</v>
      </c>
      <c r="F44" s="16" t="s">
        <v>138</v>
      </c>
      <c r="G44" s="10" t="s">
        <v>513</v>
      </c>
      <c r="H44" s="16" t="s">
        <v>66</v>
      </c>
      <c r="I44" s="16" t="s">
        <v>67</v>
      </c>
      <c r="J44" s="19" t="n">
        <v>46221</v>
      </c>
      <c r="K44" s="16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6" t="s">
        <v>514</v>
      </c>
      <c r="B45" s="16" t="s">
        <v>136</v>
      </c>
      <c r="C45" s="16" t="s">
        <v>6</v>
      </c>
      <c r="D45" s="16" t="s">
        <v>515</v>
      </c>
      <c r="E45" s="16" t="s">
        <v>63</v>
      </c>
      <c r="F45" s="16" t="s">
        <v>138</v>
      </c>
      <c r="G45" s="10" t="s">
        <v>516</v>
      </c>
      <c r="H45" s="16" t="s">
        <v>66</v>
      </c>
      <c r="I45" s="16" t="s">
        <v>67</v>
      </c>
      <c r="J45" s="19" t="n">
        <v>46221</v>
      </c>
      <c r="K45" s="16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6" t="s">
        <v>517</v>
      </c>
      <c r="B46" s="16" t="s">
        <v>144</v>
      </c>
      <c r="C46" s="16" t="s">
        <v>6</v>
      </c>
      <c r="D46" s="16" t="s">
        <v>518</v>
      </c>
      <c r="E46" s="16" t="s">
        <v>146</v>
      </c>
      <c r="F46" s="16" t="s">
        <v>146</v>
      </c>
      <c r="G46" s="10" t="s">
        <v>147</v>
      </c>
      <c r="H46" s="16" t="s">
        <v>66</v>
      </c>
      <c r="I46" s="16" t="s">
        <v>67</v>
      </c>
      <c r="J46" s="19" t="n">
        <v>46221</v>
      </c>
      <c r="K46" s="16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6" t="s">
        <v>519</v>
      </c>
      <c r="B47" s="16" t="s">
        <v>149</v>
      </c>
      <c r="C47" s="16" t="s">
        <v>520</v>
      </c>
      <c r="D47" s="16" t="s">
        <v>521</v>
      </c>
      <c r="E47" s="16" t="s">
        <v>151</v>
      </c>
      <c r="F47" s="16" t="s">
        <v>152</v>
      </c>
      <c r="G47" s="10" t="s">
        <v>243</v>
      </c>
      <c r="H47" s="16" t="s">
        <v>244</v>
      </c>
      <c r="I47" s="16" t="s">
        <v>67</v>
      </c>
      <c r="J47" s="19" t="n">
        <v>46221</v>
      </c>
      <c r="K47" s="16" t="s">
        <v>522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7">
      <formula>$H9="not started"</formula>
    </cfRule>
    <cfRule type="expression" priority="3" aboveAverage="0" equalAverage="0" bottom="0" percent="0" rank="0" text="" dxfId="8">
      <formula>$H9="partial"</formula>
    </cfRule>
    <cfRule type="expression" priority="4" aboveAverage="0" equalAverage="0" bottom="0" percent="0" rank="0" text="" dxfId="9">
      <formula>$H9="implemented"</formula>
    </cfRule>
    <cfRule type="expression" priority="5" aboveAverage="0" equalAverage="0" bottom="0" percent="0" rank="0" text="" dxfId="10">
      <formula>$H9="tested"</formula>
    </cfRule>
    <cfRule type="expression" priority="6" aboveAverage="0" equalAverage="0" bottom="0" percent="0" rank="0" text="" dxfId="11">
      <formula>$H9="verified"</formula>
    </cfRule>
    <cfRule type="expression" priority="7" aboveAverage="0" equalAverage="0" bottom="0" percent="0" rank="0" text="" dxfId="12">
      <formula>$H9="blocked"</formula>
    </cfRule>
    <cfRule type="expression" priority="8" aboveAverage="0" equalAverage="0" bottom="0" percent="0" rank="0" text="" dxfId="13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2026-07-18T16:20:08Z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