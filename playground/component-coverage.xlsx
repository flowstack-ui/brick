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4.xml" ContentType="application/vnd.openxmlformats-officedocument.spreadsheetml.table+xml"/>
  <Override PartName="/xl/tables/table2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20.xml" ContentType="application/vnd.openxmlformats-officedocument.spreadsheetml.table+xml"/>
  <Override PartName="/xl/tables/table6.xml" ContentType="application/vnd.openxmlformats-officedocument.spreadsheetml.table+xml"/>
  <Override PartName="/xl/tables/table28.xml" ContentType="application/vnd.openxmlformats-officedocument.spreadsheetml.table+xml"/>
  <Override PartName="/xl/tables/table17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25.xml" ContentType="application/vnd.openxmlformats-officedocument.spreadsheetml.table+xml"/>
  <Override PartName="/xl/tables/table11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23.xml" ContentType="application/vnd.openxmlformats-officedocument.spreadsheetml.table+xml"/>
  <Override PartName="/xl/tables/table18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tables/table27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16.xml" ContentType="application/vnd.openxmlformats-officedocument.spreadsheetml.table+xml"/>
  <Override PartName="/xl/tables/table15.xml" ContentType="application/vnd.openxmlformats-officedocument.spreadsheetml.table+xml"/>
  <Override PartName="/xl/tables/table21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69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6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33.xml" ContentType="application/vnd.openxmlformats-officedocument.spreadsheetml.worksheet+xml"/>
  <Override PartName="/xl/worksheets/sheet21.xml" ContentType="application/vnd.openxmlformats-officedocument.spreadsheetml.worksheet+xml"/>
  <Override PartName="/xl/worksheets/sheet23.xml" ContentType="application/vnd.openxmlformats-officedocument.spreadsheetml.worksheet+xml"/>
  <Override PartName="/xl/worksheets/sheet31.xml" ContentType="application/vnd.openxmlformats-officedocument.spreadsheetml.worksheet+xml"/>
  <Override PartName="/xl/worksheets/sheet46.xml" ContentType="application/vnd.openxmlformats-officedocument.spreadsheetml.worksheet+xml"/>
  <Override PartName="/xl/worksheets/sheet32.xml" ContentType="application/vnd.openxmlformats-officedocument.spreadsheetml.worksheet+xml"/>
  <Override PartName="/xl/worksheets/sheet34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36.xml" ContentType="application/vnd.openxmlformats-officedocument.spreadsheetml.worksheet+xml"/>
  <Override PartName="/xl/worksheets/sheet3.xml" ContentType="application/vnd.openxmlformats-officedocument.spreadsheetml.worksheet+xml"/>
  <Override PartName="/xl/worksheets/sheet40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3.xml" ContentType="application/vnd.openxmlformats-officedocument.spreadsheetml.worksheet+xml"/>
  <Override PartName="/xl/worksheets/sheet63.xml" ContentType="application/vnd.openxmlformats-officedocument.spreadsheetml.worksheet+xml"/>
  <Override PartName="/xl/worksheets/sheet48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65.xml" ContentType="application/vnd.openxmlformats-officedocument.spreadsheetml.worksheet+xml"/>
  <Override PartName="/xl/worksheets/sheet52.xml" ContentType="application/vnd.openxmlformats-officedocument.spreadsheetml.worksheet+xml"/>
  <Override PartName="/xl/worksheets/sheet30.xml" ContentType="application/vnd.openxmlformats-officedocument.spreadsheetml.worksheet+xml"/>
  <Override PartName="/xl/worksheets/sheet9.xml" ContentType="application/vnd.openxmlformats-officedocument.spreadsheetml.worksheet+xml"/>
  <Override PartName="/xl/worksheets/sheet67.xml" ContentType="application/vnd.openxmlformats-officedocument.spreadsheetml.worksheet+xml"/>
  <Override PartName="/xl/worksheets/sheet59.xml" ContentType="application/vnd.openxmlformats-officedocument.spreadsheetml.worksheet+xml"/>
  <Override PartName="/xl/worksheets/sheet53.xml" ContentType="application/vnd.openxmlformats-officedocument.spreadsheetml.worksheet+xml"/>
  <Override PartName="/xl/worksheets/sheet64.xml" ContentType="application/vnd.openxmlformats-officedocument.spreadsheetml.worksheet+xml"/>
  <Override PartName="/xl/worksheets/sheet54.xml" ContentType="application/vnd.openxmlformats-officedocument.spreadsheetml.worksheet+xml"/>
  <Override PartName="/xl/worksheets/sheet19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2.xml" ContentType="application/vnd.openxmlformats-officedocument.spreadsheetml.worksheet+xml"/>
  <Override PartName="/xl/worksheets/sheet47.xml" ContentType="application/vnd.openxmlformats-officedocument.spreadsheetml.worksheet+xml"/>
  <Override PartName="/xl/worksheets/sheet49.xml" ContentType="application/vnd.openxmlformats-officedocument.spreadsheetml.worksheet+xml"/>
  <Override PartName="/xl/worksheets/sheet55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61.xml" ContentType="application/vnd.openxmlformats-officedocument.spreadsheetml.worksheet+xml"/>
  <Override PartName="/xl/worksheets/sheet66.xml" ContentType="application/vnd.openxmlformats-officedocument.spreadsheetml.worksheet+xml"/>
  <Override PartName="/xl/worksheets/sheet68.xml" ContentType="application/vnd.openxmlformats-officedocument.spreadsheetml.worksheet+xml"/>
  <Override PartName="/xl/worksheets/sheet5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70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7.xml" ContentType="application/vnd.openxmlformats-officedocument.drawing+xml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19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1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Tooltip" sheetId="27" state="visible" r:id="rId29"/>
    <sheet name="Grid" sheetId="28" state="visible" r:id="rId30"/>
    <sheet name="Container" sheetId="29" state="visible" r:id="rId31"/>
    <sheet name="Surface" sheetId="30" state="visible" r:id="rId32"/>
    <sheet name="Divider" sheetId="31" state="visible" r:id="rId33"/>
    <sheet name="Scroll Area" sheetId="32" state="visible" r:id="rId34"/>
    <sheet name="Code" sheetId="33" state="visible" r:id="rId35"/>
    <sheet name="Code Block" sheetId="34" state="visible" r:id="rId36"/>
    <sheet name="Nav List" sheetId="35" state="visible" r:id="rId37"/>
    <sheet name="Sidebar" sheetId="36" state="visible" r:id="rId38"/>
    <sheet name="Icon" sheetId="37" state="visible" r:id="rId39"/>
    <sheet name="Image" sheetId="38" state="visible" r:id="rId40"/>
    <sheet name="List" sheetId="39" state="visible" r:id="rId41"/>
    <sheet name="Select" sheetId="40" state="visible" r:id="rId42"/>
    <sheet name="Multi Select" sheetId="41" state="visible" r:id="rId43"/>
    <sheet name="Textarea" sheetId="42" state="visible" r:id="rId44"/>
    <sheet name="Radio Group" sheetId="43" state="visible" r:id="rId45"/>
    <sheet name="Switch" sheetId="44" state="visible" r:id="rId46"/>
    <sheet name="Breadcrumb" sheetId="45" state="visible" r:id="rId47"/>
    <sheet name="Tabs" sheetId="46" state="visible" r:id="rId48"/>
    <sheet name="Skeleton" sheetId="47" state="visible" r:id="rId49"/>
    <sheet name="Dropdown Menu" sheetId="48" state="visible" r:id="rId50"/>
    <sheet name="Context Menu" sheetId="49" state="visible" r:id="rId51"/>
    <sheet name="Menubar" sheetId="50" state="visible" r:id="rId52"/>
    <sheet name="Navigation Menu" sheetId="51" state="visible" r:id="rId53"/>
    <sheet name="Bottom Navigation" sheetId="52" state="visible" r:id="rId54"/>
    <sheet name="Visually Hidden" sheetId="53" state="visible" r:id="rId55"/>
    <sheet name="Collapsible" sheetId="54" state="visible" r:id="rId56"/>
    <sheet name="Accordion" sheetId="55" state="visible" r:id="rId57"/>
    <sheet name="Toast" sheetId="56" state="visible" r:id="rId58"/>
    <sheet name="Table" sheetId="57" state="visible" r:id="rId59"/>
    <sheet name="Pagination" sheetId="58" state="visible" r:id="rId60"/>
    <sheet name="Data Grid" sheetId="59" state="visible" r:id="rId61"/>
    <sheet name="Tree Grid" sheetId="60" state="visible" r:id="rId62"/>
    <sheet name="Tree" sheetId="61" state="visible" r:id="rId63"/>
    <sheet name="Aspect Ratio" sheetId="62" state="visible" r:id="rId64"/>
    <sheet name="Toolbar" sheetId="63" state="visible" r:id="rId65"/>
    <sheet name="Chip" sheetId="64" state="visible" r:id="rId66"/>
    <sheet name="Combobox" sheetId="65" state="visible" r:id="rId67"/>
    <sheet name="Number Input" sheetId="66" state="visible" r:id="rId68"/>
    <sheet name="OTP Field" sheetId="67" state="visible" r:id="rId69"/>
    <sheet name="Password Toggle Field" sheetId="68" state="visible" r:id="rId70"/>
    <sheet name="Slider" sheetId="69" state="visible" r:id="rId71"/>
    <sheet name="Rating" sheetId="70" state="visible" r:id="rId72"/>
  </sheets>
  <definedNames>
    <definedName function="false" hidden="false" localSheetId="61" name="_xlnm.Print_Area" vbProcedure="false">'Aspect Ratio'!$A$1:$M$34</definedName>
    <definedName function="false" hidden="true" localSheetId="61" name="_xlnm._FilterDatabase" vbProcedure="false">'Aspect Ratio'!$A$8:$M$34</definedName>
    <definedName function="false" hidden="true" localSheetId="51" name="_xlnm._FilterDatabase" vbProcedure="false">'Bottom Navigation'!$A$8:$M$36</definedName>
    <definedName function="false" hidden="false" localSheetId="63" name="_xlnm.Print_Area" vbProcedure="false">Chip!$A$1:$M$39</definedName>
    <definedName function="false" hidden="true" localSheetId="63" name="_xlnm._FilterDatabase" vbProcedure="false">Chip!$A$8:$M$39</definedName>
    <definedName function="false" hidden="true" localSheetId="53" name="_xlnm._FilterDatabase" vbProcedure="false">Collapsible!$A$8:$M$33</definedName>
    <definedName function="false" hidden="false" localSheetId="64" name="_xlnm.Print_Area" vbProcedure="false">Combobox!$A$1:$M$30</definedName>
    <definedName function="false" hidden="true" localSheetId="58" name="_xlnm._FilterDatabase" vbProcedure="false">'Data Grid'!$A$8:$M$34</definedName>
    <definedName function="false" hidden="false" localSheetId="0" name="_xlnm.Print_Area" vbProcedure="false">Index!$A$1:$M$71</definedName>
    <definedName function="false" hidden="true" localSheetId="0" name="_xlnm._FilterDatabase" vbProcedure="false">Index!$A$7:$M$73</definedName>
    <definedName function="false" hidden="false" localSheetId="65" name="_xlnm.Print_Area" vbProcedure="false">'Number Input'!$A$1:$M$27</definedName>
    <definedName function="false" hidden="false" localSheetId="66" name="_xlnm.Print_Area" vbProcedure="false">'OTP Field'!$A$1:$M$28</definedName>
    <definedName function="false" hidden="false" localSheetId="57" name="_xlnm.Print_Area" vbProcedure="false">Pagination!$A$1:$M$33</definedName>
    <definedName function="false" hidden="true" localSheetId="57" name="_xlnm._FilterDatabase" vbProcedure="false">Pagination!$A$8:$M$33</definedName>
    <definedName function="false" hidden="false" localSheetId="67" name="_xlnm.Print_Area" vbProcedure="false">'Password Toggle Field'!$A$1:$M$28</definedName>
    <definedName function="false" hidden="true" localSheetId="42" name="_xlnm._FilterDatabase" vbProcedure="false">'Radio Group'!$A$8:$M$28</definedName>
    <definedName function="false" hidden="true" localSheetId="69" name="_xlnm._FilterDatabase" vbProcedure="false">Rating!$A$8:$M$25</definedName>
    <definedName function="false" hidden="true" localSheetId="39" name="_xlnm._FilterDatabase" vbProcedure="false">Select!$A$8:$M$30</definedName>
    <definedName function="false" hidden="true" localSheetId="46" name="_xlnm._FilterDatabase" vbProcedure="false">Skeleton!$A$8:$M$30</definedName>
    <definedName function="false" hidden="true" localSheetId="68" name="_xlnm._FilterDatabase" vbProcedure="false">Slider!$A$8:$M$24</definedName>
    <definedName function="false" hidden="false" localSheetId="56" name="_xlnm.Print_Area" vbProcedure="false">Table!$A$1:$M$31</definedName>
    <definedName function="false" hidden="true" localSheetId="56" name="_xlnm._FilterDatabase" vbProcedure="false">Table!$A$8:$M$31</definedName>
    <definedName function="false" hidden="true" localSheetId="45" name="_xlnm._FilterDatabase" vbProcedure="false">Tabs!$A$8:$M$31</definedName>
    <definedName function="false" hidden="true" localSheetId="41" name="_xlnm._FilterDatabase" vbProcedure="false">Textarea!$A$8:$M$30</definedName>
    <definedName function="false" hidden="false" localSheetId="55" name="_xlnm.Print_Area" vbProcedure="false">Toast!$A$1:$M$39</definedName>
    <definedName function="false" hidden="false" localSheetId="55" name="_xlnm.Print_Titles" vbProcedure="false">Toast!$1:$8</definedName>
    <definedName function="false" hidden="true" localSheetId="55" name="_xlnm._FilterDatabase" vbProcedure="false">Toast!$A$8:$M$39</definedName>
    <definedName function="false" hidden="false" localSheetId="62" name="_xlnm.Print_Area" vbProcedure="false">Toolbar!$A$1:$M$38</definedName>
    <definedName function="false" hidden="true" localSheetId="62" name="_xlnm._FilterDatabase" vbProcedure="false">Toolbar!$A$8:$M$38</definedName>
    <definedName function="false" hidden="true" localSheetId="59" name="_xlnm._FilterDatabase" vbProcedure="false">'Tree Grid'!$A$8:$M$36</definedName>
    <definedName function="false" hidden="true" localSheetId="52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<sst xmlns="http://schemas.openxmlformats.org/spreadsheetml/2006/main" count="13840" uniqueCount="3399">
  <si>
    <t xml:space="preserve">Brick Component Coverage</t>
  </si>
  <si>
    <t xml:space="preserve">Current package evidence across 66 independently exported components.</t>
  </si>
  <si>
    <t xml:space="preserve">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</si>
  <si>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</si>
  <si>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</si>
  <si>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</si>
  <si>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</si>
  <si>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</si>
  <si>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</si>
  <si>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</si>
  <si>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</si>
  <si>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</si>
  <si>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</si>
  <si>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</si>
  <si>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</si>
  <si>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</si>
  <si>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</si>
  <si>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</si>
  <si>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</si>
  <si>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</si>
  <si>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</si>
  <si>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</si>
  <si>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</si>
  <si>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</si>
  <si>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</si>
  <si>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</si>
  <si>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</si>
  <si>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</si>
  <si>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</si>
  <si>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</si>
  <si>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</si>
  <si>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</si>
  <si>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</si>
  <si>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</si>
  <si>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</si>
  <si>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</si>
  <si>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</si>
  <si>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</si>
  <si>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</si>
  <si>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</si>
  <si>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</si>
  <si>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</si>
  <si>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</si>
  <si>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</si>
  <si>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</si>
  <si>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</si>
  <si>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</si>
  <si>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</si>
  <si>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</si>
  <si>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</si>
  <si>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</si>
  <si>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</si>
  <si>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</si>
  <si>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</si>
  <si>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</si>
  <si>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</si>
  <si>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</si>
  <si>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</si>
  <si>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</si>
  <si>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</si>
  <si>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</si>
  <si>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</si>
  <si>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</si>
  <si>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</si>
  <si>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</si>
  <si>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</si>
  <si>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</si>
  <si>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</si>
  <si>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</si>
  <si>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</si>
  <si>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</si>
  <si>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Data Grid</t>
  </si>
  <si>
    <t xml:space="preserve">Tree Grid</t>
  </si>
  <si>
    <t xml:space="preserve">Tree</t>
  </si>
  <si>
    <t xml:space="preserve">Aspect Ratio</t>
  </si>
  <si>
    <t xml:space="preserve">Toolbar</t>
  </si>
  <si>
    <t xml:space="preserve">Chip</t>
  </si>
  <si>
    <t xml:space="preserve">Combobox</t>
  </si>
  <si>
    <t xml:space="preserve">Number Input</t>
  </si>
  <si>
    <t xml:space="preserve">OTP Field</t>
  </si>
  <si>
    <t xml:space="preserve">Password Toggle Field</t>
  </si>
  <si>
    <t xml:space="preserve">Slider</t>
  </si>
  <si>
    <t xml:space="preserve">Rating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</si>
  <si>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</si>
  <si>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</si>
  <si>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</si>
  <si>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</si>
  <si>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</si>
  <si>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</si>
  <si>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</si>
  <si>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exported public component owns one sheet. Family integration never replaces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</si>
  <si>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</si>
  <si>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</si>
  <si>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</si>
  <si>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</si>
  <si>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</si>
  <si>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</si>
  <si>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</si>
  <si>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</si>
  <si>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</si>
  <si>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</si>
  <si>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</si>
  <si>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</si>
  <si>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</si>
  <si>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</si>
  <si>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</si>
  <si>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The owner confirmed every current component protocol completed on 2026-07-24.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</si>
  <si>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</si>
  <si>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</si>
  <si>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</si>
  <si>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</si>
  <si>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</si>
  <si>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</si>
  <si>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</si>
  <si>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</si>
  <si>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</si>
  <si>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</si>
  <si>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</si>
  <si>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</si>
  <si>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</si>
  <si>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</si>
  <si>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</si>
  <si>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</si>
  <si>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</si>
  <si>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Status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</si>
  <si>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</si>
  <si>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</si>
  <si>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</si>
  <si>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</si>
  <si>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</si>
  <si>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</si>
  <si>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</si>
  <si>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</si>
  <si>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</si>
  <si>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</si>
  <si>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</si>
  <si>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</si>
  <si>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</si>
  <si>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</si>
  <si>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</si>
  <si>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</si>
  <si>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</si>
  <si>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</si>
  <si>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</si>
  <si>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</si>
  <si>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</si>
  <si>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</si>
  <si>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</si>
  <si>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</si>
  <si>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</si>
  <si>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</si>
  <si>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</si>
  <si>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</si>
  <si>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</si>
  <si>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</si>
  <si>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</si>
  <si>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</si>
  <si>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</si>
  <si>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</si>
  <si>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</si>
  <si>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</si>
  <si>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</si>
  <si>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</si>
  <si>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</si>
  <si>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</si>
  <si>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</si>
  <si>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</si>
  <si>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</si>
  <si>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</si>
  <si>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</si>
  <si>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</si>
  <si>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</si>
  <si>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</si>
  <si>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</si>
  <si>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</si>
  <si>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</si>
  <si>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</si>
  <si>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</si>
  <si>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</si>
  <si>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</si>
  <si>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</si>
  <si>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</si>
  <si>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</si>
  <si>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</si>
  <si>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</si>
  <si>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</si>
  <si>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</si>
  <si>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</si>
  <si>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</si>
  <si>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</si>
  <si>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</si>
  <si>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</si>
  <si>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</si>
  <si>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</si>
  <si>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</si>
  <si>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</si>
  <si>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</si>
  <si>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</si>
  <si>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</si>
  <si>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</si>
  <si>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</si>
  <si>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</si>
  <si>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</si>
  <si>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</si>
  <si>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</si>
  <si>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</si>
  <si>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</si>
  <si>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</si>
  <si>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</si>
  <si>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</si>
  <si>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</si>
  <si>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</si>
  <si>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</si>
  <si>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</si>
  <si>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</si>
  <si>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</si>
  <si>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</si>
  <si>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</si>
  <si>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</si>
  <si>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</si>
  <si>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</si>
  <si>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</si>
  <si>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</si>
  <si>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</si>
  <si>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</si>
  <si>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</si>
  <si>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</si>
  <si>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</si>
  <si>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</si>
  <si>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</si>
  <si>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</si>
  <si>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</si>
  <si>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</si>
  <si>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</si>
  <si>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</si>
  <si>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</si>
  <si>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</si>
  <si>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</si>
  <si>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</si>
  <si>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</si>
  <si>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</si>
  <si>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</si>
  <si>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</si>
  <si>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</si>
  <si>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</si>
  <si>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</si>
  <si>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</si>
  <si>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</si>
  <si>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</si>
  <si>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</si>
  <si>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</si>
  <si>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</si>
  <si>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</si>
  <si>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</si>
  <si>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</si>
  <si>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</si>
  <si>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</si>
  <si>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</si>
  <si>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</si>
  <si>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</si>
  <si>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</si>
  <si>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</si>
  <si>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</si>
  <si>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</si>
  <si>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</si>
  <si>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</si>
  <si>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</si>
  <si>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</si>
  <si>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</si>
  <si>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</si>
  <si>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</si>
  <si>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</si>
  <si>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</si>
  <si>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</si>
  <si>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</si>
  <si>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</si>
  <si>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</si>
  <si>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</si>
  <si>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</si>
  <si>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</si>
  <si>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</si>
  <si>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</si>
  <si>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</si>
  <si>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</si>
  <si>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</si>
  <si>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</si>
  <si>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</si>
  <si>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</si>
  <si>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</si>
  <si>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</si>
  <si>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</si>
  <si>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</si>
  <si>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</si>
  <si>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</si>
  <si>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</si>
  <si>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</si>
  <si>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</si>
  <si>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</si>
  <si>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</si>
  <si>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</si>
  <si>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</si>
  <si>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</si>
  <si>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</si>
  <si>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</si>
  <si>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</si>
  <si>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</si>
  <si>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</si>
  <si>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</si>
  <si>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</si>
  <si>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</si>
  <si>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</si>
  <si>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</si>
  <si>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</si>
  <si>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</si>
  <si>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</si>
  <si>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</si>
  <si>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</si>
  <si>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</si>
  <si>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</si>
  <si>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</si>
  <si>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</si>
  <si>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</si>
  <si>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</si>
  <si>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</si>
  <si>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</si>
  <si>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</si>
  <si>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</si>
  <si>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</si>
  <si>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</si>
  <si>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</si>
  <si>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</si>
  <si>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</si>
  <si>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</si>
  <si>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</si>
  <si>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</si>
  <si>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</si>
  <si>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</si>
  <si>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</si>
  <si>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</si>
  <si>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</si>
  <si>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</si>
  <si>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</si>
  <si>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</si>
  <si>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</si>
  <si>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</si>
  <si>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</si>
  <si>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</si>
  <si>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</si>
  <si>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</si>
  <si>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</si>
  <si>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</si>
  <si>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</si>
  <si>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</si>
  <si>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</si>
  <si>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</si>
  <si>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</si>
  <si>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</si>
  <si>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</si>
  <si>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</si>
  <si>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</si>
  <si>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</si>
  <si>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</si>
  <si>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</si>
  <si>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</si>
  <si>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</si>
  <si>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</si>
  <si>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</si>
  <si>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</si>
  <si>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</si>
  <si>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</si>
  <si>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</si>
  <si>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</si>
  <si>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</si>
  <si>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</si>
  <si>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</si>
  <si>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</si>
  <si>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</si>
  <si>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</si>
  <si>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</si>
  <si>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</si>
  <si>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</si>
  <si>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</si>
  <si>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</si>
  <si>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</si>
  <si>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</si>
  <si>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</si>
  <si>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</si>
  <si>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</si>
  <si>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</si>
  <si>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</si>
  <si>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</si>
  <si>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</si>
  <si>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</si>
  <si>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</si>
  <si>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</si>
  <si>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</si>
  <si>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</si>
  <si>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</si>
  <si>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</si>
  <si>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</si>
  <si>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</si>
  <si>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</si>
  <si>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</si>
  <si>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</si>
  <si>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</si>
  <si>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</si>
  <si>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</si>
  <si>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</si>
  <si>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</si>
  <si>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</si>
  <si>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</si>
  <si>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</si>
  <si>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</si>
  <si>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</si>
  <si>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</si>
  <si>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</si>
  <si>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</si>
  <si>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</si>
  <si>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</si>
  <si>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</si>
  <si>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</si>
  <si>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</si>
  <si>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</si>
  <si>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</si>
  <si>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</si>
  <si>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</si>
  <si>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</si>
  <si>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</si>
  <si>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</si>
  <si>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</si>
  <si>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</si>
  <si>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</si>
  <si>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</si>
  <si>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</si>
  <si>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</si>
  <si>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</si>
  <si>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</si>
  <si>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</si>
  <si>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</si>
  <si>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</si>
  <si>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</si>
  <si>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</si>
  <si>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</si>
  <si>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</si>
  <si>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</si>
  <si>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</si>
  <si>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</si>
  <si>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</si>
  <si>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</si>
  <si>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</si>
  <si>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</si>
  <si>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</si>
  <si>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</si>
  <si>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</si>
  <si>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</si>
  <si>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</si>
  <si>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</si>
  <si>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</si>
  <si>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</si>
  <si>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</si>
  <si>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</si>
  <si>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</si>
  <si>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</si>
  <si>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</si>
  <si>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</si>
  <si>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</si>
  <si>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</si>
  <si>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</si>
  <si>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</si>
  <si>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</si>
  <si>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</si>
  <si>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</si>
  <si>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</si>
  <si>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</si>
  <si>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</si>
  <si>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</si>
  <si>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</si>
  <si>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</si>
  <si>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</si>
  <si>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</si>
  <si>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</si>
  <si>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</si>
  <si>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</si>
  <si>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</si>
  <si>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</si>
  <si>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</si>
  <si>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</si>
  <si>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</si>
  <si>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</si>
  <si>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</si>
  <si>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</si>
  <si>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</si>
  <si>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</si>
  <si>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</si>
  <si>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</si>
  <si>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</si>
  <si>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</si>
  <si>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</si>
  <si>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</si>
  <si>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</si>
  <si>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</si>
  <si>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</si>
  <si>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</si>
  <si>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</si>
  <si>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</si>
  <si>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</si>
  <si>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</si>
  <si>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</si>
  <si>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</si>
  <si>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</si>
  <si>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</si>
  <si>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</si>
  <si>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</si>
  <si>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</si>
  <si>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</si>
  <si>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</si>
  <si>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</si>
  <si>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</si>
  <si>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</si>
  <si>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</si>
  <si>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</si>
  <si>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</si>
  <si>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</si>
  <si>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</si>
  <si>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</si>
  <si>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</si>
  <si>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</si>
  <si>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</si>
  <si>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</si>
  <si>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</si>
  <si>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</si>
  <si>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</si>
  <si>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</si>
  <si>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</si>
  <si>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</si>
  <si>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</si>
  <si>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</si>
  <si>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</si>
  <si>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</si>
  <si>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</si>
  <si>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</si>
  <si>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</si>
  <si>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</si>
  <si>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</si>
  <si>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</si>
  <si>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</si>
  <si>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</si>
  <si>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</si>
  <si>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</si>
  <si>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</si>
  <si>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</si>
  <si>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</si>
  <si>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</si>
  <si>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</si>
  <si>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</si>
  <si>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</si>
  <si>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</si>
  <si>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</si>
  <si>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</si>
  <si>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</si>
  <si>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</si>
  <si>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</si>
  <si>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</si>
  <si>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</si>
  <si>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</si>
  <si>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</si>
  <si>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</si>
  <si>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</si>
  <si>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</si>
  <si>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</si>
  <si>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</si>
  <si>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</si>
  <si>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</si>
  <si>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</si>
  <si>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</si>
  <si>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</si>
  <si>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</si>
  <si>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</si>
  <si>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</si>
  <si>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</si>
  <si>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</si>
  <si>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</si>
  <si>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</si>
  <si>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</si>
  <si>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</si>
  <si>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</si>
  <si>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</si>
  <si>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</si>
  <si>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</si>
  <si>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</si>
  <si>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</si>
  <si>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</si>
  <si>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</si>
  <si>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</si>
  <si>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</si>
  <si>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</si>
  <si>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</si>
  <si>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</si>
  <si>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</si>
  <si>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</si>
  <si>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</si>
  <si>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</si>
  <si>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</si>
  <si>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</si>
  <si>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</si>
  <si>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</si>
  <si>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</si>
  <si>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</si>
  <si>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</si>
  <si>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</si>
  <si>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</si>
  <si>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</si>
  <si>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</si>
  <si>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</si>
  <si>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</si>
  <si>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</si>
  <si>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</si>
  <si>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</si>
  <si>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</si>
  <si>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</si>
  <si>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</si>
  <si>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</si>
  <si>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</si>
  <si>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</si>
  <si>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</si>
  <si>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</si>
  <si>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0.7.0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</si>
  <si>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</si>
  <si>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</si>
  <si>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</si>
  <si>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</si>
  <si>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</si>
  <si>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</si>
  <si>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</si>
  <si>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</si>
  <si>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</si>
  <si>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</si>
  <si>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</si>
  <si>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</si>
  <si>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</si>
  <si>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</si>
  <si>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</si>
  <si>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</si>
  <si>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</si>
  <si>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</si>
  <si>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</si>
  <si>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</si>
  <si>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</si>
  <si>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</si>
  <si>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</si>
  <si>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</si>
  <si>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</si>
  <si>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</si>
  <si>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</si>
  <si>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</si>
  <si>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</si>
  <si>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</si>
  <si>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</si>
  <si>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</si>
  <si>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</si>
  <si>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</si>
  <si>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</si>
  <si>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</si>
  <si>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</si>
  <si>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</si>
  <si>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</si>
  <si>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</si>
  <si>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</si>
  <si>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</si>
  <si>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</si>
  <si>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</si>
  <si>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</si>
  <si>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</si>
  <si>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</si>
  <si>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</si>
  <si>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</si>
  <si>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</si>
  <si>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</si>
  <si>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</si>
  <si>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</si>
  <si>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</si>
  <si>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</si>
  <si>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</si>
  <si>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</si>
  <si>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</si>
  <si>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</si>
  <si>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</si>
  <si>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</si>
  <si>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</si>
  <si>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</si>
  <si>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</si>
  <si>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</si>
  <si>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</si>
  <si>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</si>
  <si>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</si>
  <si>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</si>
  <si>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</si>
  <si>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</si>
  <si>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</si>
  <si>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</si>
  <si>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</si>
  <si>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</si>
  <si>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</si>
  <si>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</si>
  <si>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</si>
  <si>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</si>
  <si>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</si>
  <si>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</si>
  <si>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</si>
  <si>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</si>
  <si>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</si>
  <si>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</si>
  <si>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</si>
  <si>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</si>
  <si>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</si>
  <si>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</si>
  <si>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</si>
  <si>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</si>
  <si>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</si>
  <si>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</si>
  <si>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</si>
  <si>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</si>
  <si>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</si>
  <si>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</si>
  <si>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</si>
  <si>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</si>
  <si>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</si>
  <si>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</si>
  <si>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</si>
  <si>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</si>
  <si>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</si>
  <si>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</si>
  <si>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</si>
  <si>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</si>
  <si>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</si>
  <si>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</si>
  <si>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</si>
  <si>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</si>
  <si>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</si>
  <si>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</si>
  <si>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</si>
  <si>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</si>
  <si>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</si>
  <si>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</si>
  <si>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</si>
  <si>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</si>
  <si>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</si>
  <si>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</si>
  <si>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</si>
  <si>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</si>
  <si>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</si>
  <si>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</si>
  <si>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</si>
  <si>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</si>
  <si>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</si>
  <si>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</si>
  <si>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</si>
  <si>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</si>
  <si>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</si>
  <si>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</si>
  <si>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</si>
  <si>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</si>
  <si>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</si>
  <si>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</si>
  <si>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</si>
  <si>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</si>
  <si>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</si>
  <si>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</si>
  <si>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</si>
  <si>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</si>
  <si>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</si>
  <si>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</si>
  <si>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</si>
  <si>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</si>
  <si>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</si>
  <si>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</si>
  <si>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</si>
  <si>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</si>
  <si>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Hosts, direction, gap, alignment, distribution, wrapping, native props, refs, and exclusions type-check.</t>
  </si>
  <si>
    <t xml:space="preserve">../test/types/components/stack.test.ts</t>
  </si>
  <si>
    <t xml:space="preserve">S-04</t>
  </si>
  <si>
    <t xml:space="preserve">Root</t>
  </si>
  <si>
    <t xml:space="preserve">Static CSS ships flex layout, zero-through-six tokenized gaps, logical alignment, distribution, wrapping, and min-inline containment.</t>
  </si>
  <si>
    <t xml:space="preserve">../src/components/stack/stack.css; ../src/styles/tokens.tokens.json</t>
  </si>
  <si>
    <t xml:space="preserve">S-05</t>
  </si>
  <si>
    <t xml:space="preserve">Defaults, family direction locks, every closed recipe, semantic hosts, native pass-through, hooks, events, and refs pass focused tests.</t>
  </si>
  <si>
    <t xml:space="preserve">../test/components/stack/stack.test.tsx</t>
  </si>
  <si>
    <t xml:space="preserve">S-06</t>
  </si>
  <si>
    <t xml:space="preserve">Real-browser axes, exact gaps, alignment, distribution, wrapping, containment, semantics, refs, output, and customization pass.</t>
  </si>
  <si>
    <t xml:space="preserve">tests/components/stack/behavior.spec.ts</t>
  </si>
  <si>
    <t xml:space="preserve">S-07</t>
  </si>
  <si>
    <t xml:space="preserve">Source order, semantic hosts, RTL logic, reflow containment, and axe checks pass without Stack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</si>
  <si>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</si>
  <si>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</si>
  <si>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</si>
  <si>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</si>
  <si>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</si>
  <si>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</si>
  <si>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</si>
  <si>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</si>
  <si>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</si>
  <si>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</si>
  <si>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</si>
  <si>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</si>
  <si>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</si>
  <si>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semantic host, authored native attribute, DOM order, and rendered-output example match the public contract.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</si>
  <si>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</si>
  <si>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</si>
  <si>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</si>
  <si>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</si>
  <si>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defaults, recipes, semantics, accessibility, CSS, and API documentation pass component checks.</t>
  </si>
  <si>
    <t xml:space="preserve">../docs/components/stack/README.md</t>
  </si>
  <si>
    <t xml:space="preserve">S-14</t>
  </si>
  <si>
    <t xml:space="preserve">Stack owns a public component changelog and the package changelog records the family addition.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</si>
  <si>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</si>
  <si>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</si>
  <si>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</si>
  <si>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</si>
  <si>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</si>
  <si>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</si>
  <si>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</si>
  <si>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</si>
  <si>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</si>
  <si>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</si>
  <si>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</si>
  <si>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</si>
  <si>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</si>
  <si>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</si>
  <si>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</si>
  <si>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</si>
  <si>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</si>
  <si>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</si>
  <si>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</si>
  <si>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</si>
  <si>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</si>
  <si>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G-01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</si>
  <si>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</si>
  <si>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</si>
  <si>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</si>
  <si>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G-02</t>
  </si>
  <si>
    <t xml:space="preserve">Root exports and the public Grid subpath expose the frozen compound runtime and all public Grid types.</t>
  </si>
  <si>
    <t xml:space="preserve">G-03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</si>
  <si>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</si>
  <si>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</si>
  <si>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G-04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</si>
  <si>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</si>
  <si>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</si>
  <si>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G-05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</si>
  <si>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</si>
  <si>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</si>
  <si>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G-06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</si>
  <si>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</si>
  <si>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</si>
  <si>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G-07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</si>
  <si>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</si>
  <si>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</si>
  <si>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G-08</t>
  </si>
  <si>
    <t xml:space="preserve">Authored semantics, DOM and focus order, RTL logic, reflow containment, and axe pass without Grid inventing interactive grid semantics.</t>
  </si>
  <si>
    <t xml:space="preserve">G-09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</si>
  <si>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</si>
  <si>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</si>
  <si>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</si>
  <si>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G-10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</si>
  <si>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</si>
  <si>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</si>
  <si>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G-11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</si>
  <si>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</si>
  <si>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</si>
  <si>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G-12</t>
  </si>
  <si>
    <t xml:space="preserve">Supported semantic hosts, authored attributes, source order, rendered output, slots, and data hooks match the public contract.</t>
  </si>
  <si>
    <t xml:space="preserve">G-13</t>
  </si>
  <si>
    <t xml:space="preserve">The component-owned manual protocol passes every Grid playground scenario.</t>
  </si>
  <si>
    <t xml:space="preserve">G-14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</si>
  <si>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</si>
  <si>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</si>
  <si>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G-15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</si>
  <si>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</si>
  <si>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</si>
  <si>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G-16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</si>
  <si>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</si>
  <si>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</si>
  <si>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</si>
  <si>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</si>
  <si>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</si>
  <si>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</si>
  <si>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</si>
  <si>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</si>
  <si>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</si>
  <si>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</si>
  <si>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</si>
  <si>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</si>
  <si>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</si>
  <si>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</si>
  <si>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</si>
  <si>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</si>
  <si>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</si>
  <si>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</si>
  <si>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</si>
  <si>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</si>
  <si>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</si>
  <si>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</si>
  <si>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</si>
  <si>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</si>
  <si>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</si>
  <si>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</si>
  <si>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</si>
  <si>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</si>
  <si>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</si>
  <si>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</si>
  <si>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</si>
  <si>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</si>
  <si>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</si>
  <si>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</si>
  <si>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</si>
  <si>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</si>
  <si>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</si>
  <si>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</si>
  <si>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</si>
  <si>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</si>
  <si>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</si>
  <si>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</si>
  <si>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</si>
  <si>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</si>
  <si>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insets, native props, refs, and rejected composition props type-check.</t>
  </si>
  <si>
    <t xml:space="preserve">../test/types/components/surface.test.ts</t>
  </si>
  <si>
    <t xml:space="preserve">Static CSS ships semantic levels, independent border, elevation, radius, inset, forced-color handling, and public variable overrides.</t>
  </si>
  <si>
    <t xml:space="preserve">../src/components/surface/surface.css</t>
  </si>
  <si>
    <t xml:space="preserve">Defaults, every recipe, semantic hosts, pass-through, hooks, events, refs, and exclusions pass focused tests.</t>
  </si>
  <si>
    <t xml:space="preserve">../test/components/surface/surface.test.tsx</t>
  </si>
  <si>
    <t xml:space="preserve">Real-browser levels, borders, elevations, radii, insets,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</si>
  <si>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</si>
  <si>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</si>
  <si>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inset,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</si>
  <si>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</si>
  <si>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</si>
  <si>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Physical mobile, 200%/400% zoom, constrained content, long copy, nesting, and RTL remain readable and contained.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</si>
  <si>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</si>
  <si>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</si>
  <si>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</si>
  <si>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</si>
  <si>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</si>
  <si>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usage, defaults, recipes, semantics, accessibility, composition, CSS, customization, and API documentation pass checks.</t>
  </si>
  <si>
    <t xml:space="preserve">../docs/components/surface/README.md</t>
  </si>
  <si>
    <t xml:space="preserve">Surface owns a public component changelog and the package changelog records the component addition.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</si>
  <si>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</si>
  <si>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</si>
  <si>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</si>
  <si>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</si>
  <si>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</si>
  <si>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</si>
  <si>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</si>
  <si>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</si>
  <si>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</si>
  <si>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</si>
  <si>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</si>
  <si>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</si>
  <si>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</si>
  <si>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</si>
  <si>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</si>
  <si>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</si>
  <si>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</si>
  <si>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</si>
  <si>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</si>
  <si>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</si>
  <si>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</si>
  <si>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</si>
  <si>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</si>
  <si>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</si>
  <si>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</si>
  <si>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</si>
  <si>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</si>
  <si>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</si>
  <si>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</si>
  <si>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</si>
  <si>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</si>
  <si>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</si>
  <si>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</si>
  <si>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</si>
  <si>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</si>
  <si>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</si>
  <si>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</si>
  <si>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</si>
  <si>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</si>
  <si>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</si>
  <si>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</si>
  <si>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</si>
  <si>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</si>
  <si>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</si>
  <si>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</si>
  <si>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</si>
  <si>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</si>
  <si>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</si>
  <si>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</si>
  <si>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</si>
  <si>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</si>
  <si>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</si>
  <si>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</si>
  <si>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</si>
  <si>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</si>
  <si>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</si>
  <si>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</si>
  <si>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</si>
  <si>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</si>
  <si>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</si>
  <si>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</si>
  <si>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</si>
  <si>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</si>
  <si>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</si>
  <si>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</si>
  <si>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</si>
  <si>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</si>
  <si>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</si>
  <si>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</si>
  <si>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</si>
  <si>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</si>
  <si>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</si>
  <si>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</si>
  <si>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</si>
  <si>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</si>
  <si>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</si>
  <si>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</si>
  <si>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</si>
  <si>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</si>
  <si>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</si>
  <si>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</si>
  <si>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</si>
  <si>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</si>
  <si>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</si>
  <si>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</si>
  <si>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</si>
  <si>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</si>
  <si>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</si>
  <si>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</si>
  <si>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</si>
  <si>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</si>
  <si>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</si>
  <si>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</si>
  <si>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</si>
  <si>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</si>
  <si>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</si>
  <si>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</si>
  <si>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</si>
  <si>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</si>
  <si>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</si>
  <si>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</si>
  <si>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</si>
  <si>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</si>
  <si>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</si>
  <si>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</si>
  <si>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</si>
  <si>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</si>
  <si>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</si>
  <si>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</si>
  <si>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</si>
  <si>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</si>
  <si>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</si>
  <si>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</si>
  <si>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</si>
  <si>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</si>
  <si>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</si>
  <si>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</si>
  <si>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</si>
  <si>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</si>
  <si>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</si>
  <si>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</si>
  <si>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</si>
  <si>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</si>
  <si>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</si>
  <si>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</si>
  <si>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</si>
  <si>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</si>
  <si>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</si>
  <si>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</si>
  <si>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</si>
  <si>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</si>
  <si>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</si>
  <si>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</si>
  <si>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</si>
  <si>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</si>
  <si>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</si>
  <si>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</si>
  <si>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</si>
  <si>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</si>
  <si>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</si>
  <si>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</si>
  <si>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</si>
  <si>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</si>
  <si>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</si>
  <si>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</si>
  <si>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</si>
  <si>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</si>
  <si>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</si>
  <si>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</si>
  <si>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</si>
  <si>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</si>
  <si>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</si>
  <si>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</si>
  <si>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</si>
  <si>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</si>
  <si>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</si>
  <si>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</si>
  <si>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</si>
  <si>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</si>
  <si>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</si>
  <si>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</si>
  <si>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</si>
  <si>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</si>
  <si>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</si>
  <si>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</si>
  <si>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</si>
  <si>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</si>
  <si>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</si>
  <si>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</si>
  <si>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</si>
  <si>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</si>
  <si>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</si>
  <si>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</si>
  <si>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</si>
  <si>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</si>
  <si>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</si>
  <si>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</si>
  <si>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</si>
  <si>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</si>
  <si>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</si>
  <si>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</si>
  <si>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</si>
  <si>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</si>
  <si>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</si>
  <si>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</si>
  <si>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</si>
  <si>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</si>
  <si>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</si>
  <si>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</si>
  <si>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</si>
  <si>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</si>
  <si>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</si>
  <si>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</si>
  <si>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</si>
  <si>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</si>
  <si>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</si>
  <si>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</si>
  <si>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</si>
  <si>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</si>
  <si>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</si>
  <si>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</si>
  <si>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</si>
  <si>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</si>
  <si>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</si>
  <si>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</si>
  <si>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</si>
  <si>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</si>
  <si>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</si>
  <si>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</si>
  <si>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</si>
  <si>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</si>
  <si>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</si>
  <si>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</si>
  <si>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</si>
  <si>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</si>
  <si>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</si>
  <si>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</si>
  <si>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</si>
  <si>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</si>
  <si>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</si>
  <si>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</si>
  <si>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</si>
  <si>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</si>
  <si>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</si>
  <si>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</si>
  <si>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</si>
  <si>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</si>
  <si>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</si>
  <si>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</si>
  <si>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0.8.0.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</si>
  <si>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</si>
  <si>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</si>
  <si>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</si>
  <si>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</si>
  <si>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</si>
  <si>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</si>
  <si>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</si>
  <si>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</si>
  <si>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</si>
  <si>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</si>
  <si>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</si>
  <si>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</si>
  <si>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</si>
  <si>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</si>
  <si>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</si>
  <si>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</si>
  <si>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</si>
  <si>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</si>
  <si>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</si>
  <si>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</si>
  <si>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</si>
  <si>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</si>
  <si>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</si>
  <si>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</si>
  <si>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</si>
  <si>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</si>
  <si>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</si>
  <si>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</si>
  <si>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</si>
  <si>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</si>
  <si>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</si>
  <si>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</si>
  <si>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</si>
  <si>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</si>
  <si>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</si>
  <si>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</si>
  <si>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</si>
  <si>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</si>
  <si>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</si>
  <si>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</si>
  <si>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</si>
  <si>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</si>
  <si>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</si>
  <si>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</si>
  <si>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</si>
  <si>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</si>
  <si>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</si>
  <si>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</si>
  <si>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</si>
  <si>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</si>
  <si>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</si>
  <si>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</si>
  <si>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</si>
  <si>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</si>
  <si>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</si>
  <si>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</si>
  <si>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</si>
  <si>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</si>
  <si>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</si>
  <si>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</si>
  <si>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</si>
  <si>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</si>
  <si>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</si>
  <si>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</si>
  <si>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</si>
  <si>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</si>
  <si>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</si>
  <si>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</si>
  <si>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</si>
  <si>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</si>
  <si>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</si>
  <si>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</si>
  <si>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</si>
  <si>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</si>
  <si>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</si>
  <si>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</si>
  <si>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</si>
  <si>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</si>
  <si>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</si>
  <si>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</si>
  <si>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</si>
  <si>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</si>
  <si>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</si>
  <si>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</si>
  <si>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</si>
  <si>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</si>
  <si>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</si>
  <si>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</si>
  <si>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</si>
  <si>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</si>
  <si>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</si>
  <si>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</si>
  <si>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</si>
  <si>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</si>
  <si>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</si>
  <si>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</si>
  <si>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</si>
  <si>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</si>
  <si>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</si>
  <si>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</si>
  <si>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</si>
  <si>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</si>
  <si>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</si>
  <si>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</si>
  <si>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</si>
  <si>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</si>
  <si>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</si>
  <si>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</si>
  <si>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</si>
  <si>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</si>
  <si>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</si>
  <si>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</si>
  <si>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</si>
  <si>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</si>
  <si>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</si>
  <si>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</si>
  <si>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</si>
  <si>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</si>
  <si>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</si>
  <si>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</si>
  <si>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</si>
  <si>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</si>
  <si>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</si>
  <si>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</si>
  <si>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</si>
  <si>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</si>
  <si>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</si>
  <si>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</si>
  <si>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</si>
  <si>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</si>
  <si>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</si>
  <si>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</si>
  <si>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</si>
  <si>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</si>
  <si>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</si>
  <si>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</si>
  <si>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</si>
  <si>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</si>
  <si>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</si>
  <si>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</si>
  <si>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</si>
  <si>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</si>
  <si>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</si>
  <si>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</si>
  <si>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</si>
  <si>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</si>
  <si>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</si>
  <si>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</si>
  <si>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</si>
  <si>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</si>
  <si>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</si>
  <si>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</si>
  <si>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</si>
  <si>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</si>
  <si>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</si>
  <si>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</si>
  <si>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</si>
  <si>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</si>
  <si>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</si>
  <si>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</si>
  <si>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</si>
  <si>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</si>
  <si>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</si>
  <si>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</si>
  <si>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</si>
  <si>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</si>
  <si>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</si>
  <si>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</si>
  <si>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</si>
  <si>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</si>
  <si>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</si>
  <si>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</si>
  <si>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</si>
  <si>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</si>
  <si>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</si>
  <si>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</si>
  <si>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</si>
  <si>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</si>
  <si>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</si>
  <si>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</si>
  <si>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</si>
  <si>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</si>
  <si>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</si>
  <si>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</si>
  <si>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</si>
  <si>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</si>
  <si>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</si>
  <si>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</si>
  <si>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</si>
  <si>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</si>
  <si>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</si>
  <si>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</si>
  <si>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</si>
  <si>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</si>
  <si>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</si>
  <si>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</si>
  <si>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</si>
  <si>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</si>
  <si>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</si>
  <si>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</si>
  <si>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</si>
  <si>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</si>
  <si>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</si>
  <si>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</si>
  <si>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0.9.1,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</si>
  <si>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</si>
  <si>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</si>
  <si>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</si>
  <si>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</si>
  <si>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</si>
  <si>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0.9.3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</si>
  <si>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</si>
  <si>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</si>
  <si>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</si>
  <si>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</si>
  <si>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</si>
  <si>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</si>
  <si>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</si>
  <si>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</si>
  <si>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</si>
  <si>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</si>
  <si>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</si>
  <si>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</si>
  <si>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</si>
  <si>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</si>
  <si>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</si>
  <si>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</si>
  <si>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</si>
  <si>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</si>
  <si>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</si>
  <si>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0.9.3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</si>
  <si>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</si>
  <si>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</si>
  <si>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</si>
  <si>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</si>
  <si>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</si>
  <si>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</si>
  <si>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</si>
  <si>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</si>
  <si>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</si>
  <si>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</si>
  <si>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</si>
  <si>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</si>
  <si>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</si>
  <si>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</si>
  <si>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</si>
  <si>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</si>
  <si>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</si>
  <si>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0.9.3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</si>
  <si>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</si>
  <si>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</si>
  <si>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</si>
  <si>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</si>
  <si>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</si>
  <si>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</si>
  <si>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</si>
  <si>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</si>
  <si>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</si>
  <si>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</si>
  <si>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</si>
  <si>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</si>
  <si>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</si>
  <si>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</si>
  <si>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</si>
  <si>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</si>
  <si>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</si>
  <si>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</si>
  <si>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</si>
  <si>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</si>
  <si>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</si>
  <si>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</si>
  <si>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</si>
  <si>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</si>
  <si>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0.10.1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</si>
  <si>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</si>
  <si>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</si>
  <si>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</si>
  <si>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</si>
  <si>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</si>
  <si>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</si>
  <si>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</si>
  <si>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</si>
  <si>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</si>
  <si>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</si>
  <si>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</si>
  <si>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</si>
  <si>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</si>
  <si>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</si>
  <si>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</si>
  <si>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</si>
  <si>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</si>
  <si>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0.10.1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</si>
  <si>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</si>
  <si>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</si>
  <si>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</si>
  <si>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</si>
  <si>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</si>
  <si>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</si>
  <si>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</si>
  <si>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</si>
  <si>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</si>
  <si>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</si>
  <si>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</si>
  <si>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</si>
  <si>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0.10.1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</si>
  <si>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</si>
  <si>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</si>
  <si>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</si>
  <si>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</si>
  <si>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</si>
  <si>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</si>
  <si>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</si>
  <si>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</si>
  <si>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</si>
  <si>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</si>
  <si>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</si>
  <si>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</si>
  <si>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</si>
  <si>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</si>
  <si>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</si>
  <si>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</si>
  <si>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0.10.1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</si>
  <si>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</si>
  <si>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</si>
  <si>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</si>
  <si>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</si>
  <si>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</si>
  <si>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</si>
  <si>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</si>
  <si>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</si>
  <si>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</si>
  <si>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</si>
  <si>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</si>
  <si>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</si>
  <si>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</si>
  <si>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</si>
  <si>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</si>
  <si>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</si>
  <si>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</si>
  <si>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</si>
  <si>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</si>
  <si>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</si>
  <si>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</si>
  <si>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</si>
  <si>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0.10.1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</si>
  <si>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</si>
  <si>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</si>
  <si>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</si>
  <si>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</si>
  <si>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</si>
  <si>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</si>
  <si>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</si>
  <si>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</si>
  <si>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</si>
  <si>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</si>
  <si>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</si>
  <si>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</si>
  <si>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</si>
  <si>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</si>
  <si>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</si>
  <si>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</si>
  <si>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</si>
  <si>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</si>
  <si>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</si>
  <si>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</si>
  <si>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</si>
  <si>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</si>
  <si>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</si>
  <si>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</si>
  <si>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</si>
  <si>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</si>
  <si>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</si>
  <si>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</si>
  <si>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</si>
  <si>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</si>
  <si>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</si>
  <si>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</si>
  <si>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</si>
  <si>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</si>
  <si>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</si>
  <si>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</si>
  <si>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</si>
  <si>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</si>
  <si>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</si>
  <si>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</si>
  <si>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</si>
  <si>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0.11.0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</si>
  <si>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</si>
  <si>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</si>
  <si>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</si>
  <si>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</si>
  <si>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</si>
  <si>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</si>
  <si>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</si>
  <si>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</si>
  <si>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</si>
  <si>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</si>
  <si>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</si>
  <si>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</si>
  <si>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</si>
  <si>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</si>
  <si>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</si>
  <si>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</si>
  <si>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</si>
  <si>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</si>
  <si>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</si>
  <si>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</si>
  <si>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</si>
  <si>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</si>
  <si>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</si>
  <si>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</si>
  <si>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</si>
  <si>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</si>
  <si>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</si>
  <si>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</si>
  <si>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</si>
  <si>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</si>
  <si>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</si>
  <si>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</si>
  <si>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</si>
  <si>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</si>
  <si>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</si>
  <si>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</si>
  <si>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</si>
  <si>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</si>
  <si>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</si>
  <si>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</si>
  <si>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</si>
  <si>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</si>
  <si>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</si>
  <si>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</si>
  <si>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</si>
  <si>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</si>
  <si>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</si>
  <si>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</si>
  <si>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</si>
  <si>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</si>
  <si>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</si>
  <si>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</si>
  <si>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</si>
  <si>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</si>
  <si>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</si>
  <si>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</si>
  <si>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</si>
  <si>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</si>
  <si>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</si>
  <si>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</si>
  <si>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0.11.1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</si>
  <si>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</si>
  <si>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</si>
  <si>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</si>
  <si>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</si>
  <si>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</si>
  <si>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</si>
  <si>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</si>
  <si>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</si>
  <si>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</si>
  <si>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</si>
  <si>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</si>
  <si>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</si>
  <si>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</si>
  <si>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</si>
  <si>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</si>
  <si>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</si>
  <si>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</si>
  <si>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</si>
  <si>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</si>
  <si>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</si>
  <si>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</si>
  <si>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</si>
  <si>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</si>
  <si>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</si>
  <si>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</si>
  <si>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</si>
  <si>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</si>
  <si>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</si>
  <si>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</si>
  <si>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</si>
  <si>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</si>
  <si>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</si>
  <si>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</si>
  <si>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</si>
  <si>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</si>
  <si>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</si>
  <si>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</si>
  <si>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</si>
  <si>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</si>
  <si>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</si>
  <si>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</si>
  <si>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</si>
  <si>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</si>
  <si>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</si>
  <si>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</si>
  <si>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</si>
  <si>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</si>
  <si>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</si>
  <si>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</si>
  <si>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</si>
  <si>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</si>
  <si>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</si>
  <si>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0.11.1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</si>
  <si>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</si>
  <si>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</si>
  <si>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</si>
  <si>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</si>
  <si>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</si>
  <si>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</si>
  <si>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</si>
  <si>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</si>
  <si>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</si>
  <si>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</si>
  <si>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</si>
  <si>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</si>
  <si>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</si>
  <si>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</si>
  <si>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</si>
  <si>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</si>
  <si>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</si>
  <si>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</si>
  <si>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</si>
  <si>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</si>
  <si>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</si>
  <si>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</si>
  <si>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</si>
  <si>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</si>
  <si>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</si>
  <si>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</si>
  <si>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</si>
  <si>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</si>
  <si>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</si>
  <si>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</si>
  <si>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</si>
  <si>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</si>
  <si>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</si>
  <si>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</si>
  <si>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</si>
  <si>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</si>
  <si>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</si>
  <si>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</si>
  <si>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</si>
  <si>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</si>
  <si>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</si>
  <si>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</si>
  <si>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</si>
  <si>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</si>
  <si>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</si>
  <si>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</si>
  <si>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</si>
  <si>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</si>
  <si>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</si>
  <si>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</si>
  <si>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</si>
  <si>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</si>
  <si>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</si>
  <si>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</si>
  <si>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</si>
  <si>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</si>
  <si>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</si>
  <si>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</si>
  <si>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</si>
  <si>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</si>
  <si>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</si>
  <si>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</si>
  <si>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</si>
  <si>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</si>
  <si>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</si>
  <si>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</si>
  <si>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</si>
  <si>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</si>
  <si>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0.11.1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</si>
  <si>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</si>
  <si>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</si>
  <si>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</si>
  <si>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0.11.1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</si>
  <si>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</si>
  <si>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</si>
  <si>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</si>
  <si>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</si>
  <si>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</si>
  <si>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</si>
  <si>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</si>
  <si>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</si>
  <si>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size/variant recipes plus Atom props, controlled state, orientation, composition, native props, and refs type-check.</t>
  </si>
  <si>
    <t xml:space="preserve">../test/types/components/tabs.test.ts</t>
  </si>
  <si>
    <t xml:space="preserve">TB-05</t>
  </si>
  <si>
    <t xml:space="preserve">Static CSS ships layouts, four recipes, sizes, states, overflow, RTL, forced-color, reduced-motion, and public-variable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</si>
  <si>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</si>
  <si>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</si>
  <si>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</si>
  <si>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</si>
  <si>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</si>
  <si>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</si>
  <si>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</si>
  <si>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</si>
  <si>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</si>
  <si>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</si>
  <si>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</si>
  <si>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</si>
  <si>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</si>
  <si>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</si>
  <si>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</si>
  <si>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Root/List/Trigger</t>
  </si>
  <si>
    <t xml:space="preserve">Vertical orientation changes physical layout and arrow axis; fullWidth distributes horizontal triggers equally.</t>
  </si>
  <si>
    <t xml:space="preserve">tests/components/tabs/behavior.spec.ts; tests/components/tabs/visual.spec.ts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</si>
  <si>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</si>
  <si>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</si>
  <si>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</si>
  <si>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TB-11</t>
  </si>
  <si>
    <t xml:space="preserve">Activation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</si>
  <si>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</si>
  <si>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</si>
  <si>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</si>
  <si>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hidden, and focusable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</si>
  <si>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</si>
  <si>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</si>
  <si>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</si>
  <si>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</si>
  <si>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</si>
  <si>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</si>
  <si>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</si>
  <si>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</si>
  <si>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Constrained horizontal lists stay one row and scroll rather than wrap; vertical semantic orientation is not changed by CSS.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</si>
  <si>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</si>
  <si>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</si>
  <si>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</si>
  <si>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</si>
  <si>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</si>
  <si>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</si>
  <si>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</si>
  <si>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</si>
  <si>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</si>
  <si>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</si>
  <si>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</si>
  <si>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</si>
  <si>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API, recipes, accessibility, responsive behavior, composition, CSS, customization, and evidence are documented.</t>
  </si>
  <si>
    <t xml:space="preserve">../docs/components/tabs/README.md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</si>
  <si>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</si>
  <si>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</si>
  <si>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</si>
  <si>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</si>
  <si>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</si>
  <si>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</si>
  <si>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Consumer, configured browsers, docs, and exact Atom dependency pass.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</si>
  <si>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</si>
  <si>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</si>
  <si>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</si>
  <si>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</si>
  <si>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</si>
  <si>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</si>
  <si>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</si>
  <si>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</si>
  <si>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</si>
  <si>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</si>
  <si>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</si>
  <si>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</si>
  <si>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</si>
  <si>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</si>
  <si>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</si>
  <si>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</si>
  <si>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</si>
  <si>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</si>
  <si>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</si>
  <si>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</si>
  <si>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</si>
  <si>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</si>
  <si>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</si>
  <si>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</si>
  <si>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</si>
  <si>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</si>
  <si>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</si>
  <si>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</si>
  <si>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</si>
  <si>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</si>
  <si>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</si>
  <si>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</si>
  <si>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</si>
  <si>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</si>
  <si>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</si>
  <si>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</si>
  <si>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</si>
  <si>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</si>
  <si>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</si>
  <si>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</si>
  <si>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</si>
  <si>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</si>
  <si>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</si>
  <si>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</si>
  <si>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</si>
  <si>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Appearance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</si>
  <si>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</si>
  <si>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</si>
  <si>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</si>
  <si>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</si>
  <si>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</si>
  <si>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</si>
  <si>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</si>
  <si>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</si>
  <si>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</si>
  <si>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</si>
  <si>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</si>
  <si>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</si>
  <si>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</si>
  <si>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</si>
  <si>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</si>
  <si>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</si>
  <si>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</si>
  <si>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</si>
  <si>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</si>
  <si>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</si>
  <si>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</si>
  <si>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</si>
  <si>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</si>
  <si>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0.12.1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</si>
  <si>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</si>
  <si>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</si>
  <si>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</si>
  <si>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</si>
  <si>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</si>
  <si>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</si>
  <si>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</si>
  <si>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</si>
  <si>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</si>
  <si>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</si>
  <si>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</si>
  <si>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</si>
  <si>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</si>
  <si>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</si>
  <si>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</si>
  <si>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</si>
  <si>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</si>
  <si>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</si>
  <si>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</si>
  <si>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</si>
  <si>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</si>
  <si>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</si>
  <si>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</si>
  <si>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</si>
  <si>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</si>
  <si>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</si>
  <si>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</si>
  <si>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</si>
  <si>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</si>
  <si>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</si>
  <si>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</si>
  <si>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</si>
  <si>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</si>
  <si>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</si>
  <si>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</si>
  <si>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</si>
  <si>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</si>
  <si>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</si>
  <si>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</si>
  <si>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</si>
  <si>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</si>
  <si>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</si>
  <si>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</si>
  <si>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</si>
  <si>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</si>
  <si>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</si>
  <si>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</si>
  <si>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</si>
  <si>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</si>
  <si>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</si>
  <si>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</si>
  <si>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</si>
  <si>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</si>
  <si>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</si>
  <si>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</si>
  <si>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</si>
  <si>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</si>
  <si>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</si>
  <si>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</si>
  <si>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</si>
  <si>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</si>
  <si>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</si>
  <si>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</si>
  <si>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</si>
  <si>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</si>
  <si>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</si>
  <si>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</si>
  <si>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</si>
  <si>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Context Menu Evidence</t>
  </si>
  <si>
    <t xml:space="preserve">CM-01</t>
  </si>
  <si>
    <t xml:space="preserve">Brick styles released Atom 0.12.1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</si>
  <si>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</si>
  <si>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</si>
  <si>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</si>
  <si>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</si>
  <si>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</si>
  <si>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</si>
  <si>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</si>
  <si>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</si>
  <si>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</si>
  <si>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</si>
  <si>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</si>
  <si>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</si>
  <si>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</si>
  <si>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</si>
  <si>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</si>
  <si>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</si>
  <si>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</si>
  <si>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</si>
  <si>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</si>
  <si>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</si>
  <si>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</si>
  <si>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</si>
  <si>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</si>
  <si>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</si>
  <si>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</si>
  <si>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</si>
  <si>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</si>
  <si>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</si>
  <si>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</si>
  <si>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</si>
  <si>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</si>
  <si>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</si>
  <si>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</si>
  <si>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</si>
  <si>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</si>
  <si>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</si>
  <si>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</si>
  <si>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</si>
  <si>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</si>
  <si>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</si>
  <si>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</si>
  <si>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</si>
  <si>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</si>
  <si>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</si>
  <si>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</si>
  <si>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</si>
  <si>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</si>
  <si>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</si>
  <si>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</si>
  <si>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</si>
  <si>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</si>
  <si>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</si>
  <si>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</si>
  <si>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</si>
  <si>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</si>
  <si>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</si>
  <si>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0.12.1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</si>
  <si>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</si>
  <si>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</si>
  <si>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</si>
  <si>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</si>
  <si>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</si>
  <si>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</si>
  <si>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</si>
  <si>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</si>
  <si>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</si>
  <si>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</si>
  <si>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</si>
  <si>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</si>
  <si>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</si>
  <si>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</si>
  <si>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</si>
  <si>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</si>
  <si>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</si>
  <si>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</si>
  <si>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</si>
  <si>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</si>
  <si>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</si>
  <si>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</si>
  <si>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</si>
  <si>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</si>
  <si>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</si>
  <si>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</si>
  <si>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</si>
  <si>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</si>
  <si>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</si>
  <si>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</si>
  <si>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</si>
  <si>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</si>
  <si>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</si>
  <si>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</si>
  <si>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</si>
  <si>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</si>
  <si>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</si>
  <si>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</si>
  <si>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</si>
  <si>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</si>
  <si>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</si>
  <si>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</si>
  <si>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</si>
  <si>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0.12.1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</si>
  <si>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</si>
  <si>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</si>
  <si>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../test/components/navigation-menu/navigation-menu.test.tsx</t>
  </si>
  <si>
    <t xml:space="preserve">NM-03</t>
  </si>
  <si>
    <t xml:space="preserve">NavigationMenu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</si>
  <si>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</si>
  <si>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</si>
  <si>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</si>
  <si>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</si>
  <si>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</si>
  <si>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</si>
  <si>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</si>
  <si>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</si>
  <si>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</si>
  <si>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</si>
  <si>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</si>
  <si>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</si>
  <si>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</si>
  <si>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</si>
  <si>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</si>
  <si>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</si>
  <si>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</si>
  <si>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Horizontal and vertical orientation change layout and keyboard axis together.</t>
  </si>
  <si>
    <t xml:space="preserve">NM-10</t>
  </si>
  <si>
    <t xml:space="preserve">Viewport</t>
  </si>
  <si>
    <t xml:space="preserve">Content/Viewport/Indicator</t>
  </si>
  <si>
    <t xml:space="preserve">Measured rich content, active trigger indicator, and viewport geometry follow Atom state.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</si>
  <si>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</si>
  <si>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</si>
  <si>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</si>
  <si>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</si>
  <si>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</si>
  <si>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</si>
  <si>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</si>
  <si>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</si>
  <si>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</si>
  <si>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</si>
  <si>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</si>
  <si>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</si>
  <si>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</si>
  <si>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</si>
  <si>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</si>
  <si>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</si>
  <si>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</si>
  <si>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</si>
  <si>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</si>
  <si>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</si>
  <si>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</si>
  <si>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0.13.0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</si>
  <si>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</si>
  <si>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</si>
  <si>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</si>
  <si>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</si>
  <si>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</si>
  <si>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</si>
  <si>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</si>
  <si>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</si>
  <si>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</si>
  <si>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</si>
  <si>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</si>
  <si>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</si>
  <si>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</si>
  <si>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</si>
  <si>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</si>
  <si>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</si>
  <si>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</si>
  <si>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</si>
  <si>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</si>
  <si>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</si>
  <si>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</si>
  <si>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</si>
  <si>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</si>
  <si>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</si>
  <si>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</si>
  <si>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</si>
  <si>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</si>
  <si>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</si>
  <si>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</si>
  <si>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</si>
  <si>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</si>
  <si>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</si>
  <si>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</si>
  <si>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</si>
  <si>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</si>
  <si>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</si>
  <si>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</si>
  <si>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</si>
  <si>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</si>
  <si>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</si>
  <si>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</si>
  <si>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</si>
  <si>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</si>
  <si>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</si>
  <si>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</si>
  <si>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</si>
  <si>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</si>
  <si>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</si>
  <si>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</si>
  <si>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</si>
  <si>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</si>
  <si>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</si>
  <si>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</si>
  <si>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</si>
  <si>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</si>
  <si>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</si>
  <si>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</si>
  <si>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</si>
  <si>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</si>
  <si>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</si>
  <si>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</si>
  <si>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</si>
  <si>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</si>
  <si>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</si>
  <si>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</si>
  <si>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</si>
  <si>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</si>
  <si>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</si>
  <si>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</si>
  <si>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</si>
  <si>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</si>
  <si>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</si>
  <si>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</si>
  <si>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</si>
  <si>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</si>
  <si>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</si>
  <si>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</si>
  <si>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</si>
  <si>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0.13.0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</si>
  <si>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</si>
  <si>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</si>
  <si>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</si>
  <si>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0.13.0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</si>
  <si>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</si>
  <si>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</si>
  <si>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</si>
  <si>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</si>
  <si>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</si>
  <si>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</si>
  <si>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</si>
  <si>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</si>
  <si>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</si>
  <si>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</si>
  <si>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</si>
  <si>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</si>
  <si>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</si>
  <si>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</si>
  <si>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</si>
  <si>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</si>
  <si>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</si>
  <si>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</si>
  <si>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</si>
  <si>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</si>
  <si>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</si>
  <si>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</si>
  <si>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</si>
  <si>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</si>
  <si>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</si>
  <si>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</si>
  <si>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</si>
  <si>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</si>
  <si>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</si>
  <si>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</si>
  <si>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</si>
  <si>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</si>
  <si>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</si>
  <si>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</si>
  <si>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</si>
  <si>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</si>
  <si>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</si>
  <si>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</si>
  <si>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</si>
  <si>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</si>
  <si>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</si>
  <si>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</si>
  <si>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</si>
  <si>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</si>
  <si>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</si>
  <si>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</si>
  <si>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</si>
  <si>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</si>
  <si>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</si>
  <si>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</si>
  <si>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</si>
  <si>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</si>
  <si>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0.13.0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</si>
  <si>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</si>
  <si>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</si>
  <si>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</si>
  <si>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</si>
  <si>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</si>
  <si>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</si>
  <si>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</si>
  <si>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</si>
  <si>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</si>
  <si>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</si>
  <si>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</si>
  <si>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</si>
  <si>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</si>
  <si>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</si>
  <si>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</si>
  <si>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</si>
  <si>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</si>
  <si>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</si>
  <si>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</si>
  <si>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</si>
  <si>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</si>
  <si>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</si>
  <si>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</si>
  <si>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</si>
  <si>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</si>
  <si>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</si>
  <si>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</si>
  <si>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</si>
  <si>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</si>
  <si>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</si>
  <si>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</si>
  <si>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</si>
  <si>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</si>
  <si>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</si>
  <si>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</si>
  <si>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</si>
  <si>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</si>
  <si>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</si>
  <si>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</si>
  <si>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</si>
  <si>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</si>
  <si>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</si>
  <si>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</si>
  <si>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</si>
  <si>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</si>
  <si>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</si>
  <si>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</si>
  <si>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</si>
  <si>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</si>
  <si>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</si>
  <si>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</si>
  <si>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</si>
  <si>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</si>
  <si>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</si>
  <si>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</si>
  <si>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</si>
  <si>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</si>
  <si>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</si>
  <si>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</si>
  <si>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</si>
  <si>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</si>
  <si>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</si>
  <si>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</si>
  <si>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</si>
  <si>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</si>
  <si>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</si>
  <si>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</si>
  <si>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0.14.0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</si>
  <si>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</si>
  <si>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</si>
  <si>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</si>
  <si>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</si>
  <si>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</si>
  <si>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</si>
  <si>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</si>
  <si>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</si>
  <si>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</si>
  <si>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</si>
  <si>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</si>
  <si>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</si>
  <si>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</si>
  <si>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</si>
  <si>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</si>
  <si>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</si>
  <si>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</si>
  <si>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</si>
  <si>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</si>
  <si>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</si>
  <si>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</si>
  <si>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</si>
  <si>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</si>
  <si>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</si>
  <si>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</si>
  <si>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</si>
  <si>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</si>
  <si>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</si>
  <si>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</si>
  <si>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</si>
  <si>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</si>
  <si>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</si>
  <si>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</si>
  <si>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</si>
  <si>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</si>
  <si>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</si>
  <si>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</si>
  <si>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</si>
  <si>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</si>
  <si>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</si>
  <si>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</si>
  <si>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</si>
  <si>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</si>
  <si>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</si>
  <si>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</si>
  <si>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</si>
  <si>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</si>
  <si>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</si>
  <si>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</si>
  <si>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</si>
  <si>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</si>
  <si>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</si>
  <si>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</si>
  <si>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</si>
  <si>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</si>
  <si>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</si>
  <si>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</si>
  <si>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</si>
  <si>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</si>
  <si>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</si>
  <si>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</si>
  <si>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</si>
  <si>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</si>
  <si>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</si>
  <si>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</si>
  <si>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</si>
  <si>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</si>
  <si>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</si>
  <si>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</si>
  <si>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</si>
  <si>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</si>
  <si>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</si>
  <si>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</si>
  <si>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</si>
  <si>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0.15.0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</si>
  <si>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</si>
  <si>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</si>
  <si>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</si>
  <si>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</si>
  <si>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</si>
  <si>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</si>
  <si>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</si>
  <si>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</si>
  <si>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</si>
  <si>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</si>
  <si>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</si>
  <si>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</si>
  <si>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</si>
  <si>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</si>
  <si>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</si>
  <si>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</si>
  <si>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</si>
  <si>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</si>
  <si>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</si>
  <si>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</si>
  <si>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</si>
  <si>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</si>
  <si>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</si>
  <si>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</si>
  <si>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</si>
  <si>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</si>
  <si>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</si>
  <si>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</si>
  <si>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</si>
  <si>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</si>
  <si>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</si>
  <si>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</si>
  <si>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</si>
  <si>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</si>
  <si>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</si>
  <si>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</si>
  <si>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</si>
  <si>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</si>
  <si>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</si>
  <si>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</si>
  <si>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</si>
  <si>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</si>
  <si>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</si>
  <si>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</si>
  <si>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</si>
  <si>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</si>
  <si>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</si>
  <si>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</si>
  <si>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</si>
  <si>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</si>
  <si>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</si>
  <si>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</si>
  <si>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</si>
  <si>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</si>
  <si>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</si>
  <si>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</si>
  <si>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</si>
  <si>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</si>
  <si>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</si>
  <si>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</si>
  <si>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</si>
  <si>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</si>
  <si>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</si>
  <si>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</si>
  <si>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</si>
  <si>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</si>
  <si>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</si>
  <si>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</si>
  <si>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</si>
  <si>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</si>
  <si>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</si>
  <si>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</si>
  <si>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</si>
  <si>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</si>
  <si>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</si>
  <si>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</si>
  <si>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</si>
  <si>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</si>
  <si>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</si>
  <si>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</si>
  <si>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</si>
  <si>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</si>
  <si>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</si>
  <si>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</si>
  <si>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</si>
  <si>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</si>
  <si>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</si>
  <si>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</si>
  <si>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</si>
  <si>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</si>
  <si>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</si>
  <si>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</si>
  <si>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</si>
  <si>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</si>
  <si>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</si>
  <si>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</si>
  <si>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</si>
  <si>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</si>
  <si>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</si>
  <si>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</si>
  <si>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</si>
  <si>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</si>
  <si>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</si>
  <si>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</si>
  <si>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</si>
  <si>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</si>
  <si>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0.15.0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</si>
  <si>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</si>
  <si>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</si>
  <si>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</si>
  <si>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0.15.0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</si>
  <si>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</si>
  <si>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</si>
  <si>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</si>
  <si>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</si>
  <si>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</si>
  <si>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</si>
  <si>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</si>
  <si>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</si>
  <si>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</si>
  <si>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</si>
  <si>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</si>
  <si>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</si>
  <si>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</si>
  <si>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</si>
  <si>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</si>
  <si>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</si>
  <si>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</si>
  <si>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</si>
  <si>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</si>
  <si>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</si>
  <si>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</si>
  <si>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</si>
  <si>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</si>
  <si>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</si>
  <si>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</si>
  <si>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</si>
  <si>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</si>
  <si>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</si>
  <si>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</si>
  <si>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</si>
  <si>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</si>
  <si>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</si>
  <si>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</si>
  <si>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</si>
  <si>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Table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</si>
  <si>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</si>
  <si>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</si>
  <si>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</si>
  <si>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</si>
  <si>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</si>
  <si>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</si>
  <si>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</si>
  <si>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</si>
  <si>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</si>
  <si>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</si>
  <si>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</si>
  <si>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</si>
  <si>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</si>
  <si>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</si>
  <si>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</si>
  <si>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0.16.0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</si>
  <si>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</si>
  <si>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</si>
  <si>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</si>
  <si>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</si>
  <si>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</si>
  <si>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</si>
  <si>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</si>
  <si>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</si>
  <si>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</si>
  <si>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</si>
  <si>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</si>
  <si>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</si>
  <si>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</si>
  <si>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</si>
  <si>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</si>
  <si>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</si>
  <si>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</si>
  <si>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</si>
  <si>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</si>
  <si>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</si>
  <si>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</si>
  <si>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</si>
  <si>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</si>
  <si>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</si>
  <si>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</si>
  <si>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</si>
  <si>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</si>
  <si>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</si>
  <si>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</si>
  <si>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</si>
  <si>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</si>
  <si>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</si>
  <si>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</si>
  <si>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</si>
  <si>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</si>
  <si>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</si>
  <si>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</si>
  <si>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</si>
  <si>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</si>
  <si>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</si>
  <si>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</si>
  <si>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</si>
  <si>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</si>
  <si>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</si>
  <si>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</si>
  <si>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</si>
  <si>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</si>
  <si>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</si>
  <si>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</si>
  <si>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</si>
  <si>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</si>
  <si>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</si>
  <si>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</si>
  <si>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</si>
  <si>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</si>
  <si>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</si>
  <si>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</si>
  <si>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</si>
  <si>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</si>
  <si>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</si>
  <si>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</si>
  <si>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</si>
  <si>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</si>
  <si>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</si>
  <si>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</si>
  <si>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</si>
  <si>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</si>
  <si>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</si>
  <si>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</si>
  <si>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</si>
  <si>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</si>
  <si>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</si>
  <si>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</si>
  <si>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</si>
  <si>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</si>
  <si>
    <t xml:space="preserve">Data Grid Evidence</t>
  </si>
  <si>
    <t xml:space="preserve">Assertion-level anatomy, navigation, selection, sorting activation, visual recipes, responsive containment, package, documentation, Consumer, and accessibility evidence.</t>
  </si>
  <si>
    <t xml:space="preserve">DG-01</t>
  </si>
  <si>
    <t xml:space="preserve">Brick styles released Atom 0.17.0 Data Grid behavior without recreating navigation, selection, focus, or semantics.</t>
  </si>
  <si>
    <t xml:space="preserve">../src/components/data-grid/DataGrid.tsx; ../package.json</t>
  </si>
  <si>
    <t xml:space="preserve">DG-02</t>
  </si>
  <si>
    <t xml:space="preserve">Ten-part namespace and named exports expose Container, Root, Caption, Header, Body, Footer, Row, ColumnHeader, Cell, and SortIndicator.</t>
  </si>
  <si>
    <t xml:space="preserve">../test/components/data-grid/data-grid.test.tsx</t>
  </si>
  <si>
    <t xml:space="preserve">DG-03</t>
  </si>
  <si>
    <t xml:space="preserve">Explicit Container and exact native table hosts, grid roles, slots, refs, indexes, and counts render deterministically.</t>
  </si>
  <si>
    <t xml:space="preserve">DG-04</t>
  </si>
  <si>
    <t xml:space="preserve">Closed recipes, logical alignment, Atom state, indexes, controlled selection, active cell, sorting action, native props, and refs type-check.</t>
  </si>
  <si>
    <t xml:space="preserve">../test/types/components/data-grid.test.ts</t>
  </si>
  <si>
    <t xml:space="preserve">DG-05</t>
  </si>
  <si>
    <t xml:space="preserve">Root and data-grid subpath exports preserve namespace and named runtime identity.</t>
  </si>
  <si>
    <t xml:space="preserve">DG-06</t>
  </si>
  <si>
    <t xml:space="preserve">Root / cells</t>
  </si>
  <si>
    <t xml:space="preserve">Data Grid imports server-safely and emits deterministic labelled grid, coordinate, and sort anatomy.</t>
  </si>
  <si>
    <t xml:space="preserve">DG-07</t>
  </si>
  <si>
    <t xml:space="preserve">Root / Caption</t>
  </si>
  <si>
    <t xml:space="preserve">Defaults are line, medium, comfortable, bottom caption, and logical-start alignment.</t>
  </si>
  <si>
    <t xml:space="preserve">DG-08</t>
  </si>
  <si>
    <t xml:space="preserve">Line/outline, sm/md/lg, and compact/comfortable/spacious remain independent.</t>
  </si>
  <si>
    <t xml:space="preserve">tests/components/data-grid/behavior.spec.ts</t>
  </si>
  <si>
    <t xml:space="preserve">DG-09</t>
  </si>
  <si>
    <t xml:space="preserve">Navigation</t>
  </si>
  <si>
    <t xml:space="preserve">Root owns focus and active descendant while arrow, boundary, page, loop, wrap, RTL, and disabled-cell navigation remain Atom-owned.</t>
  </si>
  <si>
    <t xml:space="preserve">tests/components/data-grid/behavior.spec.ts; @flowstack-ui/atom 0.17.0 behavior suite</t>
  </si>
  <si>
    <t xml:space="preserve">DG-10</t>
  </si>
  <si>
    <t xml:space="preserve">Root / Row</t>
  </si>
  <si>
    <t xml:space="preserve">Controlled/uncontrolled single and multiple row selection, row-click policy, Space activation, and disabled/read-only boundaries remain Atom-owned.</t>
  </si>
  <si>
    <t xml:space="preserve">DG-11</t>
  </si>
  <si>
    <t xml:space="preserve">ColumnHeader / SortIndicator</t>
  </si>
  <si>
    <t xml:space="preserve">Indexed actionable headers request application sorting by pointer and Enter; aria-sort stays controlled and artwork stays silent.</t>
  </si>
  <si>
    <t xml:space="preserve">DG-12</t>
  </si>
  <si>
    <t xml:space="preserve">ColumnHeader / Cell</t>
  </si>
  <si>
    <t xml:space="preserve">Start, center, end, and numeric formatting use logical alignment, tabular figures, and explicit precedence.</t>
  </si>
  <si>
    <t xml:space="preserve">DG-13</t>
  </si>
  <si>
    <t xml:space="preserve">Rows / cells</t>
  </si>
  <si>
    <t xml:space="preserve">Selected, active, disabled, selectable, actionable, hover, and sorted paint follows Atom attributes without geometry changes.</t>
  </si>
  <si>
    <t xml:space="preserve">DG-14</t>
  </si>
  <si>
    <t xml:space="preserve">Explicit horizontal containment preserves columns without page overflow, card conversion, or implicit wrapping.</t>
  </si>
  <si>
    <t xml:space="preserve">DG-15</t>
  </si>
  <si>
    <t xml:space="preserve">Logical navigation, alignment, sorting indicator placement, and overflow remain usable with RTL content.</t>
  </si>
  <si>
    <t xml:space="preserve">tests/components/data-grid/visual.spec.ts</t>
  </si>
  <si>
    <t xml:space="preserve">DG-16</t>
  </si>
  <si>
    <t xml:space="preserve">Light, dark, and forced-color surfaces preserve boundaries, state distinctions, badges, and focus.</t>
  </si>
  <si>
    <t xml:space="preserve">DG-17</t>
  </si>
  <si>
    <t xml:space="preserve">Baselines cover overview, variants, sizing, selection, sorting, dark customization, responsive mobile, RTL mobile, and forced colors.</t>
  </si>
  <si>
    <t xml:space="preserve">Owner baseline review not yet recorded.</t>
  </si>
  <si>
    <t xml:space="preserve">DG-18</t>
  </si>
  <si>
    <t xml:space="preserve">Stable classes, slots, public variables, classes, styles, and custom indicator content preserve behavior.</t>
  </si>
  <si>
    <t xml:space="preserve">../test/components/data-grid/data-grid.test.tsx; ../docs/components/data-grid/README.md</t>
  </si>
  <si>
    <t xml:space="preserve">DG-19</t>
  </si>
  <si>
    <t xml:space="preserve">Label, roles, counts, coordinates, selection, disabled, active descendant, sort metadata, and axe checks pass.</t>
  </si>
  <si>
    <t xml:space="preserve">DG-20</t>
  </si>
  <si>
    <t xml:space="preserve">One navigable Data Grid route exposes nine persistent controlled scenarios.</t>
  </si>
  <si>
    <t xml:space="preserve">src/components/data-grid/DataGridPage.tsx</t>
  </si>
  <si>
    <t xml:space="preserve">DG-21</t>
  </si>
  <si>
    <t xml:space="preserve">Guide documents boundary, anatomy, API, recipes, keyboard, selection, sorting, containment, accessibility, CSS, and exclusions.</t>
  </si>
  <si>
    <t xml:space="preserve">../docs/components/data-grid/README.md</t>
  </si>
  <si>
    <t xml:space="preserve">DG-22</t>
  </si>
  <si>
    <t xml:space="preserve">Component and package changelogs describe the release-facing Data Grid addition.</t>
  </si>
  <si>
    <t xml:space="preserve">../docs/components/data-grid/CHANGELOG.md; ../CHANGELOG.md</t>
  </si>
  <si>
    <t xml:space="preserve">DG-23</t>
  </si>
  <si>
    <t xml:space="preserve">Packed Consumer composes Data Grid with controlled sorting and selection plus external Toolbar, Pagination, and Badge.</t>
  </si>
  <si>
    <t xml:space="preserve">Packed Consumer passed 74 desktop/mobile checks on July 28, 2026.</t>
  </si>
  <si>
    <t xml:space="preserve">DG-24</t>
  </si>
  <si>
    <t xml:space="preserve">Owner reviews keyboard, screen reader, zoom, mobile overflow, RTL, appearance, preferences, and component boundaries.</t>
  </si>
  <si>
    <t xml:space="preserve">manual-tests/data-grid.md</t>
  </si>
  <si>
    <t xml:space="preserve">DG-25</t>
  </si>
  <si>
    <t xml:space="preserve">Package, tarball, SSR, CSS, and clean React 18/19 consumer verification passed locally on July 28, 2026.</t>
  </si>
  <si>
    <t xml:space="preserve">DG-26</t>
  </si>
  <si>
    <t xml:space="preserve">Boundary</t>
  </si>
  <si>
    <t xml:space="preserve">Editing, interactive cells, filtering, pagination, resizing, virtualization, schemas, enterprise processing, hierarchy, and page layout remain outside Data Grid.</t>
  </si>
  <si>
    <t xml:space="preserve">Tree Grid Evidence</t>
  </si>
  <si>
    <t xml:space="preserve">Assertion-level anatomy, hierarchy, navigation, expansion, selection, sorting activation, visual recipes, responsive containment, package, documentation, Consumer, and accessibility evidence.</t>
  </si>
  <si>
    <t xml:space="preserve">Brick styles released Atom 0.18.0 TreeGrid behavior without recreating hierarchy, navigation, expansion, selection, focus, or semantics.</t>
  </si>
  <si>
    <t xml:space="preserve">../src/components/tree-grid/TreeGrid.tsx; ../package.json</t>
  </si>
  <si>
    <t xml:space="preserve">Twelve-part namespace and named exports expose Container, Root, Caption, Header, Body, Footer, Row, ColumnHeader, RowHeader, Cell, Indicator, and SortIndicator.</t>
  </si>
  <si>
    <t xml:space="preserve">../test/components/tree-grid/tree-grid.test.tsx</t>
  </si>
  <si>
    <t xml:space="preserve">Explicit Container, exact native table hosts, treegrid roles, silent indicators, slots, refs, indexes, and counts render deterministically.</t>
  </si>
  <si>
    <t xml:space="preserve">Closed recipes, logical alignment, hierarchy, Atom state, controlled expansion, selection, active cell, sorting action, native props, and refs type-check.</t>
  </si>
  <si>
    <t xml:space="preserve">../test/types/components/tree-grid.test.ts</t>
  </si>
  <si>
    <t xml:space="preserve">Root and tree-grid subpath exports preserve namespace and named runtime identity.</t>
  </si>
  <si>
    <t xml:space="preserve">Root/subpath runtime identity passed in the complete package check on July 28, 2026.</t>
  </si>
  <si>
    <t xml:space="preserve">Tree Grid imports server-safely and emits deterministic labelled treegrid, hierarchy, coordinate, and sort anatomy.</t>
  </si>
  <si>
    <t xml:space="preserve">Tree Grid SSR anatomy passed in the complete package check on July 28, 2026.</t>
  </si>
  <si>
    <t xml:space="preserve">tests/components/tree-grid/behavior.spec.ts</t>
  </si>
  <si>
    <t xml:space="preserve">Focused Chromium behavior and visual owners passed on July 28, 2026.</t>
  </si>
  <si>
    <t xml:space="preserve">Hierarchy</t>
  </si>
  <si>
    <t xml:space="preserve">Row / RowHeader / Indicator</t>
  </si>
  <si>
    <t xml:space="preserve">Levels one through ten indent only the column-1 RowHeader; branches and leaves retain stable indicator space and expansion artwork.</t>
  </si>
  <si>
    <t xml:space="preserve">tests/components/tree-grid/behavior.spec.ts; @flowstack-ui/atom 0.18.0 behavior suite</t>
  </si>
  <si>
    <t xml:space="preserve">Behavior owner passed Chromium, Firefox, WebKit, Pixel 7, and iPhone 15 profiles on July 28, 2026.</t>
  </si>
  <si>
    <t xml:space="preserve">Root owns focus and active descendant while visible-cell boundaries, hierarchy movement, RTL, and disabled-cell navigation remain Atom-owned.</t>
  </si>
  <si>
    <t xml:space="preserve">Behavior owner and Atom 0.18.0 collapse regression passed on July 28, 2026.</t>
  </si>
  <si>
    <t xml:space="preserve">Collapse</t>
  </si>
  <si>
    <t xml:space="preserve">Collapsing a branch that hides the active descendant relocates active state to the ancestor's column-1 cell.</t>
  </si>
  <si>
    <t xml:space="preserve">Controlled and uncontrolled selection, row-click policy, Space activation, disabled/read-only boundaries, and expansion remain distinct.</t>
  </si>
  <si>
    <t xml:space="preserve">Focused collapse relocation passed in five browser/device profiles on July 28, 2026.</t>
  </si>
  <si>
    <t xml:space="preserve">Selection and read-only coverage passed in five browser/device profiles on July 28, 2026.</t>
  </si>
  <si>
    <t xml:space="preserve">ColumnHeader / RowHeader / Cell</t>
  </si>
  <si>
    <t xml:space="preserve">Pointer and Enter sorting parity passed in five browser/device profiles on July 28, 2026.</t>
  </si>
  <si>
    <t xml:space="preserve">Selected, active, expanded, disabled, read-only, actionable, hover, and sorted paint follows Atom attributes without geometry changes.</t>
  </si>
  <si>
    <t xml:space="preserve">Explicit horizontal containment preserves hierarchy and columns without page overflow, card conversion, or implicit root scrolling.</t>
  </si>
  <si>
    <t xml:space="preserve">State and geometry checks passed in five browser/device profiles on July 28, 2026.</t>
  </si>
  <si>
    <t xml:space="preserve">TG-17</t>
  </si>
  <si>
    <t xml:space="preserve">Logical hierarchy navigation, indentation, indicator direction, alignment, sorting placement, and overflow remain usable with localized RTL content.</t>
  </si>
  <si>
    <t xml:space="preserve">tests/components/tree-grid/visual.spec.ts</t>
  </si>
  <si>
    <t xml:space="preserve">Containment and page-overflow checks passed in five browser/device profiles on July 28, 2026.</t>
  </si>
  <si>
    <t xml:space="preserve">TG-18</t>
  </si>
  <si>
    <t xml:space="preserve">Light and dark badges plus forced-color surfaces preserve clipped boundaries, hierarchy, state distinctions, and focus.</t>
  </si>
  <si>
    <t xml:space="preserve">TG-19</t>
  </si>
  <si>
    <t xml:space="preserve">Baselines cover overview, variants, sizing, hierarchy, controlled sorting, dark customization, responsive mobile, RTL mobile, and forced colors.</t>
  </si>
  <si>
    <t xml:space="preserve">TG-20</t>
  </si>
  <si>
    <t xml:space="preserve">Stable classes, slots, public variables, styles, custom indicators, and accent outline clipping preserve behavior and rounded edges.</t>
  </si>
  <si>
    <t xml:space="preserve">../test/components/tree-grid/tree-grid.test.tsx; ../docs/components/tree-grid/README.md</t>
  </si>
  <si>
    <t xml:space="preserve">TG-21</t>
  </si>
  <si>
    <t xml:space="preserve">Name, roles, hierarchy, counts, coordinates, expansion, selection, disabled/read-only, active descendant, sort metadata, and axe checks pass.</t>
  </si>
  <si>
    <t xml:space="preserve">Axe and accessibility assertions passed in five browser/device profiles on July 28, 2026.</t>
  </si>
  <si>
    <t xml:space="preserve">TG-22</t>
  </si>
  <si>
    <t xml:space="preserve">One navigable Tree Grid route exposes nine persistent, controlled scenarios with realistic hierarchical release content.</t>
  </si>
  <si>
    <t xml:space="preserve">src/components/tree-grid/TreeGridPage.tsx</t>
  </si>
  <si>
    <t xml:space="preserve">TG-23</t>
  </si>
  <si>
    <t xml:space="preserve">Guide documents boundary, anatomy, authored coordinates, API, recipes, hierarchy, keyboard, expansion, selection, sorting, containment, accessibility, CSS, and exclusions.</t>
  </si>
  <si>
    <t xml:space="preserve">../docs/components/tree-grid/README.md</t>
  </si>
  <si>
    <t xml:space="preserve">TG-24</t>
  </si>
  <si>
    <t xml:space="preserve">Component and package changelogs describe the release-facing Tree Grid addition.</t>
  </si>
  <si>
    <t xml:space="preserve">../docs/components/tree-grid/CHANGELOG.md; ../CHANGELOG.md</t>
  </si>
  <si>
    <t xml:space="preserve">TG-25</t>
  </si>
  <si>
    <t xml:space="preserve">Packed Consumer composes Tree Grid with controlled hierarchy, sorting and selection plus external Toolbar, Badge metadata, and a details Surface.</t>
  </si>
  <si>
    <t xml:space="preserve">Packed Consumer flow passed 76 desktop/mobile checks on July 28, 2026.</t>
  </si>
  <si>
    <t xml:space="preserve">TG-26</t>
  </si>
  <si>
    <t xml:space="preserve">Owner reviews hierarchy keyboard, collapse focus, screen reader, zoom, touch, RTL, appearances, preferences, rounded clipping, and component boundaries.</t>
  </si>
  <si>
    <t xml:space="preserve">manual-tests/tree-grid.md</t>
  </si>
  <si>
    <t xml:space="preserve">TG-27</t>
  </si>
  <si>
    <t xml:space="preserve">Build, declarations, exports, SSR, CSS, docs, tarball, clean React consumers, focused browser/device matrix, and Consumer pass.</t>
  </si>
  <si>
    <t xml:space="preserve">Complete package check, CSS size report, tarball, React 18/19, five-profile Tree Grid browser owner, and packed Consumer passed locally on July 28, 2026.</t>
  </si>
  <si>
    <t xml:space="preserve">TG-28</t>
  </si>
  <si>
    <t xml:space="preserve">Editing, interactive cells, filtering, pagination, resizing, reordering, virtualization, schemas, enterprise processing, and spreadsheet behavior remain outside Tree Grid.</t>
  </si>
  <si>
    <t xml:space="preserve">Tree Evidence</t>
  </si>
  <si>
    <t xml:space="preserve">Assertion-level anatomy, focus, navigation, selection, expansion, visual recipes, hierarchy guides, responsive direction, package, documentation, Consumer, and accessibility evidence.</t>
  </si>
  <si>
    <t xml:space="preserve">TR-01</t>
  </si>
  <si>
    <t xml:space="preserve">Brick styles released Atom 0.17.1 Tree behavior without recreating focus, navigation, selection, expansion, typeahead, forms, or semantics.</t>
  </si>
  <si>
    <t xml:space="preserve">../src/components/tree/Tree.tsx; ../package.json</t>
  </si>
  <si>
    <t xml:space="preserve">TR-02</t>
  </si>
  <si>
    <t xml:space="preserve">Six-part namespace and named exports expose Root, Item, ItemContent, Indicator, ItemText, and Group.</t>
  </si>
  <si>
    <t xml:space="preserve">../test/components/tree/tree.test.tsx</t>
  </si>
  <si>
    <t xml:space="preserve">TR-03</t>
  </si>
  <si>
    <t xml:space="preserve">Atom-backed semantic parts and Brick-owned content-row and indicator hosts, roles, slots, state attributes, and refs render deterministically.</t>
  </si>
  <si>
    <t xml:space="preserve">TR-04</t>
  </si>
  <si>
    <t xml:space="preserve">Closed recipes, vertical-only omission, Atom selection and expansion props, native props, and refs type-check.</t>
  </si>
  <si>
    <t xml:space="preserve">../test/types/components/tree.test.ts</t>
  </si>
  <si>
    <t xml:space="preserve">TR-05</t>
  </si>
  <si>
    <t xml:space="preserve">Root and tree subpath exports preserve namespace and named runtime identity.</t>
  </si>
  <si>
    <t xml:space="preserve">TR-06</t>
  </si>
  <si>
    <t xml:space="preserve">Tree imports server-safely and emits deterministic labelled tree, item, text, indicator, and group anatomy.</t>
  </si>
  <si>
    <t xml:space="preserve">TR-07</t>
  </si>
  <si>
    <t xml:space="preserve">Defaults are plain, medium, guides off, vertical orientation, and bounded navigation.</t>
  </si>
  <si>
    <t xml:space="preserve">../test/components/tree/tree.test.tsx; tests/components/tree/behavior.spec.ts</t>
  </si>
  <si>
    <t xml:space="preserve">TR-08</t>
  </si>
  <si>
    <t xml:space="preserve">Plain, soft, and outline variants remain independent from sm/md size and optional hierarchy guides.</t>
  </si>
  <si>
    <t xml:space="preserve">tests/components/tree/behavior.spec.ts</t>
  </si>
  <si>
    <t xml:space="preserve">TR-09</t>
  </si>
  <si>
    <t xml:space="preserve">Focus</t>
  </si>
  <si>
    <t xml:space="preserve">Initial focus activates the first visible selected item, then the first enabled visible item; focus remains distinct from selection.</t>
  </si>
  <si>
    <t xml:space="preserve">tests/components/tree/behavior.spec.ts; @flowstack-ui/atom 0.17.1 behavior suite</t>
  </si>
  <si>
    <t xml:space="preserve">TR-10</t>
  </si>
  <si>
    <t xml:space="preserve">Arrow keys, Home/End, bounded default movement, opt-in loop, typeahead, disabled skipping, and logical expansion remain Atom-owned.</t>
  </si>
  <si>
    <t xml:space="preserve">TR-11</t>
  </si>
  <si>
    <t xml:space="preserve">Controlled/uncontrolled single and multiple selection, activation, and disabled/read-only boundaries remain Atom-owned.</t>
  </si>
  <si>
    <t xml:space="preserve">TR-12</t>
  </si>
  <si>
    <t xml:space="preserve">Expansion</t>
  </si>
  <si>
    <t xml:space="preserve">Item / Group / Indicator</t>
  </si>
  <si>
    <t xml:space="preserve">Controlled/uncontrolled expansion keeps Group lifecycle and aria-expanded in Atom while Indicator follows expansion visually.</t>
  </si>
  <si>
    <t xml:space="preserve">TR-13</t>
  </si>
  <si>
    <t xml:space="preserve">ItemContent</t>
  </si>
  <si>
    <t xml:space="preserve">Hover, active focus, selected, expanded, and disabled paint follows Atom attributes without painting Group descendants or changing geometry.</t>
  </si>
  <si>
    <t xml:space="preserve">TR-14</t>
  </si>
  <si>
    <t xml:space="preserve">Root / ItemContent</t>
  </si>
  <si>
    <t xml:space="preserve">Inline containment and wrapping preserve indicators, metadata, indentation, and focus without page overflow at 320 CSS px.</t>
  </si>
  <si>
    <t xml:space="preserve">TR-15</t>
  </si>
  <si>
    <t xml:space="preserve">Logical indentation, hierarchy guides, trailing metadata, and closed chevrons mirror while expanded chevrons remain downward.</t>
  </si>
  <si>
    <t xml:space="preserve">tests/components/tree/visual.spec.ts</t>
  </si>
  <si>
    <t xml:space="preserve">TR-16</t>
  </si>
  <si>
    <t xml:space="preserve">Light, dark, and forced-color surfaces preserve hierarchy boundaries, focus, selection, and disabled distinctions.</t>
  </si>
  <si>
    <t xml:space="preserve">TR-17</t>
  </si>
  <si>
    <t xml:space="preserve">Baselines cover overview, variants, sizing and guides, selection, dark customization, responsive mobile, RTL mobile, and forced colors.</t>
  </si>
  <si>
    <t xml:space="preserve">TR-18</t>
  </si>
  <si>
    <t xml:space="preserve">Stable classes, slots, public variables, native props, custom row content, and custom decorative indicator content preserve behavior.</t>
  </si>
  <si>
    <t xml:space="preserve">../test/components/tree/tree.test.tsx; ../docs/components/tree/README.md</t>
  </si>
  <si>
    <t xml:space="preserve">TR-19</t>
  </si>
  <si>
    <t xml:space="preserve">Accessible naming, roles, levels, selection, expansion, disabled state, active descendant, silent decoration, and axe checks pass.</t>
  </si>
  <si>
    <t xml:space="preserve">TR-20</t>
  </si>
  <si>
    <t xml:space="preserve">One navigable Tree route exposes eight persistent, controlled scenarios with realistic hierarchical content.</t>
  </si>
  <si>
    <t xml:space="preserve">src/components/tree/TreePage.tsx</t>
  </si>
  <si>
    <t xml:space="preserve">TR-21</t>
  </si>
  <si>
    <t xml:space="preserve">Guide documents boundary, anatomy, API, recipes, keyboard, selection, expansion, responsive behavior, accessibility, CSS, and exclusions.</t>
  </si>
  <si>
    <t xml:space="preserve">../docs/components/tree/README.md</t>
  </si>
  <si>
    <t xml:space="preserve">TR-22</t>
  </si>
  <si>
    <t xml:space="preserve">Component and package changelogs describe the release-facing Tree addition.</t>
  </si>
  <si>
    <t xml:space="preserve">../docs/components/tree/CHANGELOG.md; ../CHANGELOG.md</t>
  </si>
  <si>
    <t xml:space="preserve">TR-23</t>
  </si>
  <si>
    <t xml:space="preserve">Packed Consumer composes Tree with selection, expansion, guides, metadata Badge, and public subpath imports.</t>
  </si>
  <si>
    <t xml:space="preserve">TR-24</t>
  </si>
  <si>
    <t xml:space="preserve">Owner reviews keyboard, screen reader, zoom, touch, RTL, appearance, preferences, content stress, and component boundaries.</t>
  </si>
  <si>
    <t xml:space="preserve">manual-tests/tree.md</t>
  </si>
  <si>
    <t xml:space="preserve">TR-25</t>
  </si>
  <si>
    <t xml:space="preserve">TR-26</t>
  </si>
  <si>
    <t xml:space="preserve">Tree Grid, loading, filtering, links, checking, rename, drag/drop, virtualization, context menus, routing, persistence, and interactive descendants remain outside Tree.</t>
  </si>
  <si>
    <t xml:space="preserve">Aspect Ratio Evidence</t>
  </si>
  <si>
    <t xml:space="preserve">Assertion-level Atom ownership, one-part anatomy, numeric geometry, framing recipes, composition, responsive containment, package, documentation, Consumer, and accessibility evidence.</t>
  </si>
  <si>
    <t xml:space="preserve">AR-01</t>
  </si>
  <si>
    <t xml:space="preserve">Brick styles released Atom 0.18.0 AspectRatio geometry without recreating normalization, native CSS sizing, refs, or composition.</t>
  </si>
  <si>
    <t xml:space="preserve">../src/components/aspect-ratio/AspectRatio.tsx; ../package.json</t>
  </si>
  <si>
    <t xml:space="preserve">Exact Atom boundary is covered by source and component tests.</t>
  </si>
  <si>
    <t xml:space="preserve">AR-02</t>
  </si>
  <si>
    <t xml:space="preserve">Root namespace and named exports expose AspectRatioRoot plus variant, radius, overflow, and props types.</t>
  </si>
  <si>
    <t xml:space="preserve">../test/components/aspect-ratio/aspect-ratio.test.tsx</t>
  </si>
  <si>
    <t xml:space="preserve">AR-03</t>
  </si>
  <si>
    <t xml:space="preserve">One default div, no Content wrapper, HTMLDivElement ref, Brick class, Atom slot, and recipe attributes render deterministically.</t>
  </si>
  <si>
    <t xml:space="preserve">AR-04</t>
  </si>
  <si>
    <t xml:space="preserve">Closed visual unions, numeric-only ratio, native props, refs, asChild, render, and rejected responsive values type-check.</t>
  </si>
  <si>
    <t xml:space="preserve">../test/types/components/aspect-ratio.test.ts</t>
  </si>
  <si>
    <t xml:space="preserve">AR-05</t>
  </si>
  <si>
    <t xml:space="preserve">Root and aspect-ratio subpath exports preserve namespace and named runtime identity.</t>
  </si>
  <si>
    <t xml:space="preserve">AR-06</t>
  </si>
  <si>
    <t xml:space="preserve">Aspect Ratio imports server-safely and emits deterministic layout-only anatomy with child semantics intact.</t>
  </si>
  <si>
    <t xml:space="preserve">AR-07</t>
  </si>
  <si>
    <t xml:space="preserve">Default 16:9, positive numeric ratios, and invalid-value normalization remain Atom-owned and browser-accurate.</t>
  </si>
  <si>
    <t xml:space="preserve">tests/components/aspect-ratio/behavior.spec.ts; @flowstack-ui/atom 0.18.0</t>
  </si>
  <si>
    <t xml:space="preserve">AR-08</t>
  </si>
  <si>
    <t xml:space="preserve">Plain, subtle, and outline change frame paint only without geometry, content, or semantic drift.</t>
  </si>
  <si>
    <t xml:space="preserve">tests/components/aspect-ratio/behavior.spec.ts</t>
  </si>
  <si>
    <t xml:space="preserve">AR-09</t>
  </si>
  <si>
    <t xml:space="preserve">Radius</t>
  </si>
  <si>
    <t xml:space="preserve">None, sm, md, lg, and full change only corner geometry with five distinct computed results.</t>
  </si>
  <si>
    <t xml:space="preserve">AR-10</t>
  </si>
  <si>
    <t xml:space="preserve">Overflow</t>
  </si>
  <si>
    <t xml:space="preserve">Hidden clips authored edges and visible permits overflow without changing the ratio box size.</t>
  </si>
  <si>
    <t xml:space="preserve">AR-11</t>
  </si>
  <si>
    <t xml:space="preserve">Children</t>
  </si>
  <si>
    <t xml:space="preserve">Aspect Ratio does not stretch or position children; Image-like media, iframe, Skeleton, and passive layout retain ownership.</t>
  </si>
  <si>
    <t xml:space="preserve">AR-12</t>
  </si>
  <si>
    <t xml:space="preserve">Native attributes, events, class, style, custom slot, ref, asChild, and render remain supported without recipe leakage.</t>
  </si>
  <si>
    <t xml:space="preserve">AR-13</t>
  </si>
  <si>
    <t xml:space="preserve">Root / children</t>
  </si>
  <si>
    <t xml:space="preserve">Root adds no role, name, focus, state, or announcement while child image and iframe naming remains authoritative.</t>
  </si>
  <si>
    <t xml:space="preserve">AR-14</t>
  </si>
  <si>
    <t xml:space="preserve">Authored semantics, focusable descendants, narrow containment, and the component-owned axe scan pass.</t>
  </si>
  <si>
    <t xml:space="preserve">AR-15</t>
  </si>
  <si>
    <t xml:space="preserve">At narrow widths Root remains inline-contained and every ratio preserves its width-to-height geometry.</t>
  </si>
  <si>
    <t xml:space="preserve">AR-16</t>
  </si>
  <si>
    <t xml:space="preserve">Direction-neutral geometry matches LTR while localized Arabic child content retains RTL direction.</t>
  </si>
  <si>
    <t xml:space="preserve">tests/components/aspect-ratio/visual.spec.ts</t>
  </si>
  <si>
    <t xml:space="preserve">Automated geometry passes; owner visual judgment remains open.</t>
  </si>
  <si>
    <t xml:space="preserve">AR-17</t>
  </si>
  <si>
    <t xml:space="preserve">Light and dark badge scopes preserve neutral framing and the customized accent specimen remains legible.</t>
  </si>
  <si>
    <t xml:space="preserve">Owner appearance review remains open.</t>
  </si>
  <si>
    <t xml:space="preserve">AR-18</t>
  </si>
  <si>
    <t xml:space="preserve">Forced colors preserves outline boundaries and reduced motion adds no component animation.</t>
  </si>
  <si>
    <t xml:space="preserve">tests/components/aspect-ratio/visual.spec.ts; manual-tests/aspect-ratio.md</t>
  </si>
  <si>
    <t xml:space="preserve">Automated forced-color baseline exists; complete human preference review remains open.</t>
  </si>
  <si>
    <t xml:space="preserve">AR-19</t>
  </si>
  <si>
    <t xml:space="preserve">Five public variables, class, slot, recipe attributes, and consumer style customize framing without overriding Atom ratio authority.</t>
  </si>
  <si>
    <t xml:space="preserve">../test/components/aspect-ratio/aspect-ratio.test.tsx; ../docs/components/aspect-ratio/README.md</t>
  </si>
  <si>
    <t xml:space="preserve">AR-20</t>
  </si>
  <si>
    <t xml:space="preserve">One navigable Aspect Ratio route exposes nine deterministic scenarios with distinct real content and controlled comparisons.</t>
  </si>
  <si>
    <t xml:space="preserve">src/components/aspect-ratio/AspectRatioPage.tsx</t>
  </si>
  <si>
    <t xml:space="preserve">AR-21</t>
  </si>
  <si>
    <t xml:space="preserve">Guide documents role, boundaries, anatomy, API, sizing caveat, recipes, semantics, composition, CSS, customization, and exclusions.</t>
  </si>
  <si>
    <t xml:space="preserve">../docs/components/aspect-ratio/README.md</t>
  </si>
  <si>
    <t xml:space="preserve">AR-22</t>
  </si>
  <si>
    <t xml:space="preserve">Component and package changelogs describe the release-facing AspectRatio addition.</t>
  </si>
  <si>
    <t xml:space="preserve">../docs/components/aspect-ratio/CHANGELOG.md; ../CHANGELOG.md</t>
  </si>
  <si>
    <t xml:space="preserve">AR-23</t>
  </si>
  <si>
    <t xml:space="preserve">Packed Consumer composes Aspect Ratio from its public subpath with Badge/Text metadata inside a realistic project Card.</t>
  </si>
  <si>
    <t xml:space="preserve">2026-07-28</t>
  </si>
  <si>
    <t xml:space="preserve">Tested through the packed public subpath in the real Consumer on desktop and mobile Chromium.</t>
  </si>
  <si>
    <t xml:space="preserve">AR-24</t>
  </si>
  <si>
    <t xml:space="preserve">Baselines cover overview, ratios, variants, radii, content, dark customization, mobile RTL, and forced colors.</t>
  </si>
  <si>
    <t xml:space="preserve">Owner baseline review remains open.</t>
  </si>
  <si>
    <t xml:space="preserve">AR-25</t>
  </si>
  <si>
    <t xml:space="preserve">Owner reviews geometry, clipping, semantics, keyboard focus, zoom, touch, RTL, appearances, and preferences.</t>
  </si>
  <si>
    <t xml:space="preserve">manual-tests/aspect-ratio.md</t>
  </si>
  <si>
    <t xml:space="preserve">AR-26</t>
  </si>
  <si>
    <t xml:space="preserve">Build, declarations, exports, SSR, CSS, docs, tarball, React 18/19, browser matrix, and packed Consumer pass.</t>
  </si>
  <si>
    <t xml:space="preserve">Unit, type, package, SSR, browser, visual, documentation, ownership, Consumer, and CSS build gates pass.</t>
  </si>
  <si>
    <t xml:space="preserve">Toolbar Evidence</t>
  </si>
  <si>
    <t xml:space="preserve">Assertion-level Atom ownership, six-part anatomy, visual recipes, keyboard behavior, toggle models, responsive containment, package, documentation, Consumer, and accessibility evidence.</t>
  </si>
  <si>
    <t xml:space="preserve">Brick styles released Atom 0.15.0 Toolbar behavior without recreating roving focus, orientation, direction, looping, or toggle state.</t>
  </si>
  <si>
    <t xml:space="preserve">../src/components/toolbar/Toolbar.tsx; ../package.json</t>
  </si>
  <si>
    <t xml:space="preserve">Exact Atom ownership is covered by source and focused tests.</t>
  </si>
  <si>
    <t xml:space="preserve">The Toolbar namespace and named exports expose Root, Button, Link, Separator, ToggleGroup, ToggleItem, props, size, and variant types.</t>
  </si>
  <si>
    <t xml:space="preserve">../test/components/toolbar/toolbar.test.tsx</t>
  </si>
  <si>
    <t xml:space="preserve">Six public parts render their exact Atom/native hosts, Brick classes, slots, roles, and relationships without added wrappers.</t>
  </si>
  <si>
    <t xml:space="preserve">Closed variant and size unions, native props, orientation, direction, refs, asChild, render, and toggle models type-check.</t>
  </si>
  <si>
    <t xml:space="preserve">../test/types/components/toolbar.test.ts</t>
  </si>
  <si>
    <t xml:space="preserve">Root and toolbar subpath exports preserve namespace and named runtime identity in the packed package.</t>
  </si>
  <si>
    <t xml:space="preserve">Toolbar imports server-safely and emits deterministic toolbar, command, link, separator, group, and pressed-state anatomy.</t>
  </si>
  <si>
    <t xml:space="preserve">The default soft, medium, horizontal, LTR Toolbar remains content-sized and exposes one named toolbar landmark.</t>
  </si>
  <si>
    <t xml:space="preserve">tests/components/toolbar/behavior.spec.ts</t>
  </si>
  <si>
    <t xml:space="preserve">Plain, soft, and outline change only the coordinated surface treatment.</t>
  </si>
  <si>
    <t xml:space="preserve">tests/components/toolbar/visual.spec.ts</t>
  </si>
  <si>
    <t xml:space="preserve">Owner comparison review remains open.</t>
  </si>
  <si>
    <t xml:space="preserve">Root / items</t>
  </si>
  <si>
    <t xml:space="preserve">Small, medium, and large coordinate root padding, target height, typography, icons, and separators without behavioral drift.</t>
  </si>
  <si>
    <t xml:space="preserve">Owner size review remains open.</t>
  </si>
  <si>
    <t xml:space="preserve">Commands</t>
  </si>
  <si>
    <t xml:space="preserve">Command buttons preserve native activation, disabled behavior, naming, focusability, and authored application actions.</t>
  </si>
  <si>
    <t xml:space="preserve">../test/components/toolbar/toolbar.test.tsx; tests/components/toolbar/behavior.spec.ts</t>
  </si>
  <si>
    <t xml:space="preserve">Links</t>
  </si>
  <si>
    <t xml:space="preserve">Links retain native anchor navigation and participate in the Toolbar roving-focus sequence without button semantics.</t>
  </si>
  <si>
    <t xml:space="preserve">Separators</t>
  </si>
  <si>
    <t xml:space="preserve">Separator</t>
  </si>
  <si>
    <t xml:space="preserve">Separators preserve semantic orientation and remain unfocusable visual boundaries.</t>
  </si>
  <si>
    <t xml:space="preserve">Single toggle</t>
  </si>
  <si>
    <t xml:space="preserve">ToggleGroup / ToggleItem</t>
  </si>
  <si>
    <t xml:space="preserve">Single-value toggles preserve controlled and uncontrolled Atom state with exact aria-pressed output.</t>
  </si>
  <si>
    <t xml:space="preserve">Multiple toggle</t>
  </si>
  <si>
    <t xml:space="preserve">Multiple-value toggles preserve independent pressed state without Toolbar absorbing selection ownership.</t>
  </si>
  <si>
    <t xml:space="preserve">All focusable parts</t>
  </si>
  <si>
    <t xml:space="preserve">One Tab entry, orientation-aware arrows, Home, End, looping, and disabled-item omission remain Atom-owned.</t>
  </si>
  <si>
    <t xml:space="preserve">tests/components/toolbar/behavior.spec.ts; @flowstack-ui/atom 0.15.0</t>
  </si>
  <si>
    <t xml:space="preserve">Root / Separator</t>
  </si>
  <si>
    <t xml:space="preserve">Horizontal and vertical layouts coordinate main-axis overflow, separator orientation, and direction-aware keyboard order.</t>
  </si>
  <si>
    <t xml:space="preserve">Native attributes, events, class, style, refs, asChild, render, and popup-trigger composition preserve exact final hosts.</t>
  </si>
  <si>
    <t xml:space="preserve">../test/components/toolbar/toolbar.test.tsx; src/components/toolbar/ToolbarPage.tsx</t>
  </si>
  <si>
    <t xml:space="preserve">Toolbar never wraps and uses main-axis overflow at narrow widths while consumers retain item-priority and overflow-menu ownership.</t>
  </si>
  <si>
    <t xml:space="preserve">Localized RTL evidence aligns logically and reverses horizontal Arrow navigation without changing authored DOM order.</t>
  </si>
  <si>
    <t xml:space="preserve">tests/components/toolbar/visual.spec.ts; tests/components/toolbar/behavior.spec.ts</t>
  </si>
  <si>
    <t xml:space="preserve">Automated RTL behavior passes; owner visual judgment remains open.</t>
  </si>
  <si>
    <t xml:space="preserve">Named toolbar/group semantics, native commands and links, pressed state, focus order, disabled omission, and the focused axe scan pass.</t>
  </si>
  <si>
    <t xml:space="preserve">Light and dark scopes preserve surface, text, state, separator, and focus contrast; customization remains legible.</t>
  </si>
  <si>
    <t xml:space="preserve">Forced colors preserves boundaries, separators, focus, disabled, and pressed cues; reduced motion adds no Toolbar-owned motion.</t>
  </si>
  <si>
    <t xml:space="preserve">tests/components/toolbar/visual.spec.ts; manual-tests/toolbar.md</t>
  </si>
  <si>
    <t xml:space="preserve">Automated preference baselines exist; human review remains open.</t>
  </si>
  <si>
    <t xml:space="preserve">Documented --brick-toolbar-* variables, stable classes, slots, data attributes, className, and style customize visuals without behavior drift.</t>
  </si>
  <si>
    <t xml:space="preserve">../docs/components/toolbar/README.md; src/components/toolbar/ToolbarPage.tsx</t>
  </si>
  <si>
    <t xml:space="preserve">TB-24</t>
  </si>
  <si>
    <t xml:space="preserve">One navigable Toolbar route exposes nine deterministic scenarios with real editor and data-view controls.</t>
  </si>
  <si>
    <t xml:space="preserve">src/components/toolbar/ToolbarPage.tsx</t>
  </si>
  <si>
    <t xml:space="preserve">TB-25</t>
  </si>
  <si>
    <t xml:space="preserve">The guide documents role, boundaries, six-part anatomy, API, keyboard model, recipes, responsive behavior, composition, customization, and exclusions.</t>
  </si>
  <si>
    <t xml:space="preserve">../docs/components/toolbar/README.md</t>
  </si>
  <si>
    <t xml:space="preserve">TB-26</t>
  </si>
  <si>
    <t xml:space="preserve">Component and package changelogs describe the release-facing Toolbar family.</t>
  </si>
  <si>
    <t xml:space="preserve">../docs/components/toolbar/CHANGELOG.md; ../CHANGELOG.md</t>
  </si>
  <si>
    <t xml:space="preserve">TB-27</t>
  </si>
  <si>
    <t xml:space="preserve">The packed Consumer composes document-view commands, separator, view toggles, and a help link through the public Toolbar subpath.</t>
  </si>
  <si>
    <t xml:space="preserve">Packed Consumer evidence passes on desktop and mobile Chromium.</t>
  </si>
  <si>
    <t xml:space="preserve">TB-28</t>
  </si>
  <si>
    <t xml:space="preserve">Baselines cover overview, anatomy, variants, sizes, commands, toggles, orientations, appearance, customization, responsive overflow, RTL, and preferences.</t>
  </si>
  <si>
    <t xml:space="preserve">TB-29</t>
  </si>
  <si>
    <t xml:space="preserve">Owner reviews semantics, keyboard order, focus, commands, links, toggles, overflow, zoom, touch, RTL, appearances, and preferences.</t>
  </si>
  <si>
    <t xml:space="preserve">manual-tests/toolbar.md</t>
  </si>
  <si>
    <t xml:space="preserve">TB-30</t>
  </si>
  <si>
    <t xml:space="preserve">Build, declarations, exports, SSR, CSS, docs, tarball, React 18/19, browser matrix, packed Consumer, and release gates pass.</t>
  </si>
  <si>
    <t xml:space="preserve">Local complete release verification passes; GitHub Actions verification is recorded in the private project record.</t>
  </si>
  <si>
    <t xml:space="preserve">Chip Evidence</t>
  </si>
  <si>
    <t xml:space="preserve">Assertion-level Atom ownership, three-part passive value anatomy, visual recipes, explicit removal, responsive containment, package, documentation, Consumer, and accessibility evidence.</t>
  </si>
  <si>
    <t xml:space="preserve">CH-01</t>
  </si>
  <si>
    <t xml:space="preserve">Brick styles released Atom 0.18.0 Badge and Button primitives without recreating activation or disabled behavior.</t>
  </si>
  <si>
    <t xml:space="preserve">../src/components/chip/Chip.tsx; ../package.json</t>
  </si>
  <si>
    <t xml:space="preserve">CH-02</t>
  </si>
  <si>
    <t xml:space="preserve">The Chip namespace and named exports expose Root, Label, RemoveTrigger, props, variants, tones, sizes, and shapes.</t>
  </si>
  <si>
    <t xml:space="preserve">../test/components/chip/chip.test.tsx</t>
  </si>
  <si>
    <t xml:space="preserve">CH-03</t>
  </si>
  <si>
    <t xml:space="preserve">Root / Label / RemoveTrigger</t>
  </si>
  <si>
    <t xml:space="preserve">Three public parts render their exact Atom/native hosts, Brick classes, slots, metadata, and refs without added wrappers.</t>
  </si>
  <si>
    <t xml:space="preserve">CH-04</t>
  </si>
  <si>
    <t xml:space="preserve">Closed recipe unions, native props, required accessible removal naming, refs, asChild, and render composition type-check.</t>
  </si>
  <si>
    <t xml:space="preserve">../test/types/components/chip.test.ts</t>
  </si>
  <si>
    <t xml:space="preserve">CH-05</t>
  </si>
  <si>
    <t xml:space="preserve">Root and chip subpath exports preserve namespace and named runtime identity in the built package.</t>
  </si>
  <si>
    <t xml:space="preserve">CH-06</t>
  </si>
  <si>
    <t xml:space="preserve">Chip imports server-safely and emits deterministic passive span, label, and independently named button anatomy.</t>
  </si>
  <si>
    <t xml:space="preserve">CH-07</t>
  </si>
  <si>
    <t xml:space="preserve">The default soft, neutral, medium, pill Chip remains passive and content-sized with no role, tab stop, or selection state.</t>
  </si>
  <si>
    <t xml:space="preserve">tests/components/chip/behavior.spec.ts</t>
  </si>
  <si>
    <t xml:space="preserve">CH-08</t>
  </si>
  <si>
    <t xml:space="preserve">Soft and outline change coordinated surface and border treatment without semantic drift.</t>
  </si>
  <si>
    <t xml:space="preserve">tests/components/chip/visual.spec.ts</t>
  </si>
  <si>
    <t xml:space="preserve">CH-09</t>
  </si>
  <si>
    <t xml:space="preserve">Tones</t>
  </si>
  <si>
    <t xml:space="preserve">Neutral and accent express identity emphasis without introducing success, warning, or error semantics.</t>
  </si>
  <si>
    <t xml:space="preserve">Owner tone review remains open.</t>
  </si>
  <si>
    <t xml:space="preserve">CH-10</t>
  </si>
  <si>
    <t xml:space="preserve">Root / RemoveTrigger</t>
  </si>
  <si>
    <t xml:space="preserve">Small, medium, and large coordinate typography, leading content, padding, and a minimum 24px remove target.</t>
  </si>
  <si>
    <t xml:space="preserve">tests/components/chip/visual.spec.ts; tests/components/chip/behavior.spec.ts</t>
  </si>
  <si>
    <t xml:space="preserve">Automated target geometry passes; owner size review remains open.</t>
  </si>
  <si>
    <t xml:space="preserve">CH-11</t>
  </si>
  <si>
    <t xml:space="preserve">Shapes</t>
  </si>
  <si>
    <t xml:space="preserve">Rounded and pill recipes change corners only while preserving anatomy and target geometry.</t>
  </si>
  <si>
    <t xml:space="preserve">Owner shape review remains open.</t>
  </si>
  <si>
    <t xml:space="preserve">CH-12</t>
  </si>
  <si>
    <t xml:space="preserve">Label</t>
  </si>
  <si>
    <t xml:space="preserve">Label remains a native one-line span and truncates long authored values without displacing adjacent content.</t>
  </si>
  <si>
    <t xml:space="preserve">CH-13</t>
  </si>
  <si>
    <t xml:space="preserve">Leading content</t>
  </si>
  <si>
    <t xml:space="preserve">Root / Label</t>
  </si>
  <si>
    <t xml:space="preserve">Authored Icon and Avatar content align without adding a Chip-owned semantic contract.</t>
  </si>
  <si>
    <t xml:space="preserve">Owner leading-content review remains open.</t>
  </si>
  <si>
    <t xml:space="preserve">CH-14</t>
  </si>
  <si>
    <t xml:space="preserve">Removal</t>
  </si>
  <si>
    <t xml:space="preserve">RemoveTrigger</t>
  </si>
  <si>
    <t xml:space="preserve">An explicitly named native button requests application-owned removal and preserves Enter, Space, click, and focus behavior.</t>
  </si>
  <si>
    <t xml:space="preserve">CH-15</t>
  </si>
  <si>
    <t xml:space="preserve">Disabled removal remains unavailable and exposes stable disabled metadata without disabling the passive value container.</t>
  </si>
  <si>
    <t xml:space="preserve">../test/components/chip/chip.test.tsx; tests/components/chip/behavior.spec.ts</t>
  </si>
  <si>
    <t xml:space="preserve">CH-16</t>
  </si>
  <si>
    <t xml:space="preserve">Native attributes, events, class, style, refs, asChild, render, authored icon content, and custom trigger content preserve final hosts.</t>
  </si>
  <si>
    <t xml:space="preserve">CH-17</t>
  </si>
  <si>
    <t xml:space="preserve">One Chip remains max-width contained while the parent owns wrapping between Chips and the remove target stays visible.</t>
  </si>
  <si>
    <t xml:space="preserve">CH-18</t>
  </si>
  <si>
    <t xml:space="preserve">Long English and Arabic values remain contained and use authored localized removal names.</t>
  </si>
  <si>
    <t xml:space="preserve">Automated containment passes; owner localization review remains open.</t>
  </si>
  <si>
    <t xml:space="preserve">CH-19</t>
  </si>
  <si>
    <t xml:space="preserve">Logical padding and authored child order place label, leading content, and remove action correctly in RTL.</t>
  </si>
  <si>
    <t xml:space="preserve">Automated RTL geometry passes; owner visual judgment remains open.</t>
  </si>
  <si>
    <t xml:space="preserve">CH-20</t>
  </si>
  <si>
    <t xml:space="preserve">Passive Root semantics, localized button naming, native disabled behavior, focus visibility, target geometry, and focused axe scan pass.</t>
  </si>
  <si>
    <t xml:space="preserve">CH-21</t>
  </si>
  <si>
    <t xml:space="preserve">Light and dark scopes preserve surface, border, text, remove-action, and focus contrast.</t>
  </si>
  <si>
    <t xml:space="preserve">CH-22</t>
  </si>
  <si>
    <t xml:space="preserve">Forced colors preserves boundaries, removal, disabled, and focus cues; reduced motion adds no Chip-owned motion.</t>
  </si>
  <si>
    <t xml:space="preserve">manual-tests/chip.md</t>
  </si>
  <si>
    <t xml:space="preserve">Preference protocol exists; human review remains open.</t>
  </si>
  <si>
    <t xml:space="preserve">CH-23</t>
  </si>
  <si>
    <t xml:space="preserve">Documented --brick-chip-* variables, stable classes, slots, data attributes, className, and style customize paint without semantic drift.</t>
  </si>
  <si>
    <t xml:space="preserve">../docs/components/chip/README.md; src/components/chip/ChipPage.tsx</t>
  </si>
  <si>
    <t xml:space="preserve">CH-24</t>
  </si>
  <si>
    <t xml:space="preserve">Public guidance</t>
  </si>
  <si>
    <t xml:space="preserve">The playground and guide distinguish Chip values from passive Badge tags and selectable Toggle filters; no Tag export exists.</t>
  </si>
  <si>
    <t xml:space="preserve">CH-25</t>
  </si>
  <si>
    <t xml:space="preserve">One navigable Chip route exposes nine deterministic scenarios for anatomy, recipes, content, removal, containment, appearance, and boundaries.</t>
  </si>
  <si>
    <t xml:space="preserve">src/components/chip/ChipPage.tsx</t>
  </si>
  <si>
    <t xml:space="preserve">CH-26</t>
  </si>
  <si>
    <t xml:space="preserve">The guide documents role, exclusions, anatomy, API, recipes, responsive behavior, accessibility, composition, customization, and tag terminology.</t>
  </si>
  <si>
    <t xml:space="preserve">../docs/components/chip/README.md</t>
  </si>
  <si>
    <t xml:space="preserve">CH-27</t>
  </si>
  <si>
    <t xml:space="preserve">Component and package changelogs describe the release-facing Chip family and its Atom-backed ownership.</t>
  </si>
  <si>
    <t xml:space="preserve">../docs/components/chip/CHANGELOG.md; ../CHANGELOG.md</t>
  </si>
  <si>
    <t xml:space="preserve">CH-28</t>
  </si>
  <si>
    <t xml:space="preserve">The packed Consumer composes removable release-reviewer values through the public chip subpath.</t>
  </si>
  <si>
    <t xml:space="preserve">CH-29</t>
  </si>
  <si>
    <t xml:space="preserve">Baselines cover overview, recipes, leading content, removal focus, appearance, customization, containment, RTL, and boundaries.</t>
  </si>
  <si>
    <t xml:space="preserve">CH-30</t>
  </si>
  <si>
    <t xml:space="preserve">Owner reviews semantics, removal focus, disabled state, zoom, touch, localization, RTL, appearances, preferences, and component boundaries.</t>
  </si>
  <si>
    <t xml:space="preserve">CH-31</t>
  </si>
  <si>
    <t xml:space="preserve">Build, declarations, exports, SSR, CSS, docs, tarball, React 18/19, browser coverage, packed Consumer, and release gates pass.</t>
  </si>
  <si>
    <t xml:space="preserve">Complete local check, packed React 18/19 consumers, focused browser suite, and packed Consumer verification pass.</t>
  </si>
  <si>
    <t xml:space="preserve">Combobox Evidence</t>
  </si>
  <si>
    <t xml:space="preserve">Assertion-level Atom-backed package, browser, mobile, human-review, documentation, Consumer, filtering, and positioning evidence.</t>
  </si>
  <si>
    <t xml:space="preserve">Root/Control</t>
  </si>
  <si>
    <t xml:space="preserve">Compound Combobox and visual context adapt released Atom 0.18.1 without recreating behavior.</t>
  </si>
  <si>
    <t xml:space="preserve">../src/components/combobox</t>
  </si>
  <si>
    <t xml:space="preserve">Focused implementation evidence passes.</t>
  </si>
  <si>
    <t xml:space="preserve">Root, Label, Control, Input, Clear, Indicator, Portal, Content, Listbox, Group, Item, Empty, and Loading are styled/exported.</t>
  </si>
  <si>
    <t xml:space="preserve">../test/components/combobox/combobox.test.tsx</t>
  </si>
  <si>
    <t xml:space="preserve">Root and combobox subpath exports expose the namespace, named parts, and public types.</t>
  </si>
  <si>
    <t xml:space="preserve">Recipes, refs, native props, and underline shape exclusion type-check.</t>
  </si>
  <si>
    <t xml:space="preserve">../test/types/components/combobox.test.ts</t>
  </si>
  <si>
    <t xml:space="preserve">Control/Content/Item</t>
  </si>
  <si>
    <t xml:space="preserve">../src/components/combobox/combobox.css</t>
  </si>
  <si>
    <t xml:space="preserve">Filtering</t>
  </si>
  <si>
    <t xml:space="preserve">Input/Listbox</t>
  </si>
  <si>
    <t xml:space="preserve">Typing filters authored options and exposes an empty result.</t>
  </si>
  <si>
    <t xml:space="preserve">tests/components/combobox/behavior.spec.ts</t>
  </si>
  <si>
    <t xml:space="preserve">Input/Item/Clear</t>
  </si>
  <si>
    <t xml:space="preserve">Keyboard and pointer selection update one value and Clear removes it.</t>
  </si>
  <si>
    <t xml:space="preserve">Free text</t>
  </si>
  <si>
    <t xml:space="preserve">Root/Input</t>
  </si>
  <si>
    <t xml:space="preserve">freeSolo permits values outside the option set.</t>
  </si>
  <si>
    <t xml:space="preserve">Input/Item/Messages</t>
  </si>
  <si>
    <t xml:space="preserve">Disabled, read-only, highlighted, selected, empty, and loading states remain distinct.</t>
  </si>
  <si>
    <t xml:space="preserve">human</t>
  </si>
  <si>
    <t xml:space="preserve">tests/components/combobox/visual.spec.ts</t>
  </si>
  <si>
    <t xml:space="preserve">Combobox implementation evidence added; manual human-review rows remain open.</t>
  </si>
  <si>
    <t xml:space="preserve">Control</t>
  </si>
  <si>
    <t xml:space="preserve">Outline, soft, underline, sizes, shapes, and width retain closed recipe data.</t>
  </si>
  <si>
    <t xml:space="preserve">Positioning</t>
  </si>
  <si>
    <t xml:space="preserve">Popup exposes collision-resolved side and remains viewport bounded.</t>
  </si>
  <si>
    <t xml:space="preserve">Touch</t>
  </si>
  <si>
    <t xml:space="preserve">Atom 0.18.1 defers outside-touch dismissal; physical mobile scrolling and flipping remain reachable.</t>
  </si>
  <si>
    <t xml:space="preserve">manual-tests/combobox.md</t>
  </si>
  <si>
    <t xml:space="preserve">Combobox route has no automated axe violations and preserves native roles.</t>
  </si>
  <si>
    <t xml:space="preserve">Light, dark, and forced-color states retain contrast and visible focus.</t>
  </si>
  <si>
    <t xml:space="preserve">Control/Content</t>
  </si>
  <si>
    <t xml:space="preserve">Narrow, zoomed, and keyboard-open layouts remain reachable without page overflow.</t>
  </si>
  <si>
    <t xml:space="preserve">Arabic RTL uses logical control and popup placement.</t>
  </si>
  <si>
    <t xml:space="preserve">CB-17</t>
  </si>
  <si>
    <t xml:space="preserve">Documented variables customize paint and radius without changing anatomy.</t>
  </si>
  <si>
    <t xml:space="preserve">CB-18</t>
  </si>
  <si>
    <t xml:space="preserve">Guide, changelog, contract metadata, and nine scenarios agree.</t>
  </si>
  <si>
    <t xml:space="preserve">../docs/components/combobox/README.md</t>
  </si>
  <si>
    <t xml:space="preserve">CB-19</t>
  </si>
  <si>
    <t xml:space="preserve">Packed Consumer imports the public subpath and filters/selects a realistic city.</t>
  </si>
  <si>
    <t xml:space="preserve">../apps/consumer/tests/consumer.spec.ts</t>
  </si>
  <si>
    <t xml:space="preserve">CB-20</t>
  </si>
  <si>
    <t xml:space="preserve">Packed artifact and clean React 18/19 consumers resolve JS, types, CSS, and Atom 0.18.1.</t>
  </si>
  <si>
    <t xml:space="preserve">../scripts/verify-consumers.mjs</t>
  </si>
  <si>
    <t xml:space="preserve">CB-21</t>
  </si>
  <si>
    <t xml:space="preserve">Numbered owner protocol covers visual, keyboard, touch, assistive technology, preferences, zoom, and RTL.</t>
  </si>
  <si>
    <t xml:space="preserve">CB-22</t>
  </si>
  <si>
    <t xml:space="preserve">Reviewed snapshots cover default, recipes, states, dark appearance, mobile RTL, and forced colors.</t>
  </si>
  <si>
    <t xml:space="preserve">Number Input Evidence</t>
  </si>
  <si>
    <t xml:space="preserve">Assertion-level Atom-backed package, browser, human-review, documentation, Consumer, stepping, bounds, and form evidence.</t>
  </si>
  <si>
    <t xml:space="preserve">NI-01</t>
  </si>
  <si>
    <t xml:space="preserve">Compound Number Input adapts released Atom 0.19.2 without recreating stepping or validation behavior.</t>
  </si>
  <si>
    <t xml:space="preserve">../src/components/number-input</t>
  </si>
  <si>
    <t xml:space="preserve">NI-02</t>
  </si>
  <si>
    <t xml:space="preserve">Root, Input, Increment, and Decrement are styled and independently exported.</t>
  </si>
  <si>
    <t xml:space="preserve">../test/components/number-input/number-input.test.tsx</t>
  </si>
  <si>
    <t xml:space="preserve">NI-03</t>
  </si>
  <si>
    <t xml:space="preserve">NumberInput</t>
  </si>
  <si>
    <t xml:space="preserve">Root and number-input subpath exports expose the namespace, named parts, and public types.</t>
  </si>
  <si>
    <t xml:space="preserve">NI-04</t>
  </si>
  <si>
    <t xml:space="preserve">../test/types/components/number-input.test.ts</t>
  </si>
  <si>
    <t xml:space="preserve">NI-05</t>
  </si>
  <si>
    <t xml:space="preserve">Static CSS ships recipes, state paint, logical actions, artwork, and documented variables.</t>
  </si>
  <si>
    <t xml:space="preserve">../src/components/number-input/number-input.css</t>
  </si>
  <si>
    <t xml:space="preserve">NI-06</t>
  </si>
  <si>
    <t xml:space="preserve">Stepping</t>
  </si>
  <si>
    <t xml:space="preserve">Input/actions</t>
  </si>
  <si>
    <t xml:space="preserve">Pointer and keyboard stepping respect step, precision, minimum, and maximum boundaries.</t>
  </si>
  <si>
    <t xml:space="preserve">tests/components/number-input/behavior.spec.ts</t>
  </si>
  <si>
    <t xml:space="preserve">NI-07</t>
  </si>
  <si>
    <t xml:space="preserve">Field relationships, required validity, native submission, and focus-on-error remain intact.</t>
  </si>
  <si>
    <t xml:space="preserve">NI-08</t>
  </si>
  <si>
    <t xml:space="preserve">Disabled, read-only, invalid, required, and boundary-disabled actions remain distinct.</t>
  </si>
  <si>
    <t xml:space="preserve">tests/components/number-input/visual.spec.ts</t>
  </si>
  <si>
    <t xml:space="preserve">2026-07-28: owner reviewed the generated Chromium baseline and its focused visual assertion.</t>
  </si>
  <si>
    <t xml:space="preserve">NI-09</t>
  </si>
  <si>
    <t xml:space="preserve">Outline, soft, underline, sizes, shapes, and width retain stable recipe data.</t>
  </si>
  <si>
    <t xml:space="preserve">NI-10</t>
  </si>
  <si>
    <t xml:space="preserve">Spinbutton and named step actions expose valid roles and the route has no axe violations.</t>
  </si>
  <si>
    <t xml:space="preserve">NI-11</t>
  </si>
  <si>
    <t xml:space="preserve">Light, dark, forced-color, focus, and invalid paint remain legible.</t>
  </si>
  <si>
    <t xml:space="preserve">NI-12</t>
  </si>
  <si>
    <t xml:space="preserve">Narrow and zoomed layouts remain reachable without page overflow.</t>
  </si>
  <si>
    <t xml:space="preserve">manual-tests/number-input.md</t>
  </si>
  <si>
    <t xml:space="preserve">Implementation evidence exists; required release or human-review gate remains open.</t>
  </si>
  <si>
    <t xml:space="preserve">NI-13</t>
  </si>
  <si>
    <t xml:space="preserve">Root/actions</t>
  </si>
  <si>
    <t xml:space="preserve">RTL places the logical action rail at the inline start without reversing numeric meaning.</t>
  </si>
  <si>
    <t xml:space="preserve">NI-14</t>
  </si>
  <si>
    <t xml:space="preserve">NI-15</t>
  </si>
  <si>
    <t xml:space="preserve">Guide, changelog, semantic contract, and nine scenarios agree.</t>
  </si>
  <si>
    <t xml:space="preserve">../docs/components/number-input/README.md</t>
  </si>
  <si>
    <t xml:space="preserve">NI-16</t>
  </si>
  <si>
    <t xml:space="preserve">Packed Consumer imports the public subpath and operates a Field-composed seat count.</t>
  </si>
  <si>
    <t xml:space="preserve">2026-07-28: packed Consumer evidence passes for the public subpath and clean React 18/19 consumers.</t>
  </si>
  <si>
    <t xml:space="preserve">NI-17</t>
  </si>
  <si>
    <t xml:space="preserve">Packed artifact and clean React 18/19 consumers resolve JS, types, CSS, and Atom 0.19.2.</t>
  </si>
  <si>
    <t xml:space="preserve">NI-18</t>
  </si>
  <si>
    <t xml:space="preserve">Numbered protocol covers visual, keyboard, pointer, forms, preferences, zoom, and RTL.</t>
  </si>
  <si>
    <t xml:space="preserve">NI-19</t>
  </si>
  <si>
    <t xml:space="preserve">Snapshots cover default, recipes, states, and mobile RTL stress.</t>
  </si>
  <si>
    <t xml:space="preserve">OTP Field Evidence</t>
  </si>
  <si>
    <t xml:space="preserve">Assertion-level Atom-backed package, browser, human-review, documentation, Consumer, code-entry, localization, and form evidence.</t>
  </si>
  <si>
    <t xml:space="preserve">OTP-01</t>
  </si>
  <si>
    <t xml:space="preserve">Compound OTP Field adapts released Atom 0.19.2 without recreating value, focus, paste, or validation behavior.</t>
  </si>
  <si>
    <t xml:space="preserve">../src/components/otp-field</t>
  </si>
  <si>
    <t xml:space="preserve">OTP-02</t>
  </si>
  <si>
    <t xml:space="preserve">Root, Group, Input, and Separator are styled and independently exported.</t>
  </si>
  <si>
    <t xml:space="preserve">../test/components/otp-field/otp-field.test.tsx</t>
  </si>
  <si>
    <t xml:space="preserve">OTP-03</t>
  </si>
  <si>
    <t xml:space="preserve">OTPField</t>
  </si>
  <si>
    <t xml:space="preserve">Root and otp-field subpath exports expose the namespace, named parts, and public types.</t>
  </si>
  <si>
    <t xml:space="preserve">OTP-04</t>
  </si>
  <si>
    <t xml:space="preserve">Recipes, refs, native props, indexes, layouts, and underline shape exclusion type-check.</t>
  </si>
  <si>
    <t xml:space="preserve">../test/types/components/otp-field.test.ts</t>
  </si>
  <si>
    <t xml:space="preserve">OTP-05</t>
  </si>
  <si>
    <t xml:space="preserve">Group/Input</t>
  </si>
  <si>
    <t xml:space="preserve">Static CSS ships separated, attached, state, focus, artwork, and documented variable recipes.</t>
  </si>
  <si>
    <t xml:space="preserve">../src/components/otp-field/otp-field.css</t>
  </si>
  <si>
    <t xml:space="preserve">OTP-06</t>
  </si>
  <si>
    <t xml:space="preserve">Entry</t>
  </si>
  <si>
    <t xml:space="preserve">Input cells</t>
  </si>
  <si>
    <t xml:space="preserve">Typing filters invalid characters, advances focus, and maintains one complete logical value.</t>
  </si>
  <si>
    <t xml:space="preserve">tests/components/otp-field/behavior.spec.ts</t>
  </si>
  <si>
    <t xml:space="preserve">OTP-07</t>
  </si>
  <si>
    <t xml:space="preserve">Only the first cell owns required validity and one hidden value submits and resets.</t>
  </si>
  <si>
    <t xml:space="preserve">OTP-08</t>
  </si>
  <si>
    <t xml:space="preserve">Generated position labels accept consumer-provided translations without changing behavior.</t>
  </si>
  <si>
    <t xml:space="preserve">OTP-09</t>
  </si>
  <si>
    <t xml:space="preserve">Disabled, read-only, invalid, required, filled, and masked states remain distinct.</t>
  </si>
  <si>
    <t xml:space="preserve">tests/components/otp-field/visual.spec.ts</t>
  </si>
  <si>
    <t xml:space="preserve">OTP-10</t>
  </si>
  <si>
    <t xml:space="preserve">Root/Group</t>
  </si>
  <si>
    <t xml:space="preserve">Outline, soft, underline, sizes, shapes, separated, and attached layouts retain stable data.</t>
  </si>
  <si>
    <t xml:space="preserve">OTP-11</t>
  </si>
  <si>
    <t xml:space="preserve">The group uses valid ARIA, cells expose position labels, and the route has no axe violations.</t>
  </si>
  <si>
    <t xml:space="preserve">OTP-12</t>
  </si>
  <si>
    <t xml:space="preserve">OTP-13</t>
  </si>
  <si>
    <t xml:space="preserve">Group</t>
  </si>
  <si>
    <t xml:space="preserve">Narrow and zoomed layouts remain reachable without clipping code cells.</t>
  </si>
  <si>
    <t xml:space="preserve">manual-tests/otp-field.md</t>
  </si>
  <si>
    <t xml:space="preserve">OTP-14</t>
  </si>
  <si>
    <t xml:space="preserve">RTL preserves logical code order and separator placement.</t>
  </si>
  <si>
    <t xml:space="preserve">OTP-15</t>
  </si>
  <si>
    <t xml:space="preserve">Documented variables customize cell size and radius without changing anatomy.</t>
  </si>
  <si>
    <t xml:space="preserve">OTP-16</t>
  </si>
  <si>
    <t xml:space="preserve">../docs/components/otp-field/README.md</t>
  </si>
  <si>
    <t xml:space="preserve">OTP-17</t>
  </si>
  <si>
    <t xml:space="preserve">Packed Consumer imports the public subpath and completes a Field-composed code.</t>
  </si>
  <si>
    <t xml:space="preserve">OTP-18</t>
  </si>
  <si>
    <t xml:space="preserve">OTP-19</t>
  </si>
  <si>
    <t xml:space="preserve">Numbered protocol covers visual, typing, paste, forms, assistive technology, preferences, zoom, and RTL.</t>
  </si>
  <si>
    <t xml:space="preserve">OTP-20</t>
  </si>
  <si>
    <t xml:space="preserve">Password Toggle Field Evidence</t>
  </si>
  <si>
    <t xml:space="preserve">Assertion-level Atom-backed package, browser, human-review, documentation, Consumer, visibility, localization, and form evidence.</t>
  </si>
  <si>
    <t xml:space="preserve">PTF-01</t>
  </si>
  <si>
    <t xml:space="preserve">Compound Password Toggle Field adapts released Atom 0.19.2 without recreating visibility or validation behavior.</t>
  </si>
  <si>
    <t xml:space="preserve">../src/components/password-toggle-field</t>
  </si>
  <si>
    <t xml:space="preserve">PTF-02</t>
  </si>
  <si>
    <t xml:space="preserve">Root, Input, Toggle, and Icon are styled and independently exported.</t>
  </si>
  <si>
    <t xml:space="preserve">../test/components/password-toggle-field/password-toggle-field.test.tsx</t>
  </si>
  <si>
    <t xml:space="preserve">PTF-03</t>
  </si>
  <si>
    <t xml:space="preserve">PasswordToggleField</t>
  </si>
  <si>
    <t xml:space="preserve">Root and password-toggle-field subpath exports expose namespace, named parts, and public types.</t>
  </si>
  <si>
    <t xml:space="preserve">PTF-04</t>
  </si>
  <si>
    <t xml:space="preserve">Recipes, refs, native props, custom artwork, and underline shape exclusion type-check.</t>
  </si>
  <si>
    <t xml:space="preserve">../test/types/components/password-toggle-field.test.ts</t>
  </si>
  <si>
    <t xml:space="preserve">PTF-05</t>
  </si>
  <si>
    <t xml:space="preserve">Static CSS ships recipes, states, logical toggle geometry, artwork, and documented variables.</t>
  </si>
  <si>
    <t xml:space="preserve">../src/components/password-toggle-field/password-toggle-field.css</t>
  </si>
  <si>
    <t xml:space="preserve">PTF-06</t>
  </si>
  <si>
    <t xml:space="preserve">Visibility</t>
  </si>
  <si>
    <t xml:space="preserve">Input/Toggle/Icon</t>
  </si>
  <si>
    <t xml:space="preserve">Toggle switches the native input type and synchronizes its label, state, and artwork.</t>
  </si>
  <si>
    <t xml:space="preserve">tests/components/password-toggle-field/behavior.spec.ts</t>
  </si>
  <si>
    <t xml:space="preserve">PTF-07</t>
  </si>
  <si>
    <t xml:space="preserve">Submission and reset restore a hidden password while preserving Field relationships and validity.</t>
  </si>
  <si>
    <t xml:space="preserve">PTF-08</t>
  </si>
  <si>
    <t xml:space="preserve">Show and hide action labels accept consumer-provided translations.</t>
  </si>
  <si>
    <t xml:space="preserve">PTF-09</t>
  </si>
  <si>
    <t xml:space="preserve">Disabled, read-only, invalid, required, visible, and hidden states remain distinct.</t>
  </si>
  <si>
    <t xml:space="preserve">tests/components/password-toggle-field/visual.spec.ts</t>
  </si>
  <si>
    <t xml:space="preserve">PTF-10</t>
  </si>
  <si>
    <t xml:space="preserve">PTF-11</t>
  </si>
  <si>
    <t xml:space="preserve">Input/Toggle</t>
  </si>
  <si>
    <t xml:space="preserve">Field naming and localized toggle names remain valid and the route has no axe violations.</t>
  </si>
  <si>
    <t xml:space="preserve">PTF-12</t>
  </si>
  <si>
    <t xml:space="preserve">PTF-13</t>
  </si>
  <si>
    <t xml:space="preserve">Narrow and zoomed layouts keep the input and toggle reachable without overflow.</t>
  </si>
  <si>
    <t xml:space="preserve">manual-tests/password-toggle-field.md</t>
  </si>
  <si>
    <t xml:space="preserve">PTF-14</t>
  </si>
  <si>
    <t xml:space="preserve">Root/Toggle</t>
  </si>
  <si>
    <t xml:space="preserve">RTL places the toggle at logical inline start and retains the localized action.</t>
  </si>
  <si>
    <t xml:space="preserve">PTF-15</t>
  </si>
  <si>
    <t xml:space="preserve">Documented variables customize height and radius without changing anatomy.</t>
  </si>
  <si>
    <t xml:space="preserve">PTF-16</t>
  </si>
  <si>
    <t xml:space="preserve">../docs/components/password-toggle-field/README.md</t>
  </si>
  <si>
    <t xml:space="preserve">PTF-17</t>
  </si>
  <si>
    <t xml:space="preserve">Packed Consumer imports the public subpath and operates a Field-composed password.</t>
  </si>
  <si>
    <t xml:space="preserve">PTF-18</t>
  </si>
  <si>
    <t xml:space="preserve">PTF-19</t>
  </si>
  <si>
    <t xml:space="preserve">Numbered protocol covers visual, visibility, forms, assistive technology, preferences, zoom, and RTL.</t>
  </si>
  <si>
    <t xml:space="preserve">PTF-20</t>
  </si>
  <si>
    <t xml:space="preserve">Slider Evidence</t>
  </si>
  <si>
    <t xml:space="preserve">Assertion-level Atom-backed package, browser, mobile, human-review, documentation, Consumer, form, range, and direction evidence.</t>
  </si>
  <si>
    <t xml:space="preserve">SL-01</t>
  </si>
  <si>
    <t xml:space="preserve">Six-part Brick adapter delegates behavior and semantics to released Atom 0.19.3.</t>
  </si>
  <si>
    <t xml:space="preserve">../src/components/slider</t>
  </si>
  <si>
    <t xml:space="preserve">Build and focused adapter suite pass.</t>
  </si>
  <si>
    <t xml:space="preserve">SL-02</t>
  </si>
  <si>
    <t xml:space="preserve">Root, Track, Range, Thumb, Marker, and ValueLabel are independently styled and exported.</t>
  </si>
  <si>
    <t xml:space="preserve">../test/components/slider/slider.test.tsx</t>
  </si>
  <si>
    <t xml:space="preserve">Focused component suite passes.</t>
  </si>
  <si>
    <t xml:space="preserve">SL-03</t>
  </si>
  <si>
    <t xml:space="preserve">Root and slider subpath exports expose namespace, named parts, and public types.</t>
  </si>
  <si>
    <t xml:space="preserve">../package.json</t>
  </si>
  <si>
    <t xml:space="preserve">Build and typecheck pass.</t>
  </si>
  <si>
    <t xml:space="preserve">SL-04</t>
  </si>
  <si>
    <t xml:space="preserve">Closed size and variant recipes, refs, native props, marker value, and label render details type-check.</t>
  </si>
  <si>
    <t xml:space="preserve">../test/types/components/slider.test.ts</t>
  </si>
  <si>
    <t xml:space="preserve">Focused typecheck passes.</t>
  </si>
  <si>
    <t xml:space="preserve">SL-05</t>
  </si>
  <si>
    <t xml:space="preserve">Static CSS ships horizontal/vertical geometry, RTL, states, recipes, 44px targets, and documented variables.</t>
  </si>
  <si>
    <t xml:space="preserve">../src/components/slider/slider.css</t>
  </si>
  <si>
    <t xml:space="preserve">Production CSS build passes.</t>
  </si>
  <si>
    <t xml:space="preserve">SL-06</t>
  </si>
  <si>
    <t xml:space="preserve">Values</t>
  </si>
  <si>
    <t xml:space="preserve">Single and range values expose correct values and dependent accessible bounds.</t>
  </si>
  <si>
    <t xml:space="preserve">tests/components/slider/behavior.spec.ts</t>
  </si>
  <si>
    <t xml:space="preserve">Chromium behavior suite passes.</t>
  </si>
  <si>
    <t xml:space="preserve">SL-07</t>
  </si>
  <si>
    <t xml:space="preserve">Thumb</t>
  </si>
  <si>
    <t xml:space="preserve">Keyboard and direction-aware RTL input update values; Atom owns pointer, touch, cancellation, and lost-capture behavior.</t>
  </si>
  <si>
    <t xml:space="preserve">Brick browser proof and released Atom evidence pass.</t>
  </si>
  <si>
    <t xml:space="preserve">SL-08</t>
  </si>
  <si>
    <t xml:space="preserve">Field/forms</t>
  </si>
  <si>
    <t xml:space="preserve">Standalone and Field state, one label, hidden named values, submit, and reset contracts are implemented.</t>
  </si>
  <si>
    <t xml:space="preserve">Component and Consumer builds pass.</t>
  </si>
  <si>
    <t xml:space="preserve">SL-09</t>
  </si>
  <si>
    <t xml:space="preserve">sm, md, lg and solid, soft recipes preserve interaction geometry.</t>
  </si>
  <si>
    <t xml:space="preserve">Recipe assertions pass.</t>
  </si>
  <si>
    <t xml:space="preserve">SL-10</t>
  </si>
  <si>
    <t xml:space="preserve">Marker/ValueLabel</t>
  </si>
  <si>
    <t xml:space="preserve">Markers position from authored values and value labels render default or formatted details decoratively.</t>
  </si>
  <si>
    <t xml:space="preserve">Focused assertions pass.</t>
  </si>
  <si>
    <t xml:space="preserve">SL-11</t>
  </si>
  <si>
    <t xml:space="preserve">Light, dark, customization, invalid, disabled, read-only, and required paint remain distinct.</t>
  </si>
  <si>
    <t xml:space="preserve">tests/components/slider/visual.spec.ts</t>
  </si>
  <si>
    <t xml:space="preserve">Visual baselines generated; human protocol remains open.</t>
  </si>
  <si>
    <t xml:space="preserve">SL-12</t>
  </si>
  <si>
    <t xml:space="preserve">Root/Track</t>
  </si>
  <si>
    <t xml:space="preserve">Narrow, long-label, vertical, RTL, mobile, zoom, reduced-motion, and forced-color layouts remain contained.</t>
  </si>
  <si>
    <t xml:space="preserve">Automated baselines exist; human matrix remains open.</t>
  </si>
  <si>
    <t xml:space="preserve">SL-13</t>
  </si>
  <si>
    <t xml:space="preserve">Axe passes; every thumb exposes one named slider with value, bounds, orientation, and inherited state.</t>
  </si>
  <si>
    <t xml:space="preserve">Chromium axe and semantic assertions pass.</t>
  </si>
  <si>
    <t xml:space="preserve">SL-14</t>
  </si>
  <si>
    <t xml:space="preserve">Numbered 01-09 review protocol covers pointer, touch, keyboard, forms, AT, preferences, and stress.</t>
  </si>
  <si>
    <t xml:space="preserve">manual-tests/slider.md</t>
  </si>
  <si>
    <t xml:space="preserve">Protocol authored; execution remains open.</t>
  </si>
  <si>
    <t xml:space="preserve">SL-15</t>
  </si>
  <si>
    <t xml:space="preserve">Public guide and component changelog document anatomy, recipes, forms, accessibility, tokens, and evidence.</t>
  </si>
  <si>
    <t xml:space="preserve">../docs/components/slider/README.md</t>
  </si>
  <si>
    <t xml:space="preserve">Documentation verification passes.</t>
  </si>
  <si>
    <t xml:space="preserve">SL-16</t>
  </si>
  <si>
    <t xml:space="preserve">Packed public slider subpath composes a labelled named preference control in Consumer.</t>
  </si>
  <si>
    <t xml:space="preserve">Packed package and Consumer verification pass in the full release gate.</t>
  </si>
  <si>
    <t xml:space="preserve">Rating Evidence</t>
  </si>
  <si>
    <t xml:space="preserve">Assertion-level Atom-backed package, browser, mobile, human-review, documentation, Consumer, form, precision, and artwork evidence.</t>
  </si>
  <si>
    <t xml:space="preserve">RT-01</t>
  </si>
  <si>
    <t xml:space="preserve">Two-part Brick adapter delegates behavior and semantics to released Atom 0.19.3.</t>
  </si>
  <si>
    <t xml:space="preserve">../src/components/rating</t>
  </si>
  <si>
    <t xml:space="preserve">RT-02</t>
  </si>
  <si>
    <t xml:space="preserve">Root and Item are styled/exported; empty and proportional fill artwork layers remain private.</t>
  </si>
  <si>
    <t xml:space="preserve">../test/components/rating/rating.test.tsx</t>
  </si>
  <si>
    <t xml:space="preserve">RT-03</t>
  </si>
  <si>
    <t xml:space="preserve">Root and rating subpath exports expose namespace, named parts, and public types.</t>
  </si>
  <si>
    <t xml:space="preserve">RT-04</t>
  </si>
  <si>
    <t xml:space="preserve">Closed size, tone, and variant recipes, refs, native props, and required item values type-check.</t>
  </si>
  <si>
    <t xml:space="preserve">../test/types/components/rating.test.ts</t>
  </si>
  <si>
    <t xml:space="preserve">RT-05</t>
  </si>
  <si>
    <t xml:space="preserve">Static CSS ships proportional fill, RTL, states, recipes, 44px targets, preferences, and documented variables.</t>
  </si>
  <si>
    <t xml:space="preserve">../src/components/rating/rating.css</t>
  </si>
  <si>
    <t xml:space="preserve">RT-06</t>
  </si>
  <si>
    <t xml:space="preserve">Five decorative items expose one focusable slider with numeric and human-readable value text.</t>
  </si>
  <si>
    <t xml:space="preserve">tests/components/rating/behavior.spec.ts</t>
  </si>
  <si>
    <t xml:space="preserve">Chromium semantics suite passes.</t>
  </si>
  <si>
    <t xml:space="preserve">RT-07</t>
  </si>
  <si>
    <t xml:space="preserve">Precision</t>
  </si>
  <si>
    <t xml:space="preserve">Integer and half-step values produce correct full, partial, and empty item fill.</t>
  </si>
  <si>
    <t xml:space="preserve">Fractional browser and component assertions pass.</t>
  </si>
  <si>
    <t xml:space="preserve">RT-08</t>
  </si>
  <si>
    <t xml:space="preserve">Keyboard and direction-aware RTL input work; Atom owns pointer, drag, touch, cancellation, and controlled behavior.</t>
  </si>
  <si>
    <t xml:space="preserve">RT-09</t>
  </si>
  <si>
    <t xml:space="preserve">Standalone and Field state, one label, hidden scalar value, submit, reset, and focusable read-only contracts are implemented.</t>
  </si>
  <si>
    <t xml:space="preserve">RT-10</t>
  </si>
  <si>
    <t xml:space="preserve">Three sizes, two tones, and solid/outline variants preserve one interaction model.</t>
  </si>
  <si>
    <t xml:space="preserve">RT-11</t>
  </si>
  <si>
    <t xml:space="preserve">Artwork</t>
  </si>
  <si>
    <t xml:space="preserve">Default stars and consumer-provided decorative artwork receive identical proportional layers.</t>
  </si>
  <si>
    <t xml:space="preserve">Default and custom artwork assertions pass.</t>
  </si>
  <si>
    <t xml:space="preserve">RT-12</t>
  </si>
  <si>
    <t xml:space="preserve">tests/components/rating/visual.spec.ts</t>
  </si>
  <si>
    <t xml:space="preserve">RT-13</t>
  </si>
  <si>
    <t xml:space="preserve">Narrow, long-label, RTL, mobile, zoom, reduced-motion, forced-color, and coarse-pointer layouts remain contained.</t>
  </si>
  <si>
    <t xml:space="preserve">RT-14</t>
  </si>
  <si>
    <t xml:space="preserve">Axe passes; decorative items remain silent and one slider exposes value and state.</t>
  </si>
  <si>
    <t xml:space="preserve">RT-15</t>
  </si>
  <si>
    <t xml:space="preserve">Numbered 01-09 protocol covers pointer, drag, touch, keyboard, forms, AT, preferences, and stress.</t>
  </si>
  <si>
    <t xml:space="preserve">manual-tests/rating.md</t>
  </si>
  <si>
    <t xml:space="preserve">RT-16</t>
  </si>
  <si>
    <t xml:space="preserve">Public guide and changelog document anatomy, recipes, forms, accessibility, tokens, and evidence.</t>
  </si>
  <si>
    <t xml:space="preserve">../docs/components/rating/README.md</t>
  </si>
  <si>
    <t xml:space="preserve">RT-17</t>
  </si>
  <si>
    <t xml:space="preserve">Packed public rating subpath composes a labelled named workflow input in Consumer.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</si>
</sst>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F4F6F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62" headerRowCount="1" totalsRowCount="0" totalsRowShown="0">
  <autoFilter ref="A7:M62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RatingEvidence" displayName="Rating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SliderEvidence" displayName="Slid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7.xml><?xml version="1.0" encoding="utf-8"?>
<table xmlns="http://schemas.openxmlformats.org/spreadsheetml/2006/main" id="27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8.xml><?xml version="1.0" encoding="utf-8"?>
<table xmlns="http://schemas.openxmlformats.org/spreadsheetml/2006/main" id="28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4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7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4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table" Target="../tables/table28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69.xml.rels><?xml version="1.0" encoding="UTF-8"?>
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table" Target="../tables/table23.xml"/>
</Relationships>
</file>

<file path=xl/worksheets/_rels/sheet70.xml.rels><?xml version="1.0" encoding="UTF-8"?>
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table" Target="../tables/table2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7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2</v>
      </c>
      <c r="B4" s="6" t="n">
        <f aca="false">COUNTA(A8:A73)</f>
        <v>66</v>
      </c>
      <c r="D4" s="5" t="s">
        <v>3</v>
      </c>
      <c r="E4" s="6" t="n">
        <f aca="false">COUNTIF(M8:M71,"complete")</f>
        <v>1</v>
      </c>
      <c r="G4" s="5" t="s">
        <v>4</v>
      </c>
      <c r="H4" s="6" t="n">
        <f aca="false">COUNTIF(M8:M71,"blocked")</f>
        <v>0</v>
      </c>
      <c r="J4" s="5" t="s">
        <v>5</v>
      </c>
      <c r="K4" s="7" t="n">
        <f aca="false">IF(B4=0,0,E4/B4)</f>
        <v>0.0151515151515152</v>
      </c>
    </row>
    <row r="7" customFormat="false" ht="15" hidden="false" customHeight="true" outlineLevel="0" collapsed="false">
      <c r="A7" s="8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4</v>
      </c>
      <c r="I7" s="8" t="s">
        <v>13</v>
      </c>
      <c r="J7" s="9" t="s">
        <v>14</v>
      </c>
      <c r="K7" s="8" t="s">
        <v>15</v>
      </c>
      <c r="L7" s="8" t="s">
        <v>16</v>
      </c>
      <c r="M7" s="8" t="s">
        <v>5</v>
      </c>
    </row>
    <row r="8" customFormat="false" ht="24" hidden="false" customHeight="true" outlineLevel="0" collapsed="false">
      <c r="A8" s="1" t="s">
        <v>17</v>
      </c>
      <c r="B8" s="1" t="n">
        <f aca="true">INDIRECT("'"&amp;A8&amp;"'!B4")</f>
        <v>16</v>
      </c>
      <c r="C8" s="1" t="n">
        <f aca="true">COUNTIF(INDIRECT("'"&amp;A8&amp;"'!H9:H200"),"not started")</f>
        <v>0</v>
      </c>
      <c r="D8" s="1" t="n">
        <f aca="true">COUNTIF(INDIRECT("'"&amp;A8&amp;"'!H9:H200"),"partial")</f>
        <v>0</v>
      </c>
      <c r="E8" s="1" t="n">
        <f aca="true">COUNTIF(INDIRECT("'"&amp;A8&amp;"'!H9:H200"),"implemented")</f>
        <v>0</v>
      </c>
      <c r="F8" s="1" t="n">
        <f aca="true">COUNTIF(INDIRECT("'"&amp;A8&amp;"'!H9:H200"),"tested")</f>
        <v>11</v>
      </c>
      <c r="G8" s="1" t="n">
        <f aca="true">COUNTIF(INDIRECT("'"&amp;A8&amp;"'!H9:H200"),"verified")</f>
        <v>5</v>
      </c>
      <c r="H8" s="1" t="n">
        <f aca="true">COUNTIF(INDIRECT("'"&amp;A8&amp;"'!H9:H200"),"blocked")</f>
        <v>0</v>
      </c>
      <c r="I8" s="1" t="n">
        <f aca="true">COUNTIF(INDIRECT("'"&amp;A8&amp;"'!H9:H200"),"not applicable")</f>
        <v>0</v>
      </c>
      <c r="J8" s="2" t="n">
        <f aca="true">INDIRECT("'"&amp;A8&amp;"'!H4")</f>
        <v>1</v>
      </c>
      <c r="K8" s="1" t="n">
        <f aca="true">INDIRECT("'"&amp;A8&amp;"'!K4")</f>
        <v>0</v>
      </c>
      <c r="L8" s="1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18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19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20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21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22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23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24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25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26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27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28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29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30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31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32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33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34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35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36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37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38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39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40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41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42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43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44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45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46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47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48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49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50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51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52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53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54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55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56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57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INDIRECT("'"&amp;A48&amp;"'!B5")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58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INDIRECT("'"&amp;A49&amp;"'!B5")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59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60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61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62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63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64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65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66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67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68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69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  <row r="61" customFormat="false" ht="15" hidden="false" customHeight="true" outlineLevel="0" collapsed="false">
      <c r="A61" s="1" t="s">
        <v>70</v>
      </c>
      <c r="B61" s="1" t="n">
        <f aca="true">INDIRECT("'"&amp;A61&amp;"'!B4")</f>
        <v>25</v>
      </c>
      <c r="C61" s="1" t="n">
        <f aca="true">COUNTIF(INDIRECT("'"&amp;A61&amp;"'!H9:H200"),"not started")</f>
        <v>1</v>
      </c>
      <c r="D61" s="1" t="n">
        <f aca="true">COUNTIF(INDIRECT("'"&amp;A61&amp;"'!H9:H200"),"partial")</f>
        <v>0</v>
      </c>
      <c r="E61" s="1" t="n">
        <f aca="true">COUNTIF(INDIRECT("'"&amp;A61&amp;"'!H9:H200"),"implemented")</f>
        <v>3</v>
      </c>
      <c r="F61" s="1" t="n">
        <f aca="true">COUNTIF(INDIRECT("'"&amp;A61&amp;"'!H9:H200"),"tested")</f>
        <v>21</v>
      </c>
      <c r="G61" s="1" t="n">
        <f aca="true">COUNTIF(INDIRECT("'"&amp;A61&amp;"'!H9:H200"),"verified")</f>
        <v>0</v>
      </c>
      <c r="H61" s="1" t="n">
        <f aca="true">COUNTIF(INDIRECT("'"&amp;A61&amp;"'!H9:H200"),"blocked")</f>
        <v>0</v>
      </c>
      <c r="I61" s="1" t="n">
        <f aca="true">COUNTIF(INDIRECT("'"&amp;A61&amp;"'!H9:H200"),"not applicable")</f>
        <v>0</v>
      </c>
      <c r="J61" s="2" t="n">
        <f aca="true">INDIRECT("'"&amp;A61&amp;"'!H4")</f>
        <v>0.84</v>
      </c>
      <c r="K61" s="1" t="str">
        <f aca="true">INDIRECT("'"&amp;A61&amp;"'!K4")</f>
        <v>open</v>
      </c>
      <c r="L61" s="1" t="str">
        <f aca="true">INDIRECT("'"&amp;A61&amp;"'!E5")</f>
        <v>complete</v>
      </c>
      <c r="M61" s="1" t="str">
        <f aca="false">IF(AND(J61=1,K61="complete",L61="complete"),"complete",IF(H61&gt;0,"blocked","open"))</f>
        <v>open</v>
      </c>
    </row>
    <row r="62" customFormat="false" ht="15" hidden="false" customHeight="true" outlineLevel="0" collapsed="false">
      <c r="A62" s="1" t="s">
        <v>71</v>
      </c>
      <c r="B62" s="1" t="n">
        <f aca="true">INDIRECT("'"&amp;A62&amp;"'!B4")</f>
        <v>26</v>
      </c>
      <c r="C62" s="1" t="n">
        <f aca="true">COUNTIF(INDIRECT("'"&amp;A62&amp;"'!H9:H200"),"not started")</f>
        <v>1</v>
      </c>
      <c r="D62" s="1" t="n">
        <f aca="true">COUNTIF(INDIRECT("'"&amp;A62&amp;"'!H9:H200"),"partial")</f>
        <v>0</v>
      </c>
      <c r="E62" s="1" t="n">
        <f aca="true">COUNTIF(INDIRECT("'"&amp;A62&amp;"'!H9:H200"),"implemented")</f>
        <v>3</v>
      </c>
      <c r="F62" s="1" t="n">
        <f aca="true">COUNTIF(INDIRECT("'"&amp;A62&amp;"'!H9:H200"),"tested")</f>
        <v>22</v>
      </c>
      <c r="G62" s="1" t="n">
        <f aca="true">COUNTIF(INDIRECT("'"&amp;A62&amp;"'!H9:H200"),"verified")</f>
        <v>0</v>
      </c>
      <c r="H62" s="1" t="n">
        <f aca="true">COUNTIF(INDIRECT("'"&amp;A62&amp;"'!H9:H200"),"blocked")</f>
        <v>0</v>
      </c>
      <c r="I62" s="1" t="n">
        <f aca="true">COUNTIF(INDIRECT("'"&amp;A62&amp;"'!H9:H200"),"not applicable")</f>
        <v>0</v>
      </c>
      <c r="J62" s="2" t="n">
        <f aca="true">INDIRECT("'"&amp;A62&amp;"'!H4")</f>
        <v>0.846153846153846</v>
      </c>
      <c r="K62" s="1" t="str">
        <f aca="true">INDIRECT("'"&amp;A62&amp;"'!K4")</f>
        <v>open</v>
      </c>
      <c r="L62" s="1" t="str">
        <f aca="true">INDIRECT("'"&amp;A62&amp;"'!E5")</f>
        <v>complete</v>
      </c>
      <c r="M62" s="1" t="str">
        <f aca="false">IF(AND(J62=1,K62="complete",L62="complete"),"complete",IF(H62&gt;0,"blocked","open"))</f>
        <v>open</v>
      </c>
    </row>
    <row r="63" customFormat="false" ht="15" hidden="false" customHeight="true" outlineLevel="0" collapsed="false">
      <c r="A63" s="1" t="s">
        <v>72</v>
      </c>
      <c r="B63" s="1" t="n">
        <f aca="true">INDIRECT("'"&amp;A63&amp;"'!B4")</f>
        <v>28</v>
      </c>
      <c r="C63" s="1" t="n">
        <f aca="true">COUNTIF(INDIRECT("'"&amp;A63&amp;"'!H9:H200"),"not started")</f>
        <v>1</v>
      </c>
      <c r="D63" s="1" t="n">
        <f aca="true">COUNTIF(INDIRECT("'"&amp;A63&amp;"'!H9:H200"),"partial")</f>
        <v>0</v>
      </c>
      <c r="E63" s="1" t="n">
        <f aca="true">COUNTIF(INDIRECT("'"&amp;A63&amp;"'!H9:H200"),"implemented")</f>
        <v>3</v>
      </c>
      <c r="F63" s="1" t="n">
        <f aca="true">COUNTIF(INDIRECT("'"&amp;A63&amp;"'!H9:H200"),"tested")</f>
        <v>24</v>
      </c>
      <c r="G63" s="1" t="n">
        <f aca="true">COUNTIF(INDIRECT("'"&amp;A63&amp;"'!H9:H200"),"verified")</f>
        <v>0</v>
      </c>
      <c r="H63" s="1" t="n">
        <f aca="true">COUNTIF(INDIRECT("'"&amp;A63&amp;"'!H9:H200"),"blocked")</f>
        <v>0</v>
      </c>
      <c r="I63" s="1" t="n">
        <f aca="true">COUNTIF(INDIRECT("'"&amp;A63&amp;"'!H9:H200"),"not applicable")</f>
        <v>0</v>
      </c>
      <c r="J63" s="2" t="n">
        <f aca="true">INDIRECT("'"&amp;A63&amp;"'!H4")</f>
        <v>0.857142857142857</v>
      </c>
      <c r="K63" s="1" t="str">
        <f aca="true">IF(COUNTIFS(INDIRECT("'"&amp;A63&amp;"'!E9:E200"),"package",INDIRECT("'"&amp;A63&amp;"'!M9:M200"),0)&gt;0,"open","complete")</f>
        <v>open</v>
      </c>
      <c r="L63" s="1" t="n">
        <f aca="true">COUNTIF(INDIRECT("'"&amp;A63&amp;"'!K9:K200"),"&lt;&gt;" )</f>
        <v>17</v>
      </c>
      <c r="M63" s="1" t="str">
        <f aca="false">IF(AND(J63=1,K63="complete"),"complete","in progress")</f>
        <v>in progress</v>
      </c>
    </row>
    <row r="64" customFormat="false" ht="15" hidden="false" customHeight="true" outlineLevel="0" collapsed="false">
      <c r="A64" s="1" t="s">
        <v>73</v>
      </c>
      <c r="B64" s="1" t="n">
        <f aca="true">INDIRECT("'"&amp;A64&amp;"'!B4")</f>
        <v>26</v>
      </c>
      <c r="C64" s="1" t="n">
        <f aca="true">COUNTIF(INDIRECT("'"&amp;A64&amp;"'!H9:H200"),"not started")</f>
        <v>1</v>
      </c>
      <c r="D64" s="1" t="n">
        <f aca="true">COUNTIF(INDIRECT("'"&amp;A64&amp;"'!H9:H200"),"partial")</f>
        <v>0</v>
      </c>
      <c r="E64" s="1" t="n">
        <f aca="true">COUNTIF(INDIRECT("'"&amp;A64&amp;"'!H9:H200"),"implemented")</f>
        <v>3</v>
      </c>
      <c r="F64" s="1" t="n">
        <f aca="true">COUNTIF(INDIRECT("'"&amp;A64&amp;"'!H9:H200"),"tested")</f>
        <v>22</v>
      </c>
      <c r="G64" s="1" t="n">
        <f aca="true">COUNTIF(INDIRECT("'"&amp;A64&amp;"'!H9:H200"),"verified")</f>
        <v>0</v>
      </c>
      <c r="H64" s="1" t="n">
        <f aca="true">COUNTIF(INDIRECT("'"&amp;A64&amp;"'!H9:H200"),"blocked")</f>
        <v>0</v>
      </c>
      <c r="I64" s="1" t="n">
        <f aca="true">COUNTIF(INDIRECT("'"&amp;A64&amp;"'!H9:H200"),"not applicable")</f>
        <v>0</v>
      </c>
      <c r="J64" s="2" t="n">
        <f aca="true">INDIRECT("'"&amp;A64&amp;"'!H4")</f>
        <v>0.846153846153846</v>
      </c>
      <c r="K64" s="1" t="str">
        <f aca="true">IF(COUNTIFS(INDIRECT("'"&amp;A64&amp;"'!E9:E200"),"package",INDIRECT("'"&amp;A64&amp;"'!M9:M200"),0)&gt;0,"open","complete")</f>
        <v>open</v>
      </c>
      <c r="L64" s="1" t="n">
        <f aca="true">COUNTIF(INDIRECT("'"&amp;A64&amp;"'!K9:K200"),"&lt;&gt;" )</f>
        <v>4</v>
      </c>
      <c r="M64" s="1" t="str">
        <f aca="false">IF(AND(J64=1,K64="complete"),"complete","in progress")</f>
        <v>in progress</v>
      </c>
    </row>
    <row r="65" customFormat="false" ht="15" hidden="false" customHeight="true" outlineLevel="0" collapsed="false">
      <c r="A65" s="1" t="s">
        <v>74</v>
      </c>
      <c r="B65" s="1" t="n">
        <f aca="true">INDIRECT("'"&amp;A65&amp;"'!B4")</f>
        <v>26</v>
      </c>
      <c r="C65" s="1" t="n">
        <f aca="true">COUNTIF(INDIRECT("'"&amp;A65&amp;"'!H9:H200"),"not started")</f>
        <v>1</v>
      </c>
      <c r="D65" s="1" t="n">
        <f aca="true">COUNTIF(INDIRECT("'"&amp;A65&amp;"'!H9:H200"),"partial")</f>
        <v>0</v>
      </c>
      <c r="E65" s="1" t="n">
        <f aca="true">COUNTIF(INDIRECT("'"&amp;A65&amp;"'!H9:H200"),"implemented")</f>
        <v>4</v>
      </c>
      <c r="F65" s="1" t="n">
        <f aca="true">COUNTIF(INDIRECT("'"&amp;A65&amp;"'!H9:H200"),"tested")</f>
        <v>21</v>
      </c>
      <c r="G65" s="1" t="n">
        <f aca="true">COUNTIF(INDIRECT("'"&amp;A65&amp;"'!H9:H200"),"verified")</f>
        <v>0</v>
      </c>
      <c r="H65" s="1" t="n">
        <f aca="true">COUNTIF(INDIRECT("'"&amp;A65&amp;"'!H9:H200"),"blocked")</f>
        <v>0</v>
      </c>
      <c r="I65" s="1" t="n">
        <f aca="true">COUNTIF(INDIRECT("'"&amp;A65&amp;"'!H9:H200"),"not applicable")</f>
        <v>0</v>
      </c>
      <c r="J65" s="2" t="n">
        <f aca="true">INDIRECT("'"&amp;A65&amp;"'!H4")</f>
        <v>0.807692307692308</v>
      </c>
      <c r="K65" s="1" t="str">
        <f aca="true">IF(COUNTIFS(INDIRECT("'"&amp;A65&amp;"'!E9:E200"),"package",INDIRECT("'"&amp;A65&amp;"'!M9:M200"),0)&gt;0,"open","complete")</f>
        <v>open</v>
      </c>
      <c r="L65" s="1" t="n">
        <f aca="true">COUNTIF(INDIRECT("'"&amp;A65&amp;"'!K9:K200"),"&lt;&gt;" )</f>
        <v>8</v>
      </c>
      <c r="M65" s="1" t="str">
        <f aca="false">IF(AND(J65=1,K65="complete"),"complete","in progress")</f>
        <v>in progress</v>
      </c>
    </row>
    <row r="66" customFormat="false" ht="15" hidden="false" customHeight="true" outlineLevel="0" collapsed="false">
      <c r="A66" s="1" t="s">
        <v>75</v>
      </c>
      <c r="B66" s="1" t="n">
        <f aca="true">INDIRECT("'"&amp;A66&amp;"'!B4")</f>
        <v>30</v>
      </c>
      <c r="C66" s="1" t="n">
        <f aca="true">COUNTIF(INDIRECT("'"&amp;A66&amp;"'!H9:H200"),"not started")</f>
        <v>1</v>
      </c>
      <c r="D66" s="1" t="n">
        <f aca="true">COUNTIF(INDIRECT("'"&amp;A66&amp;"'!H9:H200"),"partial")</f>
        <v>0</v>
      </c>
      <c r="E66" s="1" t="n">
        <f aca="true">COUNTIF(INDIRECT("'"&amp;A66&amp;"'!H9:H200"),"implemented")</f>
        <v>6</v>
      </c>
      <c r="F66" s="1" t="n">
        <f aca="true">COUNTIF(INDIRECT("'"&amp;A66&amp;"'!H9:H200"),"tested")</f>
        <v>23</v>
      </c>
      <c r="G66" s="1" t="n">
        <f aca="true">COUNTIF(INDIRECT("'"&amp;A66&amp;"'!H9:H200"),"verified")</f>
        <v>0</v>
      </c>
      <c r="H66" s="1" t="n">
        <f aca="true">COUNTIF(INDIRECT("'"&amp;A66&amp;"'!H9:H200"),"blocked")</f>
        <v>0</v>
      </c>
      <c r="I66" s="1" t="n">
        <f aca="true">COUNTIF(INDIRECT("'"&amp;A66&amp;"'!H9:H200"),"not applicable")</f>
        <v>0</v>
      </c>
      <c r="J66" s="2" t="n">
        <f aca="true">INDIRECT("'"&amp;A66&amp;"'!H4")</f>
        <v>0.766666666666667</v>
      </c>
      <c r="K66" s="1" t="str">
        <f aca="true">INDIRECT("'"&amp;A66&amp;"'!K4")</f>
        <v>open</v>
      </c>
      <c r="L66" s="1" t="str">
        <f aca="true">INDIRECT("'"&amp;A66&amp;"'!E5")</f>
        <v>complete</v>
      </c>
      <c r="M66" s="1" t="str">
        <f aca="false">IF(AND(J66=1,K66="complete",L66="complete"),"complete",IF(H66&gt;0,"blocked","open"))</f>
        <v>open</v>
      </c>
    </row>
    <row r="67" customFormat="false" ht="15" hidden="false" customHeight="true" outlineLevel="0" collapsed="false">
      <c r="A67" s="1" t="s">
        <v>76</v>
      </c>
      <c r="B67" s="1" t="n">
        <f aca="true">INDIRECT("'"&amp;A67&amp;"'!B4")</f>
        <v>31</v>
      </c>
      <c r="C67" s="1" t="n">
        <f aca="true">COUNTIF(INDIRECT("'"&amp;A67&amp;"'!H9:H200"),"not started")</f>
        <v>1</v>
      </c>
      <c r="D67" s="1" t="n">
        <f aca="true">COUNTIF(INDIRECT("'"&amp;A67&amp;"'!H9:H200"),"partial")</f>
        <v>0</v>
      </c>
      <c r="E67" s="1" t="n">
        <f aca="true">COUNTIF(INDIRECT("'"&amp;A67&amp;"'!H9:H200"),"implemented")</f>
        <v>10</v>
      </c>
      <c r="F67" s="1" t="n">
        <f aca="true">COUNTIF(INDIRECT("'"&amp;A67&amp;"'!H9:H200"),"tested")</f>
        <v>20</v>
      </c>
      <c r="G67" s="1" t="n">
        <f aca="true">COUNTIF(INDIRECT("'"&amp;A67&amp;"'!H9:H200"),"verified")</f>
        <v>0</v>
      </c>
      <c r="H67" s="1" t="n">
        <f aca="true">COUNTIF(INDIRECT("'"&amp;A67&amp;"'!H9:H200"),"blocked")</f>
        <v>0</v>
      </c>
      <c r="I67" s="1" t="n">
        <f aca="true">COUNTIF(INDIRECT("'"&amp;A67&amp;"'!H9:H200"),"not applicable")</f>
        <v>0</v>
      </c>
      <c r="J67" s="2" t="n">
        <f aca="true">INDIRECT("'"&amp;A67&amp;"'!H4")</f>
        <v>0.645161290322581</v>
      </c>
      <c r="K67" s="1" t="str">
        <f aca="true">INDIRECT("'"&amp;A67&amp;"'!K4")</f>
        <v>open</v>
      </c>
      <c r="L67" s="1" t="str">
        <f aca="true">INDIRECT("'"&amp;A67&amp;"'!E5")</f>
        <v>complete</v>
      </c>
      <c r="M67" s="1" t="str">
        <f aca="false">IF(AND(J67=1,K67="complete",L67="complete"),"complete",IF(H67&gt;0,"blocked","open"))</f>
        <v>open</v>
      </c>
    </row>
    <row r="68" customFormat="false" ht="15" hidden="false" customHeight="true" outlineLevel="0" collapsed="false">
      <c r="A68" s="1" t="s">
        <v>77</v>
      </c>
      <c r="B68" s="1" t="n">
        <f aca="true">INDIRECT("'"&amp;A68&amp;"'!B4")</f>
        <v>22</v>
      </c>
      <c r="C68" s="1" t="n">
        <f aca="true">COUNTIF(INDIRECT("'"&amp;A68&amp;"'!H9:H200"),"not started")</f>
        <v>0</v>
      </c>
      <c r="D68" s="1" t="n">
        <f aca="true">COUNTIF(INDIRECT("'"&amp;A68&amp;"'!H9:H200"),"partial")</f>
        <v>0</v>
      </c>
      <c r="E68" s="1" t="n">
        <f aca="true">COUNTIF(INDIRECT("'"&amp;A68&amp;"'!H9:H200"),"implemented")</f>
        <v>8</v>
      </c>
      <c r="F68" s="1" t="n">
        <f aca="true">COUNTIF(INDIRECT("'"&amp;A68&amp;"'!H9:H200"),"tested")</f>
        <v>14</v>
      </c>
      <c r="G68" s="1" t="n">
        <f aca="true">COUNTIF(INDIRECT("'"&amp;A68&amp;"'!H9:H200"),"verified")</f>
        <v>0</v>
      </c>
      <c r="H68" s="1" t="n">
        <f aca="true">COUNTIF(INDIRECT("'"&amp;A68&amp;"'!H9:H200"),"blocked")</f>
        <v>0</v>
      </c>
      <c r="I68" s="1" t="n">
        <f aca="true">COUNTIF(INDIRECT("'"&amp;A68&amp;"'!H9:H200"),"not applicable")</f>
        <v>0</v>
      </c>
      <c r="J68" s="2" t="n">
        <f aca="false">B68-SUM(C68:I68)</f>
        <v>0</v>
      </c>
      <c r="K68" s="1" t="str">
        <f aca="true">INDIRECT("'"&amp;A68&amp;"'!B5")</f>
        <v>open</v>
      </c>
      <c r="L68" s="1" t="str">
        <f aca="true">INDIRECT("'"&amp;A68&amp;"'!E5")</f>
        <v>complete</v>
      </c>
      <c r="M68" s="1" t="str">
        <f aca="false">IF(AND(J68=0,K68="complete",L68="complete"),"complete",IF(H68&gt;0,"blocked","open"))</f>
        <v>open</v>
      </c>
    </row>
    <row r="69" customFormat="false" ht="15" hidden="false" customHeight="true" outlineLevel="0" collapsed="false">
      <c r="A69" s="1" t="s">
        <v>78</v>
      </c>
      <c r="B69" s="1" t="n">
        <f aca="true">INDIRECT("'"&amp;A69&amp;"'!B4")</f>
        <v>19</v>
      </c>
      <c r="C69" s="1" t="n">
        <f aca="true">COUNTIF(INDIRECT("'"&amp;A69&amp;"'!H9:H200"),"not started")</f>
        <v>0</v>
      </c>
      <c r="D69" s="1" t="n">
        <f aca="true">COUNTIF(INDIRECT("'"&amp;A69&amp;"'!H9:H200"),"partial")</f>
        <v>0</v>
      </c>
      <c r="E69" s="1" t="n">
        <f aca="true">COUNTIF(INDIRECT("'"&amp;A69&amp;"'!H9:H200"),"implemented")</f>
        <v>2</v>
      </c>
      <c r="F69" s="1" t="n">
        <f aca="true">COUNTIF(INDIRECT("'"&amp;A69&amp;"'!H9:H200"),"tested")</f>
        <v>12</v>
      </c>
      <c r="G69" s="1" t="n">
        <f aca="true">COUNTIF(INDIRECT("'"&amp;A69&amp;"'!H9:H200"),"verified")</f>
        <v>5</v>
      </c>
      <c r="H69" s="1" t="n">
        <f aca="true">COUNTIF(INDIRECT("'"&amp;A69&amp;"'!H9:H200"),"blocked")</f>
        <v>0</v>
      </c>
      <c r="I69" s="1" t="n">
        <f aca="true">COUNTIF(INDIRECT("'"&amp;A69&amp;"'!H9:H200"),"not applicable")</f>
        <v>0</v>
      </c>
      <c r="J69" s="2" t="n">
        <f aca="false">B69-SUM(C69:I69)</f>
        <v>0</v>
      </c>
      <c r="K69" s="1" t="str">
        <f aca="true">INDIRECT("'"&amp;A69&amp;"'!B5")</f>
        <v>open</v>
      </c>
      <c r="L69" s="1" t="str">
        <f aca="true">INDIRECT("'"&amp;A69&amp;"'!E5")</f>
        <v>complete</v>
      </c>
      <c r="M69" s="1" t="str">
        <f aca="false">IF(AND(J69=0,K69="complete",L69="complete"),"complete",IF(H69&gt;0,"blocked","open"))</f>
        <v>open</v>
      </c>
    </row>
    <row r="70" customFormat="false" ht="15" hidden="false" customHeight="true" outlineLevel="0" collapsed="false">
      <c r="A70" s="1" t="s">
        <v>79</v>
      </c>
      <c r="B70" s="1" t="n">
        <f aca="true">INDIRECT("'"&amp;A70&amp;"'!B4")</f>
        <v>20</v>
      </c>
      <c r="C70" s="1" t="n">
        <f aca="true">COUNTIF(INDIRECT("'"&amp;A70&amp;"'!H9:H200"),"not started")</f>
        <v>0</v>
      </c>
      <c r="D70" s="1" t="n">
        <f aca="true">COUNTIF(INDIRECT("'"&amp;A70&amp;"'!H9:H200"),"partial")</f>
        <v>0</v>
      </c>
      <c r="E70" s="1" t="n">
        <f aca="true">COUNTIF(INDIRECT("'"&amp;A70&amp;"'!H9:H200"),"implemented")</f>
        <v>2</v>
      </c>
      <c r="F70" s="1" t="n">
        <f aca="true">COUNTIF(INDIRECT("'"&amp;A70&amp;"'!H9:H200"),"tested")</f>
        <v>13</v>
      </c>
      <c r="G70" s="1" t="n">
        <f aca="true">COUNTIF(INDIRECT("'"&amp;A70&amp;"'!H9:H200"),"verified")</f>
        <v>5</v>
      </c>
      <c r="H70" s="1" t="n">
        <f aca="true">COUNTIF(INDIRECT("'"&amp;A70&amp;"'!H9:H200"),"blocked")</f>
        <v>0</v>
      </c>
      <c r="I70" s="1" t="n">
        <f aca="true">COUNTIF(INDIRECT("'"&amp;A70&amp;"'!H9:H200"),"not applicable")</f>
        <v>0</v>
      </c>
      <c r="J70" s="2" t="n">
        <f aca="false">B70-SUM(C70:I70)</f>
        <v>0</v>
      </c>
      <c r="K70" s="1" t="str">
        <f aca="true">INDIRECT("'"&amp;A70&amp;"'!B5")</f>
        <v>open</v>
      </c>
      <c r="L70" s="1" t="str">
        <f aca="true">INDIRECT("'"&amp;A70&amp;"'!E5")</f>
        <v>complete</v>
      </c>
      <c r="M70" s="1" t="str">
        <f aca="false">IF(AND(J70=0,K70="complete",L70="complete"),"complete",IF(H70&gt;0,"blocked","open"))</f>
        <v>open</v>
      </c>
    </row>
    <row r="71" customFormat="false" ht="15" hidden="false" customHeight="true" outlineLevel="0" collapsed="false">
      <c r="A71" s="1" t="s">
        <v>80</v>
      </c>
      <c r="B71" s="1" t="n">
        <f aca="true">INDIRECT("'"&amp;A71&amp;"'!B4")</f>
        <v>20</v>
      </c>
      <c r="C71" s="1" t="n">
        <f aca="true">COUNTIF(INDIRECT("'"&amp;A71&amp;"'!H9:H200"),"not started")</f>
        <v>0</v>
      </c>
      <c r="D71" s="1" t="n">
        <f aca="true">COUNTIF(INDIRECT("'"&amp;A71&amp;"'!H9:H200"),"partial")</f>
        <v>0</v>
      </c>
      <c r="E71" s="1" t="n">
        <f aca="true">COUNTIF(INDIRECT("'"&amp;A71&amp;"'!H9:H200"),"implemented")</f>
        <v>2</v>
      </c>
      <c r="F71" s="1" t="n">
        <f aca="true">COUNTIF(INDIRECT("'"&amp;A71&amp;"'!H9:H200"),"tested")</f>
        <v>13</v>
      </c>
      <c r="G71" s="1" t="n">
        <f aca="true">COUNTIF(INDIRECT("'"&amp;A71&amp;"'!H9:H200"),"verified")</f>
        <v>5</v>
      </c>
      <c r="H71" s="1" t="n">
        <f aca="true">COUNTIF(INDIRECT("'"&amp;A71&amp;"'!H9:H200"),"blocked")</f>
        <v>0</v>
      </c>
      <c r="I71" s="1" t="n">
        <f aca="true">COUNTIF(INDIRECT("'"&amp;A71&amp;"'!H9:H200"),"not applicable")</f>
        <v>0</v>
      </c>
      <c r="J71" s="2" t="n">
        <f aca="false">B71-SUM(C71:I71)</f>
        <v>0</v>
      </c>
      <c r="K71" s="1" t="str">
        <f aca="true">INDIRECT("'"&amp;A71&amp;"'!B5")</f>
        <v>open</v>
      </c>
      <c r="L71" s="1" t="str">
        <f aca="true">INDIRECT("'"&amp;A71&amp;"'!E5")</f>
        <v>complete</v>
      </c>
      <c r="M71" s="1" t="str">
        <f aca="false">IF(AND(J71=0,K71="complete",L71="complete"),"complete",IF(H71&gt;0,"blocked","open"))</f>
        <v>open</v>
      </c>
    </row>
    <row r="72" customFormat="false" ht="15" hidden="false" customHeight="true" outlineLevel="0" collapsed="false">
      <c r="A72" s="1" t="s">
        <v>81</v>
      </c>
      <c r="B72" s="1" t="n">
        <f aca="true">INDIRECT("'"&amp;A72&amp;"'!B4")</f>
        <v>16</v>
      </c>
      <c r="C72" s="1" t="n">
        <f aca="true">COUNTIF(INDIRECT("'"&amp;A72&amp;"'!H9:H200"),"not started")</f>
        <v>0</v>
      </c>
      <c r="D72" s="1" t="n">
        <f aca="true">COUNTIF(INDIRECT("'"&amp;A72&amp;"'!H9:H200"),"partial")</f>
        <v>0</v>
      </c>
      <c r="E72" s="1" t="n">
        <f aca="true">COUNTIF(INDIRECT("'"&amp;A72&amp;"'!H9:H200"),"implemented")</f>
        <v>3</v>
      </c>
      <c r="F72" s="1" t="n">
        <f aca="true">COUNTIF(INDIRECT("'"&amp;A72&amp;"'!H9:H200"),"tested")</f>
        <v>13</v>
      </c>
      <c r="G72" s="1" t="n">
        <f aca="true">COUNTIF(INDIRECT("'"&amp;A72&amp;"'!H9:H200"),"verified")</f>
        <v>0</v>
      </c>
      <c r="H72" s="1" t="n">
        <f aca="true">COUNTIF(INDIRECT("'"&amp;A72&amp;"'!H9:H200"),"blocked")</f>
        <v>0</v>
      </c>
      <c r="I72" s="1" t="n">
        <f aca="true">COUNTIF(INDIRECT("'"&amp;A72&amp;"'!H9:H200"),"not applicable")</f>
        <v>0</v>
      </c>
      <c r="J72" s="2" t="n">
        <f aca="false">B72-SUM(C72:I72)</f>
        <v>0</v>
      </c>
      <c r="K72" s="1" t="str">
        <f aca="true">INDIRECT("'"&amp;A72&amp;"'!B5")</f>
        <v>open</v>
      </c>
      <c r="L72" s="1" t="str">
        <f aca="true">INDIRECT("'"&amp;A72&amp;"'!E5")</f>
        <v>complete</v>
      </c>
      <c r="M72" s="1" t="str">
        <f aca="false">IF(AND(J72=0,K72="complete",L72="complete"),"complete",IF(H72&gt;0,"blocked","open"))</f>
        <v>open</v>
      </c>
    </row>
    <row r="73" customFormat="false" ht="15" hidden="false" customHeight="true" outlineLevel="0" collapsed="false">
      <c r="A73" s="1" t="s">
        <v>82</v>
      </c>
      <c r="B73" s="1" t="n">
        <f aca="true">INDIRECT("'"&amp;A73&amp;"'!B4")</f>
        <v>17</v>
      </c>
      <c r="C73" s="1" t="n">
        <f aca="true">COUNTIF(INDIRECT("'"&amp;A73&amp;"'!H9:H200"),"not started")</f>
        <v>0</v>
      </c>
      <c r="D73" s="1" t="n">
        <f aca="true">COUNTIF(INDIRECT("'"&amp;A73&amp;"'!H9:H200"),"partial")</f>
        <v>0</v>
      </c>
      <c r="E73" s="1" t="n">
        <f aca="true">COUNTIF(INDIRECT("'"&amp;A73&amp;"'!H9:H200"),"implemented")</f>
        <v>3</v>
      </c>
      <c r="F73" s="1" t="n">
        <f aca="true">COUNTIF(INDIRECT("'"&amp;A73&amp;"'!H9:H200"),"tested")</f>
        <v>14</v>
      </c>
      <c r="G73" s="1" t="n">
        <f aca="true">COUNTIF(INDIRECT("'"&amp;A73&amp;"'!H9:H200"),"verified")</f>
        <v>0</v>
      </c>
      <c r="H73" s="1" t="n">
        <f aca="true">COUNTIF(INDIRECT("'"&amp;A73&amp;"'!H9:H200"),"blocked")</f>
        <v>0</v>
      </c>
      <c r="I73" s="1" t="n">
        <f aca="true">COUNTIF(INDIRECT("'"&amp;A73&amp;"'!H9:H200"),"not applicable")</f>
        <v>0</v>
      </c>
      <c r="J73" s="2" t="n">
        <f aca="false">B73-SUM(C73:I73)</f>
        <v>0</v>
      </c>
      <c r="K73" s="1" t="str">
        <f aca="true">INDIRECT("'"&amp;A73&amp;"'!B5")</f>
        <v>open</v>
      </c>
      <c r="L73" s="1" t="str">
        <f aca="true">INDIRECT("'"&amp;A73&amp;"'!E5")</f>
        <v>complete</v>
      </c>
      <c r="M73" s="1" t="str">
        <f aca="false">IF(AND(J73=0,K73="complete",L73="complete"),"complete",IF(H73&gt;0,"blocked","open"))</f>
        <v>open</v>
      </c>
    </row>
  </sheetData>
  <autoFilter ref="A7:M73"/>
  <mergeCells count="2">
    <mergeCell ref="A1:M1"/>
    <mergeCell ref="A2:M2"/>
  </mergeCells>
  <conditionalFormatting sqref="M8:M57">
    <cfRule type="containsText" priority="2" operator="containsText" aboveAverage="0" equalAverage="0" bottom="0" percent="0" rank="0" text="complete" dxfId="3">
      <formula>NOT(ISERROR(SEARCH("complete",M8)))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83</v>
      </c>
      <c r="B1" s="3"/>
      <c r="C1" s="3"/>
      <c r="D1" s="3"/>
    </row>
    <row r="2" customFormat="false" ht="27.75" hidden="false" customHeight="true" outlineLevel="0" collapsed="false">
      <c r="A2" s="4" t="s">
        <v>84</v>
      </c>
      <c r="B2" s="4"/>
      <c r="C2" s="4"/>
      <c r="D2" s="4"/>
    </row>
    <row r="3" customFormat="false" ht="15" hidden="false" customHeight="true" outlineLevel="0" collapsed="false">
      <c r="A3" s="8" t="s">
        <v>85</v>
      </c>
      <c r="B3" s="8" t="s">
        <v>86</v>
      </c>
    </row>
    <row r="4" customFormat="false" ht="30" hidden="false" customHeight="true" outlineLevel="0" collapsed="false">
      <c r="A4" s="1" t="s">
        <v>87</v>
      </c>
      <c r="B4" s="1" t="s">
        <v>88</v>
      </c>
    </row>
    <row r="5" customFormat="false" ht="30" hidden="false" customHeight="true" outlineLevel="0" collapsed="false">
      <c r="A5" s="1" t="s">
        <v>89</v>
      </c>
      <c r="B5" s="1" t="s">
        <v>90</v>
      </c>
    </row>
    <row r="6" customFormat="false" ht="30" hidden="false" customHeight="true" outlineLevel="0" collapsed="false">
      <c r="A6" s="1" t="s">
        <v>91</v>
      </c>
      <c r="B6" s="1" t="s">
        <v>92</v>
      </c>
    </row>
    <row r="7" customFormat="false" ht="30" hidden="false" customHeight="true" outlineLevel="0" collapsed="false">
      <c r="A7" s="1" t="s">
        <v>93</v>
      </c>
      <c r="B7" s="1" t="s">
        <v>94</v>
      </c>
    </row>
    <row r="8" customFormat="false" ht="30" hidden="false" customHeight="true" outlineLevel="0" collapsed="false">
      <c r="A8" s="1" t="s">
        <v>95</v>
      </c>
      <c r="B8" s="1" t="s">
        <v>96</v>
      </c>
    </row>
    <row r="9" customFormat="false" ht="30" hidden="false" customHeight="true" outlineLevel="0" collapsed="false">
      <c r="A9" s="1" t="s">
        <v>97</v>
      </c>
      <c r="B9" s="1" t="s">
        <v>98</v>
      </c>
    </row>
    <row r="10" customFormat="false" ht="30" hidden="false" customHeight="true" outlineLevel="0" collapsed="false">
      <c r="A10" s="1" t="s">
        <v>99</v>
      </c>
      <c r="B10" s="1" t="s">
        <v>100</v>
      </c>
    </row>
    <row r="11" customFormat="false" ht="30" hidden="false" customHeight="true" outlineLevel="0" collapsed="false">
      <c r="A11" s="1" t="s">
        <v>101</v>
      </c>
      <c r="B11" s="1" t="s">
        <v>102</v>
      </c>
    </row>
    <row r="12" customFormat="false" ht="30" hidden="false" customHeight="true" outlineLevel="0" collapsed="false">
      <c r="A12" s="1" t="s">
        <v>103</v>
      </c>
      <c r="B12" s="1" t="s">
        <v>104</v>
      </c>
    </row>
    <row r="13" customFormat="false" ht="30" hidden="false" customHeight="true" outlineLevel="0" collapsed="false">
      <c r="A13" s="1" t="s">
        <v>105</v>
      </c>
      <c r="B13" s="1" t="s">
        <v>106</v>
      </c>
    </row>
    <row r="14" customFormat="false" ht="30" hidden="false" customHeight="true" outlineLevel="0" collapsed="false">
      <c r="A14" s="1" t="s">
        <v>107</v>
      </c>
      <c r="B14" s="1" t="s">
        <v>108</v>
      </c>
    </row>
    <row r="15" customFormat="false" ht="30" hidden="false" customHeight="true" outlineLevel="0" collapsed="false">
      <c r="A15" s="1" t="s">
        <v>109</v>
      </c>
      <c r="B15" s="1" t="s">
        <v>110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91</v>
      </c>
      <c r="B1" s="1" t="s">
        <v>111</v>
      </c>
    </row>
    <row r="2" customFormat="false" ht="15" hidden="false" customHeight="true" outlineLevel="0" collapsed="false">
      <c r="A2" s="1" t="s">
        <v>93</v>
      </c>
      <c r="B2" s="1" t="s">
        <v>112</v>
      </c>
    </row>
    <row r="3" customFormat="false" ht="15" hidden="false" customHeight="true" outlineLevel="0" collapsed="false">
      <c r="A3" s="1" t="s">
        <v>95</v>
      </c>
    </row>
    <row r="4" customFormat="false" ht="15" hidden="false" customHeight="true" outlineLevel="0" collapsed="false">
      <c r="A4" s="1" t="s">
        <v>97</v>
      </c>
    </row>
    <row r="5" customFormat="false" ht="15" hidden="false" customHeight="true" outlineLevel="0" collapsed="false">
      <c r="A5" s="1" t="s">
        <v>99</v>
      </c>
    </row>
    <row r="6" customFormat="false" ht="15" hidden="false" customHeight="true" outlineLevel="0" collapsed="false">
      <c r="A6" s="1" t="s">
        <v>101</v>
      </c>
    </row>
    <row r="7" customFormat="false" ht="15" hidden="false" customHeight="true" outlineLevel="0" collapsed="false">
      <c r="A7" s="1" t="s">
        <v>103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129</v>
      </c>
      <c r="B9" s="1" t="s">
        <v>130</v>
      </c>
      <c r="C9" s="1" t="s">
        <v>131</v>
      </c>
      <c r="D9" s="1" t="s">
        <v>132</v>
      </c>
      <c r="E9" s="1" t="s">
        <v>133</v>
      </c>
      <c r="F9" s="1" t="s">
        <v>134</v>
      </c>
      <c r="G9" s="1" t="s">
        <v>135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136</v>
      </c>
      <c r="B10" s="1" t="s">
        <v>137</v>
      </c>
      <c r="C10" s="1" t="s">
        <v>131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140</v>
      </c>
      <c r="B11" s="1" t="s">
        <v>141</v>
      </c>
      <c r="C11" s="1" t="s">
        <v>131</v>
      </c>
      <c r="D11" s="1" t="s">
        <v>142</v>
      </c>
      <c r="E11" s="1" t="s">
        <v>133</v>
      </c>
      <c r="F11" s="1" t="s">
        <v>143</v>
      </c>
      <c r="G11" s="1" t="s">
        <v>144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145</v>
      </c>
      <c r="B12" s="1" t="s">
        <v>146</v>
      </c>
      <c r="C12" s="1" t="s">
        <v>131</v>
      </c>
      <c r="D12" s="1" t="s">
        <v>147</v>
      </c>
      <c r="E12" s="1" t="s">
        <v>133</v>
      </c>
      <c r="F12" s="1" t="s">
        <v>148</v>
      </c>
      <c r="G12" s="1" t="s">
        <v>149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150</v>
      </c>
      <c r="B13" s="1" t="s">
        <v>151</v>
      </c>
      <c r="C13" s="1" t="s">
        <v>131</v>
      </c>
      <c r="D13" s="1" t="s">
        <v>152</v>
      </c>
      <c r="E13" s="1" t="s">
        <v>133</v>
      </c>
      <c r="F13" s="1" t="s">
        <v>153</v>
      </c>
      <c r="G13" s="1" t="s">
        <v>154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155</v>
      </c>
      <c r="B14" s="1" t="s">
        <v>156</v>
      </c>
      <c r="C14" s="1" t="s">
        <v>131</v>
      </c>
      <c r="D14" s="1" t="s">
        <v>157</v>
      </c>
      <c r="E14" s="1" t="s">
        <v>133</v>
      </c>
      <c r="F14" s="1" t="s">
        <v>158</v>
      </c>
      <c r="G14" s="1" t="s">
        <v>159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160</v>
      </c>
      <c r="B15" s="1" t="s">
        <v>161</v>
      </c>
      <c r="C15" s="1" t="s">
        <v>131</v>
      </c>
      <c r="D15" s="1" t="s">
        <v>162</v>
      </c>
      <c r="E15" s="1" t="s">
        <v>133</v>
      </c>
      <c r="F15" s="1" t="s">
        <v>163</v>
      </c>
      <c r="G15" s="1" t="s">
        <v>164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165</v>
      </c>
      <c r="B16" s="1" t="s">
        <v>166</v>
      </c>
      <c r="C16" s="1" t="s">
        <v>131</v>
      </c>
      <c r="D16" s="1" t="s">
        <v>167</v>
      </c>
      <c r="E16" s="1" t="s">
        <v>133</v>
      </c>
      <c r="F16" s="1" t="s">
        <v>168</v>
      </c>
      <c r="G16" s="1" t="s">
        <v>169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171</v>
      </c>
      <c r="B17" s="1" t="s">
        <v>172</v>
      </c>
      <c r="C17" s="1" t="s">
        <v>131</v>
      </c>
      <c r="D17" s="1" t="s">
        <v>173</v>
      </c>
      <c r="E17" s="1" t="s">
        <v>133</v>
      </c>
      <c r="F17" s="1" t="s">
        <v>174</v>
      </c>
      <c r="G17" s="1" t="s">
        <v>175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177</v>
      </c>
      <c r="B18" s="1" t="s">
        <v>178</v>
      </c>
      <c r="C18" s="1" t="s">
        <v>131</v>
      </c>
      <c r="D18" s="1" t="s">
        <v>179</v>
      </c>
      <c r="E18" s="1" t="s">
        <v>133</v>
      </c>
      <c r="F18" s="1" t="s">
        <v>174</v>
      </c>
      <c r="G18" s="1" t="s">
        <v>175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180</v>
      </c>
      <c r="B19" s="1" t="s">
        <v>181</v>
      </c>
      <c r="C19" s="1" t="s">
        <v>131</v>
      </c>
      <c r="D19" s="1" t="s">
        <v>182</v>
      </c>
      <c r="E19" s="1" t="s">
        <v>133</v>
      </c>
      <c r="F19" s="1" t="s">
        <v>174</v>
      </c>
      <c r="G19" s="1" t="s">
        <v>183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185</v>
      </c>
      <c r="B20" s="1" t="s">
        <v>186</v>
      </c>
      <c r="C20" s="1" t="s">
        <v>131</v>
      </c>
      <c r="D20" s="1" t="s">
        <v>187</v>
      </c>
      <c r="E20" s="1" t="s">
        <v>133</v>
      </c>
      <c r="F20" s="1" t="s">
        <v>174</v>
      </c>
      <c r="G20" s="1" t="s">
        <v>175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189</v>
      </c>
      <c r="B21" s="1" t="s">
        <v>190</v>
      </c>
      <c r="C21" s="1" t="s">
        <v>131</v>
      </c>
      <c r="D21" s="1" t="s">
        <v>191</v>
      </c>
      <c r="E21" s="1" t="s">
        <v>133</v>
      </c>
      <c r="F21" s="1" t="s">
        <v>192</v>
      </c>
      <c r="G21" s="1" t="s">
        <v>193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194</v>
      </c>
      <c r="B22" s="1" t="s">
        <v>195</v>
      </c>
      <c r="C22" s="1" t="s">
        <v>131</v>
      </c>
      <c r="D22" s="1" t="s">
        <v>196</v>
      </c>
      <c r="E22" s="1" t="s">
        <v>133</v>
      </c>
      <c r="F22" s="1" t="s">
        <v>192</v>
      </c>
      <c r="G22" s="1" t="s">
        <v>197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198</v>
      </c>
      <c r="B23" s="1" t="s">
        <v>199</v>
      </c>
      <c r="C23" s="1" t="s">
        <v>131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203</v>
      </c>
      <c r="B24" s="1" t="s">
        <v>204</v>
      </c>
      <c r="C24" s="1" t="s">
        <v>131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208</v>
      </c>
      <c r="B9" s="1" t="s">
        <v>130</v>
      </c>
      <c r="C9" s="1" t="s">
        <v>209</v>
      </c>
      <c r="D9" s="1" t="s">
        <v>132</v>
      </c>
      <c r="E9" s="1" t="s">
        <v>133</v>
      </c>
      <c r="F9" s="1" t="s">
        <v>134</v>
      </c>
      <c r="G9" s="1" t="s">
        <v>210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211</v>
      </c>
      <c r="B10" s="1" t="s">
        <v>137</v>
      </c>
      <c r="C10" s="1" t="s">
        <v>209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212</v>
      </c>
      <c r="B11" s="1" t="s">
        <v>141</v>
      </c>
      <c r="C11" s="1" t="s">
        <v>209</v>
      </c>
      <c r="D11" s="1" t="s">
        <v>142</v>
      </c>
      <c r="E11" s="1" t="s">
        <v>133</v>
      </c>
      <c r="F11" s="1" t="s">
        <v>143</v>
      </c>
      <c r="G11" s="1" t="s">
        <v>213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214</v>
      </c>
      <c r="B12" s="1" t="s">
        <v>146</v>
      </c>
      <c r="C12" s="1" t="s">
        <v>209</v>
      </c>
      <c r="D12" s="1" t="s">
        <v>147</v>
      </c>
      <c r="E12" s="1" t="s">
        <v>133</v>
      </c>
      <c r="F12" s="1" t="s">
        <v>148</v>
      </c>
      <c r="G12" s="1" t="s">
        <v>215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216</v>
      </c>
      <c r="B13" s="1" t="s">
        <v>151</v>
      </c>
      <c r="C13" s="1" t="s">
        <v>209</v>
      </c>
      <c r="D13" s="1" t="s">
        <v>152</v>
      </c>
      <c r="E13" s="1" t="s">
        <v>133</v>
      </c>
      <c r="F13" s="1" t="s">
        <v>153</v>
      </c>
      <c r="G13" s="1" t="s">
        <v>217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218</v>
      </c>
      <c r="B14" s="1" t="s">
        <v>156</v>
      </c>
      <c r="C14" s="1" t="s">
        <v>209</v>
      </c>
      <c r="D14" s="1" t="s">
        <v>157</v>
      </c>
      <c r="E14" s="1" t="s">
        <v>133</v>
      </c>
      <c r="F14" s="1" t="s">
        <v>158</v>
      </c>
      <c r="G14" s="1" t="s">
        <v>219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220</v>
      </c>
      <c r="B15" s="1" t="s">
        <v>161</v>
      </c>
      <c r="C15" s="1" t="s">
        <v>209</v>
      </c>
      <c r="D15" s="1" t="s">
        <v>162</v>
      </c>
      <c r="E15" s="1" t="s">
        <v>133</v>
      </c>
      <c r="F15" s="1" t="s">
        <v>163</v>
      </c>
      <c r="G15" s="1" t="s">
        <v>221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222</v>
      </c>
      <c r="B16" s="1" t="s">
        <v>166</v>
      </c>
      <c r="C16" s="1" t="s">
        <v>209</v>
      </c>
      <c r="D16" s="1" t="s">
        <v>167</v>
      </c>
      <c r="E16" s="1" t="s">
        <v>133</v>
      </c>
      <c r="F16" s="1" t="s">
        <v>168</v>
      </c>
      <c r="G16" s="1" t="s">
        <v>223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224</v>
      </c>
      <c r="B17" s="1" t="s">
        <v>172</v>
      </c>
      <c r="C17" s="1" t="s">
        <v>209</v>
      </c>
      <c r="D17" s="1" t="s">
        <v>173</v>
      </c>
      <c r="E17" s="1" t="s">
        <v>133</v>
      </c>
      <c r="F17" s="1" t="s">
        <v>174</v>
      </c>
      <c r="G17" s="1" t="s">
        <v>225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226</v>
      </c>
      <c r="B18" s="1" t="s">
        <v>178</v>
      </c>
      <c r="C18" s="1" t="s">
        <v>209</v>
      </c>
      <c r="D18" s="1" t="s">
        <v>179</v>
      </c>
      <c r="E18" s="1" t="s">
        <v>133</v>
      </c>
      <c r="F18" s="1" t="s">
        <v>174</v>
      </c>
      <c r="G18" s="1" t="s">
        <v>225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227</v>
      </c>
      <c r="B19" s="1" t="s">
        <v>181</v>
      </c>
      <c r="C19" s="1" t="s">
        <v>209</v>
      </c>
      <c r="D19" s="1" t="s">
        <v>182</v>
      </c>
      <c r="E19" s="1" t="s">
        <v>133</v>
      </c>
      <c r="F19" s="1" t="s">
        <v>174</v>
      </c>
      <c r="G19" s="1" t="s">
        <v>228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229</v>
      </c>
      <c r="B20" s="1" t="s">
        <v>186</v>
      </c>
      <c r="C20" s="1" t="s">
        <v>209</v>
      </c>
      <c r="D20" s="1" t="s">
        <v>187</v>
      </c>
      <c r="E20" s="1" t="s">
        <v>133</v>
      </c>
      <c r="F20" s="1" t="s">
        <v>174</v>
      </c>
      <c r="G20" s="1" t="s">
        <v>225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230</v>
      </c>
      <c r="B21" s="1" t="s">
        <v>190</v>
      </c>
      <c r="C21" s="1" t="s">
        <v>209</v>
      </c>
      <c r="D21" s="1" t="s">
        <v>191</v>
      </c>
      <c r="E21" s="1" t="s">
        <v>133</v>
      </c>
      <c r="F21" s="1" t="s">
        <v>192</v>
      </c>
      <c r="G21" s="1" t="s">
        <v>231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232</v>
      </c>
      <c r="B22" s="1" t="s">
        <v>195</v>
      </c>
      <c r="C22" s="1" t="s">
        <v>209</v>
      </c>
      <c r="D22" s="1" t="s">
        <v>196</v>
      </c>
      <c r="E22" s="1" t="s">
        <v>133</v>
      </c>
      <c r="F22" s="1" t="s">
        <v>192</v>
      </c>
      <c r="G22" s="1" t="s">
        <v>233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234</v>
      </c>
      <c r="B23" s="1" t="s">
        <v>199</v>
      </c>
      <c r="C23" s="1" t="s">
        <v>209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235</v>
      </c>
      <c r="B24" s="1" t="s">
        <v>204</v>
      </c>
      <c r="C24" s="1" t="s">
        <v>209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237</v>
      </c>
      <c r="B9" s="1" t="s">
        <v>130</v>
      </c>
      <c r="C9" s="1" t="s">
        <v>19</v>
      </c>
      <c r="D9" s="1" t="s">
        <v>132</v>
      </c>
      <c r="E9" s="1" t="s">
        <v>133</v>
      </c>
      <c r="F9" s="1" t="s">
        <v>134</v>
      </c>
      <c r="G9" s="1" t="s">
        <v>238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239</v>
      </c>
      <c r="B10" s="1" t="s">
        <v>137</v>
      </c>
      <c r="C10" s="1" t="s">
        <v>19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240</v>
      </c>
      <c r="B11" s="1" t="s">
        <v>141</v>
      </c>
      <c r="C11" s="1" t="s">
        <v>19</v>
      </c>
      <c r="D11" s="1" t="s">
        <v>142</v>
      </c>
      <c r="E11" s="1" t="s">
        <v>133</v>
      </c>
      <c r="F11" s="1" t="s">
        <v>143</v>
      </c>
      <c r="G11" s="1" t="s">
        <v>241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242</v>
      </c>
      <c r="B12" s="1" t="s">
        <v>146</v>
      </c>
      <c r="C12" s="1" t="s">
        <v>19</v>
      </c>
      <c r="D12" s="1" t="s">
        <v>147</v>
      </c>
      <c r="E12" s="1" t="s">
        <v>133</v>
      </c>
      <c r="F12" s="1" t="s">
        <v>148</v>
      </c>
      <c r="G12" s="1" t="s">
        <v>243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244</v>
      </c>
      <c r="B13" s="1" t="s">
        <v>151</v>
      </c>
      <c r="C13" s="1" t="s">
        <v>19</v>
      </c>
      <c r="D13" s="1" t="s">
        <v>152</v>
      </c>
      <c r="E13" s="1" t="s">
        <v>133</v>
      </c>
      <c r="F13" s="1" t="s">
        <v>153</v>
      </c>
      <c r="G13" s="1" t="s">
        <v>245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246</v>
      </c>
      <c r="B14" s="1" t="s">
        <v>156</v>
      </c>
      <c r="C14" s="1" t="s">
        <v>19</v>
      </c>
      <c r="D14" s="1" t="s">
        <v>157</v>
      </c>
      <c r="E14" s="1" t="s">
        <v>133</v>
      </c>
      <c r="F14" s="1" t="s">
        <v>158</v>
      </c>
      <c r="G14" s="1" t="s">
        <v>247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248</v>
      </c>
      <c r="B15" s="1" t="s">
        <v>161</v>
      </c>
      <c r="C15" s="1" t="s">
        <v>19</v>
      </c>
      <c r="D15" s="1" t="s">
        <v>162</v>
      </c>
      <c r="E15" s="1" t="s">
        <v>133</v>
      </c>
      <c r="F15" s="1" t="s">
        <v>163</v>
      </c>
      <c r="G15" s="1" t="s">
        <v>249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250</v>
      </c>
      <c r="B16" s="1" t="s">
        <v>166</v>
      </c>
      <c r="C16" s="1" t="s">
        <v>19</v>
      </c>
      <c r="D16" s="1" t="s">
        <v>167</v>
      </c>
      <c r="E16" s="1" t="s">
        <v>133</v>
      </c>
      <c r="F16" s="1" t="s">
        <v>168</v>
      </c>
      <c r="G16" s="1" t="s">
        <v>251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252</v>
      </c>
      <c r="B17" s="1" t="s">
        <v>172</v>
      </c>
      <c r="C17" s="1" t="s">
        <v>19</v>
      </c>
      <c r="D17" s="1" t="s">
        <v>173</v>
      </c>
      <c r="E17" s="1" t="s">
        <v>133</v>
      </c>
      <c r="F17" s="1" t="s">
        <v>174</v>
      </c>
      <c r="G17" s="1" t="s">
        <v>253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254</v>
      </c>
      <c r="B18" s="1" t="s">
        <v>178</v>
      </c>
      <c r="C18" s="1" t="s">
        <v>19</v>
      </c>
      <c r="D18" s="1" t="s">
        <v>179</v>
      </c>
      <c r="E18" s="1" t="s">
        <v>133</v>
      </c>
      <c r="F18" s="1" t="s">
        <v>174</v>
      </c>
      <c r="G18" s="1" t="s">
        <v>253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255</v>
      </c>
      <c r="B19" s="1" t="s">
        <v>181</v>
      </c>
      <c r="C19" s="1" t="s">
        <v>19</v>
      </c>
      <c r="D19" s="1" t="s">
        <v>182</v>
      </c>
      <c r="E19" s="1" t="s">
        <v>133</v>
      </c>
      <c r="F19" s="1" t="s">
        <v>174</v>
      </c>
      <c r="G19" s="1" t="s">
        <v>256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257</v>
      </c>
      <c r="B20" s="1" t="s">
        <v>186</v>
      </c>
      <c r="C20" s="1" t="s">
        <v>19</v>
      </c>
      <c r="D20" s="1" t="s">
        <v>187</v>
      </c>
      <c r="E20" s="1" t="s">
        <v>133</v>
      </c>
      <c r="F20" s="1" t="s">
        <v>174</v>
      </c>
      <c r="G20" s="1" t="s">
        <v>253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258</v>
      </c>
      <c r="B21" s="1" t="s">
        <v>190</v>
      </c>
      <c r="C21" s="1" t="s">
        <v>19</v>
      </c>
      <c r="D21" s="1" t="s">
        <v>191</v>
      </c>
      <c r="E21" s="1" t="s">
        <v>133</v>
      </c>
      <c r="F21" s="1" t="s">
        <v>192</v>
      </c>
      <c r="G21" s="1" t="s">
        <v>259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260</v>
      </c>
      <c r="B22" s="1" t="s">
        <v>195</v>
      </c>
      <c r="C22" s="1" t="s">
        <v>19</v>
      </c>
      <c r="D22" s="1" t="s">
        <v>196</v>
      </c>
      <c r="E22" s="1" t="s">
        <v>133</v>
      </c>
      <c r="F22" s="1" t="s">
        <v>192</v>
      </c>
      <c r="G22" s="1" t="s">
        <v>261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262</v>
      </c>
      <c r="B23" s="1" t="s">
        <v>199</v>
      </c>
      <c r="C23" s="1" t="s">
        <v>19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263</v>
      </c>
      <c r="B24" s="1" t="s">
        <v>204</v>
      </c>
      <c r="C24" s="1" t="s">
        <v>19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265</v>
      </c>
      <c r="B9" s="1" t="s">
        <v>130</v>
      </c>
      <c r="C9" s="1" t="s">
        <v>20</v>
      </c>
      <c r="D9" s="1" t="s">
        <v>132</v>
      </c>
      <c r="E9" s="1" t="s">
        <v>133</v>
      </c>
      <c r="F9" s="1" t="s">
        <v>134</v>
      </c>
      <c r="G9" s="1" t="s">
        <v>266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267</v>
      </c>
      <c r="B10" s="1" t="s">
        <v>137</v>
      </c>
      <c r="C10" s="1" t="s">
        <v>20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268</v>
      </c>
      <c r="B11" s="1" t="s">
        <v>141</v>
      </c>
      <c r="C11" s="1" t="s">
        <v>20</v>
      </c>
      <c r="D11" s="1" t="s">
        <v>142</v>
      </c>
      <c r="E11" s="1" t="s">
        <v>133</v>
      </c>
      <c r="F11" s="1" t="s">
        <v>143</v>
      </c>
      <c r="G11" s="1" t="s">
        <v>269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270</v>
      </c>
      <c r="B12" s="1" t="s">
        <v>146</v>
      </c>
      <c r="C12" s="1" t="s">
        <v>20</v>
      </c>
      <c r="D12" s="1" t="s">
        <v>147</v>
      </c>
      <c r="E12" s="1" t="s">
        <v>133</v>
      </c>
      <c r="F12" s="1" t="s">
        <v>148</v>
      </c>
      <c r="G12" s="1" t="s">
        <v>271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272</v>
      </c>
      <c r="B13" s="1" t="s">
        <v>151</v>
      </c>
      <c r="C13" s="1" t="s">
        <v>20</v>
      </c>
      <c r="D13" s="1" t="s">
        <v>152</v>
      </c>
      <c r="E13" s="1" t="s">
        <v>133</v>
      </c>
      <c r="F13" s="1" t="s">
        <v>153</v>
      </c>
      <c r="G13" s="1" t="s">
        <v>273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274</v>
      </c>
      <c r="B14" s="1" t="s">
        <v>156</v>
      </c>
      <c r="C14" s="1" t="s">
        <v>20</v>
      </c>
      <c r="D14" s="1" t="s">
        <v>157</v>
      </c>
      <c r="E14" s="1" t="s">
        <v>133</v>
      </c>
      <c r="F14" s="1" t="s">
        <v>158</v>
      </c>
      <c r="G14" s="1" t="s">
        <v>275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276</v>
      </c>
      <c r="B15" s="1" t="s">
        <v>161</v>
      </c>
      <c r="C15" s="1" t="s">
        <v>20</v>
      </c>
      <c r="D15" s="1" t="s">
        <v>162</v>
      </c>
      <c r="E15" s="1" t="s">
        <v>133</v>
      </c>
      <c r="F15" s="1" t="s">
        <v>163</v>
      </c>
      <c r="G15" s="1" t="s">
        <v>277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278</v>
      </c>
      <c r="B16" s="1" t="s">
        <v>166</v>
      </c>
      <c r="C16" s="1" t="s">
        <v>20</v>
      </c>
      <c r="D16" s="1" t="s">
        <v>167</v>
      </c>
      <c r="E16" s="1" t="s">
        <v>133</v>
      </c>
      <c r="F16" s="1" t="s">
        <v>168</v>
      </c>
      <c r="G16" s="1" t="s">
        <v>279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280</v>
      </c>
      <c r="B17" s="1" t="s">
        <v>172</v>
      </c>
      <c r="C17" s="1" t="s">
        <v>20</v>
      </c>
      <c r="D17" s="1" t="s">
        <v>173</v>
      </c>
      <c r="E17" s="1" t="s">
        <v>133</v>
      </c>
      <c r="F17" s="1" t="s">
        <v>174</v>
      </c>
      <c r="G17" s="1" t="s">
        <v>281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282</v>
      </c>
      <c r="B18" s="1" t="s">
        <v>178</v>
      </c>
      <c r="C18" s="1" t="s">
        <v>20</v>
      </c>
      <c r="D18" s="1" t="s">
        <v>179</v>
      </c>
      <c r="E18" s="1" t="s">
        <v>133</v>
      </c>
      <c r="F18" s="1" t="s">
        <v>174</v>
      </c>
      <c r="G18" s="1" t="s">
        <v>281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283</v>
      </c>
      <c r="B19" s="1" t="s">
        <v>181</v>
      </c>
      <c r="C19" s="1" t="s">
        <v>20</v>
      </c>
      <c r="D19" s="1" t="s">
        <v>182</v>
      </c>
      <c r="E19" s="1" t="s">
        <v>133</v>
      </c>
      <c r="F19" s="1" t="s">
        <v>174</v>
      </c>
      <c r="G19" s="1" t="s">
        <v>284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285</v>
      </c>
      <c r="B20" s="1" t="s">
        <v>186</v>
      </c>
      <c r="C20" s="1" t="s">
        <v>20</v>
      </c>
      <c r="D20" s="1" t="s">
        <v>187</v>
      </c>
      <c r="E20" s="1" t="s">
        <v>133</v>
      </c>
      <c r="F20" s="1" t="s">
        <v>174</v>
      </c>
      <c r="G20" s="1" t="s">
        <v>281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286</v>
      </c>
      <c r="B21" s="1" t="s">
        <v>190</v>
      </c>
      <c r="C21" s="1" t="s">
        <v>20</v>
      </c>
      <c r="D21" s="1" t="s">
        <v>191</v>
      </c>
      <c r="E21" s="1" t="s">
        <v>133</v>
      </c>
      <c r="F21" s="1" t="s">
        <v>192</v>
      </c>
      <c r="G21" s="1" t="s">
        <v>287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288</v>
      </c>
      <c r="B22" s="1" t="s">
        <v>195</v>
      </c>
      <c r="C22" s="1" t="s">
        <v>20</v>
      </c>
      <c r="D22" s="1" t="s">
        <v>196</v>
      </c>
      <c r="E22" s="1" t="s">
        <v>133</v>
      </c>
      <c r="F22" s="1" t="s">
        <v>192</v>
      </c>
      <c r="G22" s="1" t="s">
        <v>289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290</v>
      </c>
      <c r="B23" s="1" t="s">
        <v>199</v>
      </c>
      <c r="C23" s="1" t="s">
        <v>20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291</v>
      </c>
      <c r="B24" s="1" t="s">
        <v>204</v>
      </c>
      <c r="C24" s="1" t="s">
        <v>20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265</v>
      </c>
      <c r="B9" s="1" t="s">
        <v>130</v>
      </c>
      <c r="C9" s="1" t="s">
        <v>21</v>
      </c>
      <c r="D9" s="1" t="s">
        <v>132</v>
      </c>
      <c r="E9" s="1" t="s">
        <v>133</v>
      </c>
      <c r="F9" s="1" t="s">
        <v>134</v>
      </c>
      <c r="G9" s="1" t="s">
        <v>293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267</v>
      </c>
      <c r="B10" s="1" t="s">
        <v>137</v>
      </c>
      <c r="C10" s="1" t="s">
        <v>21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268</v>
      </c>
      <c r="B11" s="1" t="s">
        <v>141</v>
      </c>
      <c r="C11" s="1" t="s">
        <v>21</v>
      </c>
      <c r="D11" s="1" t="s">
        <v>142</v>
      </c>
      <c r="E11" s="1" t="s">
        <v>133</v>
      </c>
      <c r="F11" s="1" t="s">
        <v>143</v>
      </c>
      <c r="G11" s="1" t="s">
        <v>294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270</v>
      </c>
      <c r="B12" s="1" t="s">
        <v>146</v>
      </c>
      <c r="C12" s="1" t="s">
        <v>21</v>
      </c>
      <c r="D12" s="1" t="s">
        <v>147</v>
      </c>
      <c r="E12" s="1" t="s">
        <v>133</v>
      </c>
      <c r="F12" s="1" t="s">
        <v>148</v>
      </c>
      <c r="G12" s="1" t="s">
        <v>295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272</v>
      </c>
      <c r="B13" s="1" t="s">
        <v>151</v>
      </c>
      <c r="C13" s="1" t="s">
        <v>21</v>
      </c>
      <c r="D13" s="1" t="s">
        <v>152</v>
      </c>
      <c r="E13" s="1" t="s">
        <v>133</v>
      </c>
      <c r="F13" s="1" t="s">
        <v>153</v>
      </c>
      <c r="G13" s="1" t="s">
        <v>296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274</v>
      </c>
      <c r="B14" s="1" t="s">
        <v>156</v>
      </c>
      <c r="C14" s="1" t="s">
        <v>21</v>
      </c>
      <c r="D14" s="1" t="s">
        <v>157</v>
      </c>
      <c r="E14" s="1" t="s">
        <v>133</v>
      </c>
      <c r="F14" s="1" t="s">
        <v>158</v>
      </c>
      <c r="G14" s="1" t="s">
        <v>297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276</v>
      </c>
      <c r="B15" s="1" t="s">
        <v>161</v>
      </c>
      <c r="C15" s="1" t="s">
        <v>21</v>
      </c>
      <c r="D15" s="1" t="s">
        <v>162</v>
      </c>
      <c r="E15" s="1" t="s">
        <v>133</v>
      </c>
      <c r="F15" s="1" t="s">
        <v>163</v>
      </c>
      <c r="G15" s="1" t="s">
        <v>298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278</v>
      </c>
      <c r="B16" s="1" t="s">
        <v>166</v>
      </c>
      <c r="C16" s="1" t="s">
        <v>21</v>
      </c>
      <c r="D16" s="1" t="s">
        <v>167</v>
      </c>
      <c r="E16" s="1" t="s">
        <v>133</v>
      </c>
      <c r="F16" s="1" t="s">
        <v>168</v>
      </c>
      <c r="G16" s="1" t="s">
        <v>299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280</v>
      </c>
      <c r="B17" s="1" t="s">
        <v>172</v>
      </c>
      <c r="C17" s="1" t="s">
        <v>21</v>
      </c>
      <c r="D17" s="1" t="s">
        <v>173</v>
      </c>
      <c r="E17" s="1" t="s">
        <v>133</v>
      </c>
      <c r="F17" s="1" t="s">
        <v>174</v>
      </c>
      <c r="G17" s="1" t="s">
        <v>300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282</v>
      </c>
      <c r="B18" s="1" t="s">
        <v>178</v>
      </c>
      <c r="C18" s="1" t="s">
        <v>21</v>
      </c>
      <c r="D18" s="1" t="s">
        <v>179</v>
      </c>
      <c r="E18" s="1" t="s">
        <v>133</v>
      </c>
      <c r="F18" s="1" t="s">
        <v>174</v>
      </c>
      <c r="G18" s="1" t="s">
        <v>300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283</v>
      </c>
      <c r="B19" s="1" t="s">
        <v>181</v>
      </c>
      <c r="C19" s="1" t="s">
        <v>21</v>
      </c>
      <c r="D19" s="1" t="s">
        <v>182</v>
      </c>
      <c r="E19" s="1" t="s">
        <v>133</v>
      </c>
      <c r="F19" s="1" t="s">
        <v>174</v>
      </c>
      <c r="G19" s="1" t="s">
        <v>301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285</v>
      </c>
      <c r="B20" s="1" t="s">
        <v>186</v>
      </c>
      <c r="C20" s="1" t="s">
        <v>21</v>
      </c>
      <c r="D20" s="1" t="s">
        <v>187</v>
      </c>
      <c r="E20" s="1" t="s">
        <v>133</v>
      </c>
      <c r="F20" s="1" t="s">
        <v>174</v>
      </c>
      <c r="G20" s="1" t="s">
        <v>300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286</v>
      </c>
      <c r="B21" s="1" t="s">
        <v>190</v>
      </c>
      <c r="C21" s="1" t="s">
        <v>21</v>
      </c>
      <c r="D21" s="1" t="s">
        <v>191</v>
      </c>
      <c r="E21" s="1" t="s">
        <v>133</v>
      </c>
      <c r="F21" s="1" t="s">
        <v>192</v>
      </c>
      <c r="G21" s="1" t="s">
        <v>302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288</v>
      </c>
      <c r="B22" s="1" t="s">
        <v>195</v>
      </c>
      <c r="C22" s="1" t="s">
        <v>21</v>
      </c>
      <c r="D22" s="1" t="s">
        <v>196</v>
      </c>
      <c r="E22" s="1" t="s">
        <v>133</v>
      </c>
      <c r="F22" s="1" t="s">
        <v>192</v>
      </c>
      <c r="G22" s="1" t="s">
        <v>303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290</v>
      </c>
      <c r="B23" s="1" t="s">
        <v>199</v>
      </c>
      <c r="C23" s="1" t="s">
        <v>21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291</v>
      </c>
      <c r="B24" s="1" t="s">
        <v>204</v>
      </c>
      <c r="C24" s="1" t="s">
        <v>21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305</v>
      </c>
      <c r="B9" s="1" t="s">
        <v>130</v>
      </c>
      <c r="C9" s="1" t="s">
        <v>22</v>
      </c>
      <c r="D9" s="1" t="s">
        <v>132</v>
      </c>
      <c r="E9" s="1" t="s">
        <v>133</v>
      </c>
      <c r="F9" s="1" t="s">
        <v>134</v>
      </c>
      <c r="G9" s="1" t="s">
        <v>306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307</v>
      </c>
      <c r="B10" s="1" t="s">
        <v>137</v>
      </c>
      <c r="C10" s="1" t="s">
        <v>22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308</v>
      </c>
      <c r="B11" s="1" t="s">
        <v>141</v>
      </c>
      <c r="C11" s="1" t="s">
        <v>22</v>
      </c>
      <c r="D11" s="1" t="s">
        <v>142</v>
      </c>
      <c r="E11" s="1" t="s">
        <v>133</v>
      </c>
      <c r="F11" s="1" t="s">
        <v>143</v>
      </c>
      <c r="G11" s="1" t="s">
        <v>309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310</v>
      </c>
      <c r="B12" s="1" t="s">
        <v>146</v>
      </c>
      <c r="C12" s="1" t="s">
        <v>22</v>
      </c>
      <c r="D12" s="1" t="s">
        <v>147</v>
      </c>
      <c r="E12" s="1" t="s">
        <v>133</v>
      </c>
      <c r="F12" s="1" t="s">
        <v>148</v>
      </c>
      <c r="G12" s="1" t="s">
        <v>311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312</v>
      </c>
      <c r="B13" s="1" t="s">
        <v>151</v>
      </c>
      <c r="C13" s="1" t="s">
        <v>22</v>
      </c>
      <c r="D13" s="1" t="s">
        <v>152</v>
      </c>
      <c r="E13" s="1" t="s">
        <v>133</v>
      </c>
      <c r="F13" s="1" t="s">
        <v>153</v>
      </c>
      <c r="G13" s="1" t="s">
        <v>313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314</v>
      </c>
      <c r="B14" s="1" t="s">
        <v>156</v>
      </c>
      <c r="C14" s="1" t="s">
        <v>22</v>
      </c>
      <c r="D14" s="1" t="s">
        <v>157</v>
      </c>
      <c r="E14" s="1" t="s">
        <v>133</v>
      </c>
      <c r="F14" s="1" t="s">
        <v>158</v>
      </c>
      <c r="G14" s="1" t="s">
        <v>315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316</v>
      </c>
      <c r="B15" s="1" t="s">
        <v>161</v>
      </c>
      <c r="C15" s="1" t="s">
        <v>22</v>
      </c>
      <c r="D15" s="1" t="s">
        <v>162</v>
      </c>
      <c r="E15" s="1" t="s">
        <v>133</v>
      </c>
      <c r="F15" s="1" t="s">
        <v>163</v>
      </c>
      <c r="G15" s="1" t="s">
        <v>317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318</v>
      </c>
      <c r="B16" s="1" t="s">
        <v>166</v>
      </c>
      <c r="C16" s="1" t="s">
        <v>22</v>
      </c>
      <c r="D16" s="1" t="s">
        <v>167</v>
      </c>
      <c r="E16" s="1" t="s">
        <v>133</v>
      </c>
      <c r="F16" s="1" t="s">
        <v>168</v>
      </c>
      <c r="G16" s="1" t="s">
        <v>319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320</v>
      </c>
      <c r="B17" s="1" t="s">
        <v>172</v>
      </c>
      <c r="C17" s="1" t="s">
        <v>22</v>
      </c>
      <c r="D17" s="1" t="s">
        <v>173</v>
      </c>
      <c r="E17" s="1" t="s">
        <v>133</v>
      </c>
      <c r="F17" s="1" t="s">
        <v>174</v>
      </c>
      <c r="G17" s="1" t="s">
        <v>321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322</v>
      </c>
      <c r="B18" s="1" t="s">
        <v>178</v>
      </c>
      <c r="C18" s="1" t="s">
        <v>22</v>
      </c>
      <c r="D18" s="1" t="s">
        <v>179</v>
      </c>
      <c r="E18" s="1" t="s">
        <v>133</v>
      </c>
      <c r="F18" s="1" t="s">
        <v>174</v>
      </c>
      <c r="G18" s="1" t="s">
        <v>321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323</v>
      </c>
      <c r="B19" s="1" t="s">
        <v>181</v>
      </c>
      <c r="C19" s="1" t="s">
        <v>22</v>
      </c>
      <c r="D19" s="1" t="s">
        <v>182</v>
      </c>
      <c r="E19" s="1" t="s">
        <v>133</v>
      </c>
      <c r="F19" s="1" t="s">
        <v>174</v>
      </c>
      <c r="G19" s="1" t="s">
        <v>324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325</v>
      </c>
      <c r="B20" s="1" t="s">
        <v>186</v>
      </c>
      <c r="C20" s="1" t="s">
        <v>22</v>
      </c>
      <c r="D20" s="1" t="s">
        <v>187</v>
      </c>
      <c r="E20" s="1" t="s">
        <v>133</v>
      </c>
      <c r="F20" s="1" t="s">
        <v>174</v>
      </c>
      <c r="G20" s="1" t="s">
        <v>321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326</v>
      </c>
      <c r="B21" s="1" t="s">
        <v>190</v>
      </c>
      <c r="C21" s="1" t="s">
        <v>22</v>
      </c>
      <c r="D21" s="1" t="s">
        <v>191</v>
      </c>
      <c r="E21" s="1" t="s">
        <v>133</v>
      </c>
      <c r="F21" s="1" t="s">
        <v>192</v>
      </c>
      <c r="G21" s="1" t="s">
        <v>327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328</v>
      </c>
      <c r="B22" s="1" t="s">
        <v>195</v>
      </c>
      <c r="C22" s="1" t="s">
        <v>22</v>
      </c>
      <c r="D22" s="1" t="s">
        <v>196</v>
      </c>
      <c r="E22" s="1" t="s">
        <v>133</v>
      </c>
      <c r="F22" s="1" t="s">
        <v>192</v>
      </c>
      <c r="G22" s="1" t="s">
        <v>329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330</v>
      </c>
      <c r="B23" s="1" t="s">
        <v>199</v>
      </c>
      <c r="C23" s="1" t="s">
        <v>22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331</v>
      </c>
      <c r="B24" s="1" t="s">
        <v>204</v>
      </c>
      <c r="C24" s="1" t="s">
        <v>22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305</v>
      </c>
      <c r="B9" s="1" t="s">
        <v>130</v>
      </c>
      <c r="C9" s="1" t="s">
        <v>23</v>
      </c>
      <c r="D9" s="1" t="s">
        <v>132</v>
      </c>
      <c r="E9" s="1" t="s">
        <v>133</v>
      </c>
      <c r="F9" s="1" t="s">
        <v>134</v>
      </c>
      <c r="G9" s="1" t="s">
        <v>333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307</v>
      </c>
      <c r="B10" s="1" t="s">
        <v>137</v>
      </c>
      <c r="C10" s="1" t="s">
        <v>23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308</v>
      </c>
      <c r="B11" s="1" t="s">
        <v>141</v>
      </c>
      <c r="C11" s="1" t="s">
        <v>23</v>
      </c>
      <c r="D11" s="1" t="s">
        <v>142</v>
      </c>
      <c r="E11" s="1" t="s">
        <v>133</v>
      </c>
      <c r="F11" s="1" t="s">
        <v>143</v>
      </c>
      <c r="G11" s="1" t="s">
        <v>334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310</v>
      </c>
      <c r="B12" s="1" t="s">
        <v>146</v>
      </c>
      <c r="C12" s="1" t="s">
        <v>23</v>
      </c>
      <c r="D12" s="1" t="s">
        <v>147</v>
      </c>
      <c r="E12" s="1" t="s">
        <v>133</v>
      </c>
      <c r="F12" s="1" t="s">
        <v>148</v>
      </c>
      <c r="G12" s="1" t="s">
        <v>335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312</v>
      </c>
      <c r="B13" s="1" t="s">
        <v>151</v>
      </c>
      <c r="C13" s="1" t="s">
        <v>23</v>
      </c>
      <c r="D13" s="1" t="s">
        <v>152</v>
      </c>
      <c r="E13" s="1" t="s">
        <v>133</v>
      </c>
      <c r="F13" s="1" t="s">
        <v>153</v>
      </c>
      <c r="G13" s="1" t="s">
        <v>336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314</v>
      </c>
      <c r="B14" s="1" t="s">
        <v>156</v>
      </c>
      <c r="C14" s="1" t="s">
        <v>23</v>
      </c>
      <c r="D14" s="1" t="s">
        <v>157</v>
      </c>
      <c r="E14" s="1" t="s">
        <v>133</v>
      </c>
      <c r="F14" s="1" t="s">
        <v>158</v>
      </c>
      <c r="G14" s="1" t="s">
        <v>337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316</v>
      </c>
      <c r="B15" s="1" t="s">
        <v>161</v>
      </c>
      <c r="C15" s="1" t="s">
        <v>23</v>
      </c>
      <c r="D15" s="1" t="s">
        <v>162</v>
      </c>
      <c r="E15" s="1" t="s">
        <v>133</v>
      </c>
      <c r="F15" s="1" t="s">
        <v>163</v>
      </c>
      <c r="G15" s="1" t="s">
        <v>338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318</v>
      </c>
      <c r="B16" s="1" t="s">
        <v>166</v>
      </c>
      <c r="C16" s="1" t="s">
        <v>23</v>
      </c>
      <c r="D16" s="1" t="s">
        <v>167</v>
      </c>
      <c r="E16" s="1" t="s">
        <v>133</v>
      </c>
      <c r="F16" s="1" t="s">
        <v>168</v>
      </c>
      <c r="G16" s="1" t="s">
        <v>339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320</v>
      </c>
      <c r="B17" s="1" t="s">
        <v>172</v>
      </c>
      <c r="C17" s="1" t="s">
        <v>23</v>
      </c>
      <c r="D17" s="1" t="s">
        <v>173</v>
      </c>
      <c r="E17" s="1" t="s">
        <v>133</v>
      </c>
      <c r="F17" s="1" t="s">
        <v>174</v>
      </c>
      <c r="G17" s="1" t="s">
        <v>340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322</v>
      </c>
      <c r="B18" s="1" t="s">
        <v>178</v>
      </c>
      <c r="C18" s="1" t="s">
        <v>23</v>
      </c>
      <c r="D18" s="1" t="s">
        <v>179</v>
      </c>
      <c r="E18" s="1" t="s">
        <v>133</v>
      </c>
      <c r="F18" s="1" t="s">
        <v>174</v>
      </c>
      <c r="G18" s="1" t="s">
        <v>340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323</v>
      </c>
      <c r="B19" s="1" t="s">
        <v>181</v>
      </c>
      <c r="C19" s="1" t="s">
        <v>23</v>
      </c>
      <c r="D19" s="1" t="s">
        <v>182</v>
      </c>
      <c r="E19" s="1" t="s">
        <v>133</v>
      </c>
      <c r="F19" s="1" t="s">
        <v>174</v>
      </c>
      <c r="G19" s="1" t="s">
        <v>341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325</v>
      </c>
      <c r="B20" s="1" t="s">
        <v>186</v>
      </c>
      <c r="C20" s="1" t="s">
        <v>23</v>
      </c>
      <c r="D20" s="1" t="s">
        <v>187</v>
      </c>
      <c r="E20" s="1" t="s">
        <v>133</v>
      </c>
      <c r="F20" s="1" t="s">
        <v>174</v>
      </c>
      <c r="G20" s="1" t="s">
        <v>340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326</v>
      </c>
      <c r="B21" s="1" t="s">
        <v>190</v>
      </c>
      <c r="C21" s="1" t="s">
        <v>23</v>
      </c>
      <c r="D21" s="1" t="s">
        <v>191</v>
      </c>
      <c r="E21" s="1" t="s">
        <v>133</v>
      </c>
      <c r="F21" s="1" t="s">
        <v>192</v>
      </c>
      <c r="G21" s="1" t="s">
        <v>342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328</v>
      </c>
      <c r="B22" s="1" t="s">
        <v>195</v>
      </c>
      <c r="C22" s="1" t="s">
        <v>23</v>
      </c>
      <c r="D22" s="1" t="s">
        <v>196</v>
      </c>
      <c r="E22" s="1" t="s">
        <v>133</v>
      </c>
      <c r="F22" s="1" t="s">
        <v>192</v>
      </c>
      <c r="G22" s="1" t="s">
        <v>343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330</v>
      </c>
      <c r="B23" s="1" t="s">
        <v>199</v>
      </c>
      <c r="C23" s="1" t="s">
        <v>23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331</v>
      </c>
      <c r="B24" s="1" t="s">
        <v>204</v>
      </c>
      <c r="C24" s="1" t="s">
        <v>23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345</v>
      </c>
      <c r="B9" s="1" t="s">
        <v>130</v>
      </c>
      <c r="C9" s="1" t="s">
        <v>346</v>
      </c>
      <c r="D9" s="1" t="s">
        <v>132</v>
      </c>
      <c r="E9" s="1" t="s">
        <v>133</v>
      </c>
      <c r="F9" s="1" t="s">
        <v>134</v>
      </c>
      <c r="G9" s="1" t="s">
        <v>347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348</v>
      </c>
      <c r="B10" s="1" t="s">
        <v>137</v>
      </c>
      <c r="C10" s="1" t="s">
        <v>346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349</v>
      </c>
      <c r="B11" s="1" t="s">
        <v>141</v>
      </c>
      <c r="C11" s="1" t="s">
        <v>346</v>
      </c>
      <c r="D11" s="1" t="s">
        <v>142</v>
      </c>
      <c r="E11" s="1" t="s">
        <v>133</v>
      </c>
      <c r="F11" s="1" t="s">
        <v>143</v>
      </c>
      <c r="G11" s="1" t="s">
        <v>350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351</v>
      </c>
      <c r="B12" s="1" t="s">
        <v>146</v>
      </c>
      <c r="C12" s="1" t="s">
        <v>346</v>
      </c>
      <c r="D12" s="1" t="s">
        <v>147</v>
      </c>
      <c r="E12" s="1" t="s">
        <v>133</v>
      </c>
      <c r="F12" s="1" t="s">
        <v>148</v>
      </c>
      <c r="G12" s="1" t="s">
        <v>352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353</v>
      </c>
      <c r="B13" s="1" t="s">
        <v>151</v>
      </c>
      <c r="C13" s="1" t="s">
        <v>346</v>
      </c>
      <c r="D13" s="1" t="s">
        <v>152</v>
      </c>
      <c r="E13" s="1" t="s">
        <v>133</v>
      </c>
      <c r="F13" s="1" t="s">
        <v>153</v>
      </c>
      <c r="G13" s="1" t="s">
        <v>354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355</v>
      </c>
      <c r="B14" s="1" t="s">
        <v>156</v>
      </c>
      <c r="C14" s="1" t="s">
        <v>346</v>
      </c>
      <c r="D14" s="1" t="s">
        <v>157</v>
      </c>
      <c r="E14" s="1" t="s">
        <v>133</v>
      </c>
      <c r="F14" s="1" t="s">
        <v>158</v>
      </c>
      <c r="G14" s="1" t="s">
        <v>356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357</v>
      </c>
      <c r="B15" s="1" t="s">
        <v>161</v>
      </c>
      <c r="C15" s="1" t="s">
        <v>346</v>
      </c>
      <c r="D15" s="1" t="s">
        <v>162</v>
      </c>
      <c r="E15" s="1" t="s">
        <v>133</v>
      </c>
      <c r="F15" s="1" t="s">
        <v>163</v>
      </c>
      <c r="G15" s="1" t="s">
        <v>358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359</v>
      </c>
      <c r="B16" s="1" t="s">
        <v>166</v>
      </c>
      <c r="C16" s="1" t="s">
        <v>346</v>
      </c>
      <c r="D16" s="1" t="s">
        <v>167</v>
      </c>
      <c r="E16" s="1" t="s">
        <v>133</v>
      </c>
      <c r="F16" s="1" t="s">
        <v>168</v>
      </c>
      <c r="G16" s="1" t="s">
        <v>360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361</v>
      </c>
      <c r="B17" s="1" t="s">
        <v>172</v>
      </c>
      <c r="C17" s="1" t="s">
        <v>346</v>
      </c>
      <c r="D17" s="1" t="s">
        <v>173</v>
      </c>
      <c r="E17" s="1" t="s">
        <v>133</v>
      </c>
      <c r="F17" s="1" t="s">
        <v>174</v>
      </c>
      <c r="G17" s="1" t="s">
        <v>362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363</v>
      </c>
      <c r="B18" s="1" t="s">
        <v>178</v>
      </c>
      <c r="C18" s="1" t="s">
        <v>346</v>
      </c>
      <c r="D18" s="1" t="s">
        <v>179</v>
      </c>
      <c r="E18" s="1" t="s">
        <v>133</v>
      </c>
      <c r="F18" s="1" t="s">
        <v>174</v>
      </c>
      <c r="G18" s="1" t="s">
        <v>362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364</v>
      </c>
      <c r="B19" s="1" t="s">
        <v>181</v>
      </c>
      <c r="C19" s="1" t="s">
        <v>346</v>
      </c>
      <c r="D19" s="1" t="s">
        <v>182</v>
      </c>
      <c r="E19" s="1" t="s">
        <v>133</v>
      </c>
      <c r="F19" s="1" t="s">
        <v>174</v>
      </c>
      <c r="G19" s="1" t="s">
        <v>365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366</v>
      </c>
      <c r="B20" s="1" t="s">
        <v>186</v>
      </c>
      <c r="C20" s="1" t="s">
        <v>346</v>
      </c>
      <c r="D20" s="1" t="s">
        <v>187</v>
      </c>
      <c r="E20" s="1" t="s">
        <v>133</v>
      </c>
      <c r="F20" s="1" t="s">
        <v>174</v>
      </c>
      <c r="G20" s="1" t="s">
        <v>362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367</v>
      </c>
      <c r="B21" s="1" t="s">
        <v>190</v>
      </c>
      <c r="C21" s="1" t="s">
        <v>346</v>
      </c>
      <c r="D21" s="1" t="s">
        <v>191</v>
      </c>
      <c r="E21" s="1" t="s">
        <v>133</v>
      </c>
      <c r="F21" s="1" t="s">
        <v>192</v>
      </c>
      <c r="G21" s="1" t="s">
        <v>368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369</v>
      </c>
      <c r="B22" s="1" t="s">
        <v>195</v>
      </c>
      <c r="C22" s="1" t="s">
        <v>346</v>
      </c>
      <c r="D22" s="1" t="s">
        <v>196</v>
      </c>
      <c r="E22" s="1" t="s">
        <v>133</v>
      </c>
      <c r="F22" s="1" t="s">
        <v>192</v>
      </c>
      <c r="G22" s="1" t="s">
        <v>370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371</v>
      </c>
      <c r="B23" s="1" t="s">
        <v>199</v>
      </c>
      <c r="C23" s="1" t="s">
        <v>346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372</v>
      </c>
      <c r="B24" s="1" t="s">
        <v>204</v>
      </c>
      <c r="C24" s="1" t="s">
        <v>346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374</v>
      </c>
      <c r="B9" s="1" t="s">
        <v>130</v>
      </c>
      <c r="C9" s="1" t="s">
        <v>25</v>
      </c>
      <c r="D9" s="1" t="s">
        <v>132</v>
      </c>
      <c r="E9" s="1" t="s">
        <v>133</v>
      </c>
      <c r="F9" s="1" t="s">
        <v>134</v>
      </c>
      <c r="G9" s="1" t="s">
        <v>375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376</v>
      </c>
      <c r="B10" s="1" t="s">
        <v>137</v>
      </c>
      <c r="C10" s="1" t="s">
        <v>25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377</v>
      </c>
      <c r="B11" s="1" t="s">
        <v>141</v>
      </c>
      <c r="C11" s="1" t="s">
        <v>25</v>
      </c>
      <c r="D11" s="1" t="s">
        <v>142</v>
      </c>
      <c r="E11" s="1" t="s">
        <v>133</v>
      </c>
      <c r="F11" s="1" t="s">
        <v>143</v>
      </c>
      <c r="G11" s="1" t="s">
        <v>378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379</v>
      </c>
      <c r="B12" s="1" t="s">
        <v>146</v>
      </c>
      <c r="C12" s="1" t="s">
        <v>25</v>
      </c>
      <c r="D12" s="1" t="s">
        <v>147</v>
      </c>
      <c r="E12" s="1" t="s">
        <v>133</v>
      </c>
      <c r="F12" s="1" t="s">
        <v>148</v>
      </c>
      <c r="G12" s="1" t="s">
        <v>380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381</v>
      </c>
      <c r="B13" s="1" t="s">
        <v>151</v>
      </c>
      <c r="C13" s="1" t="s">
        <v>25</v>
      </c>
      <c r="D13" s="1" t="s">
        <v>152</v>
      </c>
      <c r="E13" s="1" t="s">
        <v>133</v>
      </c>
      <c r="F13" s="1" t="s">
        <v>153</v>
      </c>
      <c r="G13" s="1" t="s">
        <v>382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383</v>
      </c>
      <c r="B14" s="1" t="s">
        <v>156</v>
      </c>
      <c r="C14" s="1" t="s">
        <v>25</v>
      </c>
      <c r="D14" s="1" t="s">
        <v>157</v>
      </c>
      <c r="E14" s="1" t="s">
        <v>133</v>
      </c>
      <c r="F14" s="1" t="s">
        <v>158</v>
      </c>
      <c r="G14" s="1" t="s">
        <v>384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385</v>
      </c>
      <c r="B15" s="1" t="s">
        <v>161</v>
      </c>
      <c r="C15" s="1" t="s">
        <v>25</v>
      </c>
      <c r="D15" s="1" t="s">
        <v>162</v>
      </c>
      <c r="E15" s="1" t="s">
        <v>133</v>
      </c>
      <c r="F15" s="1" t="s">
        <v>163</v>
      </c>
      <c r="G15" s="1" t="s">
        <v>386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387</v>
      </c>
      <c r="B16" s="1" t="s">
        <v>166</v>
      </c>
      <c r="C16" s="1" t="s">
        <v>25</v>
      </c>
      <c r="D16" s="1" t="s">
        <v>167</v>
      </c>
      <c r="E16" s="1" t="s">
        <v>133</v>
      </c>
      <c r="F16" s="1" t="s">
        <v>168</v>
      </c>
      <c r="G16" s="1" t="s">
        <v>388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389</v>
      </c>
      <c r="B17" s="1" t="s">
        <v>172</v>
      </c>
      <c r="C17" s="1" t="s">
        <v>25</v>
      </c>
      <c r="D17" s="1" t="s">
        <v>173</v>
      </c>
      <c r="E17" s="1" t="s">
        <v>133</v>
      </c>
      <c r="F17" s="1" t="s">
        <v>174</v>
      </c>
      <c r="G17" s="1" t="s">
        <v>390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391</v>
      </c>
      <c r="B18" s="1" t="s">
        <v>178</v>
      </c>
      <c r="C18" s="1" t="s">
        <v>25</v>
      </c>
      <c r="D18" s="1" t="s">
        <v>179</v>
      </c>
      <c r="E18" s="1" t="s">
        <v>133</v>
      </c>
      <c r="F18" s="1" t="s">
        <v>174</v>
      </c>
      <c r="G18" s="1" t="s">
        <v>390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392</v>
      </c>
      <c r="B19" s="1" t="s">
        <v>181</v>
      </c>
      <c r="C19" s="1" t="s">
        <v>25</v>
      </c>
      <c r="D19" s="1" t="s">
        <v>182</v>
      </c>
      <c r="E19" s="1" t="s">
        <v>133</v>
      </c>
      <c r="F19" s="1" t="s">
        <v>174</v>
      </c>
      <c r="G19" s="1" t="s">
        <v>393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394</v>
      </c>
      <c r="B20" s="1" t="s">
        <v>186</v>
      </c>
      <c r="C20" s="1" t="s">
        <v>25</v>
      </c>
      <c r="D20" s="1" t="s">
        <v>187</v>
      </c>
      <c r="E20" s="1" t="s">
        <v>133</v>
      </c>
      <c r="F20" s="1" t="s">
        <v>174</v>
      </c>
      <c r="G20" s="1" t="s">
        <v>390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395</v>
      </c>
      <c r="B21" s="1" t="s">
        <v>190</v>
      </c>
      <c r="C21" s="1" t="s">
        <v>25</v>
      </c>
      <c r="D21" s="1" t="s">
        <v>191</v>
      </c>
      <c r="E21" s="1" t="s">
        <v>133</v>
      </c>
      <c r="F21" s="1" t="s">
        <v>192</v>
      </c>
      <c r="G21" s="1" t="s">
        <v>396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397</v>
      </c>
      <c r="B22" s="1" t="s">
        <v>195</v>
      </c>
      <c r="C22" s="1" t="s">
        <v>25</v>
      </c>
      <c r="D22" s="1" t="s">
        <v>196</v>
      </c>
      <c r="E22" s="1" t="s">
        <v>133</v>
      </c>
      <c r="F22" s="1" t="s">
        <v>192</v>
      </c>
      <c r="G22" s="1" t="s">
        <v>398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399</v>
      </c>
      <c r="B23" s="1" t="s">
        <v>199</v>
      </c>
      <c r="C23" s="1" t="s">
        <v>25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400</v>
      </c>
      <c r="B24" s="1" t="s">
        <v>204</v>
      </c>
      <c r="C24" s="1" t="s">
        <v>25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374</v>
      </c>
      <c r="B9" s="1" t="s">
        <v>130</v>
      </c>
      <c r="C9" s="1" t="s">
        <v>26</v>
      </c>
      <c r="D9" s="1" t="s">
        <v>132</v>
      </c>
      <c r="E9" s="1" t="s">
        <v>133</v>
      </c>
      <c r="F9" s="1" t="s">
        <v>134</v>
      </c>
      <c r="G9" s="1" t="s">
        <v>402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376</v>
      </c>
      <c r="B10" s="1" t="s">
        <v>137</v>
      </c>
      <c r="C10" s="1" t="s">
        <v>26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377</v>
      </c>
      <c r="B11" s="1" t="s">
        <v>141</v>
      </c>
      <c r="C11" s="1" t="s">
        <v>26</v>
      </c>
      <c r="D11" s="1" t="s">
        <v>142</v>
      </c>
      <c r="E11" s="1" t="s">
        <v>133</v>
      </c>
      <c r="F11" s="1" t="s">
        <v>143</v>
      </c>
      <c r="G11" s="1" t="s">
        <v>403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379</v>
      </c>
      <c r="B12" s="1" t="s">
        <v>146</v>
      </c>
      <c r="C12" s="1" t="s">
        <v>26</v>
      </c>
      <c r="D12" s="1" t="s">
        <v>147</v>
      </c>
      <c r="E12" s="1" t="s">
        <v>133</v>
      </c>
      <c r="F12" s="1" t="s">
        <v>148</v>
      </c>
      <c r="G12" s="1" t="s">
        <v>404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381</v>
      </c>
      <c r="B13" s="1" t="s">
        <v>151</v>
      </c>
      <c r="C13" s="1" t="s">
        <v>26</v>
      </c>
      <c r="D13" s="1" t="s">
        <v>152</v>
      </c>
      <c r="E13" s="1" t="s">
        <v>133</v>
      </c>
      <c r="F13" s="1" t="s">
        <v>153</v>
      </c>
      <c r="G13" s="1" t="s">
        <v>405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383</v>
      </c>
      <c r="B14" s="1" t="s">
        <v>156</v>
      </c>
      <c r="C14" s="1" t="s">
        <v>26</v>
      </c>
      <c r="D14" s="1" t="s">
        <v>157</v>
      </c>
      <c r="E14" s="1" t="s">
        <v>133</v>
      </c>
      <c r="F14" s="1" t="s">
        <v>158</v>
      </c>
      <c r="G14" s="1" t="s">
        <v>406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385</v>
      </c>
      <c r="B15" s="1" t="s">
        <v>161</v>
      </c>
      <c r="C15" s="1" t="s">
        <v>26</v>
      </c>
      <c r="D15" s="1" t="s">
        <v>162</v>
      </c>
      <c r="E15" s="1" t="s">
        <v>133</v>
      </c>
      <c r="F15" s="1" t="s">
        <v>163</v>
      </c>
      <c r="G15" s="1" t="s">
        <v>407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387</v>
      </c>
      <c r="B16" s="1" t="s">
        <v>166</v>
      </c>
      <c r="C16" s="1" t="s">
        <v>26</v>
      </c>
      <c r="D16" s="1" t="s">
        <v>167</v>
      </c>
      <c r="E16" s="1" t="s">
        <v>133</v>
      </c>
      <c r="F16" s="1" t="s">
        <v>168</v>
      </c>
      <c r="G16" s="1" t="s">
        <v>408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389</v>
      </c>
      <c r="B17" s="1" t="s">
        <v>172</v>
      </c>
      <c r="C17" s="1" t="s">
        <v>26</v>
      </c>
      <c r="D17" s="1" t="s">
        <v>173</v>
      </c>
      <c r="E17" s="1" t="s">
        <v>133</v>
      </c>
      <c r="F17" s="1" t="s">
        <v>174</v>
      </c>
      <c r="G17" s="1" t="s">
        <v>409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391</v>
      </c>
      <c r="B18" s="1" t="s">
        <v>178</v>
      </c>
      <c r="C18" s="1" t="s">
        <v>26</v>
      </c>
      <c r="D18" s="1" t="s">
        <v>179</v>
      </c>
      <c r="E18" s="1" t="s">
        <v>133</v>
      </c>
      <c r="F18" s="1" t="s">
        <v>174</v>
      </c>
      <c r="G18" s="1" t="s">
        <v>409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392</v>
      </c>
      <c r="B19" s="1" t="s">
        <v>181</v>
      </c>
      <c r="C19" s="1" t="s">
        <v>26</v>
      </c>
      <c r="D19" s="1" t="s">
        <v>182</v>
      </c>
      <c r="E19" s="1" t="s">
        <v>133</v>
      </c>
      <c r="F19" s="1" t="s">
        <v>174</v>
      </c>
      <c r="G19" s="1" t="s">
        <v>410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394</v>
      </c>
      <c r="B20" s="1" t="s">
        <v>186</v>
      </c>
      <c r="C20" s="1" t="s">
        <v>26</v>
      </c>
      <c r="D20" s="1" t="s">
        <v>187</v>
      </c>
      <c r="E20" s="1" t="s">
        <v>133</v>
      </c>
      <c r="F20" s="1" t="s">
        <v>174</v>
      </c>
      <c r="G20" s="1" t="s">
        <v>409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395</v>
      </c>
      <c r="B21" s="1" t="s">
        <v>190</v>
      </c>
      <c r="C21" s="1" t="s">
        <v>26</v>
      </c>
      <c r="D21" s="1" t="s">
        <v>191</v>
      </c>
      <c r="E21" s="1" t="s">
        <v>133</v>
      </c>
      <c r="F21" s="1" t="s">
        <v>192</v>
      </c>
      <c r="G21" s="1" t="s">
        <v>411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397</v>
      </c>
      <c r="B22" s="1" t="s">
        <v>195</v>
      </c>
      <c r="C22" s="1" t="s">
        <v>26</v>
      </c>
      <c r="D22" s="1" t="s">
        <v>196</v>
      </c>
      <c r="E22" s="1" t="s">
        <v>133</v>
      </c>
      <c r="F22" s="1" t="s">
        <v>192</v>
      </c>
      <c r="G22" s="1" t="s">
        <v>412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399</v>
      </c>
      <c r="B23" s="1" t="s">
        <v>199</v>
      </c>
      <c r="C23" s="1" t="s">
        <v>26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400</v>
      </c>
      <c r="B24" s="1" t="s">
        <v>204</v>
      </c>
      <c r="C24" s="1" t="s">
        <v>26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414</v>
      </c>
      <c r="B9" s="1" t="s">
        <v>130</v>
      </c>
      <c r="C9" s="1" t="s">
        <v>27</v>
      </c>
      <c r="D9" s="1" t="s">
        <v>132</v>
      </c>
      <c r="E9" s="1" t="s">
        <v>133</v>
      </c>
      <c r="F9" s="1" t="s">
        <v>134</v>
      </c>
      <c r="G9" s="1" t="s">
        <v>415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416</v>
      </c>
      <c r="B10" s="1" t="s">
        <v>137</v>
      </c>
      <c r="C10" s="1" t="s">
        <v>27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417</v>
      </c>
      <c r="B11" s="1" t="s">
        <v>141</v>
      </c>
      <c r="C11" s="1" t="s">
        <v>27</v>
      </c>
      <c r="D11" s="1" t="s">
        <v>142</v>
      </c>
      <c r="E11" s="1" t="s">
        <v>133</v>
      </c>
      <c r="F11" s="1" t="s">
        <v>143</v>
      </c>
      <c r="G11" s="1" t="s">
        <v>418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419</v>
      </c>
      <c r="B12" s="1" t="s">
        <v>146</v>
      </c>
      <c r="C12" s="1" t="s">
        <v>27</v>
      </c>
      <c r="D12" s="1" t="s">
        <v>147</v>
      </c>
      <c r="E12" s="1" t="s">
        <v>133</v>
      </c>
      <c r="F12" s="1" t="s">
        <v>148</v>
      </c>
      <c r="G12" s="1" t="s">
        <v>420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421</v>
      </c>
      <c r="B13" s="1" t="s">
        <v>151</v>
      </c>
      <c r="C13" s="1" t="s">
        <v>27</v>
      </c>
      <c r="D13" s="1" t="s">
        <v>152</v>
      </c>
      <c r="E13" s="1" t="s">
        <v>133</v>
      </c>
      <c r="F13" s="1" t="s">
        <v>153</v>
      </c>
      <c r="G13" s="1" t="s">
        <v>422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423</v>
      </c>
      <c r="B14" s="1" t="s">
        <v>156</v>
      </c>
      <c r="C14" s="1" t="s">
        <v>27</v>
      </c>
      <c r="D14" s="1" t="s">
        <v>157</v>
      </c>
      <c r="E14" s="1" t="s">
        <v>133</v>
      </c>
      <c r="F14" s="1" t="s">
        <v>158</v>
      </c>
      <c r="G14" s="1" t="s">
        <v>424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425</v>
      </c>
      <c r="B15" s="1" t="s">
        <v>161</v>
      </c>
      <c r="C15" s="1" t="s">
        <v>27</v>
      </c>
      <c r="D15" s="1" t="s">
        <v>162</v>
      </c>
      <c r="E15" s="1" t="s">
        <v>133</v>
      </c>
      <c r="F15" s="1" t="s">
        <v>163</v>
      </c>
      <c r="G15" s="1" t="s">
        <v>426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427</v>
      </c>
      <c r="B16" s="1" t="s">
        <v>166</v>
      </c>
      <c r="C16" s="1" t="s">
        <v>27</v>
      </c>
      <c r="D16" s="1" t="s">
        <v>167</v>
      </c>
      <c r="E16" s="1" t="s">
        <v>133</v>
      </c>
      <c r="F16" s="1" t="s">
        <v>168</v>
      </c>
      <c r="G16" s="1" t="s">
        <v>428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429</v>
      </c>
      <c r="B17" s="1" t="s">
        <v>172</v>
      </c>
      <c r="C17" s="1" t="s">
        <v>27</v>
      </c>
      <c r="D17" s="1" t="s">
        <v>173</v>
      </c>
      <c r="E17" s="1" t="s">
        <v>133</v>
      </c>
      <c r="F17" s="1" t="s">
        <v>174</v>
      </c>
      <c r="G17" s="1" t="s">
        <v>430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431</v>
      </c>
      <c r="B18" s="1" t="s">
        <v>178</v>
      </c>
      <c r="C18" s="1" t="s">
        <v>27</v>
      </c>
      <c r="D18" s="1" t="s">
        <v>179</v>
      </c>
      <c r="E18" s="1" t="s">
        <v>133</v>
      </c>
      <c r="F18" s="1" t="s">
        <v>174</v>
      </c>
      <c r="G18" s="1" t="s">
        <v>430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432</v>
      </c>
      <c r="B19" s="1" t="s">
        <v>181</v>
      </c>
      <c r="C19" s="1" t="s">
        <v>27</v>
      </c>
      <c r="D19" s="1" t="s">
        <v>182</v>
      </c>
      <c r="E19" s="1" t="s">
        <v>133</v>
      </c>
      <c r="F19" s="1" t="s">
        <v>174</v>
      </c>
      <c r="G19" s="1" t="s">
        <v>433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434</v>
      </c>
      <c r="B20" s="1" t="s">
        <v>186</v>
      </c>
      <c r="C20" s="1" t="s">
        <v>27</v>
      </c>
      <c r="D20" s="1" t="s">
        <v>187</v>
      </c>
      <c r="E20" s="1" t="s">
        <v>133</v>
      </c>
      <c r="F20" s="1" t="s">
        <v>174</v>
      </c>
      <c r="G20" s="1" t="s">
        <v>430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435</v>
      </c>
      <c r="B21" s="1" t="s">
        <v>190</v>
      </c>
      <c r="C21" s="1" t="s">
        <v>27</v>
      </c>
      <c r="D21" s="1" t="s">
        <v>191</v>
      </c>
      <c r="E21" s="1" t="s">
        <v>133</v>
      </c>
      <c r="F21" s="1" t="s">
        <v>192</v>
      </c>
      <c r="G21" s="1" t="s">
        <v>436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437</v>
      </c>
      <c r="B22" s="1" t="s">
        <v>195</v>
      </c>
      <c r="C22" s="1" t="s">
        <v>27</v>
      </c>
      <c r="D22" s="1" t="s">
        <v>196</v>
      </c>
      <c r="E22" s="1" t="s">
        <v>133</v>
      </c>
      <c r="F22" s="1" t="s">
        <v>192</v>
      </c>
      <c r="G22" s="1" t="s">
        <v>438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439</v>
      </c>
      <c r="B23" s="1" t="s">
        <v>199</v>
      </c>
      <c r="C23" s="1" t="s">
        <v>27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440</v>
      </c>
      <c r="B24" s="1" t="s">
        <v>204</v>
      </c>
      <c r="C24" s="1" t="s">
        <v>27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414</v>
      </c>
      <c r="B9" s="1" t="s">
        <v>130</v>
      </c>
      <c r="C9" s="1" t="s">
        <v>28</v>
      </c>
      <c r="D9" s="1" t="s">
        <v>132</v>
      </c>
      <c r="E9" s="1" t="s">
        <v>133</v>
      </c>
      <c r="F9" s="1" t="s">
        <v>134</v>
      </c>
      <c r="G9" s="1" t="s">
        <v>442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416</v>
      </c>
      <c r="B10" s="1" t="s">
        <v>137</v>
      </c>
      <c r="C10" s="1" t="s">
        <v>28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417</v>
      </c>
      <c r="B11" s="1" t="s">
        <v>141</v>
      </c>
      <c r="C11" s="1" t="s">
        <v>28</v>
      </c>
      <c r="D11" s="1" t="s">
        <v>142</v>
      </c>
      <c r="E11" s="1" t="s">
        <v>133</v>
      </c>
      <c r="F11" s="1" t="s">
        <v>143</v>
      </c>
      <c r="G11" s="1" t="s">
        <v>443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419</v>
      </c>
      <c r="B12" s="1" t="s">
        <v>146</v>
      </c>
      <c r="C12" s="1" t="s">
        <v>28</v>
      </c>
      <c r="D12" s="1" t="s">
        <v>147</v>
      </c>
      <c r="E12" s="1" t="s">
        <v>133</v>
      </c>
      <c r="F12" s="1" t="s">
        <v>148</v>
      </c>
      <c r="G12" s="1" t="s">
        <v>444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421</v>
      </c>
      <c r="B13" s="1" t="s">
        <v>151</v>
      </c>
      <c r="C13" s="1" t="s">
        <v>28</v>
      </c>
      <c r="D13" s="1" t="s">
        <v>152</v>
      </c>
      <c r="E13" s="1" t="s">
        <v>133</v>
      </c>
      <c r="F13" s="1" t="s">
        <v>153</v>
      </c>
      <c r="G13" s="1" t="s">
        <v>445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423</v>
      </c>
      <c r="B14" s="1" t="s">
        <v>156</v>
      </c>
      <c r="C14" s="1" t="s">
        <v>28</v>
      </c>
      <c r="D14" s="1" t="s">
        <v>157</v>
      </c>
      <c r="E14" s="1" t="s">
        <v>133</v>
      </c>
      <c r="F14" s="1" t="s">
        <v>158</v>
      </c>
      <c r="G14" s="1" t="s">
        <v>446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425</v>
      </c>
      <c r="B15" s="1" t="s">
        <v>161</v>
      </c>
      <c r="C15" s="1" t="s">
        <v>28</v>
      </c>
      <c r="D15" s="1" t="s">
        <v>162</v>
      </c>
      <c r="E15" s="1" t="s">
        <v>133</v>
      </c>
      <c r="F15" s="1" t="s">
        <v>163</v>
      </c>
      <c r="G15" s="1" t="s">
        <v>447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427</v>
      </c>
      <c r="B16" s="1" t="s">
        <v>166</v>
      </c>
      <c r="C16" s="1" t="s">
        <v>28</v>
      </c>
      <c r="D16" s="1" t="s">
        <v>167</v>
      </c>
      <c r="E16" s="1" t="s">
        <v>133</v>
      </c>
      <c r="F16" s="1" t="s">
        <v>168</v>
      </c>
      <c r="G16" s="1" t="s">
        <v>448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429</v>
      </c>
      <c r="B17" s="1" t="s">
        <v>172</v>
      </c>
      <c r="C17" s="1" t="s">
        <v>28</v>
      </c>
      <c r="D17" s="1" t="s">
        <v>173</v>
      </c>
      <c r="E17" s="1" t="s">
        <v>133</v>
      </c>
      <c r="F17" s="1" t="s">
        <v>174</v>
      </c>
      <c r="G17" s="1" t="s">
        <v>449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431</v>
      </c>
      <c r="B18" s="1" t="s">
        <v>178</v>
      </c>
      <c r="C18" s="1" t="s">
        <v>28</v>
      </c>
      <c r="D18" s="1" t="s">
        <v>179</v>
      </c>
      <c r="E18" s="1" t="s">
        <v>133</v>
      </c>
      <c r="F18" s="1" t="s">
        <v>174</v>
      </c>
      <c r="G18" s="1" t="s">
        <v>449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432</v>
      </c>
      <c r="B19" s="1" t="s">
        <v>181</v>
      </c>
      <c r="C19" s="1" t="s">
        <v>28</v>
      </c>
      <c r="D19" s="1" t="s">
        <v>182</v>
      </c>
      <c r="E19" s="1" t="s">
        <v>133</v>
      </c>
      <c r="F19" s="1" t="s">
        <v>174</v>
      </c>
      <c r="G19" s="1" t="s">
        <v>450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434</v>
      </c>
      <c r="B20" s="1" t="s">
        <v>186</v>
      </c>
      <c r="C20" s="1" t="s">
        <v>28</v>
      </c>
      <c r="D20" s="1" t="s">
        <v>187</v>
      </c>
      <c r="E20" s="1" t="s">
        <v>133</v>
      </c>
      <c r="F20" s="1" t="s">
        <v>174</v>
      </c>
      <c r="G20" s="1" t="s">
        <v>449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435</v>
      </c>
      <c r="B21" s="1" t="s">
        <v>190</v>
      </c>
      <c r="C21" s="1" t="s">
        <v>28</v>
      </c>
      <c r="D21" s="1" t="s">
        <v>191</v>
      </c>
      <c r="E21" s="1" t="s">
        <v>133</v>
      </c>
      <c r="F21" s="1" t="s">
        <v>192</v>
      </c>
      <c r="G21" s="1" t="s">
        <v>451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437</v>
      </c>
      <c r="B22" s="1" t="s">
        <v>195</v>
      </c>
      <c r="C22" s="1" t="s">
        <v>28</v>
      </c>
      <c r="D22" s="1" t="s">
        <v>196</v>
      </c>
      <c r="E22" s="1" t="s">
        <v>133</v>
      </c>
      <c r="F22" s="1" t="s">
        <v>192</v>
      </c>
      <c r="G22" s="1" t="s">
        <v>452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439</v>
      </c>
      <c r="B23" s="1" t="s">
        <v>199</v>
      </c>
      <c r="C23" s="1" t="s">
        <v>28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440</v>
      </c>
      <c r="B24" s="1" t="s">
        <v>204</v>
      </c>
      <c r="C24" s="1" t="s">
        <v>28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414</v>
      </c>
      <c r="B9" s="1" t="s">
        <v>130</v>
      </c>
      <c r="C9" s="1" t="s">
        <v>29</v>
      </c>
      <c r="D9" s="1" t="s">
        <v>132</v>
      </c>
      <c r="E9" s="1" t="s">
        <v>133</v>
      </c>
      <c r="F9" s="1" t="s">
        <v>134</v>
      </c>
      <c r="G9" s="1" t="s">
        <v>454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416</v>
      </c>
      <c r="B10" s="1" t="s">
        <v>137</v>
      </c>
      <c r="C10" s="1" t="s">
        <v>29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417</v>
      </c>
      <c r="B11" s="1" t="s">
        <v>141</v>
      </c>
      <c r="C11" s="1" t="s">
        <v>29</v>
      </c>
      <c r="D11" s="1" t="s">
        <v>142</v>
      </c>
      <c r="E11" s="1" t="s">
        <v>133</v>
      </c>
      <c r="F11" s="1" t="s">
        <v>143</v>
      </c>
      <c r="G11" s="1" t="s">
        <v>455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419</v>
      </c>
      <c r="B12" s="1" t="s">
        <v>146</v>
      </c>
      <c r="C12" s="1" t="s">
        <v>29</v>
      </c>
      <c r="D12" s="1" t="s">
        <v>147</v>
      </c>
      <c r="E12" s="1" t="s">
        <v>133</v>
      </c>
      <c r="F12" s="1" t="s">
        <v>148</v>
      </c>
      <c r="G12" s="1" t="s">
        <v>456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421</v>
      </c>
      <c r="B13" s="1" t="s">
        <v>151</v>
      </c>
      <c r="C13" s="1" t="s">
        <v>29</v>
      </c>
      <c r="D13" s="1" t="s">
        <v>152</v>
      </c>
      <c r="E13" s="1" t="s">
        <v>133</v>
      </c>
      <c r="F13" s="1" t="s">
        <v>153</v>
      </c>
      <c r="G13" s="1" t="s">
        <v>457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423</v>
      </c>
      <c r="B14" s="1" t="s">
        <v>156</v>
      </c>
      <c r="C14" s="1" t="s">
        <v>29</v>
      </c>
      <c r="D14" s="1" t="s">
        <v>157</v>
      </c>
      <c r="E14" s="1" t="s">
        <v>133</v>
      </c>
      <c r="F14" s="1" t="s">
        <v>158</v>
      </c>
      <c r="G14" s="1" t="s">
        <v>458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425</v>
      </c>
      <c r="B15" s="1" t="s">
        <v>161</v>
      </c>
      <c r="C15" s="1" t="s">
        <v>29</v>
      </c>
      <c r="D15" s="1" t="s">
        <v>162</v>
      </c>
      <c r="E15" s="1" t="s">
        <v>133</v>
      </c>
      <c r="F15" s="1" t="s">
        <v>163</v>
      </c>
      <c r="G15" s="1" t="s">
        <v>459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427</v>
      </c>
      <c r="B16" s="1" t="s">
        <v>166</v>
      </c>
      <c r="C16" s="1" t="s">
        <v>29</v>
      </c>
      <c r="D16" s="1" t="s">
        <v>167</v>
      </c>
      <c r="E16" s="1" t="s">
        <v>133</v>
      </c>
      <c r="F16" s="1" t="s">
        <v>168</v>
      </c>
      <c r="G16" s="1" t="s">
        <v>460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429</v>
      </c>
      <c r="B17" s="1" t="s">
        <v>172</v>
      </c>
      <c r="C17" s="1" t="s">
        <v>29</v>
      </c>
      <c r="D17" s="1" t="s">
        <v>173</v>
      </c>
      <c r="E17" s="1" t="s">
        <v>133</v>
      </c>
      <c r="F17" s="1" t="s">
        <v>174</v>
      </c>
      <c r="G17" s="1" t="s">
        <v>461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431</v>
      </c>
      <c r="B18" s="1" t="s">
        <v>178</v>
      </c>
      <c r="C18" s="1" t="s">
        <v>29</v>
      </c>
      <c r="D18" s="1" t="s">
        <v>179</v>
      </c>
      <c r="E18" s="1" t="s">
        <v>133</v>
      </c>
      <c r="F18" s="1" t="s">
        <v>174</v>
      </c>
      <c r="G18" s="1" t="s">
        <v>461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432</v>
      </c>
      <c r="B19" s="1" t="s">
        <v>181</v>
      </c>
      <c r="C19" s="1" t="s">
        <v>29</v>
      </c>
      <c r="D19" s="1" t="s">
        <v>182</v>
      </c>
      <c r="E19" s="1" t="s">
        <v>133</v>
      </c>
      <c r="F19" s="1" t="s">
        <v>174</v>
      </c>
      <c r="G19" s="1" t="s">
        <v>462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434</v>
      </c>
      <c r="B20" s="1" t="s">
        <v>186</v>
      </c>
      <c r="C20" s="1" t="s">
        <v>29</v>
      </c>
      <c r="D20" s="1" t="s">
        <v>187</v>
      </c>
      <c r="E20" s="1" t="s">
        <v>133</v>
      </c>
      <c r="F20" s="1" t="s">
        <v>174</v>
      </c>
      <c r="G20" s="1" t="s">
        <v>461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435</v>
      </c>
      <c r="B21" s="1" t="s">
        <v>190</v>
      </c>
      <c r="C21" s="1" t="s">
        <v>29</v>
      </c>
      <c r="D21" s="1" t="s">
        <v>191</v>
      </c>
      <c r="E21" s="1" t="s">
        <v>133</v>
      </c>
      <c r="F21" s="1" t="s">
        <v>192</v>
      </c>
      <c r="G21" s="1" t="s">
        <v>463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437</v>
      </c>
      <c r="B22" s="1" t="s">
        <v>195</v>
      </c>
      <c r="C22" s="1" t="s">
        <v>29</v>
      </c>
      <c r="D22" s="1" t="s">
        <v>196</v>
      </c>
      <c r="E22" s="1" t="s">
        <v>133</v>
      </c>
      <c r="F22" s="1" t="s">
        <v>192</v>
      </c>
      <c r="G22" s="1" t="s">
        <v>464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439</v>
      </c>
      <c r="B23" s="1" t="s">
        <v>199</v>
      </c>
      <c r="C23" s="1" t="s">
        <v>29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440</v>
      </c>
      <c r="B24" s="1" t="s">
        <v>204</v>
      </c>
      <c r="C24" s="1" t="s">
        <v>29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466</v>
      </c>
      <c r="B9" s="1" t="s">
        <v>130</v>
      </c>
      <c r="C9" s="1" t="s">
        <v>467</v>
      </c>
      <c r="D9" s="1" t="s">
        <v>132</v>
      </c>
      <c r="E9" s="1" t="s">
        <v>133</v>
      </c>
      <c r="F9" s="1" t="s">
        <v>134</v>
      </c>
      <c r="G9" s="1" t="s">
        <v>468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469</v>
      </c>
      <c r="B10" s="1" t="s">
        <v>137</v>
      </c>
      <c r="C10" s="1" t="s">
        <v>467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470</v>
      </c>
      <c r="B11" s="1" t="s">
        <v>141</v>
      </c>
      <c r="C11" s="1" t="s">
        <v>467</v>
      </c>
      <c r="D11" s="1" t="s">
        <v>142</v>
      </c>
      <c r="E11" s="1" t="s">
        <v>133</v>
      </c>
      <c r="F11" s="1" t="s">
        <v>143</v>
      </c>
      <c r="G11" s="1" t="s">
        <v>471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472</v>
      </c>
      <c r="B12" s="1" t="s">
        <v>146</v>
      </c>
      <c r="C12" s="1" t="s">
        <v>467</v>
      </c>
      <c r="D12" s="1" t="s">
        <v>147</v>
      </c>
      <c r="E12" s="1" t="s">
        <v>133</v>
      </c>
      <c r="F12" s="1" t="s">
        <v>148</v>
      </c>
      <c r="G12" s="1" t="s">
        <v>473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474</v>
      </c>
      <c r="B13" s="1" t="s">
        <v>151</v>
      </c>
      <c r="C13" s="1" t="s">
        <v>467</v>
      </c>
      <c r="D13" s="1" t="s">
        <v>152</v>
      </c>
      <c r="E13" s="1" t="s">
        <v>133</v>
      </c>
      <c r="F13" s="1" t="s">
        <v>153</v>
      </c>
      <c r="G13" s="1" t="s">
        <v>475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476</v>
      </c>
      <c r="B14" s="1" t="s">
        <v>156</v>
      </c>
      <c r="C14" s="1" t="s">
        <v>467</v>
      </c>
      <c r="D14" s="1" t="s">
        <v>157</v>
      </c>
      <c r="E14" s="1" t="s">
        <v>133</v>
      </c>
      <c r="F14" s="1" t="s">
        <v>158</v>
      </c>
      <c r="G14" s="1" t="s">
        <v>477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478</v>
      </c>
      <c r="B15" s="1" t="s">
        <v>161</v>
      </c>
      <c r="C15" s="1" t="s">
        <v>467</v>
      </c>
      <c r="D15" s="1" t="s">
        <v>162</v>
      </c>
      <c r="E15" s="1" t="s">
        <v>133</v>
      </c>
      <c r="F15" s="1" t="s">
        <v>163</v>
      </c>
      <c r="G15" s="1" t="s">
        <v>479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480</v>
      </c>
      <c r="B16" s="1" t="s">
        <v>166</v>
      </c>
      <c r="C16" s="1" t="s">
        <v>467</v>
      </c>
      <c r="D16" s="1" t="s">
        <v>167</v>
      </c>
      <c r="E16" s="1" t="s">
        <v>133</v>
      </c>
      <c r="F16" s="1" t="s">
        <v>168</v>
      </c>
      <c r="G16" s="1" t="s">
        <v>481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482</v>
      </c>
      <c r="B17" s="1" t="s">
        <v>172</v>
      </c>
      <c r="C17" s="1" t="s">
        <v>467</v>
      </c>
      <c r="D17" s="1" t="s">
        <v>173</v>
      </c>
      <c r="E17" s="1" t="s">
        <v>133</v>
      </c>
      <c r="F17" s="1" t="s">
        <v>174</v>
      </c>
      <c r="G17" s="1" t="s">
        <v>483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484</v>
      </c>
      <c r="B18" s="1" t="s">
        <v>178</v>
      </c>
      <c r="C18" s="1" t="s">
        <v>467</v>
      </c>
      <c r="D18" s="1" t="s">
        <v>179</v>
      </c>
      <c r="E18" s="1" t="s">
        <v>133</v>
      </c>
      <c r="F18" s="1" t="s">
        <v>174</v>
      </c>
      <c r="G18" s="1" t="s">
        <v>483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485</v>
      </c>
      <c r="B19" s="1" t="s">
        <v>181</v>
      </c>
      <c r="C19" s="1" t="s">
        <v>467</v>
      </c>
      <c r="D19" s="1" t="s">
        <v>182</v>
      </c>
      <c r="E19" s="1" t="s">
        <v>133</v>
      </c>
      <c r="F19" s="1" t="s">
        <v>174</v>
      </c>
      <c r="G19" s="1" t="s">
        <v>486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487</v>
      </c>
      <c r="B20" s="1" t="s">
        <v>186</v>
      </c>
      <c r="C20" s="1" t="s">
        <v>467</v>
      </c>
      <c r="D20" s="1" t="s">
        <v>187</v>
      </c>
      <c r="E20" s="1" t="s">
        <v>133</v>
      </c>
      <c r="F20" s="1" t="s">
        <v>174</v>
      </c>
      <c r="G20" s="1" t="s">
        <v>483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488</v>
      </c>
      <c r="B21" s="1" t="s">
        <v>190</v>
      </c>
      <c r="C21" s="1" t="s">
        <v>467</v>
      </c>
      <c r="D21" s="1" t="s">
        <v>191</v>
      </c>
      <c r="E21" s="1" t="s">
        <v>133</v>
      </c>
      <c r="F21" s="1" t="s">
        <v>192</v>
      </c>
      <c r="G21" s="1" t="s">
        <v>489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490</v>
      </c>
      <c r="B22" s="1" t="s">
        <v>195</v>
      </c>
      <c r="C22" s="1" t="s">
        <v>467</v>
      </c>
      <c r="D22" s="1" t="s">
        <v>196</v>
      </c>
      <c r="E22" s="1" t="s">
        <v>133</v>
      </c>
      <c r="F22" s="1" t="s">
        <v>192</v>
      </c>
      <c r="G22" s="1" t="s">
        <v>491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492</v>
      </c>
      <c r="B23" s="1" t="s">
        <v>199</v>
      </c>
      <c r="C23" s="1" t="s">
        <v>467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493</v>
      </c>
      <c r="B24" s="1" t="s">
        <v>204</v>
      </c>
      <c r="C24" s="1" t="s">
        <v>467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495</v>
      </c>
      <c r="B9" s="1" t="s">
        <v>130</v>
      </c>
      <c r="C9" s="1" t="s">
        <v>496</v>
      </c>
      <c r="D9" s="1" t="s">
        <v>132</v>
      </c>
      <c r="E9" s="1" t="s">
        <v>133</v>
      </c>
      <c r="F9" s="1" t="s">
        <v>134</v>
      </c>
      <c r="G9" s="1" t="s">
        <v>497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498</v>
      </c>
      <c r="B10" s="1" t="s">
        <v>137</v>
      </c>
      <c r="C10" s="1" t="s">
        <v>496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499</v>
      </c>
      <c r="B11" s="1" t="s">
        <v>141</v>
      </c>
      <c r="C11" s="1" t="s">
        <v>496</v>
      </c>
      <c r="D11" s="1" t="s">
        <v>142</v>
      </c>
      <c r="E11" s="1" t="s">
        <v>133</v>
      </c>
      <c r="F11" s="1" t="s">
        <v>143</v>
      </c>
      <c r="G11" s="1" t="s">
        <v>500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501</v>
      </c>
      <c r="B12" s="1" t="s">
        <v>146</v>
      </c>
      <c r="C12" s="1" t="s">
        <v>496</v>
      </c>
      <c r="D12" s="1" t="s">
        <v>147</v>
      </c>
      <c r="E12" s="1" t="s">
        <v>133</v>
      </c>
      <c r="F12" s="1" t="s">
        <v>148</v>
      </c>
      <c r="G12" s="1" t="s">
        <v>502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503</v>
      </c>
      <c r="B13" s="1" t="s">
        <v>151</v>
      </c>
      <c r="C13" s="1" t="s">
        <v>496</v>
      </c>
      <c r="D13" s="1" t="s">
        <v>152</v>
      </c>
      <c r="E13" s="1" t="s">
        <v>133</v>
      </c>
      <c r="F13" s="1" t="s">
        <v>153</v>
      </c>
      <c r="G13" s="1" t="s">
        <v>504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505</v>
      </c>
      <c r="B14" s="1" t="s">
        <v>156</v>
      </c>
      <c r="C14" s="1" t="s">
        <v>496</v>
      </c>
      <c r="D14" s="1" t="s">
        <v>157</v>
      </c>
      <c r="E14" s="1" t="s">
        <v>133</v>
      </c>
      <c r="F14" s="1" t="s">
        <v>158</v>
      </c>
      <c r="G14" s="1" t="s">
        <v>506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507</v>
      </c>
      <c r="B15" s="1" t="s">
        <v>161</v>
      </c>
      <c r="C15" s="1" t="s">
        <v>496</v>
      </c>
      <c r="D15" s="1" t="s">
        <v>162</v>
      </c>
      <c r="E15" s="1" t="s">
        <v>133</v>
      </c>
      <c r="F15" s="1" t="s">
        <v>163</v>
      </c>
      <c r="G15" s="1" t="s">
        <v>508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509</v>
      </c>
      <c r="B16" s="1" t="s">
        <v>166</v>
      </c>
      <c r="C16" s="1" t="s">
        <v>496</v>
      </c>
      <c r="D16" s="1" t="s">
        <v>167</v>
      </c>
      <c r="E16" s="1" t="s">
        <v>133</v>
      </c>
      <c r="F16" s="1" t="s">
        <v>168</v>
      </c>
      <c r="G16" s="1" t="s">
        <v>510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511</v>
      </c>
      <c r="B17" s="1" t="s">
        <v>172</v>
      </c>
      <c r="C17" s="1" t="s">
        <v>496</v>
      </c>
      <c r="D17" s="1" t="s">
        <v>173</v>
      </c>
      <c r="E17" s="1" t="s">
        <v>133</v>
      </c>
      <c r="F17" s="1" t="s">
        <v>174</v>
      </c>
      <c r="G17" s="1" t="s">
        <v>512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513</v>
      </c>
      <c r="B18" s="1" t="s">
        <v>178</v>
      </c>
      <c r="C18" s="1" t="s">
        <v>496</v>
      </c>
      <c r="D18" s="1" t="s">
        <v>179</v>
      </c>
      <c r="E18" s="1" t="s">
        <v>133</v>
      </c>
      <c r="F18" s="1" t="s">
        <v>174</v>
      </c>
      <c r="G18" s="1" t="s">
        <v>512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514</v>
      </c>
      <c r="B19" s="1" t="s">
        <v>181</v>
      </c>
      <c r="C19" s="1" t="s">
        <v>496</v>
      </c>
      <c r="D19" s="1" t="s">
        <v>182</v>
      </c>
      <c r="E19" s="1" t="s">
        <v>133</v>
      </c>
      <c r="F19" s="1" t="s">
        <v>174</v>
      </c>
      <c r="G19" s="1" t="s">
        <v>515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516</v>
      </c>
      <c r="B20" s="1" t="s">
        <v>186</v>
      </c>
      <c r="C20" s="1" t="s">
        <v>496</v>
      </c>
      <c r="D20" s="1" t="s">
        <v>187</v>
      </c>
      <c r="E20" s="1" t="s">
        <v>133</v>
      </c>
      <c r="F20" s="1" t="s">
        <v>174</v>
      </c>
      <c r="G20" s="1" t="s">
        <v>512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517</v>
      </c>
      <c r="B21" s="1" t="s">
        <v>190</v>
      </c>
      <c r="C21" s="1" t="s">
        <v>496</v>
      </c>
      <c r="D21" s="1" t="s">
        <v>191</v>
      </c>
      <c r="E21" s="1" t="s">
        <v>133</v>
      </c>
      <c r="F21" s="1" t="s">
        <v>192</v>
      </c>
      <c r="G21" s="1" t="s">
        <v>518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519</v>
      </c>
      <c r="B22" s="1" t="s">
        <v>195</v>
      </c>
      <c r="C22" s="1" t="s">
        <v>496</v>
      </c>
      <c r="D22" s="1" t="s">
        <v>196</v>
      </c>
      <c r="E22" s="1" t="s">
        <v>133</v>
      </c>
      <c r="F22" s="1" t="s">
        <v>192</v>
      </c>
      <c r="G22" s="1" t="s">
        <v>520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521</v>
      </c>
      <c r="B23" s="1" t="s">
        <v>199</v>
      </c>
      <c r="C23" s="1" t="s">
        <v>496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522</v>
      </c>
      <c r="B24" s="1" t="s">
        <v>204</v>
      </c>
      <c r="C24" s="1" t="s">
        <v>496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115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524</v>
      </c>
      <c r="B9" s="12" t="s">
        <v>130</v>
      </c>
      <c r="C9" s="12" t="s">
        <v>32</v>
      </c>
      <c r="D9" s="13" t="s">
        <v>525</v>
      </c>
      <c r="E9" s="12" t="s">
        <v>133</v>
      </c>
      <c r="F9" s="12" t="s">
        <v>134</v>
      </c>
      <c r="G9" s="13" t="s">
        <v>526</v>
      </c>
      <c r="H9" s="12" t="s">
        <v>97</v>
      </c>
      <c r="I9" s="12" t="s">
        <v>112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527</v>
      </c>
      <c r="B10" s="12" t="s">
        <v>137</v>
      </c>
      <c r="C10" s="12" t="s">
        <v>32</v>
      </c>
      <c r="D10" s="13" t="s">
        <v>528</v>
      </c>
      <c r="E10" s="12" t="s">
        <v>133</v>
      </c>
      <c r="F10" s="12" t="s">
        <v>133</v>
      </c>
      <c r="G10" s="13" t="s">
        <v>139</v>
      </c>
      <c r="H10" s="12" t="s">
        <v>97</v>
      </c>
      <c r="I10" s="12" t="s">
        <v>112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529</v>
      </c>
      <c r="B11" s="12" t="s">
        <v>141</v>
      </c>
      <c r="C11" s="12" t="s">
        <v>32</v>
      </c>
      <c r="D11" s="13" t="s">
        <v>530</v>
      </c>
      <c r="E11" s="12" t="s">
        <v>133</v>
      </c>
      <c r="F11" s="12" t="s">
        <v>143</v>
      </c>
      <c r="G11" s="13" t="s">
        <v>531</v>
      </c>
      <c r="H11" s="12" t="s">
        <v>97</v>
      </c>
      <c r="I11" s="12" t="s">
        <v>112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532</v>
      </c>
      <c r="B12" s="12" t="s">
        <v>146</v>
      </c>
      <c r="C12" s="12" t="s">
        <v>32</v>
      </c>
      <c r="D12" s="13" t="s">
        <v>533</v>
      </c>
      <c r="E12" s="12" t="s">
        <v>133</v>
      </c>
      <c r="F12" s="12" t="s">
        <v>148</v>
      </c>
      <c r="G12" s="13" t="s">
        <v>534</v>
      </c>
      <c r="H12" s="12" t="s">
        <v>97</v>
      </c>
      <c r="I12" s="12" t="s">
        <v>112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535</v>
      </c>
      <c r="B13" s="12" t="s">
        <v>151</v>
      </c>
      <c r="C13" s="12" t="s">
        <v>32</v>
      </c>
      <c r="D13" s="13" t="s">
        <v>536</v>
      </c>
      <c r="E13" s="12" t="s">
        <v>133</v>
      </c>
      <c r="F13" s="12" t="s">
        <v>153</v>
      </c>
      <c r="G13" s="13" t="s">
        <v>537</v>
      </c>
      <c r="H13" s="12" t="s">
        <v>97</v>
      </c>
      <c r="I13" s="12" t="s">
        <v>112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538</v>
      </c>
      <c r="B14" s="12" t="s">
        <v>156</v>
      </c>
      <c r="C14" s="12" t="s">
        <v>32</v>
      </c>
      <c r="D14" s="13" t="s">
        <v>539</v>
      </c>
      <c r="E14" s="12" t="s">
        <v>133</v>
      </c>
      <c r="F14" s="12" t="s">
        <v>158</v>
      </c>
      <c r="G14" s="13" t="s">
        <v>540</v>
      </c>
      <c r="H14" s="12" t="s">
        <v>97</v>
      </c>
      <c r="I14" s="12" t="s">
        <v>112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541</v>
      </c>
      <c r="B15" s="12" t="s">
        <v>161</v>
      </c>
      <c r="C15" s="12" t="s">
        <v>32</v>
      </c>
      <c r="D15" s="13" t="s">
        <v>542</v>
      </c>
      <c r="E15" s="12" t="s">
        <v>133</v>
      </c>
      <c r="F15" s="12" t="s">
        <v>163</v>
      </c>
      <c r="G15" s="13" t="s">
        <v>543</v>
      </c>
      <c r="H15" s="12" t="s">
        <v>97</v>
      </c>
      <c r="I15" s="12" t="s">
        <v>112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544</v>
      </c>
      <c r="B16" s="12" t="s">
        <v>166</v>
      </c>
      <c r="C16" s="12" t="s">
        <v>32</v>
      </c>
      <c r="D16" s="13" t="s">
        <v>545</v>
      </c>
      <c r="E16" s="12" t="s">
        <v>133</v>
      </c>
      <c r="F16" s="12" t="s">
        <v>168</v>
      </c>
      <c r="G16" s="13" t="s">
        <v>546</v>
      </c>
      <c r="H16" s="12" t="s">
        <v>99</v>
      </c>
      <c r="I16" s="12" t="s">
        <v>111</v>
      </c>
      <c r="J16" s="14" t="n">
        <v>46227</v>
      </c>
      <c r="K16" s="13" t="s">
        <v>547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548</v>
      </c>
      <c r="B17" s="12" t="s">
        <v>172</v>
      </c>
      <c r="C17" s="12" t="s">
        <v>32</v>
      </c>
      <c r="D17" s="13" t="s">
        <v>549</v>
      </c>
      <c r="E17" s="12" t="s">
        <v>133</v>
      </c>
      <c r="F17" s="12" t="s">
        <v>174</v>
      </c>
      <c r="G17" s="13" t="s">
        <v>550</v>
      </c>
      <c r="H17" s="12" t="s">
        <v>95</v>
      </c>
      <c r="I17" s="12" t="s">
        <v>111</v>
      </c>
      <c r="J17" s="14"/>
      <c r="K17" s="13" t="s">
        <v>551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552</v>
      </c>
      <c r="B18" s="12" t="s">
        <v>178</v>
      </c>
      <c r="C18" s="12" t="s">
        <v>32</v>
      </c>
      <c r="D18" s="13" t="s">
        <v>553</v>
      </c>
      <c r="E18" s="12" t="s">
        <v>133</v>
      </c>
      <c r="F18" s="12" t="s">
        <v>174</v>
      </c>
      <c r="G18" s="13" t="s">
        <v>554</v>
      </c>
      <c r="H18" s="12" t="s">
        <v>95</v>
      </c>
      <c r="I18" s="12" t="s">
        <v>111</v>
      </c>
      <c r="J18" s="14"/>
      <c r="K18" s="13" t="s">
        <v>555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556</v>
      </c>
      <c r="B19" s="12" t="s">
        <v>181</v>
      </c>
      <c r="C19" s="12" t="s">
        <v>32</v>
      </c>
      <c r="D19" s="13" t="s">
        <v>557</v>
      </c>
      <c r="E19" s="12" t="s">
        <v>133</v>
      </c>
      <c r="F19" s="12" t="s">
        <v>174</v>
      </c>
      <c r="G19" s="13" t="s">
        <v>558</v>
      </c>
      <c r="H19" s="12" t="s">
        <v>95</v>
      </c>
      <c r="I19" s="12" t="s">
        <v>111</v>
      </c>
      <c r="J19" s="14"/>
      <c r="K19" s="13" t="s">
        <v>559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560</v>
      </c>
      <c r="B20" s="12" t="s">
        <v>186</v>
      </c>
      <c r="C20" s="12" t="s">
        <v>32</v>
      </c>
      <c r="D20" s="13" t="s">
        <v>561</v>
      </c>
      <c r="E20" s="12" t="s">
        <v>133</v>
      </c>
      <c r="F20" s="12" t="s">
        <v>174</v>
      </c>
      <c r="G20" s="13" t="s">
        <v>550</v>
      </c>
      <c r="H20" s="12" t="s">
        <v>95</v>
      </c>
      <c r="I20" s="12" t="s">
        <v>111</v>
      </c>
      <c r="J20" s="14"/>
      <c r="K20" s="13" t="s">
        <v>562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563</v>
      </c>
      <c r="B21" s="12" t="s">
        <v>190</v>
      </c>
      <c r="C21" s="12" t="s">
        <v>32</v>
      </c>
      <c r="D21" s="13" t="s">
        <v>564</v>
      </c>
      <c r="E21" s="12" t="s">
        <v>133</v>
      </c>
      <c r="F21" s="12" t="s">
        <v>192</v>
      </c>
      <c r="G21" s="13" t="s">
        <v>565</v>
      </c>
      <c r="H21" s="12" t="s">
        <v>97</v>
      </c>
      <c r="I21" s="12" t="s">
        <v>112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566</v>
      </c>
      <c r="B22" s="12" t="s">
        <v>195</v>
      </c>
      <c r="C22" s="12" t="s">
        <v>32</v>
      </c>
      <c r="D22" s="13" t="s">
        <v>567</v>
      </c>
      <c r="E22" s="12" t="s">
        <v>133</v>
      </c>
      <c r="F22" s="12" t="s">
        <v>192</v>
      </c>
      <c r="G22" s="13" t="s">
        <v>568</v>
      </c>
      <c r="H22" s="12" t="s">
        <v>97</v>
      </c>
      <c r="I22" s="12" t="s">
        <v>112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569</v>
      </c>
      <c r="B23" s="12" t="s">
        <v>199</v>
      </c>
      <c r="C23" s="12" t="s">
        <v>32</v>
      </c>
      <c r="D23" s="13" t="s">
        <v>570</v>
      </c>
      <c r="E23" s="12" t="s">
        <v>201</v>
      </c>
      <c r="F23" s="12" t="s">
        <v>201</v>
      </c>
      <c r="G23" s="13" t="s">
        <v>202</v>
      </c>
      <c r="H23" s="12" t="s">
        <v>97</v>
      </c>
      <c r="I23" s="12" t="s">
        <v>112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571</v>
      </c>
      <c r="B24" s="12" t="s">
        <v>204</v>
      </c>
      <c r="C24" s="12" t="s">
        <v>32</v>
      </c>
      <c r="D24" s="13" t="s">
        <v>572</v>
      </c>
      <c r="E24" s="12" t="s">
        <v>133</v>
      </c>
      <c r="F24" s="12" t="s">
        <v>133</v>
      </c>
      <c r="G24" s="13" t="s">
        <v>573</v>
      </c>
      <c r="H24" s="12" t="s">
        <v>97</v>
      </c>
      <c r="I24" s="12" t="s">
        <v>112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575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115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576</v>
      </c>
      <c r="B9" s="12" t="s">
        <v>130</v>
      </c>
      <c r="C9" s="12" t="s">
        <v>33</v>
      </c>
      <c r="D9" s="13" t="s">
        <v>577</v>
      </c>
      <c r="E9" s="12" t="s">
        <v>133</v>
      </c>
      <c r="F9" s="12" t="s">
        <v>134</v>
      </c>
      <c r="G9" s="13" t="s">
        <v>578</v>
      </c>
      <c r="H9" s="12" t="s">
        <v>97</v>
      </c>
      <c r="I9" s="12" t="s">
        <v>112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579</v>
      </c>
      <c r="B10" s="12" t="s">
        <v>137</v>
      </c>
      <c r="C10" s="12" t="s">
        <v>33</v>
      </c>
      <c r="D10" s="13" t="s">
        <v>580</v>
      </c>
      <c r="E10" s="12" t="s">
        <v>133</v>
      </c>
      <c r="F10" s="12" t="s">
        <v>133</v>
      </c>
      <c r="G10" s="13" t="s">
        <v>581</v>
      </c>
      <c r="H10" s="12" t="s">
        <v>97</v>
      </c>
      <c r="I10" s="12" t="s">
        <v>112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582</v>
      </c>
      <c r="B11" s="12" t="s">
        <v>141</v>
      </c>
      <c r="C11" s="12" t="s">
        <v>33</v>
      </c>
      <c r="D11" s="13" t="s">
        <v>583</v>
      </c>
      <c r="E11" s="12" t="s">
        <v>133</v>
      </c>
      <c r="F11" s="12" t="s">
        <v>143</v>
      </c>
      <c r="G11" s="13" t="s">
        <v>584</v>
      </c>
      <c r="H11" s="12" t="s">
        <v>97</v>
      </c>
      <c r="I11" s="12" t="s">
        <v>112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585</v>
      </c>
      <c r="B12" s="12" t="s">
        <v>146</v>
      </c>
      <c r="C12" s="12" t="s">
        <v>33</v>
      </c>
      <c r="D12" s="13" t="s">
        <v>586</v>
      </c>
      <c r="E12" s="12" t="s">
        <v>133</v>
      </c>
      <c r="F12" s="12" t="s">
        <v>148</v>
      </c>
      <c r="G12" s="13" t="s">
        <v>587</v>
      </c>
      <c r="H12" s="12" t="s">
        <v>97</v>
      </c>
      <c r="I12" s="12" t="s">
        <v>112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588</v>
      </c>
      <c r="B13" s="12" t="s">
        <v>151</v>
      </c>
      <c r="C13" s="12" t="s">
        <v>33</v>
      </c>
      <c r="D13" s="13" t="s">
        <v>589</v>
      </c>
      <c r="E13" s="12" t="s">
        <v>133</v>
      </c>
      <c r="F13" s="12" t="s">
        <v>153</v>
      </c>
      <c r="G13" s="13" t="s">
        <v>590</v>
      </c>
      <c r="H13" s="12" t="s">
        <v>97</v>
      </c>
      <c r="I13" s="12" t="s">
        <v>112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591</v>
      </c>
      <c r="B14" s="12" t="s">
        <v>156</v>
      </c>
      <c r="C14" s="12" t="s">
        <v>33</v>
      </c>
      <c r="D14" s="13" t="s">
        <v>592</v>
      </c>
      <c r="E14" s="12" t="s">
        <v>133</v>
      </c>
      <c r="F14" s="12" t="s">
        <v>158</v>
      </c>
      <c r="G14" s="13" t="s">
        <v>593</v>
      </c>
      <c r="H14" s="12" t="s">
        <v>97</v>
      </c>
      <c r="I14" s="12" t="s">
        <v>112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594</v>
      </c>
      <c r="B15" s="12" t="s">
        <v>161</v>
      </c>
      <c r="C15" s="12" t="s">
        <v>33</v>
      </c>
      <c r="D15" s="13" t="s">
        <v>595</v>
      </c>
      <c r="E15" s="12" t="s">
        <v>133</v>
      </c>
      <c r="F15" s="12" t="s">
        <v>163</v>
      </c>
      <c r="G15" s="13" t="s">
        <v>593</v>
      </c>
      <c r="H15" s="12" t="s">
        <v>97</v>
      </c>
      <c r="I15" s="12" t="s">
        <v>112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596</v>
      </c>
      <c r="B16" s="12" t="s">
        <v>166</v>
      </c>
      <c r="C16" s="12" t="s">
        <v>33</v>
      </c>
      <c r="D16" s="13" t="s">
        <v>597</v>
      </c>
      <c r="E16" s="12" t="s">
        <v>133</v>
      </c>
      <c r="F16" s="12" t="s">
        <v>168</v>
      </c>
      <c r="G16" s="13" t="s">
        <v>598</v>
      </c>
      <c r="H16" s="12" t="s">
        <v>99</v>
      </c>
      <c r="I16" s="12" t="s">
        <v>111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599</v>
      </c>
      <c r="B17" s="12" t="s">
        <v>172</v>
      </c>
      <c r="C17" s="12" t="s">
        <v>33</v>
      </c>
      <c r="D17" s="13" t="s">
        <v>600</v>
      </c>
      <c r="E17" s="12" t="s">
        <v>133</v>
      </c>
      <c r="F17" s="12" t="s">
        <v>174</v>
      </c>
      <c r="G17" s="13" t="s">
        <v>601</v>
      </c>
      <c r="H17" s="12" t="s">
        <v>95</v>
      </c>
      <c r="I17" s="12" t="s">
        <v>111</v>
      </c>
      <c r="J17" s="14"/>
      <c r="K17" s="13" t="s">
        <v>602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603</v>
      </c>
      <c r="B18" s="12" t="s">
        <v>178</v>
      </c>
      <c r="C18" s="12" t="s">
        <v>33</v>
      </c>
      <c r="D18" s="13" t="s">
        <v>604</v>
      </c>
      <c r="E18" s="12" t="s">
        <v>133</v>
      </c>
      <c r="F18" s="12" t="s">
        <v>174</v>
      </c>
      <c r="G18" s="13" t="s">
        <v>605</v>
      </c>
      <c r="H18" s="12" t="s">
        <v>95</v>
      </c>
      <c r="I18" s="12" t="s">
        <v>111</v>
      </c>
      <c r="J18" s="14"/>
      <c r="K18" s="13" t="s">
        <v>606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607</v>
      </c>
      <c r="B19" s="12" t="s">
        <v>181</v>
      </c>
      <c r="C19" s="12" t="s">
        <v>33</v>
      </c>
      <c r="D19" s="13" t="s">
        <v>608</v>
      </c>
      <c r="E19" s="12" t="s">
        <v>133</v>
      </c>
      <c r="F19" s="12" t="s">
        <v>158</v>
      </c>
      <c r="G19" s="13" t="s">
        <v>593</v>
      </c>
      <c r="H19" s="12" t="s">
        <v>97</v>
      </c>
      <c r="I19" s="12" t="s">
        <v>112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609</v>
      </c>
      <c r="B20" s="12" t="s">
        <v>186</v>
      </c>
      <c r="C20" s="12" t="s">
        <v>33</v>
      </c>
      <c r="D20" s="13" t="s">
        <v>610</v>
      </c>
      <c r="E20" s="12" t="s">
        <v>133</v>
      </c>
      <c r="F20" s="12" t="s">
        <v>174</v>
      </c>
      <c r="G20" s="13" t="s">
        <v>601</v>
      </c>
      <c r="H20" s="12" t="s">
        <v>95</v>
      </c>
      <c r="I20" s="12" t="s">
        <v>111</v>
      </c>
      <c r="J20" s="14"/>
      <c r="K20" s="13" t="s">
        <v>611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612</v>
      </c>
      <c r="B21" s="12" t="s">
        <v>190</v>
      </c>
      <c r="C21" s="12" t="s">
        <v>33</v>
      </c>
      <c r="D21" s="13" t="s">
        <v>613</v>
      </c>
      <c r="E21" s="12" t="s">
        <v>133</v>
      </c>
      <c r="F21" s="12" t="s">
        <v>192</v>
      </c>
      <c r="G21" s="13" t="s">
        <v>614</v>
      </c>
      <c r="H21" s="12" t="s">
        <v>97</v>
      </c>
      <c r="I21" s="12" t="s">
        <v>112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615</v>
      </c>
      <c r="B22" s="12" t="s">
        <v>195</v>
      </c>
      <c r="C22" s="12" t="s">
        <v>33</v>
      </c>
      <c r="D22" s="13" t="s">
        <v>616</v>
      </c>
      <c r="E22" s="12" t="s">
        <v>133</v>
      </c>
      <c r="F22" s="12" t="s">
        <v>192</v>
      </c>
      <c r="G22" s="13" t="s">
        <v>617</v>
      </c>
      <c r="H22" s="12" t="s">
        <v>97</v>
      </c>
      <c r="I22" s="12" t="s">
        <v>112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618</v>
      </c>
      <c r="B23" s="12" t="s">
        <v>199</v>
      </c>
      <c r="C23" s="12" t="s">
        <v>33</v>
      </c>
      <c r="D23" s="13" t="s">
        <v>619</v>
      </c>
      <c r="E23" s="12" t="s">
        <v>201</v>
      </c>
      <c r="F23" s="12" t="s">
        <v>201</v>
      </c>
      <c r="G23" s="13" t="s">
        <v>202</v>
      </c>
      <c r="H23" s="12" t="s">
        <v>97</v>
      </c>
      <c r="I23" s="12" t="s">
        <v>112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620</v>
      </c>
      <c r="B24" s="12" t="s">
        <v>621</v>
      </c>
      <c r="C24" s="12" t="s">
        <v>33</v>
      </c>
      <c r="D24" s="13" t="s">
        <v>622</v>
      </c>
      <c r="E24" s="12" t="s">
        <v>133</v>
      </c>
      <c r="F24" s="12" t="s">
        <v>623</v>
      </c>
      <c r="G24" s="13" t="s">
        <v>624</v>
      </c>
      <c r="H24" s="12" t="s">
        <v>97</v>
      </c>
      <c r="I24" s="12" t="s">
        <v>112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625</v>
      </c>
      <c r="B25" s="12" t="s">
        <v>204</v>
      </c>
      <c r="C25" s="12" t="s">
        <v>33</v>
      </c>
      <c r="D25" s="13" t="s">
        <v>626</v>
      </c>
      <c r="E25" s="12" t="s">
        <v>133</v>
      </c>
      <c r="F25" s="12" t="s">
        <v>133</v>
      </c>
      <c r="G25" s="13" t="s">
        <v>627</v>
      </c>
      <c r="H25" s="12" t="s">
        <v>97</v>
      </c>
      <c r="I25" s="12" t="s">
        <v>112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115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629</v>
      </c>
      <c r="B9" s="12" t="s">
        <v>130</v>
      </c>
      <c r="C9" s="12" t="s">
        <v>40</v>
      </c>
      <c r="D9" s="13" t="s">
        <v>630</v>
      </c>
      <c r="E9" s="12" t="s">
        <v>133</v>
      </c>
      <c r="F9" s="12" t="s">
        <v>134</v>
      </c>
      <c r="G9" s="13" t="s">
        <v>631</v>
      </c>
      <c r="H9" s="12" t="s">
        <v>97</v>
      </c>
      <c r="I9" s="12" t="s">
        <v>112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632</v>
      </c>
      <c r="B10" s="12" t="s">
        <v>137</v>
      </c>
      <c r="C10" s="12" t="s">
        <v>40</v>
      </c>
      <c r="D10" s="13" t="s">
        <v>633</v>
      </c>
      <c r="E10" s="12" t="s">
        <v>133</v>
      </c>
      <c r="F10" s="12" t="s">
        <v>133</v>
      </c>
      <c r="G10" s="13" t="s">
        <v>139</v>
      </c>
      <c r="H10" s="12" t="s">
        <v>97</v>
      </c>
      <c r="I10" s="12" t="s">
        <v>112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634</v>
      </c>
      <c r="B11" s="12" t="s">
        <v>141</v>
      </c>
      <c r="C11" s="12" t="s">
        <v>40</v>
      </c>
      <c r="D11" s="13" t="s">
        <v>635</v>
      </c>
      <c r="E11" s="12" t="s">
        <v>133</v>
      </c>
      <c r="F11" s="12" t="s">
        <v>143</v>
      </c>
      <c r="G11" s="13" t="s">
        <v>636</v>
      </c>
      <c r="H11" s="12" t="s">
        <v>97</v>
      </c>
      <c r="I11" s="12" t="s">
        <v>112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637</v>
      </c>
      <c r="B12" s="12" t="s">
        <v>146</v>
      </c>
      <c r="C12" s="12" t="s">
        <v>40</v>
      </c>
      <c r="D12" s="13" t="s">
        <v>638</v>
      </c>
      <c r="E12" s="12" t="s">
        <v>133</v>
      </c>
      <c r="F12" s="12" t="s">
        <v>148</v>
      </c>
      <c r="G12" s="13" t="s">
        <v>639</v>
      </c>
      <c r="H12" s="12" t="s">
        <v>97</v>
      </c>
      <c r="I12" s="12" t="s">
        <v>112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640</v>
      </c>
      <c r="B13" s="12" t="s">
        <v>151</v>
      </c>
      <c r="C13" s="12" t="s">
        <v>40</v>
      </c>
      <c r="D13" s="13" t="s">
        <v>641</v>
      </c>
      <c r="E13" s="12" t="s">
        <v>133</v>
      </c>
      <c r="F13" s="12" t="s">
        <v>153</v>
      </c>
      <c r="G13" s="13" t="s">
        <v>642</v>
      </c>
      <c r="H13" s="12" t="s">
        <v>97</v>
      </c>
      <c r="I13" s="12" t="s">
        <v>112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643</v>
      </c>
      <c r="B14" s="12" t="s">
        <v>156</v>
      </c>
      <c r="C14" s="12" t="s">
        <v>40</v>
      </c>
      <c r="D14" s="13" t="s">
        <v>644</v>
      </c>
      <c r="E14" s="12" t="s">
        <v>133</v>
      </c>
      <c r="F14" s="12" t="s">
        <v>158</v>
      </c>
      <c r="G14" s="13" t="s">
        <v>645</v>
      </c>
      <c r="H14" s="12" t="s">
        <v>97</v>
      </c>
      <c r="I14" s="12" t="s">
        <v>112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646</v>
      </c>
      <c r="B15" s="12" t="s">
        <v>161</v>
      </c>
      <c r="C15" s="12" t="s">
        <v>40</v>
      </c>
      <c r="D15" s="13" t="s">
        <v>647</v>
      </c>
      <c r="E15" s="12" t="s">
        <v>133</v>
      </c>
      <c r="F15" s="12" t="s">
        <v>163</v>
      </c>
      <c r="G15" s="13" t="s">
        <v>645</v>
      </c>
      <c r="H15" s="12" t="s">
        <v>97</v>
      </c>
      <c r="I15" s="12" t="s">
        <v>112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648</v>
      </c>
      <c r="B16" s="12" t="s">
        <v>166</v>
      </c>
      <c r="C16" s="12" t="s">
        <v>40</v>
      </c>
      <c r="D16" s="13" t="s">
        <v>649</v>
      </c>
      <c r="E16" s="12" t="s">
        <v>133</v>
      </c>
      <c r="F16" s="12" t="s">
        <v>168</v>
      </c>
      <c r="G16" s="13" t="s">
        <v>650</v>
      </c>
      <c r="H16" s="12" t="s">
        <v>99</v>
      </c>
      <c r="I16" s="12" t="s">
        <v>111</v>
      </c>
      <c r="J16" s="14" t="n">
        <v>46227</v>
      </c>
      <c r="K16" s="13" t="s">
        <v>651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652</v>
      </c>
      <c r="B17" s="12" t="s">
        <v>172</v>
      </c>
      <c r="C17" s="12" t="s">
        <v>40</v>
      </c>
      <c r="D17" s="13" t="s">
        <v>653</v>
      </c>
      <c r="E17" s="12" t="s">
        <v>133</v>
      </c>
      <c r="F17" s="12" t="s">
        <v>174</v>
      </c>
      <c r="G17" s="13" t="s">
        <v>654</v>
      </c>
      <c r="H17" s="12" t="s">
        <v>95</v>
      </c>
      <c r="I17" s="12" t="s">
        <v>111</v>
      </c>
      <c r="J17" s="14"/>
      <c r="K17" s="13" t="s">
        <v>655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656</v>
      </c>
      <c r="B18" s="12" t="s">
        <v>178</v>
      </c>
      <c r="C18" s="12" t="s">
        <v>40</v>
      </c>
      <c r="D18" s="13" t="s">
        <v>657</v>
      </c>
      <c r="E18" s="12" t="s">
        <v>133</v>
      </c>
      <c r="F18" s="12" t="s">
        <v>174</v>
      </c>
      <c r="G18" s="13" t="s">
        <v>658</v>
      </c>
      <c r="H18" s="12" t="s">
        <v>95</v>
      </c>
      <c r="I18" s="12" t="s">
        <v>111</v>
      </c>
      <c r="J18" s="14"/>
      <c r="K18" s="13" t="s">
        <v>659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660</v>
      </c>
      <c r="B19" s="12" t="s">
        <v>661</v>
      </c>
      <c r="C19" s="12" t="s">
        <v>40</v>
      </c>
      <c r="D19" s="13" t="s">
        <v>662</v>
      </c>
      <c r="E19" s="12" t="s">
        <v>133</v>
      </c>
      <c r="F19" s="12" t="s">
        <v>158</v>
      </c>
      <c r="G19" s="13" t="s">
        <v>645</v>
      </c>
      <c r="H19" s="12" t="s">
        <v>97</v>
      </c>
      <c r="I19" s="12" t="s">
        <v>112</v>
      </c>
      <c r="J19" s="14" t="n">
        <v>46227</v>
      </c>
      <c r="K19" s="13" t="s">
        <v>559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663</v>
      </c>
      <c r="B20" s="12" t="s">
        <v>186</v>
      </c>
      <c r="C20" s="12" t="s">
        <v>40</v>
      </c>
      <c r="D20" s="13" t="s">
        <v>664</v>
      </c>
      <c r="E20" s="12" t="s">
        <v>133</v>
      </c>
      <c r="F20" s="12" t="s">
        <v>174</v>
      </c>
      <c r="G20" s="13" t="s">
        <v>654</v>
      </c>
      <c r="H20" s="12" t="s">
        <v>95</v>
      </c>
      <c r="I20" s="12" t="s">
        <v>111</v>
      </c>
      <c r="J20" s="14"/>
      <c r="K20" s="13" t="s">
        <v>562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665</v>
      </c>
      <c r="B21" s="12" t="s">
        <v>190</v>
      </c>
      <c r="C21" s="12" t="s">
        <v>40</v>
      </c>
      <c r="D21" s="13" t="s">
        <v>564</v>
      </c>
      <c r="E21" s="12" t="s">
        <v>133</v>
      </c>
      <c r="F21" s="12" t="s">
        <v>192</v>
      </c>
      <c r="G21" s="13" t="s">
        <v>666</v>
      </c>
      <c r="H21" s="12" t="s">
        <v>97</v>
      </c>
      <c r="I21" s="12" t="s">
        <v>112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667</v>
      </c>
      <c r="B22" s="12" t="s">
        <v>195</v>
      </c>
      <c r="C22" s="12" t="s">
        <v>40</v>
      </c>
      <c r="D22" s="13" t="s">
        <v>668</v>
      </c>
      <c r="E22" s="12" t="s">
        <v>133</v>
      </c>
      <c r="F22" s="12" t="s">
        <v>192</v>
      </c>
      <c r="G22" s="13" t="s">
        <v>669</v>
      </c>
      <c r="H22" s="12" t="s">
        <v>97</v>
      </c>
      <c r="I22" s="12" t="s">
        <v>112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670</v>
      </c>
      <c r="B23" s="12" t="s">
        <v>199</v>
      </c>
      <c r="C23" s="12" t="s">
        <v>40</v>
      </c>
      <c r="D23" s="13" t="s">
        <v>671</v>
      </c>
      <c r="E23" s="12" t="s">
        <v>201</v>
      </c>
      <c r="F23" s="12" t="s">
        <v>201</v>
      </c>
      <c r="G23" s="13" t="s">
        <v>202</v>
      </c>
      <c r="H23" s="12" t="s">
        <v>97</v>
      </c>
      <c r="I23" s="12" t="s">
        <v>112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672</v>
      </c>
      <c r="B24" s="12" t="s">
        <v>204</v>
      </c>
      <c r="C24" s="12" t="s">
        <v>40</v>
      </c>
      <c r="D24" s="13" t="s">
        <v>572</v>
      </c>
      <c r="E24" s="12" t="s">
        <v>133</v>
      </c>
      <c r="F24" s="12" t="s">
        <v>133</v>
      </c>
      <c r="G24" s="13" t="s">
        <v>573</v>
      </c>
      <c r="H24" s="12" t="s">
        <v>95</v>
      </c>
      <c r="I24" s="12" t="s">
        <v>111</v>
      </c>
      <c r="J24" s="14" t="n">
        <v>46227</v>
      </c>
      <c r="K24" s="13" t="s">
        <v>673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675</v>
      </c>
      <c r="B9" s="1" t="s">
        <v>130</v>
      </c>
      <c r="C9" s="1" t="s">
        <v>676</v>
      </c>
      <c r="D9" s="1" t="s">
        <v>132</v>
      </c>
      <c r="E9" s="1" t="s">
        <v>133</v>
      </c>
      <c r="F9" s="1" t="s">
        <v>134</v>
      </c>
      <c r="G9" s="1" t="s">
        <v>266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677</v>
      </c>
      <c r="B10" s="1" t="s">
        <v>137</v>
      </c>
      <c r="C10" s="1" t="s">
        <v>676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678</v>
      </c>
      <c r="B11" s="1" t="s">
        <v>141</v>
      </c>
      <c r="C11" s="1" t="s">
        <v>676</v>
      </c>
      <c r="D11" s="1" t="s">
        <v>142</v>
      </c>
      <c r="E11" s="1" t="s">
        <v>133</v>
      </c>
      <c r="F11" s="1" t="s">
        <v>143</v>
      </c>
      <c r="G11" s="1" t="s">
        <v>679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680</v>
      </c>
      <c r="B12" s="1" t="s">
        <v>146</v>
      </c>
      <c r="C12" s="1" t="s">
        <v>676</v>
      </c>
      <c r="D12" s="1" t="s">
        <v>147</v>
      </c>
      <c r="E12" s="1" t="s">
        <v>133</v>
      </c>
      <c r="F12" s="1" t="s">
        <v>148</v>
      </c>
      <c r="G12" s="1" t="s">
        <v>271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681</v>
      </c>
      <c r="B13" s="1" t="s">
        <v>151</v>
      </c>
      <c r="C13" s="1" t="s">
        <v>676</v>
      </c>
      <c r="D13" s="1" t="s">
        <v>152</v>
      </c>
      <c r="E13" s="1" t="s">
        <v>133</v>
      </c>
      <c r="F13" s="1" t="s">
        <v>153</v>
      </c>
      <c r="G13" s="1" t="s">
        <v>682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683</v>
      </c>
      <c r="B14" s="1" t="s">
        <v>156</v>
      </c>
      <c r="C14" s="1" t="s">
        <v>676</v>
      </c>
      <c r="D14" s="1" t="s">
        <v>157</v>
      </c>
      <c r="E14" s="1" t="s">
        <v>133</v>
      </c>
      <c r="F14" s="1" t="s">
        <v>158</v>
      </c>
      <c r="G14" s="1" t="s">
        <v>684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685</v>
      </c>
      <c r="B15" s="1" t="s">
        <v>161</v>
      </c>
      <c r="C15" s="1" t="s">
        <v>676</v>
      </c>
      <c r="D15" s="1" t="s">
        <v>162</v>
      </c>
      <c r="E15" s="1" t="s">
        <v>133</v>
      </c>
      <c r="F15" s="1" t="s">
        <v>163</v>
      </c>
      <c r="G15" s="1" t="s">
        <v>686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687</v>
      </c>
      <c r="B16" s="1" t="s">
        <v>166</v>
      </c>
      <c r="C16" s="1" t="s">
        <v>676</v>
      </c>
      <c r="D16" s="1" t="s">
        <v>167</v>
      </c>
      <c r="E16" s="1" t="s">
        <v>133</v>
      </c>
      <c r="F16" s="1" t="s">
        <v>168</v>
      </c>
      <c r="G16" s="1" t="s">
        <v>688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689</v>
      </c>
      <c r="B17" s="1" t="s">
        <v>172</v>
      </c>
      <c r="C17" s="1" t="s">
        <v>676</v>
      </c>
      <c r="D17" s="1" t="s">
        <v>173</v>
      </c>
      <c r="E17" s="1" t="s">
        <v>133</v>
      </c>
      <c r="F17" s="1" t="s">
        <v>174</v>
      </c>
      <c r="G17" s="1" t="s">
        <v>690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691</v>
      </c>
      <c r="B18" s="1" t="s">
        <v>178</v>
      </c>
      <c r="C18" s="1" t="s">
        <v>676</v>
      </c>
      <c r="D18" s="1" t="s">
        <v>179</v>
      </c>
      <c r="E18" s="1" t="s">
        <v>133</v>
      </c>
      <c r="F18" s="1" t="s">
        <v>174</v>
      </c>
      <c r="G18" s="1" t="s">
        <v>690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692</v>
      </c>
      <c r="B19" s="1" t="s">
        <v>181</v>
      </c>
      <c r="C19" s="1" t="s">
        <v>676</v>
      </c>
      <c r="D19" s="1" t="s">
        <v>182</v>
      </c>
      <c r="E19" s="1" t="s">
        <v>133</v>
      </c>
      <c r="F19" s="1" t="s">
        <v>174</v>
      </c>
      <c r="G19" s="1" t="s">
        <v>693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694</v>
      </c>
      <c r="B20" s="1" t="s">
        <v>186</v>
      </c>
      <c r="C20" s="1" t="s">
        <v>676</v>
      </c>
      <c r="D20" s="1" t="s">
        <v>187</v>
      </c>
      <c r="E20" s="1" t="s">
        <v>133</v>
      </c>
      <c r="F20" s="1" t="s">
        <v>174</v>
      </c>
      <c r="G20" s="1" t="s">
        <v>690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695</v>
      </c>
      <c r="B21" s="1" t="s">
        <v>190</v>
      </c>
      <c r="C21" s="1" t="s">
        <v>676</v>
      </c>
      <c r="D21" s="1" t="s">
        <v>191</v>
      </c>
      <c r="E21" s="1" t="s">
        <v>133</v>
      </c>
      <c r="F21" s="1" t="s">
        <v>192</v>
      </c>
      <c r="G21" s="1" t="s">
        <v>696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697</v>
      </c>
      <c r="B22" s="1" t="s">
        <v>195</v>
      </c>
      <c r="C22" s="1" t="s">
        <v>676</v>
      </c>
      <c r="D22" s="1" t="s">
        <v>196</v>
      </c>
      <c r="E22" s="1" t="s">
        <v>133</v>
      </c>
      <c r="F22" s="1" t="s">
        <v>192</v>
      </c>
      <c r="G22" s="1" t="s">
        <v>698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699</v>
      </c>
      <c r="B23" s="1" t="s">
        <v>199</v>
      </c>
      <c r="C23" s="1" t="s">
        <v>676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700</v>
      </c>
      <c r="B24" s="1" t="s">
        <v>204</v>
      </c>
      <c r="C24" s="1" t="s">
        <v>676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702</v>
      </c>
      <c r="B9" s="1" t="s">
        <v>130</v>
      </c>
      <c r="C9" s="1" t="s">
        <v>35</v>
      </c>
      <c r="D9" s="1" t="s">
        <v>132</v>
      </c>
      <c r="E9" s="1" t="s">
        <v>133</v>
      </c>
      <c r="F9" s="1" t="s">
        <v>134</v>
      </c>
      <c r="G9" s="1" t="s">
        <v>703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704</v>
      </c>
      <c r="B10" s="1" t="s">
        <v>137</v>
      </c>
      <c r="C10" s="1" t="s">
        <v>35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705</v>
      </c>
      <c r="B11" s="1" t="s">
        <v>141</v>
      </c>
      <c r="C11" s="1" t="s">
        <v>35</v>
      </c>
      <c r="D11" s="1" t="s">
        <v>142</v>
      </c>
      <c r="E11" s="1" t="s">
        <v>133</v>
      </c>
      <c r="F11" s="1" t="s">
        <v>143</v>
      </c>
      <c r="G11" s="1" t="s">
        <v>706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707</v>
      </c>
      <c r="B12" s="1" t="s">
        <v>146</v>
      </c>
      <c r="C12" s="1" t="s">
        <v>35</v>
      </c>
      <c r="D12" s="1" t="s">
        <v>147</v>
      </c>
      <c r="E12" s="1" t="s">
        <v>133</v>
      </c>
      <c r="F12" s="1" t="s">
        <v>148</v>
      </c>
      <c r="G12" s="1" t="s">
        <v>708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709</v>
      </c>
      <c r="B13" s="1" t="s">
        <v>151</v>
      </c>
      <c r="C13" s="1" t="s">
        <v>35</v>
      </c>
      <c r="D13" s="1" t="s">
        <v>152</v>
      </c>
      <c r="E13" s="1" t="s">
        <v>133</v>
      </c>
      <c r="F13" s="1" t="s">
        <v>153</v>
      </c>
      <c r="G13" s="1" t="s">
        <v>710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711</v>
      </c>
      <c r="B14" s="1" t="s">
        <v>156</v>
      </c>
      <c r="C14" s="1" t="s">
        <v>35</v>
      </c>
      <c r="D14" s="1" t="s">
        <v>157</v>
      </c>
      <c r="E14" s="1" t="s">
        <v>133</v>
      </c>
      <c r="F14" s="1" t="s">
        <v>158</v>
      </c>
      <c r="G14" s="1" t="s">
        <v>712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713</v>
      </c>
      <c r="B15" s="1" t="s">
        <v>161</v>
      </c>
      <c r="C15" s="1" t="s">
        <v>35</v>
      </c>
      <c r="D15" s="1" t="s">
        <v>162</v>
      </c>
      <c r="E15" s="1" t="s">
        <v>133</v>
      </c>
      <c r="F15" s="1" t="s">
        <v>163</v>
      </c>
      <c r="G15" s="1" t="s">
        <v>714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715</v>
      </c>
      <c r="B16" s="1" t="s">
        <v>166</v>
      </c>
      <c r="C16" s="1" t="s">
        <v>35</v>
      </c>
      <c r="D16" s="1" t="s">
        <v>167</v>
      </c>
      <c r="E16" s="1" t="s">
        <v>133</v>
      </c>
      <c r="F16" s="1" t="s">
        <v>168</v>
      </c>
      <c r="G16" s="1" t="s">
        <v>716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717</v>
      </c>
      <c r="B17" s="1" t="s">
        <v>172</v>
      </c>
      <c r="C17" s="1" t="s">
        <v>35</v>
      </c>
      <c r="D17" s="1" t="s">
        <v>173</v>
      </c>
      <c r="E17" s="1" t="s">
        <v>133</v>
      </c>
      <c r="F17" s="1" t="s">
        <v>174</v>
      </c>
      <c r="G17" s="1" t="s">
        <v>718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719</v>
      </c>
      <c r="B18" s="1" t="s">
        <v>178</v>
      </c>
      <c r="C18" s="1" t="s">
        <v>35</v>
      </c>
      <c r="D18" s="1" t="s">
        <v>179</v>
      </c>
      <c r="E18" s="1" t="s">
        <v>133</v>
      </c>
      <c r="F18" s="1" t="s">
        <v>174</v>
      </c>
      <c r="G18" s="1" t="s">
        <v>718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720</v>
      </c>
      <c r="B19" s="1" t="s">
        <v>181</v>
      </c>
      <c r="C19" s="1" t="s">
        <v>35</v>
      </c>
      <c r="D19" s="1" t="s">
        <v>182</v>
      </c>
      <c r="E19" s="1" t="s">
        <v>133</v>
      </c>
      <c r="F19" s="1" t="s">
        <v>174</v>
      </c>
      <c r="G19" s="1" t="s">
        <v>721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722</v>
      </c>
      <c r="B20" s="1" t="s">
        <v>186</v>
      </c>
      <c r="C20" s="1" t="s">
        <v>35</v>
      </c>
      <c r="D20" s="1" t="s">
        <v>187</v>
      </c>
      <c r="E20" s="1" t="s">
        <v>133</v>
      </c>
      <c r="F20" s="1" t="s">
        <v>174</v>
      </c>
      <c r="G20" s="1" t="s">
        <v>718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723</v>
      </c>
      <c r="B21" s="1" t="s">
        <v>190</v>
      </c>
      <c r="C21" s="1" t="s">
        <v>35</v>
      </c>
      <c r="D21" s="1" t="s">
        <v>191</v>
      </c>
      <c r="E21" s="1" t="s">
        <v>133</v>
      </c>
      <c r="F21" s="1" t="s">
        <v>192</v>
      </c>
      <c r="G21" s="1" t="s">
        <v>724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725</v>
      </c>
      <c r="B22" s="1" t="s">
        <v>195</v>
      </c>
      <c r="C22" s="1" t="s">
        <v>35</v>
      </c>
      <c r="D22" s="1" t="s">
        <v>196</v>
      </c>
      <c r="E22" s="1" t="s">
        <v>133</v>
      </c>
      <c r="F22" s="1" t="s">
        <v>192</v>
      </c>
      <c r="G22" s="1" t="s">
        <v>726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727</v>
      </c>
      <c r="B23" s="1" t="s">
        <v>199</v>
      </c>
      <c r="C23" s="1" t="s">
        <v>35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728</v>
      </c>
      <c r="B24" s="1" t="s">
        <v>204</v>
      </c>
      <c r="C24" s="1" t="s">
        <v>35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629</v>
      </c>
      <c r="B9" s="1" t="s">
        <v>130</v>
      </c>
      <c r="C9" s="1" t="s">
        <v>36</v>
      </c>
      <c r="D9" s="1" t="s">
        <v>132</v>
      </c>
      <c r="E9" s="1" t="s">
        <v>133</v>
      </c>
      <c r="F9" s="1" t="s">
        <v>134</v>
      </c>
      <c r="G9" s="1" t="s">
        <v>730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632</v>
      </c>
      <c r="B10" s="1" t="s">
        <v>137</v>
      </c>
      <c r="C10" s="1" t="s">
        <v>36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634</v>
      </c>
      <c r="B11" s="1" t="s">
        <v>141</v>
      </c>
      <c r="C11" s="1" t="s">
        <v>36</v>
      </c>
      <c r="D11" s="1" t="s">
        <v>142</v>
      </c>
      <c r="E11" s="1" t="s">
        <v>133</v>
      </c>
      <c r="F11" s="1" t="s">
        <v>143</v>
      </c>
      <c r="G11" s="1" t="s">
        <v>731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637</v>
      </c>
      <c r="B12" s="1" t="s">
        <v>146</v>
      </c>
      <c r="C12" s="1" t="s">
        <v>36</v>
      </c>
      <c r="D12" s="1" t="s">
        <v>147</v>
      </c>
      <c r="E12" s="1" t="s">
        <v>133</v>
      </c>
      <c r="F12" s="1" t="s">
        <v>148</v>
      </c>
      <c r="G12" s="1" t="s">
        <v>732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640</v>
      </c>
      <c r="B13" s="1" t="s">
        <v>151</v>
      </c>
      <c r="C13" s="1" t="s">
        <v>36</v>
      </c>
      <c r="D13" s="1" t="s">
        <v>152</v>
      </c>
      <c r="E13" s="1" t="s">
        <v>133</v>
      </c>
      <c r="F13" s="1" t="s">
        <v>153</v>
      </c>
      <c r="G13" s="1" t="s">
        <v>733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643</v>
      </c>
      <c r="B14" s="1" t="s">
        <v>156</v>
      </c>
      <c r="C14" s="1" t="s">
        <v>36</v>
      </c>
      <c r="D14" s="1" t="s">
        <v>157</v>
      </c>
      <c r="E14" s="1" t="s">
        <v>133</v>
      </c>
      <c r="F14" s="1" t="s">
        <v>158</v>
      </c>
      <c r="G14" s="1" t="s">
        <v>734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646</v>
      </c>
      <c r="B15" s="1" t="s">
        <v>161</v>
      </c>
      <c r="C15" s="1" t="s">
        <v>36</v>
      </c>
      <c r="D15" s="1" t="s">
        <v>162</v>
      </c>
      <c r="E15" s="1" t="s">
        <v>133</v>
      </c>
      <c r="F15" s="1" t="s">
        <v>163</v>
      </c>
      <c r="G15" s="1" t="s">
        <v>735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648</v>
      </c>
      <c r="B16" s="1" t="s">
        <v>166</v>
      </c>
      <c r="C16" s="1" t="s">
        <v>36</v>
      </c>
      <c r="D16" s="1" t="s">
        <v>167</v>
      </c>
      <c r="E16" s="1" t="s">
        <v>133</v>
      </c>
      <c r="F16" s="1" t="s">
        <v>168</v>
      </c>
      <c r="G16" s="1" t="s">
        <v>736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652</v>
      </c>
      <c r="B17" s="1" t="s">
        <v>172</v>
      </c>
      <c r="C17" s="1" t="s">
        <v>36</v>
      </c>
      <c r="D17" s="1" t="s">
        <v>173</v>
      </c>
      <c r="E17" s="1" t="s">
        <v>133</v>
      </c>
      <c r="F17" s="1" t="s">
        <v>174</v>
      </c>
      <c r="G17" s="1" t="s">
        <v>737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656</v>
      </c>
      <c r="B18" s="1" t="s">
        <v>178</v>
      </c>
      <c r="C18" s="1" t="s">
        <v>36</v>
      </c>
      <c r="D18" s="1" t="s">
        <v>179</v>
      </c>
      <c r="E18" s="1" t="s">
        <v>133</v>
      </c>
      <c r="F18" s="1" t="s">
        <v>174</v>
      </c>
      <c r="G18" s="1" t="s">
        <v>737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660</v>
      </c>
      <c r="B19" s="1" t="s">
        <v>181</v>
      </c>
      <c r="C19" s="1" t="s">
        <v>36</v>
      </c>
      <c r="D19" s="1" t="s">
        <v>182</v>
      </c>
      <c r="E19" s="1" t="s">
        <v>133</v>
      </c>
      <c r="F19" s="1" t="s">
        <v>174</v>
      </c>
      <c r="G19" s="1" t="s">
        <v>738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663</v>
      </c>
      <c r="B20" s="1" t="s">
        <v>186</v>
      </c>
      <c r="C20" s="1" t="s">
        <v>36</v>
      </c>
      <c r="D20" s="1" t="s">
        <v>187</v>
      </c>
      <c r="E20" s="1" t="s">
        <v>133</v>
      </c>
      <c r="F20" s="1" t="s">
        <v>174</v>
      </c>
      <c r="G20" s="1" t="s">
        <v>737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665</v>
      </c>
      <c r="B21" s="1" t="s">
        <v>190</v>
      </c>
      <c r="C21" s="1" t="s">
        <v>36</v>
      </c>
      <c r="D21" s="1" t="s">
        <v>191</v>
      </c>
      <c r="E21" s="1" t="s">
        <v>133</v>
      </c>
      <c r="F21" s="1" t="s">
        <v>192</v>
      </c>
      <c r="G21" s="1" t="s">
        <v>739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667</v>
      </c>
      <c r="B22" s="1" t="s">
        <v>195</v>
      </c>
      <c r="C22" s="1" t="s">
        <v>36</v>
      </c>
      <c r="D22" s="1" t="s">
        <v>196</v>
      </c>
      <c r="E22" s="1" t="s">
        <v>133</v>
      </c>
      <c r="F22" s="1" t="s">
        <v>192</v>
      </c>
      <c r="G22" s="1" t="s">
        <v>740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670</v>
      </c>
      <c r="B23" s="1" t="s">
        <v>199</v>
      </c>
      <c r="C23" s="1" t="s">
        <v>36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672</v>
      </c>
      <c r="B24" s="1" t="s">
        <v>204</v>
      </c>
      <c r="C24" s="1" t="s">
        <v>36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741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742</v>
      </c>
      <c r="B9" s="1" t="s">
        <v>130</v>
      </c>
      <c r="C9" s="1" t="s">
        <v>743</v>
      </c>
      <c r="D9" s="1" t="s">
        <v>132</v>
      </c>
      <c r="E9" s="1" t="s">
        <v>133</v>
      </c>
      <c r="F9" s="1" t="s">
        <v>134</v>
      </c>
      <c r="G9" s="1" t="s">
        <v>744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745</v>
      </c>
      <c r="B10" s="1" t="s">
        <v>137</v>
      </c>
      <c r="C10" s="1" t="s">
        <v>743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746</v>
      </c>
      <c r="B11" s="1" t="s">
        <v>141</v>
      </c>
      <c r="C11" s="1" t="s">
        <v>743</v>
      </c>
      <c r="D11" s="1" t="s">
        <v>142</v>
      </c>
      <c r="E11" s="1" t="s">
        <v>133</v>
      </c>
      <c r="F11" s="1" t="s">
        <v>143</v>
      </c>
      <c r="G11" s="1" t="s">
        <v>747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748</v>
      </c>
      <c r="B12" s="1" t="s">
        <v>146</v>
      </c>
      <c r="C12" s="1" t="s">
        <v>743</v>
      </c>
      <c r="D12" s="1" t="s">
        <v>147</v>
      </c>
      <c r="E12" s="1" t="s">
        <v>133</v>
      </c>
      <c r="F12" s="1" t="s">
        <v>148</v>
      </c>
      <c r="G12" s="1" t="s">
        <v>749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750</v>
      </c>
      <c r="B13" s="1" t="s">
        <v>151</v>
      </c>
      <c r="C13" s="1" t="s">
        <v>743</v>
      </c>
      <c r="D13" s="1" t="s">
        <v>152</v>
      </c>
      <c r="E13" s="1" t="s">
        <v>133</v>
      </c>
      <c r="F13" s="1" t="s">
        <v>153</v>
      </c>
      <c r="G13" s="1" t="s">
        <v>751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752</v>
      </c>
      <c r="B14" s="1" t="s">
        <v>156</v>
      </c>
      <c r="C14" s="1" t="s">
        <v>743</v>
      </c>
      <c r="D14" s="1" t="s">
        <v>157</v>
      </c>
      <c r="E14" s="1" t="s">
        <v>133</v>
      </c>
      <c r="F14" s="1" t="s">
        <v>158</v>
      </c>
      <c r="G14" s="1" t="s">
        <v>753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754</v>
      </c>
      <c r="B15" s="1" t="s">
        <v>161</v>
      </c>
      <c r="C15" s="1" t="s">
        <v>743</v>
      </c>
      <c r="D15" s="1" t="s">
        <v>162</v>
      </c>
      <c r="E15" s="1" t="s">
        <v>133</v>
      </c>
      <c r="F15" s="1" t="s">
        <v>163</v>
      </c>
      <c r="G15" s="1" t="s">
        <v>755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756</v>
      </c>
      <c r="B16" s="1" t="s">
        <v>166</v>
      </c>
      <c r="C16" s="1" t="s">
        <v>743</v>
      </c>
      <c r="D16" s="1" t="s">
        <v>167</v>
      </c>
      <c r="E16" s="1" t="s">
        <v>133</v>
      </c>
      <c r="F16" s="1" t="s">
        <v>168</v>
      </c>
      <c r="G16" s="1" t="s">
        <v>757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758</v>
      </c>
      <c r="B17" s="1" t="s">
        <v>172</v>
      </c>
      <c r="C17" s="1" t="s">
        <v>743</v>
      </c>
      <c r="D17" s="1" t="s">
        <v>173</v>
      </c>
      <c r="E17" s="1" t="s">
        <v>133</v>
      </c>
      <c r="F17" s="1" t="s">
        <v>174</v>
      </c>
      <c r="G17" s="1" t="s">
        <v>759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760</v>
      </c>
      <c r="B18" s="1" t="s">
        <v>178</v>
      </c>
      <c r="C18" s="1" t="s">
        <v>743</v>
      </c>
      <c r="D18" s="1" t="s">
        <v>179</v>
      </c>
      <c r="E18" s="1" t="s">
        <v>133</v>
      </c>
      <c r="F18" s="1" t="s">
        <v>174</v>
      </c>
      <c r="G18" s="1" t="s">
        <v>759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761</v>
      </c>
      <c r="B19" s="1" t="s">
        <v>181</v>
      </c>
      <c r="C19" s="1" t="s">
        <v>743</v>
      </c>
      <c r="D19" s="1" t="s">
        <v>182</v>
      </c>
      <c r="E19" s="1" t="s">
        <v>133</v>
      </c>
      <c r="F19" s="1" t="s">
        <v>174</v>
      </c>
      <c r="G19" s="1" t="s">
        <v>762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763</v>
      </c>
      <c r="B20" s="1" t="s">
        <v>186</v>
      </c>
      <c r="C20" s="1" t="s">
        <v>743</v>
      </c>
      <c r="D20" s="1" t="s">
        <v>187</v>
      </c>
      <c r="E20" s="1" t="s">
        <v>133</v>
      </c>
      <c r="F20" s="1" t="s">
        <v>174</v>
      </c>
      <c r="G20" s="1" t="s">
        <v>759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764</v>
      </c>
      <c r="B21" s="1" t="s">
        <v>190</v>
      </c>
      <c r="C21" s="1" t="s">
        <v>743</v>
      </c>
      <c r="D21" s="1" t="s">
        <v>191</v>
      </c>
      <c r="E21" s="1" t="s">
        <v>133</v>
      </c>
      <c r="F21" s="1" t="s">
        <v>192</v>
      </c>
      <c r="G21" s="1" t="s">
        <v>765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766</v>
      </c>
      <c r="B22" s="1" t="s">
        <v>195</v>
      </c>
      <c r="C22" s="1" t="s">
        <v>743</v>
      </c>
      <c r="D22" s="1" t="s">
        <v>196</v>
      </c>
      <c r="E22" s="1" t="s">
        <v>133</v>
      </c>
      <c r="F22" s="1" t="s">
        <v>192</v>
      </c>
      <c r="G22" s="1" t="s">
        <v>767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768</v>
      </c>
      <c r="B23" s="1" t="s">
        <v>199</v>
      </c>
      <c r="C23" s="1" t="s">
        <v>743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769</v>
      </c>
      <c r="B24" s="1" t="s">
        <v>204</v>
      </c>
      <c r="C24" s="1" t="s">
        <v>743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115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771</v>
      </c>
      <c r="B9" s="12" t="s">
        <v>130</v>
      </c>
      <c r="C9" s="12" t="s">
        <v>39</v>
      </c>
      <c r="D9" s="13" t="s">
        <v>772</v>
      </c>
      <c r="E9" s="12" t="s">
        <v>133</v>
      </c>
      <c r="F9" s="12" t="s">
        <v>134</v>
      </c>
      <c r="G9" s="13" t="s">
        <v>773</v>
      </c>
      <c r="H9" s="12" t="s">
        <v>97</v>
      </c>
      <c r="I9" s="12" t="s">
        <v>112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774</v>
      </c>
      <c r="B10" s="12" t="s">
        <v>137</v>
      </c>
      <c r="C10" s="12" t="s">
        <v>775</v>
      </c>
      <c r="D10" s="13" t="s">
        <v>776</v>
      </c>
      <c r="E10" s="12" t="s">
        <v>133</v>
      </c>
      <c r="F10" s="12" t="s">
        <v>133</v>
      </c>
      <c r="G10" s="13" t="s">
        <v>139</v>
      </c>
      <c r="H10" s="12" t="s">
        <v>97</v>
      </c>
      <c r="I10" s="12" t="s">
        <v>112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777</v>
      </c>
      <c r="B11" s="12" t="s">
        <v>141</v>
      </c>
      <c r="C11" s="12" t="s">
        <v>775</v>
      </c>
      <c r="D11" s="13" t="s">
        <v>778</v>
      </c>
      <c r="E11" s="12" t="s">
        <v>133</v>
      </c>
      <c r="F11" s="12" t="s">
        <v>143</v>
      </c>
      <c r="G11" s="13" t="s">
        <v>779</v>
      </c>
      <c r="H11" s="12" t="s">
        <v>97</v>
      </c>
      <c r="I11" s="12" t="s">
        <v>112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780</v>
      </c>
      <c r="B12" s="12" t="s">
        <v>146</v>
      </c>
      <c r="C12" s="12" t="s">
        <v>781</v>
      </c>
      <c r="D12" s="13" t="s">
        <v>782</v>
      </c>
      <c r="E12" s="12" t="s">
        <v>133</v>
      </c>
      <c r="F12" s="12" t="s">
        <v>148</v>
      </c>
      <c r="G12" s="13" t="s">
        <v>783</v>
      </c>
      <c r="H12" s="12" t="s">
        <v>97</v>
      </c>
      <c r="I12" s="12" t="s">
        <v>112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784</v>
      </c>
      <c r="B13" s="12" t="s">
        <v>151</v>
      </c>
      <c r="C13" s="12" t="s">
        <v>775</v>
      </c>
      <c r="D13" s="13" t="s">
        <v>785</v>
      </c>
      <c r="E13" s="12" t="s">
        <v>133</v>
      </c>
      <c r="F13" s="12" t="s">
        <v>153</v>
      </c>
      <c r="G13" s="13" t="s">
        <v>786</v>
      </c>
      <c r="H13" s="12" t="s">
        <v>97</v>
      </c>
      <c r="I13" s="12" t="s">
        <v>112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787</v>
      </c>
      <c r="B14" s="12" t="s">
        <v>156</v>
      </c>
      <c r="C14" s="12" t="s">
        <v>775</v>
      </c>
      <c r="D14" s="13" t="s">
        <v>788</v>
      </c>
      <c r="E14" s="12" t="s">
        <v>133</v>
      </c>
      <c r="F14" s="12" t="s">
        <v>158</v>
      </c>
      <c r="G14" s="13" t="s">
        <v>789</v>
      </c>
      <c r="H14" s="12" t="s">
        <v>97</v>
      </c>
      <c r="I14" s="12" t="s">
        <v>112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790</v>
      </c>
      <c r="B15" s="12" t="s">
        <v>161</v>
      </c>
      <c r="C15" s="12" t="s">
        <v>781</v>
      </c>
      <c r="D15" s="13" t="s">
        <v>791</v>
      </c>
      <c r="E15" s="12" t="s">
        <v>133</v>
      </c>
      <c r="F15" s="12" t="s">
        <v>163</v>
      </c>
      <c r="G15" s="13" t="s">
        <v>789</v>
      </c>
      <c r="H15" s="12" t="s">
        <v>97</v>
      </c>
      <c r="I15" s="12" t="s">
        <v>112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792</v>
      </c>
      <c r="B16" s="12" t="s">
        <v>166</v>
      </c>
      <c r="C16" s="12" t="s">
        <v>775</v>
      </c>
      <c r="D16" s="13" t="s">
        <v>793</v>
      </c>
      <c r="E16" s="12" t="s">
        <v>133</v>
      </c>
      <c r="F16" s="12" t="s">
        <v>168</v>
      </c>
      <c r="G16" s="13" t="s">
        <v>794</v>
      </c>
      <c r="H16" s="12" t="s">
        <v>99</v>
      </c>
      <c r="I16" s="12" t="s">
        <v>111</v>
      </c>
      <c r="J16" s="14" t="n">
        <v>46227</v>
      </c>
      <c r="K16" s="13" t="s">
        <v>795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796</v>
      </c>
      <c r="B17" s="12" t="s">
        <v>172</v>
      </c>
      <c r="C17" s="12" t="s">
        <v>775</v>
      </c>
      <c r="D17" s="13" t="s">
        <v>797</v>
      </c>
      <c r="E17" s="12" t="s">
        <v>133</v>
      </c>
      <c r="F17" s="12" t="s">
        <v>174</v>
      </c>
      <c r="G17" s="13" t="s">
        <v>798</v>
      </c>
      <c r="H17" s="12" t="s">
        <v>95</v>
      </c>
      <c r="I17" s="12" t="s">
        <v>111</v>
      </c>
      <c r="J17" s="14"/>
      <c r="K17" s="13" t="s">
        <v>799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800</v>
      </c>
      <c r="B18" s="12" t="s">
        <v>178</v>
      </c>
      <c r="C18" s="12" t="s">
        <v>781</v>
      </c>
      <c r="D18" s="13" t="s">
        <v>801</v>
      </c>
      <c r="E18" s="12" t="s">
        <v>133</v>
      </c>
      <c r="F18" s="12" t="s">
        <v>174</v>
      </c>
      <c r="G18" s="13" t="s">
        <v>802</v>
      </c>
      <c r="H18" s="12" t="s">
        <v>95</v>
      </c>
      <c r="I18" s="12" t="s">
        <v>111</v>
      </c>
      <c r="J18" s="14"/>
      <c r="K18" s="13" t="s">
        <v>803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804</v>
      </c>
      <c r="B19" s="12" t="s">
        <v>661</v>
      </c>
      <c r="C19" s="12" t="s">
        <v>781</v>
      </c>
      <c r="D19" s="13" t="s">
        <v>805</v>
      </c>
      <c r="E19" s="12" t="s">
        <v>133</v>
      </c>
      <c r="F19" s="12" t="s">
        <v>158</v>
      </c>
      <c r="G19" s="13" t="s">
        <v>789</v>
      </c>
      <c r="H19" s="12" t="s">
        <v>97</v>
      </c>
      <c r="I19" s="12" t="s">
        <v>112</v>
      </c>
      <c r="J19" s="14" t="n">
        <v>46227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806</v>
      </c>
      <c r="B20" s="12" t="s">
        <v>186</v>
      </c>
      <c r="C20" s="12" t="s">
        <v>775</v>
      </c>
      <c r="D20" s="13" t="s">
        <v>807</v>
      </c>
      <c r="E20" s="12" t="s">
        <v>133</v>
      </c>
      <c r="F20" s="12" t="s">
        <v>174</v>
      </c>
      <c r="G20" s="13" t="s">
        <v>798</v>
      </c>
      <c r="H20" s="12" t="s">
        <v>95</v>
      </c>
      <c r="I20" s="12" t="s">
        <v>111</v>
      </c>
      <c r="J20" s="14"/>
      <c r="K20" s="13" t="s">
        <v>808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809</v>
      </c>
      <c r="B21" s="12" t="s">
        <v>190</v>
      </c>
      <c r="C21" s="12" t="s">
        <v>775</v>
      </c>
      <c r="D21" s="13" t="s">
        <v>810</v>
      </c>
      <c r="E21" s="12" t="s">
        <v>133</v>
      </c>
      <c r="F21" s="12" t="s">
        <v>192</v>
      </c>
      <c r="G21" s="13" t="s">
        <v>811</v>
      </c>
      <c r="H21" s="12" t="s">
        <v>97</v>
      </c>
      <c r="I21" s="12" t="s">
        <v>112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812</v>
      </c>
      <c r="B22" s="12" t="s">
        <v>195</v>
      </c>
      <c r="C22" s="12" t="s">
        <v>775</v>
      </c>
      <c r="D22" s="13" t="s">
        <v>813</v>
      </c>
      <c r="E22" s="12" t="s">
        <v>133</v>
      </c>
      <c r="F22" s="12" t="s">
        <v>192</v>
      </c>
      <c r="G22" s="13" t="s">
        <v>814</v>
      </c>
      <c r="H22" s="12" t="s">
        <v>97</v>
      </c>
      <c r="I22" s="12" t="s">
        <v>112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815</v>
      </c>
      <c r="B23" s="12" t="s">
        <v>199</v>
      </c>
      <c r="C23" s="12" t="s">
        <v>816</v>
      </c>
      <c r="D23" s="13" t="s">
        <v>817</v>
      </c>
      <c r="E23" s="12" t="s">
        <v>201</v>
      </c>
      <c r="F23" s="12" t="s">
        <v>201</v>
      </c>
      <c r="G23" s="13" t="s">
        <v>202</v>
      </c>
      <c r="H23" s="12" t="s">
        <v>97</v>
      </c>
      <c r="I23" s="12" t="s">
        <v>112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818</v>
      </c>
      <c r="B24" s="12" t="s">
        <v>204</v>
      </c>
      <c r="C24" s="12" t="s">
        <v>775</v>
      </c>
      <c r="D24" s="13" t="s">
        <v>819</v>
      </c>
      <c r="E24" s="12" t="s">
        <v>133</v>
      </c>
      <c r="F24" s="12" t="s">
        <v>133</v>
      </c>
      <c r="G24" s="13" t="s">
        <v>820</v>
      </c>
      <c r="H24" s="12" t="s">
        <v>95</v>
      </c>
      <c r="I24" s="12" t="s">
        <v>111</v>
      </c>
      <c r="J24" s="14" t="n">
        <v>46227</v>
      </c>
      <c r="K24" s="13" t="s">
        <v>821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115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116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629</v>
      </c>
      <c r="B9" s="1" t="s">
        <v>130</v>
      </c>
      <c r="C9" s="1" t="s">
        <v>38</v>
      </c>
      <c r="D9" s="1" t="s">
        <v>132</v>
      </c>
      <c r="E9" s="1" t="s">
        <v>133</v>
      </c>
      <c r="F9" s="1" t="s">
        <v>134</v>
      </c>
      <c r="G9" s="1" t="s">
        <v>823</v>
      </c>
      <c r="H9" s="8" t="s">
        <v>97</v>
      </c>
      <c r="I9" s="8" t="s">
        <v>112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632</v>
      </c>
      <c r="B10" s="1" t="s">
        <v>137</v>
      </c>
      <c r="C10" s="1" t="s">
        <v>38</v>
      </c>
      <c r="D10" s="1" t="s">
        <v>138</v>
      </c>
      <c r="E10" s="1" t="s">
        <v>133</v>
      </c>
      <c r="F10" s="1" t="s">
        <v>133</v>
      </c>
      <c r="G10" s="1" t="s">
        <v>139</v>
      </c>
      <c r="H10" s="8" t="s">
        <v>97</v>
      </c>
      <c r="I10" s="8" t="s">
        <v>112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634</v>
      </c>
      <c r="B11" s="1" t="s">
        <v>141</v>
      </c>
      <c r="C11" s="1" t="s">
        <v>38</v>
      </c>
      <c r="D11" s="1" t="s">
        <v>142</v>
      </c>
      <c r="E11" s="1" t="s">
        <v>133</v>
      </c>
      <c r="F11" s="1" t="s">
        <v>143</v>
      </c>
      <c r="G11" s="1" t="s">
        <v>824</v>
      </c>
      <c r="H11" s="8" t="s">
        <v>97</v>
      </c>
      <c r="I11" s="8" t="s">
        <v>112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637</v>
      </c>
      <c r="B12" s="1" t="s">
        <v>146</v>
      </c>
      <c r="C12" s="1" t="s">
        <v>38</v>
      </c>
      <c r="D12" s="1" t="s">
        <v>147</v>
      </c>
      <c r="E12" s="1" t="s">
        <v>133</v>
      </c>
      <c r="F12" s="1" t="s">
        <v>148</v>
      </c>
      <c r="G12" s="1" t="s">
        <v>825</v>
      </c>
      <c r="H12" s="8" t="s">
        <v>97</v>
      </c>
      <c r="I12" s="8" t="s">
        <v>112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640</v>
      </c>
      <c r="B13" s="1" t="s">
        <v>151</v>
      </c>
      <c r="C13" s="1" t="s">
        <v>38</v>
      </c>
      <c r="D13" s="1" t="s">
        <v>152</v>
      </c>
      <c r="E13" s="1" t="s">
        <v>133</v>
      </c>
      <c r="F13" s="1" t="s">
        <v>153</v>
      </c>
      <c r="G13" s="1" t="s">
        <v>826</v>
      </c>
      <c r="H13" s="8" t="s">
        <v>97</v>
      </c>
      <c r="I13" s="8" t="s">
        <v>112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643</v>
      </c>
      <c r="B14" s="1" t="s">
        <v>156</v>
      </c>
      <c r="C14" s="1" t="s">
        <v>38</v>
      </c>
      <c r="D14" s="1" t="s">
        <v>157</v>
      </c>
      <c r="E14" s="1" t="s">
        <v>133</v>
      </c>
      <c r="F14" s="1" t="s">
        <v>158</v>
      </c>
      <c r="G14" s="1" t="s">
        <v>827</v>
      </c>
      <c r="H14" s="8" t="s">
        <v>97</v>
      </c>
      <c r="I14" s="8" t="s">
        <v>112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646</v>
      </c>
      <c r="B15" s="1" t="s">
        <v>161</v>
      </c>
      <c r="C15" s="1" t="s">
        <v>38</v>
      </c>
      <c r="D15" s="1" t="s">
        <v>162</v>
      </c>
      <c r="E15" s="1" t="s">
        <v>133</v>
      </c>
      <c r="F15" s="1" t="s">
        <v>163</v>
      </c>
      <c r="G15" s="1" t="s">
        <v>828</v>
      </c>
      <c r="H15" s="8" t="s">
        <v>97</v>
      </c>
      <c r="I15" s="8" t="s">
        <v>112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648</v>
      </c>
      <c r="B16" s="1" t="s">
        <v>166</v>
      </c>
      <c r="C16" s="1" t="s">
        <v>38</v>
      </c>
      <c r="D16" s="1" t="s">
        <v>167</v>
      </c>
      <c r="E16" s="1" t="s">
        <v>133</v>
      </c>
      <c r="F16" s="1" t="s">
        <v>168</v>
      </c>
      <c r="G16" s="1" t="s">
        <v>829</v>
      </c>
      <c r="H16" s="8" t="s">
        <v>99</v>
      </c>
      <c r="I16" s="8" t="s">
        <v>111</v>
      </c>
      <c r="J16" s="10" t="n">
        <v>46227</v>
      </c>
      <c r="K16" s="1" t="s">
        <v>170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652</v>
      </c>
      <c r="B17" s="1" t="s">
        <v>172</v>
      </c>
      <c r="C17" s="1" t="s">
        <v>38</v>
      </c>
      <c r="D17" s="1" t="s">
        <v>173</v>
      </c>
      <c r="E17" s="1" t="s">
        <v>133</v>
      </c>
      <c r="F17" s="1" t="s">
        <v>174</v>
      </c>
      <c r="G17" s="1" t="s">
        <v>830</v>
      </c>
      <c r="H17" s="8" t="s">
        <v>99</v>
      </c>
      <c r="I17" s="8" t="s">
        <v>111</v>
      </c>
      <c r="J17" s="10" t="n">
        <v>46227</v>
      </c>
      <c r="K17" s="1" t="s">
        <v>176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656</v>
      </c>
      <c r="B18" s="1" t="s">
        <v>178</v>
      </c>
      <c r="C18" s="1" t="s">
        <v>38</v>
      </c>
      <c r="D18" s="1" t="s">
        <v>179</v>
      </c>
      <c r="E18" s="1" t="s">
        <v>133</v>
      </c>
      <c r="F18" s="1" t="s">
        <v>174</v>
      </c>
      <c r="G18" s="1" t="s">
        <v>830</v>
      </c>
      <c r="H18" s="8" t="s">
        <v>99</v>
      </c>
      <c r="I18" s="8" t="s">
        <v>111</v>
      </c>
      <c r="J18" s="10" t="n">
        <v>46227</v>
      </c>
      <c r="K18" s="1" t="s">
        <v>176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660</v>
      </c>
      <c r="B19" s="1" t="s">
        <v>181</v>
      </c>
      <c r="C19" s="1" t="s">
        <v>38</v>
      </c>
      <c r="D19" s="1" t="s">
        <v>182</v>
      </c>
      <c r="E19" s="1" t="s">
        <v>133</v>
      </c>
      <c r="F19" s="1" t="s">
        <v>174</v>
      </c>
      <c r="G19" s="1" t="s">
        <v>831</v>
      </c>
      <c r="H19" s="8" t="s">
        <v>99</v>
      </c>
      <c r="I19" s="8" t="s">
        <v>111</v>
      </c>
      <c r="J19" s="10" t="n">
        <v>46227</v>
      </c>
      <c r="K19" s="1" t="s">
        <v>184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663</v>
      </c>
      <c r="B20" s="1" t="s">
        <v>186</v>
      </c>
      <c r="C20" s="1" t="s">
        <v>38</v>
      </c>
      <c r="D20" s="1" t="s">
        <v>187</v>
      </c>
      <c r="E20" s="1" t="s">
        <v>133</v>
      </c>
      <c r="F20" s="1" t="s">
        <v>174</v>
      </c>
      <c r="G20" s="1" t="s">
        <v>830</v>
      </c>
      <c r="H20" s="8" t="s">
        <v>99</v>
      </c>
      <c r="I20" s="8" t="s">
        <v>111</v>
      </c>
      <c r="J20" s="10" t="n">
        <v>46227</v>
      </c>
      <c r="K20" s="1" t="s">
        <v>188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665</v>
      </c>
      <c r="B21" s="1" t="s">
        <v>190</v>
      </c>
      <c r="C21" s="1" t="s">
        <v>38</v>
      </c>
      <c r="D21" s="1" t="s">
        <v>191</v>
      </c>
      <c r="E21" s="1" t="s">
        <v>133</v>
      </c>
      <c r="F21" s="1" t="s">
        <v>192</v>
      </c>
      <c r="G21" s="1" t="s">
        <v>832</v>
      </c>
      <c r="H21" s="8" t="s">
        <v>97</v>
      </c>
      <c r="I21" s="8" t="s">
        <v>112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667</v>
      </c>
      <c r="B22" s="1" t="s">
        <v>195</v>
      </c>
      <c r="C22" s="1" t="s">
        <v>38</v>
      </c>
      <c r="D22" s="1" t="s">
        <v>196</v>
      </c>
      <c r="E22" s="1" t="s">
        <v>133</v>
      </c>
      <c r="F22" s="1" t="s">
        <v>192</v>
      </c>
      <c r="G22" s="1" t="s">
        <v>833</v>
      </c>
      <c r="H22" s="8" t="s">
        <v>97</v>
      </c>
      <c r="I22" s="8" t="s">
        <v>112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670</v>
      </c>
      <c r="B23" s="1" t="s">
        <v>199</v>
      </c>
      <c r="C23" s="1" t="s">
        <v>38</v>
      </c>
      <c r="D23" s="1" t="s">
        <v>200</v>
      </c>
      <c r="E23" s="1" t="s">
        <v>201</v>
      </c>
      <c r="F23" s="1" t="s">
        <v>201</v>
      </c>
      <c r="G23" s="1" t="s">
        <v>202</v>
      </c>
      <c r="H23" s="8" t="s">
        <v>97</v>
      </c>
      <c r="I23" s="8" t="s">
        <v>112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672</v>
      </c>
      <c r="B24" s="1" t="s">
        <v>204</v>
      </c>
      <c r="C24" s="1" t="s">
        <v>38</v>
      </c>
      <c r="D24" s="1" t="s">
        <v>205</v>
      </c>
      <c r="E24" s="1" t="s">
        <v>133</v>
      </c>
      <c r="F24" s="1" t="s">
        <v>133</v>
      </c>
      <c r="G24" s="1" t="s">
        <v>206</v>
      </c>
      <c r="H24" s="8" t="s">
        <v>97</v>
      </c>
      <c r="I24" s="8" t="s">
        <v>112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115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835</v>
      </c>
      <c r="B9" s="12" t="s">
        <v>130</v>
      </c>
      <c r="C9" s="12" t="s">
        <v>836</v>
      </c>
      <c r="D9" s="13" t="s">
        <v>837</v>
      </c>
      <c r="E9" s="12" t="s">
        <v>133</v>
      </c>
      <c r="F9" s="12" t="s">
        <v>134</v>
      </c>
      <c r="G9" s="13" t="s">
        <v>838</v>
      </c>
      <c r="H9" s="12" t="s">
        <v>97</v>
      </c>
      <c r="I9" s="12" t="s">
        <v>112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839</v>
      </c>
      <c r="B10" s="12" t="s">
        <v>137</v>
      </c>
      <c r="C10" s="12" t="s">
        <v>41</v>
      </c>
      <c r="D10" s="13" t="s">
        <v>840</v>
      </c>
      <c r="E10" s="12" t="s">
        <v>133</v>
      </c>
      <c r="F10" s="12" t="s">
        <v>133</v>
      </c>
      <c r="G10" s="13" t="s">
        <v>581</v>
      </c>
      <c r="H10" s="12" t="s">
        <v>97</v>
      </c>
      <c r="I10" s="12" t="s">
        <v>112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841</v>
      </c>
      <c r="B11" s="12" t="s">
        <v>141</v>
      </c>
      <c r="C11" s="12" t="s">
        <v>836</v>
      </c>
      <c r="D11" s="13" t="s">
        <v>842</v>
      </c>
      <c r="E11" s="12" t="s">
        <v>133</v>
      </c>
      <c r="F11" s="12" t="s">
        <v>143</v>
      </c>
      <c r="G11" s="13" t="s">
        <v>843</v>
      </c>
      <c r="H11" s="12" t="s">
        <v>97</v>
      </c>
      <c r="I11" s="12" t="s">
        <v>112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844</v>
      </c>
      <c r="B12" s="12" t="s">
        <v>146</v>
      </c>
      <c r="C12" s="12" t="s">
        <v>836</v>
      </c>
      <c r="D12" s="13" t="s">
        <v>845</v>
      </c>
      <c r="E12" s="12" t="s">
        <v>133</v>
      </c>
      <c r="F12" s="12" t="s">
        <v>148</v>
      </c>
      <c r="G12" s="13" t="s">
        <v>846</v>
      </c>
      <c r="H12" s="12" t="s">
        <v>97</v>
      </c>
      <c r="I12" s="12" t="s">
        <v>112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847</v>
      </c>
      <c r="B13" s="12" t="s">
        <v>151</v>
      </c>
      <c r="C13" s="12" t="s">
        <v>836</v>
      </c>
      <c r="D13" s="13" t="s">
        <v>848</v>
      </c>
      <c r="E13" s="12" t="s">
        <v>133</v>
      </c>
      <c r="F13" s="12" t="s">
        <v>153</v>
      </c>
      <c r="G13" s="13" t="s">
        <v>849</v>
      </c>
      <c r="H13" s="12" t="s">
        <v>97</v>
      </c>
      <c r="I13" s="12" t="s">
        <v>112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850</v>
      </c>
      <c r="B14" s="12" t="s">
        <v>156</v>
      </c>
      <c r="C14" s="12" t="s">
        <v>781</v>
      </c>
      <c r="D14" s="13" t="s">
        <v>851</v>
      </c>
      <c r="E14" s="12" t="s">
        <v>133</v>
      </c>
      <c r="F14" s="12" t="s">
        <v>158</v>
      </c>
      <c r="G14" s="13" t="s">
        <v>852</v>
      </c>
      <c r="H14" s="12" t="s">
        <v>97</v>
      </c>
      <c r="I14" s="12" t="s">
        <v>112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853</v>
      </c>
      <c r="B15" s="12" t="s">
        <v>156</v>
      </c>
      <c r="C15" s="12" t="s">
        <v>854</v>
      </c>
      <c r="D15" s="13" t="s">
        <v>855</v>
      </c>
      <c r="E15" s="12" t="s">
        <v>133</v>
      </c>
      <c r="F15" s="12" t="s">
        <v>158</v>
      </c>
      <c r="G15" s="13" t="s">
        <v>852</v>
      </c>
      <c r="H15" s="12" t="s">
        <v>97</v>
      </c>
      <c r="I15" s="12" t="s">
        <v>112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856</v>
      </c>
      <c r="B16" s="12" t="s">
        <v>161</v>
      </c>
      <c r="C16" s="12" t="s">
        <v>836</v>
      </c>
      <c r="D16" s="13" t="s">
        <v>857</v>
      </c>
      <c r="E16" s="12" t="s">
        <v>133</v>
      </c>
      <c r="F16" s="12" t="s">
        <v>163</v>
      </c>
      <c r="G16" s="13" t="s">
        <v>852</v>
      </c>
      <c r="H16" s="12" t="s">
        <v>97</v>
      </c>
      <c r="I16" s="12" t="s">
        <v>112</v>
      </c>
      <c r="J16" s="14" t="n">
        <v>46228</v>
      </c>
      <c r="K16" s="13" t="s">
        <v>795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858</v>
      </c>
      <c r="B17" s="12" t="s">
        <v>166</v>
      </c>
      <c r="C17" s="12" t="s">
        <v>836</v>
      </c>
      <c r="D17" s="13" t="s">
        <v>859</v>
      </c>
      <c r="E17" s="12" t="s">
        <v>133</v>
      </c>
      <c r="F17" s="12" t="s">
        <v>168</v>
      </c>
      <c r="G17" s="13" t="s">
        <v>860</v>
      </c>
      <c r="H17" s="12" t="s">
        <v>99</v>
      </c>
      <c r="I17" s="12" t="s">
        <v>111</v>
      </c>
      <c r="J17" s="14" t="n">
        <v>46228</v>
      </c>
      <c r="K17" s="13" t="s">
        <v>861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862</v>
      </c>
      <c r="B18" s="12" t="s">
        <v>172</v>
      </c>
      <c r="C18" s="12" t="s">
        <v>836</v>
      </c>
      <c r="D18" s="13" t="s">
        <v>863</v>
      </c>
      <c r="E18" s="12" t="s">
        <v>133</v>
      </c>
      <c r="F18" s="12" t="s">
        <v>174</v>
      </c>
      <c r="G18" s="13" t="s">
        <v>864</v>
      </c>
      <c r="H18" s="12" t="s">
        <v>95</v>
      </c>
      <c r="I18" s="12" t="s">
        <v>111</v>
      </c>
      <c r="J18" s="14"/>
      <c r="K18" s="13" t="s">
        <v>799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865</v>
      </c>
      <c r="B19" s="12" t="s">
        <v>178</v>
      </c>
      <c r="C19" s="12" t="s">
        <v>836</v>
      </c>
      <c r="D19" s="13" t="s">
        <v>866</v>
      </c>
      <c r="E19" s="12" t="s">
        <v>133</v>
      </c>
      <c r="F19" s="12" t="s">
        <v>174</v>
      </c>
      <c r="G19" s="13" t="s">
        <v>867</v>
      </c>
      <c r="H19" s="12" t="s">
        <v>95</v>
      </c>
      <c r="I19" s="12" t="s">
        <v>111</v>
      </c>
      <c r="J19" s="14" t="n">
        <v>46227</v>
      </c>
      <c r="K19" s="13" t="s">
        <v>803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868</v>
      </c>
      <c r="B20" s="12" t="s">
        <v>661</v>
      </c>
      <c r="C20" s="12" t="s">
        <v>836</v>
      </c>
      <c r="D20" s="13" t="s">
        <v>869</v>
      </c>
      <c r="E20" s="12" t="s">
        <v>133</v>
      </c>
      <c r="F20" s="12" t="s">
        <v>158</v>
      </c>
      <c r="G20" s="13" t="s">
        <v>852</v>
      </c>
      <c r="H20" s="12" t="s">
        <v>97</v>
      </c>
      <c r="I20" s="12" t="s">
        <v>112</v>
      </c>
      <c r="J20" s="14" t="n">
        <v>46228</v>
      </c>
      <c r="K20" s="13" t="s">
        <v>808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870</v>
      </c>
      <c r="B21" s="12" t="s">
        <v>186</v>
      </c>
      <c r="C21" s="12" t="s">
        <v>836</v>
      </c>
      <c r="D21" s="13" t="s">
        <v>871</v>
      </c>
      <c r="E21" s="12" t="s">
        <v>133</v>
      </c>
      <c r="F21" s="12" t="s">
        <v>174</v>
      </c>
      <c r="G21" s="13" t="s">
        <v>864</v>
      </c>
      <c r="H21" s="12" t="s">
        <v>95</v>
      </c>
      <c r="I21" s="12" t="s">
        <v>111</v>
      </c>
      <c r="J21" s="14" t="n">
        <v>46227</v>
      </c>
      <c r="K21" s="13" t="s">
        <v>808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872</v>
      </c>
      <c r="B22" s="12" t="s">
        <v>190</v>
      </c>
      <c r="C22" s="12" t="s">
        <v>41</v>
      </c>
      <c r="D22" s="13" t="s">
        <v>873</v>
      </c>
      <c r="E22" s="12" t="s">
        <v>133</v>
      </c>
      <c r="F22" s="12" t="s">
        <v>192</v>
      </c>
      <c r="G22" s="13" t="s">
        <v>874</v>
      </c>
      <c r="H22" s="12" t="s">
        <v>97</v>
      </c>
      <c r="I22" s="12" t="s">
        <v>112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875</v>
      </c>
      <c r="B23" s="12" t="s">
        <v>195</v>
      </c>
      <c r="C23" s="12" t="s">
        <v>41</v>
      </c>
      <c r="D23" s="13" t="s">
        <v>876</v>
      </c>
      <c r="E23" s="12" t="s">
        <v>133</v>
      </c>
      <c r="F23" s="12" t="s">
        <v>192</v>
      </c>
      <c r="G23" s="13" t="s">
        <v>877</v>
      </c>
      <c r="H23" s="12" t="s">
        <v>97</v>
      </c>
      <c r="I23" s="12" t="s">
        <v>112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878</v>
      </c>
      <c r="B24" s="12" t="s">
        <v>199</v>
      </c>
      <c r="C24" s="12" t="s">
        <v>836</v>
      </c>
      <c r="D24" s="13" t="s">
        <v>879</v>
      </c>
      <c r="E24" s="12" t="s">
        <v>201</v>
      </c>
      <c r="F24" s="12" t="s">
        <v>201</v>
      </c>
      <c r="G24" s="13" t="s">
        <v>202</v>
      </c>
      <c r="H24" s="12" t="s">
        <v>97</v>
      </c>
      <c r="I24" s="12" t="s">
        <v>112</v>
      </c>
      <c r="J24" s="14" t="n">
        <v>46228</v>
      </c>
      <c r="K24" s="13" t="s">
        <v>821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880</v>
      </c>
      <c r="B25" s="12" t="s">
        <v>204</v>
      </c>
      <c r="C25" s="12" t="s">
        <v>41</v>
      </c>
      <c r="D25" s="13" t="s">
        <v>881</v>
      </c>
      <c r="E25" s="12" t="s">
        <v>133</v>
      </c>
      <c r="F25" s="12" t="s">
        <v>133</v>
      </c>
      <c r="G25" s="13" t="s">
        <v>882</v>
      </c>
      <c r="H25" s="12" t="s">
        <v>95</v>
      </c>
      <c r="I25" s="12" t="s">
        <v>111</v>
      </c>
      <c r="J25" s="14" t="n">
        <v>46228</v>
      </c>
      <c r="K25" s="13" t="s">
        <v>821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884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115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305</v>
      </c>
      <c r="B9" s="12" t="s">
        <v>130</v>
      </c>
      <c r="C9" s="12" t="s">
        <v>42</v>
      </c>
      <c r="D9" s="13" t="s">
        <v>885</v>
      </c>
      <c r="E9" s="12" t="s">
        <v>133</v>
      </c>
      <c r="F9" s="12" t="s">
        <v>134</v>
      </c>
      <c r="G9" s="13" t="s">
        <v>886</v>
      </c>
      <c r="H9" s="12" t="s">
        <v>97</v>
      </c>
      <c r="I9" s="12" t="s">
        <v>112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307</v>
      </c>
      <c r="B10" s="12" t="s">
        <v>137</v>
      </c>
      <c r="C10" s="12" t="s">
        <v>42</v>
      </c>
      <c r="D10" s="13" t="s">
        <v>887</v>
      </c>
      <c r="E10" s="12" t="s">
        <v>133</v>
      </c>
      <c r="F10" s="12" t="s">
        <v>133</v>
      </c>
      <c r="G10" s="13" t="s">
        <v>581</v>
      </c>
      <c r="H10" s="12" t="s">
        <v>97</v>
      </c>
      <c r="I10" s="12" t="s">
        <v>112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308</v>
      </c>
      <c r="B11" s="12" t="s">
        <v>141</v>
      </c>
      <c r="C11" s="12" t="s">
        <v>42</v>
      </c>
      <c r="D11" s="13" t="s">
        <v>888</v>
      </c>
      <c r="E11" s="12" t="s">
        <v>133</v>
      </c>
      <c r="F11" s="12" t="s">
        <v>143</v>
      </c>
      <c r="G11" s="13" t="s">
        <v>889</v>
      </c>
      <c r="H11" s="12" t="s">
        <v>97</v>
      </c>
      <c r="I11" s="12" t="s">
        <v>112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310</v>
      </c>
      <c r="B12" s="12" t="s">
        <v>146</v>
      </c>
      <c r="C12" s="12" t="s">
        <v>42</v>
      </c>
      <c r="D12" s="13" t="s">
        <v>890</v>
      </c>
      <c r="E12" s="12" t="s">
        <v>133</v>
      </c>
      <c r="F12" s="12" t="s">
        <v>148</v>
      </c>
      <c r="G12" s="13" t="s">
        <v>891</v>
      </c>
      <c r="H12" s="12" t="s">
        <v>97</v>
      </c>
      <c r="I12" s="12" t="s">
        <v>112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312</v>
      </c>
      <c r="B13" s="12" t="s">
        <v>151</v>
      </c>
      <c r="C13" s="12" t="s">
        <v>42</v>
      </c>
      <c r="D13" s="13" t="s">
        <v>892</v>
      </c>
      <c r="E13" s="12" t="s">
        <v>133</v>
      </c>
      <c r="F13" s="12" t="s">
        <v>153</v>
      </c>
      <c r="G13" s="13" t="s">
        <v>893</v>
      </c>
      <c r="H13" s="12" t="s">
        <v>97</v>
      </c>
      <c r="I13" s="12" t="s">
        <v>112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314</v>
      </c>
      <c r="B14" s="12" t="s">
        <v>156</v>
      </c>
      <c r="C14" s="12" t="s">
        <v>42</v>
      </c>
      <c r="D14" s="13" t="s">
        <v>894</v>
      </c>
      <c r="E14" s="12" t="s">
        <v>133</v>
      </c>
      <c r="F14" s="12" t="s">
        <v>158</v>
      </c>
      <c r="G14" s="13" t="s">
        <v>895</v>
      </c>
      <c r="H14" s="12" t="s">
        <v>97</v>
      </c>
      <c r="I14" s="12" t="s">
        <v>112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316</v>
      </c>
      <c r="B15" s="12" t="s">
        <v>161</v>
      </c>
      <c r="C15" s="12" t="s">
        <v>42</v>
      </c>
      <c r="D15" s="13" t="s">
        <v>896</v>
      </c>
      <c r="E15" s="12" t="s">
        <v>133</v>
      </c>
      <c r="F15" s="12" t="s">
        <v>163</v>
      </c>
      <c r="G15" s="13" t="s">
        <v>895</v>
      </c>
      <c r="H15" s="12" t="s">
        <v>97</v>
      </c>
      <c r="I15" s="12" t="s">
        <v>112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318</v>
      </c>
      <c r="B16" s="12" t="s">
        <v>166</v>
      </c>
      <c r="C16" s="12" t="s">
        <v>42</v>
      </c>
      <c r="D16" s="13" t="s">
        <v>897</v>
      </c>
      <c r="E16" s="12" t="s">
        <v>133</v>
      </c>
      <c r="F16" s="12" t="s">
        <v>168</v>
      </c>
      <c r="G16" s="13" t="s">
        <v>898</v>
      </c>
      <c r="H16" s="12" t="s">
        <v>99</v>
      </c>
      <c r="I16" s="12" t="s">
        <v>111</v>
      </c>
      <c r="J16" s="14" t="n">
        <v>46228</v>
      </c>
      <c r="K16" s="13" t="s">
        <v>899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320</v>
      </c>
      <c r="B17" s="12" t="s">
        <v>172</v>
      </c>
      <c r="C17" s="12" t="s">
        <v>42</v>
      </c>
      <c r="D17" s="13" t="s">
        <v>900</v>
      </c>
      <c r="E17" s="12" t="s">
        <v>133</v>
      </c>
      <c r="F17" s="12" t="s">
        <v>174</v>
      </c>
      <c r="G17" s="13" t="s">
        <v>901</v>
      </c>
      <c r="H17" s="12" t="s">
        <v>95</v>
      </c>
      <c r="I17" s="12" t="s">
        <v>111</v>
      </c>
      <c r="J17" s="14"/>
      <c r="K17" s="13" t="s">
        <v>902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322</v>
      </c>
      <c r="B18" s="12" t="s">
        <v>178</v>
      </c>
      <c r="C18" s="12" t="s">
        <v>42</v>
      </c>
      <c r="D18" s="13" t="s">
        <v>903</v>
      </c>
      <c r="E18" s="12" t="s">
        <v>133</v>
      </c>
      <c r="F18" s="12" t="s">
        <v>174</v>
      </c>
      <c r="G18" s="13" t="s">
        <v>904</v>
      </c>
      <c r="H18" s="12" t="s">
        <v>95</v>
      </c>
      <c r="I18" s="12" t="s">
        <v>111</v>
      </c>
      <c r="J18" s="14"/>
      <c r="K18" s="13" t="s">
        <v>803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323</v>
      </c>
      <c r="B19" s="12" t="s">
        <v>661</v>
      </c>
      <c r="C19" s="12" t="s">
        <v>42</v>
      </c>
      <c r="D19" s="13" t="s">
        <v>905</v>
      </c>
      <c r="E19" s="12" t="s">
        <v>133</v>
      </c>
      <c r="F19" s="12" t="s">
        <v>158</v>
      </c>
      <c r="G19" s="13" t="s">
        <v>895</v>
      </c>
      <c r="H19" s="12" t="s">
        <v>97</v>
      </c>
      <c r="I19" s="12" t="s">
        <v>112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325</v>
      </c>
      <c r="B20" s="12" t="s">
        <v>186</v>
      </c>
      <c r="C20" s="12" t="s">
        <v>42</v>
      </c>
      <c r="D20" s="13" t="s">
        <v>906</v>
      </c>
      <c r="E20" s="12" t="s">
        <v>133</v>
      </c>
      <c r="F20" s="12" t="s">
        <v>174</v>
      </c>
      <c r="G20" s="13" t="s">
        <v>901</v>
      </c>
      <c r="H20" s="12" t="s">
        <v>95</v>
      </c>
      <c r="I20" s="12" t="s">
        <v>111</v>
      </c>
      <c r="J20" s="14"/>
      <c r="K20" s="13" t="s">
        <v>907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326</v>
      </c>
      <c r="B21" s="12" t="s">
        <v>190</v>
      </c>
      <c r="C21" s="12" t="s">
        <v>42</v>
      </c>
      <c r="D21" s="13" t="s">
        <v>908</v>
      </c>
      <c r="E21" s="12" t="s">
        <v>133</v>
      </c>
      <c r="F21" s="12" t="s">
        <v>192</v>
      </c>
      <c r="G21" s="13" t="s">
        <v>909</v>
      </c>
      <c r="H21" s="12" t="s">
        <v>97</v>
      </c>
      <c r="I21" s="12" t="s">
        <v>112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328</v>
      </c>
      <c r="B22" s="12" t="s">
        <v>195</v>
      </c>
      <c r="C22" s="12" t="s">
        <v>42</v>
      </c>
      <c r="D22" s="13" t="s">
        <v>910</v>
      </c>
      <c r="E22" s="12" t="s">
        <v>133</v>
      </c>
      <c r="F22" s="12" t="s">
        <v>192</v>
      </c>
      <c r="G22" s="13" t="s">
        <v>911</v>
      </c>
      <c r="H22" s="12" t="s">
        <v>97</v>
      </c>
      <c r="I22" s="12" t="s">
        <v>112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330</v>
      </c>
      <c r="B23" s="12" t="s">
        <v>199</v>
      </c>
      <c r="C23" s="12" t="s">
        <v>42</v>
      </c>
      <c r="D23" s="13" t="s">
        <v>912</v>
      </c>
      <c r="E23" s="12" t="s">
        <v>201</v>
      </c>
      <c r="F23" s="12" t="s">
        <v>201</v>
      </c>
      <c r="G23" s="13" t="s">
        <v>202</v>
      </c>
      <c r="H23" s="12" t="s">
        <v>97</v>
      </c>
      <c r="I23" s="12" t="s">
        <v>112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331</v>
      </c>
      <c r="B24" s="12" t="s">
        <v>621</v>
      </c>
      <c r="C24" s="12" t="s">
        <v>42</v>
      </c>
      <c r="D24" s="13" t="s">
        <v>913</v>
      </c>
      <c r="E24" s="12" t="s">
        <v>133</v>
      </c>
      <c r="F24" s="12" t="s">
        <v>133</v>
      </c>
      <c r="G24" s="13" t="s">
        <v>914</v>
      </c>
      <c r="H24" s="12" t="s">
        <v>97</v>
      </c>
      <c r="I24" s="12" t="s">
        <v>112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915</v>
      </c>
      <c r="B25" s="12" t="s">
        <v>204</v>
      </c>
      <c r="C25" s="12" t="s">
        <v>42</v>
      </c>
      <c r="D25" s="13" t="s">
        <v>916</v>
      </c>
      <c r="E25" s="12" t="s">
        <v>133</v>
      </c>
      <c r="F25" s="12" t="s">
        <v>133</v>
      </c>
      <c r="G25" s="13" t="s">
        <v>917</v>
      </c>
      <c r="H25" s="12" t="s">
        <v>95</v>
      </c>
      <c r="I25" s="12" t="s">
        <v>111</v>
      </c>
      <c r="J25" s="14"/>
      <c r="K25" s="13" t="s">
        <v>821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115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771</v>
      </c>
      <c r="B9" s="12" t="s">
        <v>130</v>
      </c>
      <c r="C9" s="12" t="s">
        <v>43</v>
      </c>
      <c r="D9" s="13" t="s">
        <v>920</v>
      </c>
      <c r="E9" s="12" t="s">
        <v>133</v>
      </c>
      <c r="F9" s="12" t="s">
        <v>134</v>
      </c>
      <c r="G9" s="13" t="s">
        <v>921</v>
      </c>
      <c r="H9" s="12" t="s">
        <v>97</v>
      </c>
      <c r="I9" s="12" t="s">
        <v>112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774</v>
      </c>
      <c r="B10" s="12" t="s">
        <v>137</v>
      </c>
      <c r="C10" s="12" t="s">
        <v>43</v>
      </c>
      <c r="D10" s="13" t="s">
        <v>922</v>
      </c>
      <c r="E10" s="12" t="s">
        <v>133</v>
      </c>
      <c r="F10" s="12" t="s">
        <v>133</v>
      </c>
      <c r="G10" s="13" t="s">
        <v>581</v>
      </c>
      <c r="H10" s="12" t="s">
        <v>97</v>
      </c>
      <c r="I10" s="12" t="s">
        <v>112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777</v>
      </c>
      <c r="B11" s="12" t="s">
        <v>141</v>
      </c>
      <c r="C11" s="12" t="s">
        <v>43</v>
      </c>
      <c r="D11" s="13" t="s">
        <v>923</v>
      </c>
      <c r="E11" s="12" t="s">
        <v>133</v>
      </c>
      <c r="F11" s="12" t="s">
        <v>143</v>
      </c>
      <c r="G11" s="13" t="s">
        <v>924</v>
      </c>
      <c r="H11" s="12" t="s">
        <v>97</v>
      </c>
      <c r="I11" s="12" t="s">
        <v>112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780</v>
      </c>
      <c r="B12" s="12" t="s">
        <v>146</v>
      </c>
      <c r="C12" s="12" t="s">
        <v>43</v>
      </c>
      <c r="D12" s="13" t="s">
        <v>925</v>
      </c>
      <c r="E12" s="12" t="s">
        <v>133</v>
      </c>
      <c r="F12" s="12" t="s">
        <v>148</v>
      </c>
      <c r="G12" s="13" t="s">
        <v>926</v>
      </c>
      <c r="H12" s="12" t="s">
        <v>97</v>
      </c>
      <c r="I12" s="12" t="s">
        <v>112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784</v>
      </c>
      <c r="B13" s="12" t="s">
        <v>151</v>
      </c>
      <c r="C13" s="12" t="s">
        <v>43</v>
      </c>
      <c r="D13" s="13" t="s">
        <v>927</v>
      </c>
      <c r="E13" s="12" t="s">
        <v>133</v>
      </c>
      <c r="F13" s="12" t="s">
        <v>153</v>
      </c>
      <c r="G13" s="13" t="s">
        <v>928</v>
      </c>
      <c r="H13" s="12" t="s">
        <v>97</v>
      </c>
      <c r="I13" s="12" t="s">
        <v>112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787</v>
      </c>
      <c r="B14" s="12" t="s">
        <v>156</v>
      </c>
      <c r="C14" s="12" t="s">
        <v>43</v>
      </c>
      <c r="D14" s="13" t="s">
        <v>929</v>
      </c>
      <c r="E14" s="12" t="s">
        <v>133</v>
      </c>
      <c r="F14" s="12" t="s">
        <v>158</v>
      </c>
      <c r="G14" s="13" t="s">
        <v>930</v>
      </c>
      <c r="H14" s="12" t="s">
        <v>97</v>
      </c>
      <c r="I14" s="12" t="s">
        <v>112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790</v>
      </c>
      <c r="B15" s="12" t="s">
        <v>161</v>
      </c>
      <c r="C15" s="12" t="s">
        <v>43</v>
      </c>
      <c r="D15" s="13" t="s">
        <v>931</v>
      </c>
      <c r="E15" s="12" t="s">
        <v>133</v>
      </c>
      <c r="F15" s="12" t="s">
        <v>163</v>
      </c>
      <c r="G15" s="13" t="s">
        <v>930</v>
      </c>
      <c r="H15" s="12" t="s">
        <v>97</v>
      </c>
      <c r="I15" s="12" t="s">
        <v>112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792</v>
      </c>
      <c r="B16" s="12" t="s">
        <v>166</v>
      </c>
      <c r="C16" s="12" t="s">
        <v>43</v>
      </c>
      <c r="D16" s="13" t="s">
        <v>932</v>
      </c>
      <c r="E16" s="12" t="s">
        <v>133</v>
      </c>
      <c r="F16" s="12" t="s">
        <v>168</v>
      </c>
      <c r="G16" s="13" t="s">
        <v>933</v>
      </c>
      <c r="H16" s="12" t="s">
        <v>99</v>
      </c>
      <c r="I16" s="12" t="s">
        <v>111</v>
      </c>
      <c r="J16" s="14" t="n">
        <v>46228</v>
      </c>
      <c r="K16" s="13" t="s">
        <v>934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796</v>
      </c>
      <c r="B17" s="12" t="s">
        <v>172</v>
      </c>
      <c r="C17" s="12" t="s">
        <v>43</v>
      </c>
      <c r="D17" s="13" t="s">
        <v>935</v>
      </c>
      <c r="E17" s="12" t="s">
        <v>133</v>
      </c>
      <c r="F17" s="12" t="s">
        <v>174</v>
      </c>
      <c r="G17" s="13" t="s">
        <v>936</v>
      </c>
      <c r="H17" s="12" t="s">
        <v>95</v>
      </c>
      <c r="I17" s="12" t="s">
        <v>111</v>
      </c>
      <c r="J17" s="14"/>
      <c r="K17" s="13" t="s">
        <v>902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800</v>
      </c>
      <c r="B18" s="12" t="s">
        <v>178</v>
      </c>
      <c r="C18" s="12" t="s">
        <v>43</v>
      </c>
      <c r="D18" s="13" t="s">
        <v>937</v>
      </c>
      <c r="E18" s="12" t="s">
        <v>133</v>
      </c>
      <c r="F18" s="12" t="s">
        <v>174</v>
      </c>
      <c r="G18" s="13" t="s">
        <v>938</v>
      </c>
      <c r="H18" s="12" t="s">
        <v>95</v>
      </c>
      <c r="I18" s="12" t="s">
        <v>111</v>
      </c>
      <c r="J18" s="14"/>
      <c r="K18" s="13" t="s">
        <v>803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804</v>
      </c>
      <c r="B19" s="12" t="s">
        <v>661</v>
      </c>
      <c r="C19" s="12" t="s">
        <v>43</v>
      </c>
      <c r="D19" s="13" t="s">
        <v>939</v>
      </c>
      <c r="E19" s="12" t="s">
        <v>133</v>
      </c>
      <c r="F19" s="12" t="s">
        <v>158</v>
      </c>
      <c r="G19" s="13" t="s">
        <v>930</v>
      </c>
      <c r="H19" s="12" t="s">
        <v>97</v>
      </c>
      <c r="I19" s="12" t="s">
        <v>112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806</v>
      </c>
      <c r="B20" s="12" t="s">
        <v>186</v>
      </c>
      <c r="C20" s="12" t="s">
        <v>43</v>
      </c>
      <c r="D20" s="13" t="s">
        <v>940</v>
      </c>
      <c r="E20" s="12" t="s">
        <v>133</v>
      </c>
      <c r="F20" s="12" t="s">
        <v>174</v>
      </c>
      <c r="G20" s="13" t="s">
        <v>936</v>
      </c>
      <c r="H20" s="12" t="s">
        <v>95</v>
      </c>
      <c r="I20" s="12" t="s">
        <v>111</v>
      </c>
      <c r="J20" s="14"/>
      <c r="K20" s="13" t="s">
        <v>907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809</v>
      </c>
      <c r="B21" s="12" t="s">
        <v>190</v>
      </c>
      <c r="C21" s="12" t="s">
        <v>43</v>
      </c>
      <c r="D21" s="13" t="s">
        <v>941</v>
      </c>
      <c r="E21" s="12" t="s">
        <v>133</v>
      </c>
      <c r="F21" s="12" t="s">
        <v>192</v>
      </c>
      <c r="G21" s="13" t="s">
        <v>942</v>
      </c>
      <c r="H21" s="12" t="s">
        <v>97</v>
      </c>
      <c r="I21" s="12" t="s">
        <v>112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812</v>
      </c>
      <c r="B22" s="12" t="s">
        <v>195</v>
      </c>
      <c r="C22" s="12" t="s">
        <v>43</v>
      </c>
      <c r="D22" s="13" t="s">
        <v>943</v>
      </c>
      <c r="E22" s="12" t="s">
        <v>133</v>
      </c>
      <c r="F22" s="12" t="s">
        <v>192</v>
      </c>
      <c r="G22" s="13" t="s">
        <v>944</v>
      </c>
      <c r="H22" s="12" t="s">
        <v>97</v>
      </c>
      <c r="I22" s="12" t="s">
        <v>112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815</v>
      </c>
      <c r="B23" s="12" t="s">
        <v>199</v>
      </c>
      <c r="C23" s="12" t="s">
        <v>43</v>
      </c>
      <c r="D23" s="13" t="s">
        <v>945</v>
      </c>
      <c r="E23" s="12" t="s">
        <v>201</v>
      </c>
      <c r="F23" s="12" t="s">
        <v>201</v>
      </c>
      <c r="G23" s="13" t="s">
        <v>202</v>
      </c>
      <c r="H23" s="12" t="s">
        <v>97</v>
      </c>
      <c r="I23" s="12" t="s">
        <v>112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818</v>
      </c>
      <c r="B24" s="12" t="s">
        <v>621</v>
      </c>
      <c r="C24" s="12" t="s">
        <v>43</v>
      </c>
      <c r="D24" s="13" t="s">
        <v>946</v>
      </c>
      <c r="E24" s="12" t="s">
        <v>133</v>
      </c>
      <c r="F24" s="12" t="s">
        <v>133</v>
      </c>
      <c r="G24" s="13" t="s">
        <v>947</v>
      </c>
      <c r="H24" s="12" t="s">
        <v>97</v>
      </c>
      <c r="I24" s="12" t="s">
        <v>112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948</v>
      </c>
      <c r="B25" s="12" t="s">
        <v>204</v>
      </c>
      <c r="C25" s="12" t="s">
        <v>43</v>
      </c>
      <c r="D25" s="13" t="s">
        <v>949</v>
      </c>
      <c r="E25" s="12" t="s">
        <v>133</v>
      </c>
      <c r="F25" s="12" t="s">
        <v>133</v>
      </c>
      <c r="G25" s="13" t="s">
        <v>950</v>
      </c>
      <c r="H25" s="12" t="s">
        <v>95</v>
      </c>
      <c r="I25" s="12" t="s">
        <v>111</v>
      </c>
      <c r="J25" s="14"/>
      <c r="K25" s="13" t="s">
        <v>821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952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115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374</v>
      </c>
      <c r="B9" s="12" t="s">
        <v>130</v>
      </c>
      <c r="C9" s="12" t="s">
        <v>44</v>
      </c>
      <c r="D9" s="13" t="s">
        <v>953</v>
      </c>
      <c r="E9" s="12" t="s">
        <v>133</v>
      </c>
      <c r="F9" s="12" t="s">
        <v>134</v>
      </c>
      <c r="G9" s="13" t="s">
        <v>954</v>
      </c>
      <c r="H9" s="12" t="s">
        <v>97</v>
      </c>
      <c r="I9" s="12" t="s">
        <v>112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376</v>
      </c>
      <c r="B10" s="12" t="s">
        <v>137</v>
      </c>
      <c r="C10" s="12" t="s">
        <v>44</v>
      </c>
      <c r="D10" s="13" t="s">
        <v>955</v>
      </c>
      <c r="E10" s="12" t="s">
        <v>133</v>
      </c>
      <c r="F10" s="12" t="s">
        <v>133</v>
      </c>
      <c r="G10" s="13" t="s">
        <v>581</v>
      </c>
      <c r="H10" s="12" t="s">
        <v>97</v>
      </c>
      <c r="I10" s="12" t="s">
        <v>112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377</v>
      </c>
      <c r="B11" s="12" t="s">
        <v>141</v>
      </c>
      <c r="C11" s="12" t="s">
        <v>44</v>
      </c>
      <c r="D11" s="13" t="s">
        <v>956</v>
      </c>
      <c r="E11" s="12" t="s">
        <v>133</v>
      </c>
      <c r="F11" s="12" t="s">
        <v>143</v>
      </c>
      <c r="G11" s="13" t="s">
        <v>957</v>
      </c>
      <c r="H11" s="12" t="s">
        <v>97</v>
      </c>
      <c r="I11" s="12" t="s">
        <v>112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379</v>
      </c>
      <c r="B12" s="12" t="s">
        <v>146</v>
      </c>
      <c r="C12" s="12" t="s">
        <v>44</v>
      </c>
      <c r="D12" s="13" t="s">
        <v>958</v>
      </c>
      <c r="E12" s="12" t="s">
        <v>133</v>
      </c>
      <c r="F12" s="12" t="s">
        <v>148</v>
      </c>
      <c r="G12" s="13" t="s">
        <v>959</v>
      </c>
      <c r="H12" s="12" t="s">
        <v>97</v>
      </c>
      <c r="I12" s="12" t="s">
        <v>112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381</v>
      </c>
      <c r="B13" s="12" t="s">
        <v>151</v>
      </c>
      <c r="C13" s="12" t="s">
        <v>44</v>
      </c>
      <c r="D13" s="13" t="s">
        <v>960</v>
      </c>
      <c r="E13" s="12" t="s">
        <v>133</v>
      </c>
      <c r="F13" s="12" t="s">
        <v>153</v>
      </c>
      <c r="G13" s="13" t="s">
        <v>961</v>
      </c>
      <c r="H13" s="12" t="s">
        <v>97</v>
      </c>
      <c r="I13" s="12" t="s">
        <v>112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383</v>
      </c>
      <c r="B14" s="12" t="s">
        <v>156</v>
      </c>
      <c r="C14" s="12" t="s">
        <v>44</v>
      </c>
      <c r="D14" s="13" t="s">
        <v>962</v>
      </c>
      <c r="E14" s="12" t="s">
        <v>133</v>
      </c>
      <c r="F14" s="12" t="s">
        <v>158</v>
      </c>
      <c r="G14" s="13" t="s">
        <v>963</v>
      </c>
      <c r="H14" s="12" t="s">
        <v>97</v>
      </c>
      <c r="I14" s="12" t="s">
        <v>112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385</v>
      </c>
      <c r="B15" s="12" t="s">
        <v>161</v>
      </c>
      <c r="C15" s="12" t="s">
        <v>44</v>
      </c>
      <c r="D15" s="13" t="s">
        <v>964</v>
      </c>
      <c r="E15" s="12" t="s">
        <v>133</v>
      </c>
      <c r="F15" s="12" t="s">
        <v>163</v>
      </c>
      <c r="G15" s="13" t="s">
        <v>963</v>
      </c>
      <c r="H15" s="12" t="s">
        <v>97</v>
      </c>
      <c r="I15" s="12" t="s">
        <v>112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387</v>
      </c>
      <c r="B16" s="12" t="s">
        <v>166</v>
      </c>
      <c r="C16" s="12" t="s">
        <v>44</v>
      </c>
      <c r="D16" s="13" t="s">
        <v>965</v>
      </c>
      <c r="E16" s="12" t="s">
        <v>133</v>
      </c>
      <c r="F16" s="12" t="s">
        <v>168</v>
      </c>
      <c r="G16" s="13" t="s">
        <v>966</v>
      </c>
      <c r="H16" s="12" t="s">
        <v>99</v>
      </c>
      <c r="I16" s="12" t="s">
        <v>111</v>
      </c>
      <c r="J16" s="14" t="n">
        <v>46228</v>
      </c>
      <c r="K16" s="13" t="s">
        <v>967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389</v>
      </c>
      <c r="B17" s="12" t="s">
        <v>172</v>
      </c>
      <c r="C17" s="12" t="s">
        <v>44</v>
      </c>
      <c r="D17" s="13" t="s">
        <v>968</v>
      </c>
      <c r="E17" s="12" t="s">
        <v>133</v>
      </c>
      <c r="F17" s="12" t="s">
        <v>174</v>
      </c>
      <c r="G17" s="13" t="s">
        <v>969</v>
      </c>
      <c r="H17" s="12" t="s">
        <v>95</v>
      </c>
      <c r="I17" s="12" t="s">
        <v>111</v>
      </c>
      <c r="J17" s="14"/>
      <c r="K17" s="13" t="s">
        <v>902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391</v>
      </c>
      <c r="B18" s="12" t="s">
        <v>178</v>
      </c>
      <c r="C18" s="12" t="s">
        <v>44</v>
      </c>
      <c r="D18" s="13" t="s">
        <v>970</v>
      </c>
      <c r="E18" s="12" t="s">
        <v>133</v>
      </c>
      <c r="F18" s="12" t="s">
        <v>174</v>
      </c>
      <c r="G18" s="13" t="s">
        <v>971</v>
      </c>
      <c r="H18" s="12" t="s">
        <v>95</v>
      </c>
      <c r="I18" s="12" t="s">
        <v>111</v>
      </c>
      <c r="J18" s="14"/>
      <c r="K18" s="13" t="s">
        <v>803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392</v>
      </c>
      <c r="B19" s="12" t="s">
        <v>661</v>
      </c>
      <c r="C19" s="12" t="s">
        <v>44</v>
      </c>
      <c r="D19" s="13" t="s">
        <v>972</v>
      </c>
      <c r="E19" s="12" t="s">
        <v>133</v>
      </c>
      <c r="F19" s="12" t="s">
        <v>158</v>
      </c>
      <c r="G19" s="13" t="s">
        <v>963</v>
      </c>
      <c r="H19" s="12" t="s">
        <v>97</v>
      </c>
      <c r="I19" s="12" t="s">
        <v>112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394</v>
      </c>
      <c r="B20" s="12" t="s">
        <v>186</v>
      </c>
      <c r="C20" s="12" t="s">
        <v>44</v>
      </c>
      <c r="D20" s="13" t="s">
        <v>973</v>
      </c>
      <c r="E20" s="12" t="s">
        <v>133</v>
      </c>
      <c r="F20" s="12" t="s">
        <v>174</v>
      </c>
      <c r="G20" s="13" t="s">
        <v>969</v>
      </c>
      <c r="H20" s="12" t="s">
        <v>95</v>
      </c>
      <c r="I20" s="12" t="s">
        <v>111</v>
      </c>
      <c r="J20" s="14"/>
      <c r="K20" s="13" t="s">
        <v>907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395</v>
      </c>
      <c r="B21" s="12" t="s">
        <v>190</v>
      </c>
      <c r="C21" s="12" t="s">
        <v>44</v>
      </c>
      <c r="D21" s="13" t="s">
        <v>974</v>
      </c>
      <c r="E21" s="12" t="s">
        <v>133</v>
      </c>
      <c r="F21" s="12" t="s">
        <v>192</v>
      </c>
      <c r="G21" s="13" t="s">
        <v>975</v>
      </c>
      <c r="H21" s="12" t="s">
        <v>97</v>
      </c>
      <c r="I21" s="12" t="s">
        <v>112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397</v>
      </c>
      <c r="B22" s="12" t="s">
        <v>195</v>
      </c>
      <c r="C22" s="12" t="s">
        <v>44</v>
      </c>
      <c r="D22" s="13" t="s">
        <v>976</v>
      </c>
      <c r="E22" s="12" t="s">
        <v>133</v>
      </c>
      <c r="F22" s="12" t="s">
        <v>192</v>
      </c>
      <c r="G22" s="13" t="s">
        <v>977</v>
      </c>
      <c r="H22" s="12" t="s">
        <v>97</v>
      </c>
      <c r="I22" s="12" t="s">
        <v>112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399</v>
      </c>
      <c r="B23" s="12" t="s">
        <v>199</v>
      </c>
      <c r="C23" s="12" t="s">
        <v>44</v>
      </c>
      <c r="D23" s="13" t="s">
        <v>978</v>
      </c>
      <c r="E23" s="12" t="s">
        <v>201</v>
      </c>
      <c r="F23" s="12" t="s">
        <v>201</v>
      </c>
      <c r="G23" s="13" t="s">
        <v>202</v>
      </c>
      <c r="H23" s="12" t="s">
        <v>97</v>
      </c>
      <c r="I23" s="12" t="s">
        <v>112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400</v>
      </c>
      <c r="B24" s="12" t="s">
        <v>621</v>
      </c>
      <c r="C24" s="12" t="s">
        <v>44</v>
      </c>
      <c r="D24" s="13" t="s">
        <v>979</v>
      </c>
      <c r="E24" s="12" t="s">
        <v>133</v>
      </c>
      <c r="F24" s="12" t="s">
        <v>133</v>
      </c>
      <c r="G24" s="13" t="s">
        <v>980</v>
      </c>
      <c r="H24" s="12" t="s">
        <v>97</v>
      </c>
      <c r="I24" s="12" t="s">
        <v>112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981</v>
      </c>
      <c r="B25" s="12" t="s">
        <v>204</v>
      </c>
      <c r="C25" s="12" t="s">
        <v>44</v>
      </c>
      <c r="D25" s="13" t="s">
        <v>982</v>
      </c>
      <c r="E25" s="12" t="s">
        <v>133</v>
      </c>
      <c r="F25" s="12" t="s">
        <v>133</v>
      </c>
      <c r="G25" s="13" t="s">
        <v>983</v>
      </c>
      <c r="H25" s="12" t="s">
        <v>95</v>
      </c>
      <c r="I25" s="12" t="s">
        <v>111</v>
      </c>
      <c r="J25" s="14"/>
      <c r="K25" s="13" t="s">
        <v>821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984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985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115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986</v>
      </c>
      <c r="B9" s="12" t="s">
        <v>130</v>
      </c>
      <c r="C9" s="12" t="s">
        <v>45</v>
      </c>
      <c r="D9" s="13" t="s">
        <v>987</v>
      </c>
      <c r="E9" s="12" t="s">
        <v>133</v>
      </c>
      <c r="F9" s="12" t="s">
        <v>134</v>
      </c>
      <c r="G9" s="13" t="s">
        <v>988</v>
      </c>
      <c r="H9" s="12" t="s">
        <v>97</v>
      </c>
      <c r="I9" s="12" t="s">
        <v>112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989</v>
      </c>
      <c r="B10" s="12" t="s">
        <v>137</v>
      </c>
      <c r="C10" s="12" t="s">
        <v>45</v>
      </c>
      <c r="D10" s="13" t="s">
        <v>990</v>
      </c>
      <c r="E10" s="12" t="s">
        <v>133</v>
      </c>
      <c r="F10" s="12" t="s">
        <v>133</v>
      </c>
      <c r="G10" s="13" t="s">
        <v>581</v>
      </c>
      <c r="H10" s="12" t="s">
        <v>97</v>
      </c>
      <c r="I10" s="12" t="s">
        <v>112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991</v>
      </c>
      <c r="B11" s="12" t="s">
        <v>141</v>
      </c>
      <c r="C11" s="12" t="s">
        <v>45</v>
      </c>
      <c r="D11" s="13" t="s">
        <v>992</v>
      </c>
      <c r="E11" s="12" t="s">
        <v>133</v>
      </c>
      <c r="F11" s="12" t="s">
        <v>143</v>
      </c>
      <c r="G11" s="13" t="s">
        <v>993</v>
      </c>
      <c r="H11" s="12" t="s">
        <v>97</v>
      </c>
      <c r="I11" s="12" t="s">
        <v>112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994</v>
      </c>
      <c r="B12" s="12" t="s">
        <v>146</v>
      </c>
      <c r="C12" s="12" t="s">
        <v>45</v>
      </c>
      <c r="D12" s="13" t="s">
        <v>995</v>
      </c>
      <c r="E12" s="12" t="s">
        <v>133</v>
      </c>
      <c r="F12" s="12" t="s">
        <v>148</v>
      </c>
      <c r="G12" s="13" t="s">
        <v>996</v>
      </c>
      <c r="H12" s="12" t="s">
        <v>97</v>
      </c>
      <c r="I12" s="12" t="s">
        <v>112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997</v>
      </c>
      <c r="B13" s="12" t="s">
        <v>151</v>
      </c>
      <c r="C13" s="12" t="s">
        <v>45</v>
      </c>
      <c r="D13" s="13" t="s">
        <v>998</v>
      </c>
      <c r="E13" s="12" t="s">
        <v>133</v>
      </c>
      <c r="F13" s="12" t="s">
        <v>153</v>
      </c>
      <c r="G13" s="13" t="s">
        <v>999</v>
      </c>
      <c r="H13" s="12" t="s">
        <v>97</v>
      </c>
      <c r="I13" s="12" t="s">
        <v>112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1000</v>
      </c>
      <c r="B14" s="12" t="s">
        <v>156</v>
      </c>
      <c r="C14" s="12" t="s">
        <v>45</v>
      </c>
      <c r="D14" s="13" t="s">
        <v>1001</v>
      </c>
      <c r="E14" s="12" t="s">
        <v>133</v>
      </c>
      <c r="F14" s="12" t="s">
        <v>158</v>
      </c>
      <c r="G14" s="13" t="s">
        <v>1002</v>
      </c>
      <c r="H14" s="12" t="s">
        <v>97</v>
      </c>
      <c r="I14" s="12" t="s">
        <v>112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1003</v>
      </c>
      <c r="B15" s="12" t="s">
        <v>161</v>
      </c>
      <c r="C15" s="12" t="s">
        <v>45</v>
      </c>
      <c r="D15" s="13" t="s">
        <v>1004</v>
      </c>
      <c r="E15" s="12" t="s">
        <v>133</v>
      </c>
      <c r="F15" s="12" t="s">
        <v>163</v>
      </c>
      <c r="G15" s="13" t="s">
        <v>1002</v>
      </c>
      <c r="H15" s="12" t="s">
        <v>97</v>
      </c>
      <c r="I15" s="12" t="s">
        <v>112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1005</v>
      </c>
      <c r="B16" s="12" t="s">
        <v>166</v>
      </c>
      <c r="C16" s="12" t="s">
        <v>45</v>
      </c>
      <c r="D16" s="13" t="s">
        <v>1006</v>
      </c>
      <c r="E16" s="12" t="s">
        <v>133</v>
      </c>
      <c r="F16" s="12" t="s">
        <v>168</v>
      </c>
      <c r="G16" s="13" t="s">
        <v>1007</v>
      </c>
      <c r="H16" s="12" t="s">
        <v>99</v>
      </c>
      <c r="I16" s="12" t="s">
        <v>111</v>
      </c>
      <c r="J16" s="14" t="n">
        <v>46228</v>
      </c>
      <c r="K16" s="13" t="s">
        <v>1008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1009</v>
      </c>
      <c r="B17" s="12" t="s">
        <v>172</v>
      </c>
      <c r="C17" s="12" t="s">
        <v>45</v>
      </c>
      <c r="D17" s="13" t="s">
        <v>1010</v>
      </c>
      <c r="E17" s="12" t="s">
        <v>133</v>
      </c>
      <c r="F17" s="12" t="s">
        <v>174</v>
      </c>
      <c r="G17" s="13" t="s">
        <v>1011</v>
      </c>
      <c r="H17" s="12" t="s">
        <v>95</v>
      </c>
      <c r="I17" s="12" t="s">
        <v>111</v>
      </c>
      <c r="J17" s="14"/>
      <c r="K17" s="13" t="s">
        <v>902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1012</v>
      </c>
      <c r="B18" s="12" t="s">
        <v>178</v>
      </c>
      <c r="C18" s="12" t="s">
        <v>45</v>
      </c>
      <c r="D18" s="13" t="s">
        <v>1013</v>
      </c>
      <c r="E18" s="12" t="s">
        <v>133</v>
      </c>
      <c r="F18" s="12" t="s">
        <v>174</v>
      </c>
      <c r="G18" s="13" t="s">
        <v>1014</v>
      </c>
      <c r="H18" s="12" t="s">
        <v>95</v>
      </c>
      <c r="I18" s="12" t="s">
        <v>111</v>
      </c>
      <c r="J18" s="14"/>
      <c r="K18" s="13" t="s">
        <v>803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1015</v>
      </c>
      <c r="B19" s="12" t="s">
        <v>661</v>
      </c>
      <c r="C19" s="12" t="s">
        <v>45</v>
      </c>
      <c r="D19" s="13" t="s">
        <v>1016</v>
      </c>
      <c r="E19" s="12" t="s">
        <v>133</v>
      </c>
      <c r="F19" s="12" t="s">
        <v>158</v>
      </c>
      <c r="G19" s="13" t="s">
        <v>1002</v>
      </c>
      <c r="H19" s="12" t="s">
        <v>97</v>
      </c>
      <c r="I19" s="12" t="s">
        <v>112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1017</v>
      </c>
      <c r="B20" s="12" t="s">
        <v>186</v>
      </c>
      <c r="C20" s="12" t="s">
        <v>45</v>
      </c>
      <c r="D20" s="13" t="s">
        <v>1018</v>
      </c>
      <c r="E20" s="12" t="s">
        <v>133</v>
      </c>
      <c r="F20" s="12" t="s">
        <v>174</v>
      </c>
      <c r="G20" s="13" t="s">
        <v>1011</v>
      </c>
      <c r="H20" s="12" t="s">
        <v>95</v>
      </c>
      <c r="I20" s="12" t="s">
        <v>111</v>
      </c>
      <c r="J20" s="14"/>
      <c r="K20" s="13" t="s">
        <v>907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1019</v>
      </c>
      <c r="B21" s="12" t="s">
        <v>190</v>
      </c>
      <c r="C21" s="12" t="s">
        <v>45</v>
      </c>
      <c r="D21" s="13" t="s">
        <v>1020</v>
      </c>
      <c r="E21" s="12" t="s">
        <v>133</v>
      </c>
      <c r="F21" s="12" t="s">
        <v>192</v>
      </c>
      <c r="G21" s="13" t="s">
        <v>1021</v>
      </c>
      <c r="H21" s="12" t="s">
        <v>97</v>
      </c>
      <c r="I21" s="12" t="s">
        <v>112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1022</v>
      </c>
      <c r="B22" s="12" t="s">
        <v>195</v>
      </c>
      <c r="C22" s="12" t="s">
        <v>45</v>
      </c>
      <c r="D22" s="13" t="s">
        <v>1023</v>
      </c>
      <c r="E22" s="12" t="s">
        <v>133</v>
      </c>
      <c r="F22" s="12" t="s">
        <v>192</v>
      </c>
      <c r="G22" s="13" t="s">
        <v>1024</v>
      </c>
      <c r="H22" s="12" t="s">
        <v>97</v>
      </c>
      <c r="I22" s="12" t="s">
        <v>112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1025</v>
      </c>
      <c r="B23" s="12" t="s">
        <v>199</v>
      </c>
      <c r="C23" s="12" t="s">
        <v>45</v>
      </c>
      <c r="D23" s="13" t="s">
        <v>1026</v>
      </c>
      <c r="E23" s="12" t="s">
        <v>201</v>
      </c>
      <c r="F23" s="12" t="s">
        <v>201</v>
      </c>
      <c r="G23" s="13" t="s">
        <v>202</v>
      </c>
      <c r="H23" s="12" t="s">
        <v>97</v>
      </c>
      <c r="I23" s="12" t="s">
        <v>112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1027</v>
      </c>
      <c r="B24" s="12" t="s">
        <v>621</v>
      </c>
      <c r="C24" s="12" t="s">
        <v>45</v>
      </c>
      <c r="D24" s="13" t="s">
        <v>1028</v>
      </c>
      <c r="E24" s="12" t="s">
        <v>133</v>
      </c>
      <c r="F24" s="12" t="s">
        <v>133</v>
      </c>
      <c r="G24" s="13" t="s">
        <v>1029</v>
      </c>
      <c r="H24" s="12" t="s">
        <v>97</v>
      </c>
      <c r="I24" s="12" t="s">
        <v>112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1030</v>
      </c>
      <c r="B25" s="12" t="s">
        <v>204</v>
      </c>
      <c r="C25" s="12" t="s">
        <v>45</v>
      </c>
      <c r="D25" s="13" t="s">
        <v>1031</v>
      </c>
      <c r="E25" s="12" t="s">
        <v>133</v>
      </c>
      <c r="F25" s="12" t="s">
        <v>133</v>
      </c>
      <c r="G25" s="13" t="s">
        <v>1032</v>
      </c>
      <c r="H25" s="12" t="s">
        <v>95</v>
      </c>
      <c r="I25" s="12" t="s">
        <v>111</v>
      </c>
      <c r="J25" s="14"/>
      <c r="K25" s="13" t="s">
        <v>1033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15</v>
      </c>
      <c r="D4" s="5" t="s">
        <v>115</v>
      </c>
      <c r="E4" s="6" t="n">
        <f aca="false">SUM(M9:M25)</f>
        <v>11</v>
      </c>
      <c r="G4" s="5" t="s">
        <v>14</v>
      </c>
      <c r="H4" s="7" t="n">
        <f aca="false">IF(B4=0,0,E4/B4)</f>
        <v>0.733333333333333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1036</v>
      </c>
      <c r="B9" s="12" t="s">
        <v>130</v>
      </c>
      <c r="C9" s="12" t="s">
        <v>46</v>
      </c>
      <c r="D9" s="13" t="s">
        <v>1037</v>
      </c>
      <c r="E9" s="12" t="s">
        <v>133</v>
      </c>
      <c r="F9" s="12" t="s">
        <v>134</v>
      </c>
      <c r="G9" s="13" t="s">
        <v>1038</v>
      </c>
      <c r="H9" s="12" t="s">
        <v>97</v>
      </c>
      <c r="I9" s="12" t="s">
        <v>112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1039</v>
      </c>
      <c r="B10" s="12" t="s">
        <v>137</v>
      </c>
      <c r="C10" s="12" t="s">
        <v>46</v>
      </c>
      <c r="D10" s="13" t="s">
        <v>1040</v>
      </c>
      <c r="E10" s="12" t="s">
        <v>133</v>
      </c>
      <c r="F10" s="12" t="s">
        <v>133</v>
      </c>
      <c r="G10" s="13" t="s">
        <v>581</v>
      </c>
      <c r="H10" s="12" t="s">
        <v>97</v>
      </c>
      <c r="I10" s="12" t="s">
        <v>112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1041</v>
      </c>
      <c r="B11" s="12" t="s">
        <v>141</v>
      </c>
      <c r="C11" s="12" t="s">
        <v>46</v>
      </c>
      <c r="D11" s="13" t="s">
        <v>1042</v>
      </c>
      <c r="E11" s="12" t="s">
        <v>133</v>
      </c>
      <c r="F11" s="12" t="s">
        <v>143</v>
      </c>
      <c r="G11" s="13" t="s">
        <v>1043</v>
      </c>
      <c r="H11" s="12" t="s">
        <v>97</v>
      </c>
      <c r="I11" s="12" t="s">
        <v>112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1044</v>
      </c>
      <c r="B12" s="12" t="s">
        <v>146</v>
      </c>
      <c r="C12" s="12" t="s">
        <v>46</v>
      </c>
      <c r="D12" s="13" t="s">
        <v>1045</v>
      </c>
      <c r="E12" s="12" t="s">
        <v>133</v>
      </c>
      <c r="F12" s="12" t="s">
        <v>148</v>
      </c>
      <c r="G12" s="13" t="s">
        <v>1046</v>
      </c>
      <c r="H12" s="12" t="s">
        <v>97</v>
      </c>
      <c r="I12" s="12" t="s">
        <v>112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1047</v>
      </c>
      <c r="B13" s="12" t="s">
        <v>151</v>
      </c>
      <c r="C13" s="12" t="s">
        <v>46</v>
      </c>
      <c r="D13" s="13" t="s">
        <v>1048</v>
      </c>
      <c r="E13" s="12" t="s">
        <v>133</v>
      </c>
      <c r="F13" s="12" t="s">
        <v>153</v>
      </c>
      <c r="G13" s="13" t="s">
        <v>1049</v>
      </c>
      <c r="H13" s="12" t="s">
        <v>97</v>
      </c>
      <c r="I13" s="12" t="s">
        <v>112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1050</v>
      </c>
      <c r="B14" s="12" t="s">
        <v>156</v>
      </c>
      <c r="C14" s="12" t="s">
        <v>46</v>
      </c>
      <c r="D14" s="13" t="s">
        <v>1051</v>
      </c>
      <c r="E14" s="12" t="s">
        <v>133</v>
      </c>
      <c r="F14" s="12" t="s">
        <v>158</v>
      </c>
      <c r="G14" s="13" t="s">
        <v>1052</v>
      </c>
      <c r="H14" s="12" t="s">
        <v>97</v>
      </c>
      <c r="I14" s="12" t="s">
        <v>112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1053</v>
      </c>
      <c r="B15" s="12" t="s">
        <v>161</v>
      </c>
      <c r="C15" s="12" t="s">
        <v>46</v>
      </c>
      <c r="D15" s="13" t="s">
        <v>1054</v>
      </c>
      <c r="E15" s="12" t="s">
        <v>133</v>
      </c>
      <c r="F15" s="12" t="s">
        <v>163</v>
      </c>
      <c r="G15" s="13" t="s">
        <v>1052</v>
      </c>
      <c r="H15" s="12" t="s">
        <v>97</v>
      </c>
      <c r="I15" s="12" t="s">
        <v>112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1055</v>
      </c>
      <c r="B16" s="12" t="s">
        <v>166</v>
      </c>
      <c r="C16" s="12" t="s">
        <v>46</v>
      </c>
      <c r="D16" s="13" t="s">
        <v>1056</v>
      </c>
      <c r="E16" s="12" t="s">
        <v>133</v>
      </c>
      <c r="F16" s="12" t="s">
        <v>168</v>
      </c>
      <c r="G16" s="13" t="s">
        <v>1057</v>
      </c>
      <c r="H16" s="12" t="s">
        <v>95</v>
      </c>
      <c r="I16" s="12" t="s">
        <v>111</v>
      </c>
      <c r="J16" s="14" t="n">
        <v>46228</v>
      </c>
      <c r="K16" s="13" t="s">
        <v>1058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1059</v>
      </c>
      <c r="B17" s="12" t="s">
        <v>172</v>
      </c>
      <c r="C17" s="12" t="s">
        <v>46</v>
      </c>
      <c r="D17" s="13" t="s">
        <v>1060</v>
      </c>
      <c r="E17" s="12" t="s">
        <v>133</v>
      </c>
      <c r="F17" s="12" t="s">
        <v>174</v>
      </c>
      <c r="G17" s="13" t="s">
        <v>1061</v>
      </c>
      <c r="H17" s="12" t="s">
        <v>95</v>
      </c>
      <c r="I17" s="12" t="s">
        <v>111</v>
      </c>
      <c r="J17" s="14"/>
      <c r="K17" s="13" t="s">
        <v>1062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1063</v>
      </c>
      <c r="B18" s="12" t="s">
        <v>186</v>
      </c>
      <c r="C18" s="12" t="s">
        <v>46</v>
      </c>
      <c r="D18" s="13" t="s">
        <v>1064</v>
      </c>
      <c r="E18" s="12" t="s">
        <v>133</v>
      </c>
      <c r="F18" s="12" t="s">
        <v>174</v>
      </c>
      <c r="G18" s="13" t="s">
        <v>1061</v>
      </c>
      <c r="H18" s="12" t="s">
        <v>95</v>
      </c>
      <c r="I18" s="12" t="s">
        <v>111</v>
      </c>
      <c r="J18" s="14"/>
      <c r="K18" s="13" t="s">
        <v>1062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1065</v>
      </c>
      <c r="B19" s="12" t="s">
        <v>190</v>
      </c>
      <c r="C19" s="12" t="s">
        <v>46</v>
      </c>
      <c r="D19" s="13" t="s">
        <v>1066</v>
      </c>
      <c r="E19" s="12" t="s">
        <v>133</v>
      </c>
      <c r="F19" s="12" t="s">
        <v>192</v>
      </c>
      <c r="G19" s="13" t="s">
        <v>1067</v>
      </c>
      <c r="H19" s="12" t="s">
        <v>97</v>
      </c>
      <c r="I19" s="12" t="s">
        <v>112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1068</v>
      </c>
      <c r="B20" s="12" t="s">
        <v>195</v>
      </c>
      <c r="C20" s="12" t="s">
        <v>46</v>
      </c>
      <c r="D20" s="13" t="s">
        <v>1069</v>
      </c>
      <c r="E20" s="12" t="s">
        <v>133</v>
      </c>
      <c r="F20" s="12" t="s">
        <v>192</v>
      </c>
      <c r="G20" s="13" t="s">
        <v>1070</v>
      </c>
      <c r="H20" s="12" t="s">
        <v>97</v>
      </c>
      <c r="I20" s="12" t="s">
        <v>112</v>
      </c>
      <c r="J20" s="14" t="n">
        <v>46228</v>
      </c>
      <c r="K20" s="13" t="s">
        <v>907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1071</v>
      </c>
      <c r="B21" s="12" t="s">
        <v>199</v>
      </c>
      <c r="C21" s="12" t="s">
        <v>46</v>
      </c>
      <c r="D21" s="13" t="s">
        <v>1072</v>
      </c>
      <c r="E21" s="12" t="s">
        <v>201</v>
      </c>
      <c r="F21" s="12" t="s">
        <v>201</v>
      </c>
      <c r="G21" s="13" t="s">
        <v>202</v>
      </c>
      <c r="H21" s="12" t="s">
        <v>97</v>
      </c>
      <c r="I21" s="12" t="s">
        <v>112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1073</v>
      </c>
      <c r="B22" s="12" t="s">
        <v>621</v>
      </c>
      <c r="C22" s="12" t="s">
        <v>46</v>
      </c>
      <c r="D22" s="13" t="s">
        <v>1074</v>
      </c>
      <c r="E22" s="12" t="s">
        <v>133</v>
      </c>
      <c r="F22" s="12" t="s">
        <v>133</v>
      </c>
      <c r="G22" s="13" t="s">
        <v>1075</v>
      </c>
      <c r="H22" s="12" t="s">
        <v>97</v>
      </c>
      <c r="I22" s="12" t="s">
        <v>112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1076</v>
      </c>
      <c r="B23" s="12" t="s">
        <v>204</v>
      </c>
      <c r="C23" s="12" t="s">
        <v>46</v>
      </c>
      <c r="D23" s="13" t="s">
        <v>1031</v>
      </c>
      <c r="E23" s="12" t="s">
        <v>133</v>
      </c>
      <c r="F23" s="12" t="s">
        <v>133</v>
      </c>
      <c r="G23" s="13" t="s">
        <v>627</v>
      </c>
      <c r="H23" s="12" t="s">
        <v>95</v>
      </c>
      <c r="I23" s="12" t="s">
        <v>111</v>
      </c>
      <c r="J23" s="14" t="n">
        <v>46228</v>
      </c>
      <c r="K23" s="13" t="s">
        <v>1077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115</v>
      </c>
      <c r="E4" s="6" t="n">
        <f aca="false">SUM(M9:M25)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1080</v>
      </c>
      <c r="B9" s="12" t="s">
        <v>130</v>
      </c>
      <c r="C9" s="12" t="s">
        <v>1081</v>
      </c>
      <c r="D9" s="13" t="s">
        <v>1082</v>
      </c>
      <c r="E9" s="12" t="s">
        <v>133</v>
      </c>
      <c r="F9" s="12" t="s">
        <v>134</v>
      </c>
      <c r="G9" s="13" t="s">
        <v>1083</v>
      </c>
      <c r="H9" s="12" t="s">
        <v>97</v>
      </c>
      <c r="I9" s="12" t="s">
        <v>112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1084</v>
      </c>
      <c r="B10" s="12" t="s">
        <v>181</v>
      </c>
      <c r="C10" s="12" t="s">
        <v>1085</v>
      </c>
      <c r="D10" s="13" t="s">
        <v>1086</v>
      </c>
      <c r="E10" s="12" t="s">
        <v>133</v>
      </c>
      <c r="F10" s="12" t="s">
        <v>153</v>
      </c>
      <c r="G10" s="13" t="s">
        <v>1087</v>
      </c>
      <c r="H10" s="12" t="s">
        <v>97</v>
      </c>
      <c r="I10" s="12" t="s">
        <v>112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1088</v>
      </c>
      <c r="B11" s="12" t="s">
        <v>1089</v>
      </c>
      <c r="C11" s="12" t="s">
        <v>1090</v>
      </c>
      <c r="D11" s="13" t="s">
        <v>1091</v>
      </c>
      <c r="E11" s="12" t="s">
        <v>133</v>
      </c>
      <c r="F11" s="12" t="s">
        <v>153</v>
      </c>
      <c r="G11" s="13" t="s">
        <v>1087</v>
      </c>
      <c r="H11" s="12" t="s">
        <v>97</v>
      </c>
      <c r="I11" s="12" t="s">
        <v>112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1092</v>
      </c>
      <c r="B12" s="12" t="s">
        <v>137</v>
      </c>
      <c r="C12" s="12" t="s">
        <v>47</v>
      </c>
      <c r="D12" s="13" t="s">
        <v>1093</v>
      </c>
      <c r="E12" s="12" t="s">
        <v>133</v>
      </c>
      <c r="F12" s="12" t="s">
        <v>133</v>
      </c>
      <c r="G12" s="13" t="s">
        <v>581</v>
      </c>
      <c r="H12" s="12" t="s">
        <v>97</v>
      </c>
      <c r="I12" s="12" t="s">
        <v>112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1094</v>
      </c>
      <c r="B13" s="12" t="s">
        <v>141</v>
      </c>
      <c r="C13" s="12" t="s">
        <v>47</v>
      </c>
      <c r="D13" s="13" t="s">
        <v>1095</v>
      </c>
      <c r="E13" s="12" t="s">
        <v>133</v>
      </c>
      <c r="F13" s="12" t="s">
        <v>143</v>
      </c>
      <c r="G13" s="13" t="s">
        <v>1096</v>
      </c>
      <c r="H13" s="12" t="s">
        <v>97</v>
      </c>
      <c r="I13" s="12" t="s">
        <v>112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1097</v>
      </c>
      <c r="B14" s="12" t="s">
        <v>146</v>
      </c>
      <c r="C14" s="12" t="s">
        <v>47</v>
      </c>
      <c r="D14" s="13" t="s">
        <v>1098</v>
      </c>
      <c r="E14" s="12" t="s">
        <v>133</v>
      </c>
      <c r="F14" s="12" t="s">
        <v>148</v>
      </c>
      <c r="G14" s="13" t="s">
        <v>1099</v>
      </c>
      <c r="H14" s="12" t="s">
        <v>97</v>
      </c>
      <c r="I14" s="12" t="s">
        <v>112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1100</v>
      </c>
      <c r="B15" s="12" t="s">
        <v>156</v>
      </c>
      <c r="C15" s="12" t="s">
        <v>47</v>
      </c>
      <c r="D15" s="13" t="s">
        <v>1101</v>
      </c>
      <c r="E15" s="12" t="s">
        <v>133</v>
      </c>
      <c r="F15" s="12" t="s">
        <v>158</v>
      </c>
      <c r="G15" s="13" t="s">
        <v>1102</v>
      </c>
      <c r="H15" s="12" t="s">
        <v>97</v>
      </c>
      <c r="I15" s="12" t="s">
        <v>112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1103</v>
      </c>
      <c r="B16" s="12" t="s">
        <v>161</v>
      </c>
      <c r="C16" s="12" t="s">
        <v>1104</v>
      </c>
      <c r="D16" s="13" t="s">
        <v>1105</v>
      </c>
      <c r="E16" s="12" t="s">
        <v>133</v>
      </c>
      <c r="F16" s="12" t="s">
        <v>163</v>
      </c>
      <c r="G16" s="13" t="s">
        <v>1102</v>
      </c>
      <c r="H16" s="12" t="s">
        <v>97</v>
      </c>
      <c r="I16" s="12" t="s">
        <v>112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1106</v>
      </c>
      <c r="B17" s="12" t="s">
        <v>166</v>
      </c>
      <c r="C17" s="12" t="s">
        <v>47</v>
      </c>
      <c r="D17" s="13" t="s">
        <v>1107</v>
      </c>
      <c r="E17" s="12" t="s">
        <v>133</v>
      </c>
      <c r="F17" s="12" t="s">
        <v>168</v>
      </c>
      <c r="G17" s="13" t="s">
        <v>1108</v>
      </c>
      <c r="H17" s="12" t="s">
        <v>95</v>
      </c>
      <c r="I17" s="12" t="s">
        <v>111</v>
      </c>
      <c r="J17" s="14"/>
      <c r="K17" s="13" t="s">
        <v>1058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1109</v>
      </c>
      <c r="B18" s="12" t="s">
        <v>172</v>
      </c>
      <c r="C18" s="12" t="s">
        <v>47</v>
      </c>
      <c r="D18" s="13" t="s">
        <v>1110</v>
      </c>
      <c r="E18" s="12" t="s">
        <v>133</v>
      </c>
      <c r="F18" s="12" t="s">
        <v>174</v>
      </c>
      <c r="G18" s="13" t="s">
        <v>1111</v>
      </c>
      <c r="H18" s="12" t="s">
        <v>95</v>
      </c>
      <c r="I18" s="12" t="s">
        <v>111</v>
      </c>
      <c r="J18" s="14"/>
      <c r="K18" s="13" t="s">
        <v>1062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1112</v>
      </c>
      <c r="B19" s="12" t="s">
        <v>186</v>
      </c>
      <c r="C19" s="12" t="s">
        <v>47</v>
      </c>
      <c r="D19" s="13" t="s">
        <v>1113</v>
      </c>
      <c r="E19" s="12" t="s">
        <v>133</v>
      </c>
      <c r="F19" s="12" t="s">
        <v>174</v>
      </c>
      <c r="G19" s="13" t="s">
        <v>1111</v>
      </c>
      <c r="H19" s="12" t="s">
        <v>95</v>
      </c>
      <c r="I19" s="12" t="s">
        <v>111</v>
      </c>
      <c r="J19" s="14" t="n">
        <v>46228</v>
      </c>
      <c r="K19" s="13" t="s">
        <v>1062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1114</v>
      </c>
      <c r="B20" s="12" t="s">
        <v>190</v>
      </c>
      <c r="C20" s="12" t="s">
        <v>47</v>
      </c>
      <c r="D20" s="13" t="s">
        <v>1115</v>
      </c>
      <c r="E20" s="12" t="s">
        <v>133</v>
      </c>
      <c r="F20" s="12" t="s">
        <v>192</v>
      </c>
      <c r="G20" s="13" t="s">
        <v>1116</v>
      </c>
      <c r="H20" s="12" t="s">
        <v>97</v>
      </c>
      <c r="I20" s="12" t="s">
        <v>112</v>
      </c>
      <c r="J20" s="14" t="n">
        <v>46228</v>
      </c>
      <c r="K20" s="13" t="s">
        <v>907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1117</v>
      </c>
      <c r="B21" s="12" t="s">
        <v>195</v>
      </c>
      <c r="C21" s="12" t="s">
        <v>47</v>
      </c>
      <c r="D21" s="13" t="s">
        <v>1118</v>
      </c>
      <c r="E21" s="12" t="s">
        <v>133</v>
      </c>
      <c r="F21" s="12" t="s">
        <v>192</v>
      </c>
      <c r="G21" s="13" t="s">
        <v>1119</v>
      </c>
      <c r="H21" s="12" t="s">
        <v>97</v>
      </c>
      <c r="I21" s="12" t="s">
        <v>112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1120</v>
      </c>
      <c r="B22" s="12" t="s">
        <v>199</v>
      </c>
      <c r="C22" s="12" t="s">
        <v>47</v>
      </c>
      <c r="D22" s="13" t="s">
        <v>1121</v>
      </c>
      <c r="E22" s="12" t="s">
        <v>201</v>
      </c>
      <c r="F22" s="12" t="s">
        <v>201</v>
      </c>
      <c r="G22" s="13" t="s">
        <v>202</v>
      </c>
      <c r="H22" s="12" t="s">
        <v>97</v>
      </c>
      <c r="I22" s="12" t="s">
        <v>112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1122</v>
      </c>
      <c r="B23" s="12" t="s">
        <v>621</v>
      </c>
      <c r="C23" s="12" t="s">
        <v>47</v>
      </c>
      <c r="D23" s="13" t="s">
        <v>1123</v>
      </c>
      <c r="E23" s="12" t="s">
        <v>133</v>
      </c>
      <c r="F23" s="12" t="s">
        <v>133</v>
      </c>
      <c r="G23" s="13" t="s">
        <v>1075</v>
      </c>
      <c r="H23" s="12" t="s">
        <v>97</v>
      </c>
      <c r="I23" s="12" t="s">
        <v>112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1124</v>
      </c>
      <c r="B24" s="12" t="s">
        <v>204</v>
      </c>
      <c r="C24" s="12" t="s">
        <v>47</v>
      </c>
      <c r="D24" s="13" t="s">
        <v>1125</v>
      </c>
      <c r="E24" s="12" t="s">
        <v>133</v>
      </c>
      <c r="F24" s="12" t="s">
        <v>133</v>
      </c>
      <c r="G24" s="13" t="s">
        <v>627</v>
      </c>
      <c r="H24" s="12" t="s">
        <v>95</v>
      </c>
      <c r="I24" s="12" t="s">
        <v>111</v>
      </c>
      <c r="J24" s="14" t="n">
        <v>46228</v>
      </c>
      <c r="K24" s="13" t="s">
        <v>1077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1127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115</v>
      </c>
      <c r="E4" s="6" t="n">
        <f aca="false">SUM(M9:M25)</f>
        <v>16</v>
      </c>
      <c r="G4" s="5" t="s">
        <v>14</v>
      </c>
      <c r="H4" s="7" t="n">
        <f aca="false">IF(B4=0,0,E4/B4)</f>
        <v>1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116</v>
      </c>
      <c r="B5" s="6" t="str">
        <f aca="false">IF(COUNTIFS(I9:I25,"yes",M9:M25,0)&gt;0,"open","complete")</f>
        <v>complete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1128</v>
      </c>
      <c r="B9" s="12" t="s">
        <v>130</v>
      </c>
      <c r="C9" s="12" t="s">
        <v>1081</v>
      </c>
      <c r="D9" s="13" t="s">
        <v>1129</v>
      </c>
      <c r="E9" s="12" t="s">
        <v>133</v>
      </c>
      <c r="F9" s="12" t="s">
        <v>134</v>
      </c>
      <c r="G9" s="13" t="s">
        <v>1083</v>
      </c>
      <c r="H9" s="12" t="s">
        <v>97</v>
      </c>
      <c r="I9" s="12" t="s">
        <v>112</v>
      </c>
      <c r="J9" s="14" t="s">
        <v>133</v>
      </c>
      <c r="K9" s="13" t="s">
        <v>1130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1131</v>
      </c>
      <c r="B10" s="12" t="s">
        <v>1132</v>
      </c>
      <c r="C10" s="12" t="s">
        <v>781</v>
      </c>
      <c r="D10" s="13" t="s">
        <v>1133</v>
      </c>
      <c r="E10" s="12" t="s">
        <v>133</v>
      </c>
      <c r="F10" s="12" t="s">
        <v>153</v>
      </c>
      <c r="G10" s="13" t="s">
        <v>1087</v>
      </c>
      <c r="H10" s="12" t="s">
        <v>97</v>
      </c>
      <c r="I10" s="12" t="s">
        <v>112</v>
      </c>
      <c r="J10" s="14" t="s">
        <v>133</v>
      </c>
      <c r="K10" s="13" t="s">
        <v>1130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1134</v>
      </c>
      <c r="B11" s="12" t="s">
        <v>1085</v>
      </c>
      <c r="C11" s="12" t="s">
        <v>33</v>
      </c>
      <c r="D11" s="13" t="s">
        <v>1135</v>
      </c>
      <c r="E11" s="12" t="s">
        <v>133</v>
      </c>
      <c r="F11" s="12" t="s">
        <v>153</v>
      </c>
      <c r="G11" s="13" t="s">
        <v>1087</v>
      </c>
      <c r="H11" s="12" t="s">
        <v>97</v>
      </c>
      <c r="I11" s="12" t="s">
        <v>112</v>
      </c>
      <c r="J11" s="14" t="s">
        <v>133</v>
      </c>
      <c r="K11" s="13" t="s">
        <v>1130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1136</v>
      </c>
      <c r="B12" s="12" t="s">
        <v>1137</v>
      </c>
      <c r="C12" s="12" t="s">
        <v>1138</v>
      </c>
      <c r="D12" s="13" t="s">
        <v>1139</v>
      </c>
      <c r="E12" s="12" t="s">
        <v>133</v>
      </c>
      <c r="F12" s="12" t="s">
        <v>133</v>
      </c>
      <c r="G12" s="13" t="s">
        <v>581</v>
      </c>
      <c r="H12" s="12" t="s">
        <v>97</v>
      </c>
      <c r="I12" s="12" t="s">
        <v>112</v>
      </c>
      <c r="J12" s="14" t="s">
        <v>133</v>
      </c>
      <c r="K12" s="13" t="s">
        <v>1130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1140</v>
      </c>
      <c r="B13" s="12" t="s">
        <v>137</v>
      </c>
      <c r="C13" s="12" t="s">
        <v>48</v>
      </c>
      <c r="D13" s="13" t="s">
        <v>1141</v>
      </c>
      <c r="E13" s="12" t="s">
        <v>133</v>
      </c>
      <c r="F13" s="12" t="s">
        <v>143</v>
      </c>
      <c r="G13" s="13" t="s">
        <v>1096</v>
      </c>
      <c r="H13" s="12" t="s">
        <v>97</v>
      </c>
      <c r="I13" s="12" t="s">
        <v>112</v>
      </c>
      <c r="J13" s="14" t="s">
        <v>133</v>
      </c>
      <c r="K13" s="13" t="s">
        <v>1130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1142</v>
      </c>
      <c r="B14" s="12" t="s">
        <v>141</v>
      </c>
      <c r="C14" s="12" t="s">
        <v>48</v>
      </c>
      <c r="D14" s="13" t="s">
        <v>1143</v>
      </c>
      <c r="E14" s="12" t="s">
        <v>133</v>
      </c>
      <c r="F14" s="12" t="s">
        <v>148</v>
      </c>
      <c r="G14" s="13" t="s">
        <v>1099</v>
      </c>
      <c r="H14" s="12" t="s">
        <v>97</v>
      </c>
      <c r="I14" s="12" t="s">
        <v>112</v>
      </c>
      <c r="J14" s="14" t="s">
        <v>133</v>
      </c>
      <c r="K14" s="13" t="s">
        <v>1130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1144</v>
      </c>
      <c r="B15" s="12" t="s">
        <v>146</v>
      </c>
      <c r="C15" s="12" t="s">
        <v>48</v>
      </c>
      <c r="D15" s="13" t="s">
        <v>1145</v>
      </c>
      <c r="E15" s="12" t="s">
        <v>133</v>
      </c>
      <c r="F15" s="12" t="s">
        <v>158</v>
      </c>
      <c r="G15" s="13" t="s">
        <v>1102</v>
      </c>
      <c r="H15" s="12" t="s">
        <v>97</v>
      </c>
      <c r="I15" s="12" t="s">
        <v>112</v>
      </c>
      <c r="J15" s="14" t="s">
        <v>133</v>
      </c>
      <c r="K15" s="13" t="s">
        <v>1130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1146</v>
      </c>
      <c r="B16" s="12" t="s">
        <v>156</v>
      </c>
      <c r="C16" s="12" t="s">
        <v>48</v>
      </c>
      <c r="D16" s="13" t="s">
        <v>1147</v>
      </c>
      <c r="E16" s="12" t="s">
        <v>133</v>
      </c>
      <c r="F16" s="12" t="s">
        <v>163</v>
      </c>
      <c r="G16" s="13" t="s">
        <v>1102</v>
      </c>
      <c r="H16" s="12" t="s">
        <v>97</v>
      </c>
      <c r="I16" s="12" t="s">
        <v>112</v>
      </c>
      <c r="J16" s="14" t="s">
        <v>133</v>
      </c>
      <c r="K16" s="13" t="s">
        <v>1130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1148</v>
      </c>
      <c r="B17" s="12" t="s">
        <v>161</v>
      </c>
      <c r="C17" s="12" t="s">
        <v>1149</v>
      </c>
      <c r="D17" s="13" t="s">
        <v>1150</v>
      </c>
      <c r="E17" s="12" t="s">
        <v>133</v>
      </c>
      <c r="F17" s="12" t="s">
        <v>168</v>
      </c>
      <c r="G17" s="13" t="s">
        <v>1108</v>
      </c>
      <c r="H17" s="12" t="s">
        <v>97</v>
      </c>
      <c r="I17" s="12" t="s">
        <v>111</v>
      </c>
      <c r="J17" s="14" t="s">
        <v>133</v>
      </c>
      <c r="K17" s="13" t="s">
        <v>1130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1151</v>
      </c>
      <c r="B18" s="12" t="s">
        <v>166</v>
      </c>
      <c r="C18" s="12" t="s">
        <v>48</v>
      </c>
      <c r="D18" s="13" t="s">
        <v>1152</v>
      </c>
      <c r="E18" s="12" t="s">
        <v>133</v>
      </c>
      <c r="F18" s="12" t="s">
        <v>174</v>
      </c>
      <c r="G18" s="13" t="s">
        <v>1111</v>
      </c>
      <c r="H18" s="12" t="s">
        <v>97</v>
      </c>
      <c r="I18" s="12" t="s">
        <v>111</v>
      </c>
      <c r="J18" s="14" t="s">
        <v>133</v>
      </c>
      <c r="K18" s="13" t="s">
        <v>1130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1153</v>
      </c>
      <c r="B19" s="12" t="s">
        <v>186</v>
      </c>
      <c r="C19" s="12" t="s">
        <v>48</v>
      </c>
      <c r="D19" s="13" t="s">
        <v>1154</v>
      </c>
      <c r="E19" s="12" t="s">
        <v>133</v>
      </c>
      <c r="F19" s="12" t="s">
        <v>174</v>
      </c>
      <c r="G19" s="13" t="s">
        <v>1111</v>
      </c>
      <c r="H19" s="12" t="s">
        <v>97</v>
      </c>
      <c r="I19" s="12" t="s">
        <v>111</v>
      </c>
      <c r="J19" s="14" t="s">
        <v>133</v>
      </c>
      <c r="K19" s="13" t="s">
        <v>1155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1156</v>
      </c>
      <c r="B20" s="12" t="s">
        <v>190</v>
      </c>
      <c r="C20" s="12" t="s">
        <v>48</v>
      </c>
      <c r="D20" s="13" t="s">
        <v>1157</v>
      </c>
      <c r="E20" s="12" t="s">
        <v>133</v>
      </c>
      <c r="F20" s="12" t="s">
        <v>192</v>
      </c>
      <c r="G20" s="13" t="s">
        <v>1116</v>
      </c>
      <c r="H20" s="12" t="s">
        <v>97</v>
      </c>
      <c r="I20" s="12" t="s">
        <v>112</v>
      </c>
      <c r="J20" s="14" t="s">
        <v>133</v>
      </c>
      <c r="K20" s="13" t="s">
        <v>1130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1158</v>
      </c>
      <c r="B21" s="12" t="s">
        <v>195</v>
      </c>
      <c r="C21" s="12" t="s">
        <v>48</v>
      </c>
      <c r="D21" s="13" t="s">
        <v>1159</v>
      </c>
      <c r="E21" s="12" t="s">
        <v>133</v>
      </c>
      <c r="F21" s="12" t="s">
        <v>192</v>
      </c>
      <c r="G21" s="13" t="s">
        <v>1119</v>
      </c>
      <c r="H21" s="12" t="s">
        <v>97</v>
      </c>
      <c r="I21" s="12" t="s">
        <v>112</v>
      </c>
      <c r="J21" s="14" t="s">
        <v>133</v>
      </c>
      <c r="K21" s="13" t="s">
        <v>1130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1160</v>
      </c>
      <c r="B22" s="12" t="s">
        <v>199</v>
      </c>
      <c r="C22" s="12" t="s">
        <v>48</v>
      </c>
      <c r="D22" s="13" t="s">
        <v>1161</v>
      </c>
      <c r="E22" s="12" t="s">
        <v>201</v>
      </c>
      <c r="F22" s="12" t="s">
        <v>201</v>
      </c>
      <c r="G22" s="13" t="s">
        <v>202</v>
      </c>
      <c r="H22" s="12" t="s">
        <v>97</v>
      </c>
      <c r="I22" s="12" t="s">
        <v>112</v>
      </c>
      <c r="J22" s="14" t="s">
        <v>133</v>
      </c>
      <c r="K22" s="13" t="s">
        <v>1130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1162</v>
      </c>
      <c r="B23" s="12" t="s">
        <v>621</v>
      </c>
      <c r="C23" s="12" t="s">
        <v>48</v>
      </c>
      <c r="D23" s="13" t="s">
        <v>1163</v>
      </c>
      <c r="E23" s="12" t="s">
        <v>133</v>
      </c>
      <c r="F23" s="12" t="s">
        <v>133</v>
      </c>
      <c r="G23" s="13" t="s">
        <v>1075</v>
      </c>
      <c r="H23" s="12" t="s">
        <v>97</v>
      </c>
      <c r="I23" s="12" t="s">
        <v>112</v>
      </c>
      <c r="J23" s="14" t="s">
        <v>133</v>
      </c>
      <c r="K23" s="13" t="s">
        <v>1130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1164</v>
      </c>
      <c r="B24" s="12" t="s">
        <v>204</v>
      </c>
      <c r="C24" s="12" t="s">
        <v>48</v>
      </c>
      <c r="D24" s="13" t="s">
        <v>1125</v>
      </c>
      <c r="E24" s="12" t="s">
        <v>133</v>
      </c>
      <c r="F24" s="12" t="s">
        <v>133</v>
      </c>
      <c r="G24" s="13" t="s">
        <v>627</v>
      </c>
      <c r="H24" s="12" t="s">
        <v>97</v>
      </c>
      <c r="I24" s="12" t="s">
        <v>112</v>
      </c>
      <c r="J24" s="14" t="s">
        <v>133</v>
      </c>
      <c r="K24" s="13" t="s">
        <v>1130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115</v>
      </c>
      <c r="E4" s="6" t="n">
        <f aca="false">SUM(M9:M25)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1167</v>
      </c>
      <c r="B9" s="12" t="s">
        <v>130</v>
      </c>
      <c r="C9" s="12" t="s">
        <v>1168</v>
      </c>
      <c r="D9" s="13" t="s">
        <v>1169</v>
      </c>
      <c r="E9" s="12" t="s">
        <v>133</v>
      </c>
      <c r="F9" s="12" t="s">
        <v>134</v>
      </c>
      <c r="G9" s="13" t="s">
        <v>1170</v>
      </c>
      <c r="H9" s="12" t="s">
        <v>97</v>
      </c>
      <c r="I9" s="12" t="s">
        <v>112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1171</v>
      </c>
      <c r="B10" s="12" t="s">
        <v>1172</v>
      </c>
      <c r="C10" s="12" t="s">
        <v>781</v>
      </c>
      <c r="D10" s="13" t="s">
        <v>1173</v>
      </c>
      <c r="E10" s="12" t="s">
        <v>133</v>
      </c>
      <c r="F10" s="12" t="s">
        <v>153</v>
      </c>
      <c r="G10" s="13" t="s">
        <v>1174</v>
      </c>
      <c r="H10" s="12" t="s">
        <v>97</v>
      </c>
      <c r="I10" s="12" t="s">
        <v>112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1175</v>
      </c>
      <c r="B11" s="12" t="s">
        <v>1132</v>
      </c>
      <c r="C11" s="12" t="s">
        <v>1176</v>
      </c>
      <c r="D11" s="13" t="s">
        <v>1177</v>
      </c>
      <c r="E11" s="12" t="s">
        <v>133</v>
      </c>
      <c r="F11" s="12" t="s">
        <v>158</v>
      </c>
      <c r="G11" s="13" t="s">
        <v>1178</v>
      </c>
      <c r="H11" s="12" t="s">
        <v>97</v>
      </c>
      <c r="I11" s="12" t="s">
        <v>112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1179</v>
      </c>
      <c r="B12" s="12" t="s">
        <v>161</v>
      </c>
      <c r="C12" s="12" t="s">
        <v>1180</v>
      </c>
      <c r="D12" s="13" t="s">
        <v>1181</v>
      </c>
      <c r="E12" s="12" t="s">
        <v>133</v>
      </c>
      <c r="F12" s="12" t="s">
        <v>158</v>
      </c>
      <c r="G12" s="13" t="s">
        <v>1178</v>
      </c>
      <c r="H12" s="12" t="s">
        <v>97</v>
      </c>
      <c r="I12" s="12" t="s">
        <v>112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1182</v>
      </c>
      <c r="B13" s="12" t="s">
        <v>181</v>
      </c>
      <c r="C13" s="12" t="s">
        <v>1183</v>
      </c>
      <c r="D13" s="13" t="s">
        <v>1184</v>
      </c>
      <c r="E13" s="12" t="s">
        <v>133</v>
      </c>
      <c r="F13" s="12" t="s">
        <v>153</v>
      </c>
      <c r="G13" s="13" t="s">
        <v>1174</v>
      </c>
      <c r="H13" s="12" t="s">
        <v>97</v>
      </c>
      <c r="I13" s="12" t="s">
        <v>112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1185</v>
      </c>
      <c r="B14" s="12" t="s">
        <v>137</v>
      </c>
      <c r="C14" s="12" t="s">
        <v>49</v>
      </c>
      <c r="D14" s="13" t="s">
        <v>1186</v>
      </c>
      <c r="E14" s="12" t="s">
        <v>133</v>
      </c>
      <c r="F14" s="12" t="s">
        <v>133</v>
      </c>
      <c r="G14" s="13" t="s">
        <v>139</v>
      </c>
      <c r="H14" s="12" t="s">
        <v>97</v>
      </c>
      <c r="I14" s="12" t="s">
        <v>112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1187</v>
      </c>
      <c r="B15" s="12" t="s">
        <v>141</v>
      </c>
      <c r="C15" s="12" t="s">
        <v>49</v>
      </c>
      <c r="D15" s="13" t="s">
        <v>1188</v>
      </c>
      <c r="E15" s="12" t="s">
        <v>133</v>
      </c>
      <c r="F15" s="12" t="s">
        <v>143</v>
      </c>
      <c r="G15" s="13" t="s">
        <v>1189</v>
      </c>
      <c r="H15" s="12" t="s">
        <v>97</v>
      </c>
      <c r="I15" s="12" t="s">
        <v>112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1190</v>
      </c>
      <c r="B16" s="12" t="s">
        <v>146</v>
      </c>
      <c r="C16" s="12" t="s">
        <v>49</v>
      </c>
      <c r="D16" s="13" t="s">
        <v>1191</v>
      </c>
      <c r="E16" s="12" t="s">
        <v>133</v>
      </c>
      <c r="F16" s="12" t="s">
        <v>148</v>
      </c>
      <c r="G16" s="13" t="s">
        <v>1192</v>
      </c>
      <c r="H16" s="12" t="s">
        <v>97</v>
      </c>
      <c r="I16" s="12" t="s">
        <v>112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1193</v>
      </c>
      <c r="B17" s="12" t="s">
        <v>166</v>
      </c>
      <c r="C17" s="12" t="s">
        <v>49</v>
      </c>
      <c r="D17" s="13" t="s">
        <v>1194</v>
      </c>
      <c r="E17" s="12" t="s">
        <v>133</v>
      </c>
      <c r="F17" s="12" t="s">
        <v>168</v>
      </c>
      <c r="G17" s="13" t="s">
        <v>1195</v>
      </c>
      <c r="H17" s="12" t="s">
        <v>95</v>
      </c>
      <c r="I17" s="12" t="s">
        <v>111</v>
      </c>
      <c r="J17" s="14"/>
      <c r="K17" s="13" t="s">
        <v>1196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1197</v>
      </c>
      <c r="B18" s="12" t="s">
        <v>172</v>
      </c>
      <c r="C18" s="12" t="s">
        <v>49</v>
      </c>
      <c r="D18" s="13" t="s">
        <v>1198</v>
      </c>
      <c r="E18" s="12" t="s">
        <v>133</v>
      </c>
      <c r="F18" s="12" t="s">
        <v>174</v>
      </c>
      <c r="G18" s="13" t="s">
        <v>1199</v>
      </c>
      <c r="H18" s="12" t="s">
        <v>95</v>
      </c>
      <c r="I18" s="12" t="s">
        <v>111</v>
      </c>
      <c r="J18" s="14"/>
      <c r="K18" s="13" t="s">
        <v>1196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1200</v>
      </c>
      <c r="B19" s="12" t="s">
        <v>186</v>
      </c>
      <c r="C19" s="12" t="s">
        <v>49</v>
      </c>
      <c r="D19" s="13" t="s">
        <v>1201</v>
      </c>
      <c r="E19" s="12" t="s">
        <v>133</v>
      </c>
      <c r="F19" s="12" t="s">
        <v>174</v>
      </c>
      <c r="G19" s="13" t="s">
        <v>1199</v>
      </c>
      <c r="H19" s="12" t="s">
        <v>95</v>
      </c>
      <c r="I19" s="12" t="s">
        <v>111</v>
      </c>
      <c r="J19" s="14"/>
      <c r="K19" s="13" t="s">
        <v>1196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1202</v>
      </c>
      <c r="B20" s="12" t="s">
        <v>190</v>
      </c>
      <c r="C20" s="12" t="s">
        <v>49</v>
      </c>
      <c r="D20" s="13" t="s">
        <v>1203</v>
      </c>
      <c r="E20" s="12" t="s">
        <v>133</v>
      </c>
      <c r="F20" s="12" t="s">
        <v>192</v>
      </c>
      <c r="G20" s="13" t="s">
        <v>1204</v>
      </c>
      <c r="H20" s="12" t="s">
        <v>97</v>
      </c>
      <c r="I20" s="12" t="s">
        <v>112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1205</v>
      </c>
      <c r="B21" s="12" t="s">
        <v>195</v>
      </c>
      <c r="C21" s="12" t="s">
        <v>49</v>
      </c>
      <c r="D21" s="13" t="s">
        <v>1206</v>
      </c>
      <c r="E21" s="12" t="s">
        <v>133</v>
      </c>
      <c r="F21" s="12" t="s">
        <v>192</v>
      </c>
      <c r="G21" s="13" t="s">
        <v>1207</v>
      </c>
      <c r="H21" s="12" t="s">
        <v>97</v>
      </c>
      <c r="I21" s="12" t="s">
        <v>112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1208</v>
      </c>
      <c r="B22" s="12" t="s">
        <v>199</v>
      </c>
      <c r="C22" s="12" t="s">
        <v>49</v>
      </c>
      <c r="D22" s="13" t="s">
        <v>1209</v>
      </c>
      <c r="E22" s="12" t="s">
        <v>201</v>
      </c>
      <c r="F22" s="12" t="s">
        <v>201</v>
      </c>
      <c r="G22" s="13" t="s">
        <v>202</v>
      </c>
      <c r="H22" s="12" t="s">
        <v>97</v>
      </c>
      <c r="I22" s="12" t="s">
        <v>112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1210</v>
      </c>
      <c r="B23" s="12" t="s">
        <v>621</v>
      </c>
      <c r="C23" s="12" t="s">
        <v>1211</v>
      </c>
      <c r="D23" s="13" t="s">
        <v>1212</v>
      </c>
      <c r="E23" s="12" t="s">
        <v>133</v>
      </c>
      <c r="F23" s="12" t="s">
        <v>1213</v>
      </c>
      <c r="G23" s="13" t="s">
        <v>1214</v>
      </c>
      <c r="H23" s="12" t="s">
        <v>97</v>
      </c>
      <c r="I23" s="12" t="s">
        <v>112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1215</v>
      </c>
      <c r="B24" s="12" t="s">
        <v>204</v>
      </c>
      <c r="C24" s="12" t="s">
        <v>49</v>
      </c>
      <c r="D24" s="13" t="s">
        <v>1125</v>
      </c>
      <c r="E24" s="12" t="s">
        <v>133</v>
      </c>
      <c r="F24" s="12" t="s">
        <v>133</v>
      </c>
      <c r="G24" s="13" t="s">
        <v>581</v>
      </c>
      <c r="H24" s="12" t="s">
        <v>97</v>
      </c>
      <c r="I24" s="12" t="s">
        <v>112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1217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115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1218</v>
      </c>
      <c r="B9" s="12" t="s">
        <v>130</v>
      </c>
      <c r="C9" s="12" t="s">
        <v>50</v>
      </c>
      <c r="D9" s="13" t="s">
        <v>1219</v>
      </c>
      <c r="E9" s="12" t="s">
        <v>133</v>
      </c>
      <c r="F9" s="12" t="s">
        <v>134</v>
      </c>
      <c r="G9" s="13" t="s">
        <v>1220</v>
      </c>
      <c r="H9" s="12" t="s">
        <v>97</v>
      </c>
      <c r="I9" s="12" t="s">
        <v>112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1221</v>
      </c>
      <c r="B10" s="12" t="s">
        <v>161</v>
      </c>
      <c r="C10" s="12" t="s">
        <v>50</v>
      </c>
      <c r="D10" s="13" t="s">
        <v>1222</v>
      </c>
      <c r="E10" s="12" t="s">
        <v>133</v>
      </c>
      <c r="F10" s="12" t="s">
        <v>153</v>
      </c>
      <c r="G10" s="13" t="s">
        <v>1223</v>
      </c>
      <c r="H10" s="12" t="s">
        <v>97</v>
      </c>
      <c r="I10" s="12" t="s">
        <v>112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1224</v>
      </c>
      <c r="B11" s="12" t="s">
        <v>1132</v>
      </c>
      <c r="C11" s="12" t="s">
        <v>50</v>
      </c>
      <c r="D11" s="13" t="s">
        <v>1225</v>
      </c>
      <c r="E11" s="12" t="s">
        <v>133</v>
      </c>
      <c r="F11" s="12" t="s">
        <v>158</v>
      </c>
      <c r="G11" s="13" t="s">
        <v>1226</v>
      </c>
      <c r="H11" s="12" t="s">
        <v>97</v>
      </c>
      <c r="I11" s="12" t="s">
        <v>112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1227</v>
      </c>
      <c r="B12" s="12" t="s">
        <v>1228</v>
      </c>
      <c r="C12" s="12" t="s">
        <v>50</v>
      </c>
      <c r="D12" s="13" t="s">
        <v>1229</v>
      </c>
      <c r="E12" s="12" t="s">
        <v>133</v>
      </c>
      <c r="F12" s="12" t="s">
        <v>158</v>
      </c>
      <c r="G12" s="13" t="s">
        <v>1226</v>
      </c>
      <c r="H12" s="12" t="s">
        <v>97</v>
      </c>
      <c r="I12" s="12" t="s">
        <v>112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1230</v>
      </c>
      <c r="B13" s="12" t="s">
        <v>1231</v>
      </c>
      <c r="C13" s="12" t="s">
        <v>1232</v>
      </c>
      <c r="D13" s="13" t="s">
        <v>1233</v>
      </c>
      <c r="E13" s="12" t="s">
        <v>133</v>
      </c>
      <c r="F13" s="12" t="s">
        <v>158</v>
      </c>
      <c r="G13" s="13" t="s">
        <v>1234</v>
      </c>
      <c r="H13" s="12" t="s">
        <v>97</v>
      </c>
      <c r="I13" s="12" t="s">
        <v>112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1235</v>
      </c>
      <c r="B14" s="12" t="s">
        <v>181</v>
      </c>
      <c r="C14" s="12" t="s">
        <v>50</v>
      </c>
      <c r="D14" s="13" t="s">
        <v>1236</v>
      </c>
      <c r="E14" s="12" t="s">
        <v>133</v>
      </c>
      <c r="F14" s="12" t="s">
        <v>153</v>
      </c>
      <c r="G14" s="13" t="s">
        <v>1223</v>
      </c>
      <c r="H14" s="12" t="s">
        <v>97</v>
      </c>
      <c r="I14" s="12" t="s">
        <v>112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1237</v>
      </c>
      <c r="B15" s="12" t="s">
        <v>137</v>
      </c>
      <c r="C15" s="12" t="s">
        <v>50</v>
      </c>
      <c r="D15" s="13" t="s">
        <v>1238</v>
      </c>
      <c r="E15" s="12" t="s">
        <v>133</v>
      </c>
      <c r="F15" s="12" t="s">
        <v>133</v>
      </c>
      <c r="G15" s="13" t="s">
        <v>139</v>
      </c>
      <c r="H15" s="12" t="s">
        <v>97</v>
      </c>
      <c r="I15" s="12" t="s">
        <v>112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1239</v>
      </c>
      <c r="B16" s="12" t="s">
        <v>141</v>
      </c>
      <c r="C16" s="12" t="s">
        <v>50</v>
      </c>
      <c r="D16" s="13" t="s">
        <v>1240</v>
      </c>
      <c r="E16" s="12" t="s">
        <v>133</v>
      </c>
      <c r="F16" s="12" t="s">
        <v>143</v>
      </c>
      <c r="G16" s="13" t="s">
        <v>1241</v>
      </c>
      <c r="H16" s="12" t="s">
        <v>97</v>
      </c>
      <c r="I16" s="12" t="s">
        <v>112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1242</v>
      </c>
      <c r="B17" s="12" t="s">
        <v>146</v>
      </c>
      <c r="C17" s="12" t="s">
        <v>50</v>
      </c>
      <c r="D17" s="13" t="s">
        <v>1243</v>
      </c>
      <c r="E17" s="12" t="s">
        <v>133</v>
      </c>
      <c r="F17" s="12" t="s">
        <v>148</v>
      </c>
      <c r="G17" s="13" t="s">
        <v>1244</v>
      </c>
      <c r="H17" s="12" t="s">
        <v>97</v>
      </c>
      <c r="I17" s="12" t="s">
        <v>112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1245</v>
      </c>
      <c r="B18" s="12" t="s">
        <v>166</v>
      </c>
      <c r="C18" s="12" t="s">
        <v>50</v>
      </c>
      <c r="D18" s="13" t="s">
        <v>1246</v>
      </c>
      <c r="E18" s="12" t="s">
        <v>133</v>
      </c>
      <c r="F18" s="12" t="s">
        <v>168</v>
      </c>
      <c r="G18" s="13" t="s">
        <v>1247</v>
      </c>
      <c r="H18" s="12" t="s">
        <v>95</v>
      </c>
      <c r="I18" s="12" t="s">
        <v>111</v>
      </c>
      <c r="J18" s="14"/>
      <c r="K18" s="13" t="s">
        <v>1196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1248</v>
      </c>
      <c r="B19" s="12" t="s">
        <v>172</v>
      </c>
      <c r="C19" s="12" t="s">
        <v>50</v>
      </c>
      <c r="D19" s="13" t="s">
        <v>1249</v>
      </c>
      <c r="E19" s="12" t="s">
        <v>133</v>
      </c>
      <c r="F19" s="12" t="s">
        <v>174</v>
      </c>
      <c r="G19" s="13" t="s">
        <v>1250</v>
      </c>
      <c r="H19" s="12" t="s">
        <v>95</v>
      </c>
      <c r="I19" s="12" t="s">
        <v>111</v>
      </c>
      <c r="J19" s="14"/>
      <c r="K19" s="13" t="s">
        <v>1196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1251</v>
      </c>
      <c r="B20" s="12" t="s">
        <v>186</v>
      </c>
      <c r="C20" s="12" t="s">
        <v>50</v>
      </c>
      <c r="D20" s="13" t="s">
        <v>1252</v>
      </c>
      <c r="E20" s="12" t="s">
        <v>133</v>
      </c>
      <c r="F20" s="12" t="s">
        <v>174</v>
      </c>
      <c r="G20" s="13" t="s">
        <v>1250</v>
      </c>
      <c r="H20" s="12" t="s">
        <v>95</v>
      </c>
      <c r="I20" s="12" t="s">
        <v>111</v>
      </c>
      <c r="J20" s="14"/>
      <c r="K20" s="13" t="s">
        <v>1196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1253</v>
      </c>
      <c r="B21" s="12" t="s">
        <v>190</v>
      </c>
      <c r="C21" s="12" t="s">
        <v>50</v>
      </c>
      <c r="D21" s="13" t="s">
        <v>1254</v>
      </c>
      <c r="E21" s="12" t="s">
        <v>133</v>
      </c>
      <c r="F21" s="12" t="s">
        <v>192</v>
      </c>
      <c r="G21" s="13" t="s">
        <v>1255</v>
      </c>
      <c r="H21" s="12" t="s">
        <v>97</v>
      </c>
      <c r="I21" s="12" t="s">
        <v>112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1256</v>
      </c>
      <c r="B22" s="12" t="s">
        <v>195</v>
      </c>
      <c r="C22" s="12" t="s">
        <v>50</v>
      </c>
      <c r="D22" s="13" t="s">
        <v>1257</v>
      </c>
      <c r="E22" s="12" t="s">
        <v>133</v>
      </c>
      <c r="F22" s="12" t="s">
        <v>192</v>
      </c>
      <c r="G22" s="13" t="s">
        <v>1258</v>
      </c>
      <c r="H22" s="12" t="s">
        <v>97</v>
      </c>
      <c r="I22" s="12" t="s">
        <v>112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1259</v>
      </c>
      <c r="B23" s="12" t="s">
        <v>199</v>
      </c>
      <c r="C23" s="12" t="s">
        <v>50</v>
      </c>
      <c r="D23" s="13" t="s">
        <v>1260</v>
      </c>
      <c r="E23" s="12" t="s">
        <v>201</v>
      </c>
      <c r="F23" s="12" t="s">
        <v>201</v>
      </c>
      <c r="G23" s="13" t="s">
        <v>202</v>
      </c>
      <c r="H23" s="12" t="s">
        <v>97</v>
      </c>
      <c r="I23" s="12" t="s">
        <v>112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1261</v>
      </c>
      <c r="B24" s="12" t="s">
        <v>621</v>
      </c>
      <c r="C24" s="12" t="s">
        <v>1211</v>
      </c>
      <c r="D24" s="13" t="s">
        <v>1262</v>
      </c>
      <c r="E24" s="12" t="s">
        <v>133</v>
      </c>
      <c r="F24" s="12" t="s">
        <v>1213</v>
      </c>
      <c r="G24" s="13" t="s">
        <v>1263</v>
      </c>
      <c r="H24" s="12" t="s">
        <v>97</v>
      </c>
      <c r="I24" s="12" t="s">
        <v>112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1264</v>
      </c>
      <c r="B25" s="12" t="s">
        <v>204</v>
      </c>
      <c r="C25" s="12" t="s">
        <v>50</v>
      </c>
      <c r="D25" s="13" t="s">
        <v>1265</v>
      </c>
      <c r="E25" s="12" t="s">
        <v>133</v>
      </c>
      <c r="F25" s="12" t="s">
        <v>133</v>
      </c>
      <c r="G25" s="13" t="s">
        <v>139</v>
      </c>
      <c r="H25" s="12" t="s">
        <v>97</v>
      </c>
      <c r="I25" s="12" t="s">
        <v>112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1266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1267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115</v>
      </c>
      <c r="E4" s="6" t="n">
        <f aca="false">SUM(M9:M30)</f>
        <v>19</v>
      </c>
      <c r="G4" s="5" t="s">
        <v>14</v>
      </c>
      <c r="H4" s="7" t="n">
        <f aca="false">IF(B4=0,0,E4/B4)</f>
        <v>0.863636363636364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1268</v>
      </c>
      <c r="B9" s="12" t="s">
        <v>130</v>
      </c>
      <c r="C9" s="12" t="s">
        <v>1269</v>
      </c>
      <c r="D9" s="13" t="s">
        <v>1270</v>
      </c>
      <c r="E9" s="12" t="s">
        <v>133</v>
      </c>
      <c r="F9" s="12" t="s">
        <v>134</v>
      </c>
      <c r="G9" s="13" t="s">
        <v>1271</v>
      </c>
      <c r="H9" s="12" t="s">
        <v>97</v>
      </c>
      <c r="I9" s="12" t="s">
        <v>112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1272</v>
      </c>
      <c r="B10" s="12" t="s">
        <v>1273</v>
      </c>
      <c r="C10" s="12" t="s">
        <v>781</v>
      </c>
      <c r="D10" s="13" t="s">
        <v>1274</v>
      </c>
      <c r="E10" s="12" t="s">
        <v>133</v>
      </c>
      <c r="F10" s="12" t="s">
        <v>1275</v>
      </c>
      <c r="G10" s="13" t="s">
        <v>1276</v>
      </c>
      <c r="H10" s="12" t="s">
        <v>97</v>
      </c>
      <c r="I10" s="12" t="s">
        <v>112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1277</v>
      </c>
      <c r="B11" s="12" t="s">
        <v>1278</v>
      </c>
      <c r="C11" s="12" t="s">
        <v>1085</v>
      </c>
      <c r="D11" s="13" t="s">
        <v>1279</v>
      </c>
      <c r="E11" s="12" t="s">
        <v>133</v>
      </c>
      <c r="F11" s="12" t="s">
        <v>153</v>
      </c>
      <c r="G11" s="13" t="s">
        <v>1280</v>
      </c>
      <c r="H11" s="12" t="s">
        <v>97</v>
      </c>
      <c r="I11" s="12" t="s">
        <v>112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1281</v>
      </c>
      <c r="B12" s="12" t="s">
        <v>1282</v>
      </c>
      <c r="C12" s="12" t="s">
        <v>1282</v>
      </c>
      <c r="D12" s="13" t="s">
        <v>1283</v>
      </c>
      <c r="E12" s="12" t="s">
        <v>133</v>
      </c>
      <c r="F12" s="12" t="s">
        <v>158</v>
      </c>
      <c r="G12" s="13" t="s">
        <v>1284</v>
      </c>
      <c r="H12" s="12" t="s">
        <v>97</v>
      </c>
      <c r="I12" s="12" t="s">
        <v>112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1285</v>
      </c>
      <c r="B13" s="12" t="s">
        <v>1286</v>
      </c>
      <c r="C13" s="12" t="s">
        <v>1085</v>
      </c>
      <c r="D13" s="13" t="s">
        <v>1287</v>
      </c>
      <c r="E13" s="12" t="s">
        <v>133</v>
      </c>
      <c r="F13" s="12" t="s">
        <v>158</v>
      </c>
      <c r="G13" s="13" t="s">
        <v>1284</v>
      </c>
      <c r="H13" s="12" t="s">
        <v>97</v>
      </c>
      <c r="I13" s="12" t="s">
        <v>112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1288</v>
      </c>
      <c r="B14" s="12" t="s">
        <v>1289</v>
      </c>
      <c r="C14" s="12" t="s">
        <v>1085</v>
      </c>
      <c r="D14" s="13" t="s">
        <v>1290</v>
      </c>
      <c r="E14" s="12" t="s">
        <v>133</v>
      </c>
      <c r="F14" s="12" t="s">
        <v>158</v>
      </c>
      <c r="G14" s="13" t="s">
        <v>1284</v>
      </c>
      <c r="H14" s="12" t="s">
        <v>97</v>
      </c>
      <c r="I14" s="12" t="s">
        <v>112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1291</v>
      </c>
      <c r="B15" s="12" t="s">
        <v>1292</v>
      </c>
      <c r="C15" s="12" t="s">
        <v>781</v>
      </c>
      <c r="D15" s="13" t="s">
        <v>1293</v>
      </c>
      <c r="E15" s="12" t="s">
        <v>133</v>
      </c>
      <c r="F15" s="12" t="s">
        <v>158</v>
      </c>
      <c r="G15" s="13" t="s">
        <v>1284</v>
      </c>
      <c r="H15" s="12" t="s">
        <v>97</v>
      </c>
      <c r="I15" s="12" t="s">
        <v>112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1294</v>
      </c>
      <c r="B16" s="12" t="s">
        <v>161</v>
      </c>
      <c r="C16" s="12" t="s">
        <v>1295</v>
      </c>
      <c r="D16" s="13" t="s">
        <v>1296</v>
      </c>
      <c r="E16" s="12" t="s">
        <v>133</v>
      </c>
      <c r="F16" s="12" t="s">
        <v>158</v>
      </c>
      <c r="G16" s="13" t="s">
        <v>1284</v>
      </c>
      <c r="H16" s="12" t="s">
        <v>97</v>
      </c>
      <c r="I16" s="12" t="s">
        <v>112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1297</v>
      </c>
      <c r="B17" s="12" t="s">
        <v>181</v>
      </c>
      <c r="C17" s="12" t="s">
        <v>1183</v>
      </c>
      <c r="D17" s="13" t="s">
        <v>1298</v>
      </c>
      <c r="E17" s="12" t="s">
        <v>133</v>
      </c>
      <c r="F17" s="12" t="s">
        <v>153</v>
      </c>
      <c r="G17" s="13" t="s">
        <v>1299</v>
      </c>
      <c r="H17" s="12" t="s">
        <v>97</v>
      </c>
      <c r="I17" s="12" t="s">
        <v>112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1300</v>
      </c>
      <c r="B18" s="12" t="s">
        <v>137</v>
      </c>
      <c r="C18" s="12" t="s">
        <v>51</v>
      </c>
      <c r="D18" s="13" t="s">
        <v>1301</v>
      </c>
      <c r="E18" s="12" t="s">
        <v>133</v>
      </c>
      <c r="F18" s="12" t="s">
        <v>133</v>
      </c>
      <c r="G18" s="13" t="s">
        <v>139</v>
      </c>
      <c r="H18" s="12" t="s">
        <v>97</v>
      </c>
      <c r="I18" s="12" t="s">
        <v>112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1302</v>
      </c>
      <c r="B19" s="12" t="s">
        <v>141</v>
      </c>
      <c r="C19" s="12" t="s">
        <v>51</v>
      </c>
      <c r="D19" s="13" t="s">
        <v>1303</v>
      </c>
      <c r="E19" s="12" t="s">
        <v>133</v>
      </c>
      <c r="F19" s="12" t="s">
        <v>143</v>
      </c>
      <c r="G19" s="13" t="s">
        <v>1304</v>
      </c>
      <c r="H19" s="12" t="s">
        <v>97</v>
      </c>
      <c r="I19" s="12" t="s">
        <v>112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1305</v>
      </c>
      <c r="B20" s="12" t="s">
        <v>146</v>
      </c>
      <c r="C20" s="12" t="s">
        <v>51</v>
      </c>
      <c r="D20" s="13" t="s">
        <v>1306</v>
      </c>
      <c r="E20" s="12" t="s">
        <v>133</v>
      </c>
      <c r="F20" s="12" t="s">
        <v>148</v>
      </c>
      <c r="G20" s="13" t="s">
        <v>1307</v>
      </c>
      <c r="H20" s="12" t="s">
        <v>97</v>
      </c>
      <c r="I20" s="12" t="s">
        <v>112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1308</v>
      </c>
      <c r="B21" s="12" t="s">
        <v>1309</v>
      </c>
      <c r="C21" s="12" t="s">
        <v>51</v>
      </c>
      <c r="D21" s="13" t="s">
        <v>1310</v>
      </c>
      <c r="E21" s="12" t="s">
        <v>133</v>
      </c>
      <c r="F21" s="12" t="s">
        <v>133</v>
      </c>
      <c r="G21" s="13" t="s">
        <v>1311</v>
      </c>
      <c r="H21" s="12" t="s">
        <v>97</v>
      </c>
      <c r="I21" s="12" t="s">
        <v>112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1312</v>
      </c>
      <c r="B22" s="12" t="s">
        <v>621</v>
      </c>
      <c r="C22" s="12" t="s">
        <v>51</v>
      </c>
      <c r="D22" s="13" t="s">
        <v>1313</v>
      </c>
      <c r="E22" s="12" t="s">
        <v>133</v>
      </c>
      <c r="F22" s="12" t="s">
        <v>158</v>
      </c>
      <c r="G22" s="13" t="s">
        <v>1314</v>
      </c>
      <c r="H22" s="12" t="s">
        <v>97</v>
      </c>
      <c r="I22" s="12" t="s">
        <v>112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1315</v>
      </c>
      <c r="B23" s="12" t="s">
        <v>166</v>
      </c>
      <c r="C23" s="12" t="s">
        <v>51</v>
      </c>
      <c r="D23" s="13" t="s">
        <v>1316</v>
      </c>
      <c r="E23" s="12" t="s">
        <v>133</v>
      </c>
      <c r="F23" s="12" t="s">
        <v>168</v>
      </c>
      <c r="G23" s="13" t="s">
        <v>1317</v>
      </c>
      <c r="H23" s="12" t="s">
        <v>95</v>
      </c>
      <c r="I23" s="12" t="s">
        <v>111</v>
      </c>
      <c r="J23" s="14"/>
      <c r="K23" s="13" t="s">
        <v>1318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1319</v>
      </c>
      <c r="B24" s="12" t="s">
        <v>172</v>
      </c>
      <c r="C24" s="12" t="s">
        <v>51</v>
      </c>
      <c r="D24" s="13" t="s">
        <v>1320</v>
      </c>
      <c r="E24" s="12" t="s">
        <v>133</v>
      </c>
      <c r="F24" s="12" t="s">
        <v>174</v>
      </c>
      <c r="G24" s="13" t="s">
        <v>1321</v>
      </c>
      <c r="H24" s="12" t="s">
        <v>95</v>
      </c>
      <c r="I24" s="12" t="s">
        <v>111</v>
      </c>
      <c r="J24" s="14"/>
      <c r="K24" s="13" t="s">
        <v>1318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1322</v>
      </c>
      <c r="B25" s="12" t="s">
        <v>186</v>
      </c>
      <c r="C25" s="12" t="s">
        <v>51</v>
      </c>
      <c r="D25" s="13" t="s">
        <v>1323</v>
      </c>
      <c r="E25" s="12" t="s">
        <v>133</v>
      </c>
      <c r="F25" s="12" t="s">
        <v>174</v>
      </c>
      <c r="G25" s="13" t="s">
        <v>1321</v>
      </c>
      <c r="H25" s="12" t="s">
        <v>95</v>
      </c>
      <c r="I25" s="12" t="s">
        <v>111</v>
      </c>
      <c r="J25" s="14"/>
      <c r="K25" s="13" t="s">
        <v>1318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1324</v>
      </c>
      <c r="B26" s="12" t="s">
        <v>190</v>
      </c>
      <c r="C26" s="12" t="s">
        <v>51</v>
      </c>
      <c r="D26" s="13" t="s">
        <v>1325</v>
      </c>
      <c r="E26" s="12" t="s">
        <v>133</v>
      </c>
      <c r="F26" s="12" t="s">
        <v>192</v>
      </c>
      <c r="G26" s="13" t="s">
        <v>1326</v>
      </c>
      <c r="H26" s="12" t="s">
        <v>97</v>
      </c>
      <c r="I26" s="12" t="s">
        <v>112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1327</v>
      </c>
      <c r="B27" s="12" t="s">
        <v>195</v>
      </c>
      <c r="C27" s="12" t="s">
        <v>51</v>
      </c>
      <c r="D27" s="13" t="s">
        <v>1328</v>
      </c>
      <c r="E27" s="12" t="s">
        <v>133</v>
      </c>
      <c r="F27" s="12" t="s">
        <v>192</v>
      </c>
      <c r="G27" s="13" t="s">
        <v>1329</v>
      </c>
      <c r="H27" s="12" t="s">
        <v>97</v>
      </c>
      <c r="I27" s="12" t="s">
        <v>112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1330</v>
      </c>
      <c r="B28" s="12" t="s">
        <v>199</v>
      </c>
      <c r="C28" s="12" t="s">
        <v>51</v>
      </c>
      <c r="D28" s="13" t="s">
        <v>1331</v>
      </c>
      <c r="E28" s="12" t="s">
        <v>201</v>
      </c>
      <c r="F28" s="12" t="s">
        <v>201</v>
      </c>
      <c r="G28" s="13" t="s">
        <v>202</v>
      </c>
      <c r="H28" s="12" t="s">
        <v>97</v>
      </c>
      <c r="I28" s="12" t="s">
        <v>112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1332</v>
      </c>
      <c r="B29" s="12" t="s">
        <v>1211</v>
      </c>
      <c r="C29" s="12" t="s">
        <v>51</v>
      </c>
      <c r="D29" s="13" t="s">
        <v>1333</v>
      </c>
      <c r="E29" s="12" t="s">
        <v>133</v>
      </c>
      <c r="F29" s="12" t="s">
        <v>1213</v>
      </c>
      <c r="G29" s="13" t="s">
        <v>1334</v>
      </c>
      <c r="H29" s="12" t="s">
        <v>97</v>
      </c>
      <c r="I29" s="12" t="s">
        <v>112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1335</v>
      </c>
      <c r="B30" s="12" t="s">
        <v>204</v>
      </c>
      <c r="C30" s="12" t="s">
        <v>51</v>
      </c>
      <c r="D30" s="13" t="s">
        <v>1336</v>
      </c>
      <c r="E30" s="12" t="s">
        <v>133</v>
      </c>
      <c r="F30" s="12" t="s">
        <v>133</v>
      </c>
      <c r="G30" s="13" t="s">
        <v>139</v>
      </c>
      <c r="H30" s="12" t="s">
        <v>97</v>
      </c>
      <c r="I30" s="12" t="s">
        <v>112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1337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1338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115</v>
      </c>
      <c r="E4" s="6" t="n">
        <f aca="false">SUM(M9:M27)</f>
        <v>15</v>
      </c>
      <c r="G4" s="5" t="s">
        <v>14</v>
      </c>
      <c r="H4" s="7" t="n">
        <f aca="false">IF(B4=0,0,E4/B4)</f>
        <v>0.789473684210526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576</v>
      </c>
      <c r="B9" s="12" t="s">
        <v>130</v>
      </c>
      <c r="C9" s="12" t="s">
        <v>1339</v>
      </c>
      <c r="D9" s="13" t="s">
        <v>1340</v>
      </c>
      <c r="E9" s="12" t="s">
        <v>133</v>
      </c>
      <c r="F9" s="12" t="s">
        <v>134</v>
      </c>
      <c r="G9" s="13" t="s">
        <v>1341</v>
      </c>
      <c r="H9" s="12" t="s">
        <v>97</v>
      </c>
      <c r="I9" s="12" t="s">
        <v>112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579</v>
      </c>
      <c r="B10" s="12" t="s">
        <v>1342</v>
      </c>
      <c r="C10" s="12" t="s">
        <v>1343</v>
      </c>
      <c r="D10" s="13" t="s">
        <v>1344</v>
      </c>
      <c r="E10" s="12" t="s">
        <v>133</v>
      </c>
      <c r="F10" s="12" t="s">
        <v>153</v>
      </c>
      <c r="G10" s="13" t="s">
        <v>1345</v>
      </c>
      <c r="H10" s="12" t="s">
        <v>97</v>
      </c>
      <c r="I10" s="12" t="s">
        <v>112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582</v>
      </c>
      <c r="B11" s="12" t="s">
        <v>137</v>
      </c>
      <c r="C11" s="12" t="s">
        <v>52</v>
      </c>
      <c r="D11" s="13" t="s">
        <v>1346</v>
      </c>
      <c r="E11" s="12" t="s">
        <v>133</v>
      </c>
      <c r="F11" s="12" t="s">
        <v>133</v>
      </c>
      <c r="G11" s="13" t="s">
        <v>581</v>
      </c>
      <c r="H11" s="12" t="s">
        <v>97</v>
      </c>
      <c r="I11" s="12" t="s">
        <v>112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585</v>
      </c>
      <c r="B12" s="12" t="s">
        <v>141</v>
      </c>
      <c r="C12" s="12" t="s">
        <v>52</v>
      </c>
      <c r="D12" s="13" t="s">
        <v>1347</v>
      </c>
      <c r="E12" s="12" t="s">
        <v>133</v>
      </c>
      <c r="F12" s="12" t="s">
        <v>143</v>
      </c>
      <c r="G12" s="13" t="s">
        <v>1348</v>
      </c>
      <c r="H12" s="12" t="s">
        <v>97</v>
      </c>
      <c r="I12" s="12" t="s">
        <v>112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588</v>
      </c>
      <c r="B13" s="12" t="s">
        <v>146</v>
      </c>
      <c r="C13" s="12" t="s">
        <v>52</v>
      </c>
      <c r="D13" s="13" t="s">
        <v>1349</v>
      </c>
      <c r="E13" s="12" t="s">
        <v>133</v>
      </c>
      <c r="F13" s="12" t="s">
        <v>148</v>
      </c>
      <c r="G13" s="13" t="s">
        <v>1350</v>
      </c>
      <c r="H13" s="12" t="s">
        <v>97</v>
      </c>
      <c r="I13" s="12" t="s">
        <v>112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591</v>
      </c>
      <c r="B14" s="12" t="s">
        <v>151</v>
      </c>
      <c r="C14" s="12" t="s">
        <v>52</v>
      </c>
      <c r="D14" s="13" t="s">
        <v>1351</v>
      </c>
      <c r="E14" s="12" t="s">
        <v>133</v>
      </c>
      <c r="F14" s="12" t="s">
        <v>153</v>
      </c>
      <c r="G14" s="13" t="s">
        <v>1345</v>
      </c>
      <c r="H14" s="12" t="s">
        <v>97</v>
      </c>
      <c r="I14" s="12" t="s">
        <v>112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594</v>
      </c>
      <c r="B15" s="12" t="s">
        <v>156</v>
      </c>
      <c r="C15" s="12" t="s">
        <v>1352</v>
      </c>
      <c r="D15" s="13" t="s">
        <v>1353</v>
      </c>
      <c r="E15" s="12" t="s">
        <v>133</v>
      </c>
      <c r="F15" s="12" t="s">
        <v>158</v>
      </c>
      <c r="G15" s="13" t="s">
        <v>1354</v>
      </c>
      <c r="H15" s="12" t="s">
        <v>97</v>
      </c>
      <c r="I15" s="12" t="s">
        <v>112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596</v>
      </c>
      <c r="B16" s="12" t="s">
        <v>1292</v>
      </c>
      <c r="C16" s="12" t="s">
        <v>1355</v>
      </c>
      <c r="D16" s="13" t="s">
        <v>1356</v>
      </c>
      <c r="E16" s="12" t="s">
        <v>133</v>
      </c>
      <c r="F16" s="12" t="s">
        <v>158</v>
      </c>
      <c r="G16" s="13" t="s">
        <v>1354</v>
      </c>
      <c r="H16" s="12" t="s">
        <v>97</v>
      </c>
      <c r="I16" s="12" t="s">
        <v>112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599</v>
      </c>
      <c r="B17" s="12" t="s">
        <v>161</v>
      </c>
      <c r="C17" s="12" t="s">
        <v>1357</v>
      </c>
      <c r="D17" s="13" t="s">
        <v>1358</v>
      </c>
      <c r="E17" s="12" t="s">
        <v>133</v>
      </c>
      <c r="F17" s="12" t="s">
        <v>163</v>
      </c>
      <c r="G17" s="13" t="s">
        <v>1354</v>
      </c>
      <c r="H17" s="12" t="s">
        <v>97</v>
      </c>
      <c r="I17" s="12" t="s">
        <v>112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603</v>
      </c>
      <c r="B18" s="12" t="s">
        <v>166</v>
      </c>
      <c r="C18" s="12" t="s">
        <v>52</v>
      </c>
      <c r="D18" s="13" t="s">
        <v>1359</v>
      </c>
      <c r="E18" s="12" t="s">
        <v>133</v>
      </c>
      <c r="F18" s="12" t="s">
        <v>168</v>
      </c>
      <c r="G18" s="13" t="s">
        <v>1360</v>
      </c>
      <c r="H18" s="12" t="s">
        <v>99</v>
      </c>
      <c r="I18" s="12" t="s">
        <v>111</v>
      </c>
      <c r="J18" s="14" t="n">
        <v>46229</v>
      </c>
      <c r="K18" s="13" t="s">
        <v>1361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607</v>
      </c>
      <c r="B19" s="12" t="s">
        <v>172</v>
      </c>
      <c r="C19" s="12" t="s">
        <v>52</v>
      </c>
      <c r="D19" s="13" t="s">
        <v>1362</v>
      </c>
      <c r="E19" s="12" t="s">
        <v>133</v>
      </c>
      <c r="F19" s="12" t="s">
        <v>174</v>
      </c>
      <c r="G19" s="13" t="s">
        <v>1363</v>
      </c>
      <c r="H19" s="12" t="s">
        <v>95</v>
      </c>
      <c r="I19" s="12" t="s">
        <v>111</v>
      </c>
      <c r="J19" s="14"/>
      <c r="K19" s="13" t="s">
        <v>902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609</v>
      </c>
      <c r="B20" s="12" t="s">
        <v>178</v>
      </c>
      <c r="C20" s="12" t="s">
        <v>52</v>
      </c>
      <c r="D20" s="13" t="s">
        <v>1364</v>
      </c>
      <c r="E20" s="12" t="s">
        <v>133</v>
      </c>
      <c r="F20" s="12" t="s">
        <v>174</v>
      </c>
      <c r="G20" s="13" t="s">
        <v>1365</v>
      </c>
      <c r="H20" s="12" t="s">
        <v>95</v>
      </c>
      <c r="I20" s="12" t="s">
        <v>111</v>
      </c>
      <c r="J20" s="14"/>
      <c r="K20" s="13" t="s">
        <v>803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612</v>
      </c>
      <c r="B21" s="12" t="s">
        <v>1278</v>
      </c>
      <c r="C21" s="12" t="s">
        <v>1339</v>
      </c>
      <c r="D21" s="13" t="s">
        <v>1366</v>
      </c>
      <c r="E21" s="12" t="s">
        <v>133</v>
      </c>
      <c r="F21" s="12" t="s">
        <v>158</v>
      </c>
      <c r="G21" s="13" t="s">
        <v>1367</v>
      </c>
      <c r="H21" s="12" t="s">
        <v>97</v>
      </c>
      <c r="I21" s="12" t="s">
        <v>112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615</v>
      </c>
      <c r="B22" s="12" t="s">
        <v>186</v>
      </c>
      <c r="C22" s="12" t="s">
        <v>52</v>
      </c>
      <c r="D22" s="13" t="s">
        <v>1368</v>
      </c>
      <c r="E22" s="12" t="s">
        <v>133</v>
      </c>
      <c r="F22" s="12" t="s">
        <v>174</v>
      </c>
      <c r="G22" s="13" t="s">
        <v>1363</v>
      </c>
      <c r="H22" s="12" t="s">
        <v>95</v>
      </c>
      <c r="I22" s="12" t="s">
        <v>111</v>
      </c>
      <c r="J22" s="14"/>
      <c r="K22" s="13" t="s">
        <v>907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618</v>
      </c>
      <c r="B23" s="12" t="s">
        <v>190</v>
      </c>
      <c r="C23" s="12" t="s">
        <v>52</v>
      </c>
      <c r="D23" s="13" t="s">
        <v>1369</v>
      </c>
      <c r="E23" s="12" t="s">
        <v>133</v>
      </c>
      <c r="F23" s="12" t="s">
        <v>192</v>
      </c>
      <c r="G23" s="13" t="s">
        <v>1370</v>
      </c>
      <c r="H23" s="12" t="s">
        <v>97</v>
      </c>
      <c r="I23" s="12" t="s">
        <v>112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620</v>
      </c>
      <c r="B24" s="12" t="s">
        <v>195</v>
      </c>
      <c r="C24" s="12" t="s">
        <v>52</v>
      </c>
      <c r="D24" s="13" t="s">
        <v>1371</v>
      </c>
      <c r="E24" s="12" t="s">
        <v>133</v>
      </c>
      <c r="F24" s="12" t="s">
        <v>192</v>
      </c>
      <c r="G24" s="13" t="s">
        <v>1372</v>
      </c>
      <c r="H24" s="12" t="s">
        <v>97</v>
      </c>
      <c r="I24" s="12" t="s">
        <v>112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625</v>
      </c>
      <c r="B25" s="12" t="s">
        <v>199</v>
      </c>
      <c r="C25" s="12" t="s">
        <v>52</v>
      </c>
      <c r="D25" s="13" t="s">
        <v>1373</v>
      </c>
      <c r="E25" s="12" t="s">
        <v>201</v>
      </c>
      <c r="F25" s="12" t="s">
        <v>201</v>
      </c>
      <c r="G25" s="13" t="s">
        <v>202</v>
      </c>
      <c r="H25" s="12" t="s">
        <v>97</v>
      </c>
      <c r="I25" s="12" t="s">
        <v>112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1374</v>
      </c>
      <c r="B26" s="12" t="s">
        <v>621</v>
      </c>
      <c r="C26" s="12" t="s">
        <v>52</v>
      </c>
      <c r="D26" s="13" t="s">
        <v>1375</v>
      </c>
      <c r="E26" s="12" t="s">
        <v>133</v>
      </c>
      <c r="F26" s="12" t="s">
        <v>133</v>
      </c>
      <c r="G26" s="13" t="s">
        <v>1376</v>
      </c>
      <c r="H26" s="12" t="s">
        <v>97</v>
      </c>
      <c r="I26" s="12" t="s">
        <v>112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1377</v>
      </c>
      <c r="B27" s="12" t="s">
        <v>204</v>
      </c>
      <c r="C27" s="12" t="s">
        <v>52</v>
      </c>
      <c r="D27" s="13" t="s">
        <v>1378</v>
      </c>
      <c r="E27" s="12" t="s">
        <v>133</v>
      </c>
      <c r="F27" s="12" t="s">
        <v>133</v>
      </c>
      <c r="G27" s="13" t="s">
        <v>1379</v>
      </c>
      <c r="H27" s="12" t="s">
        <v>95</v>
      </c>
      <c r="I27" s="12" t="s">
        <v>111</v>
      </c>
      <c r="J27" s="14"/>
      <c r="K27" s="13" t="s">
        <v>1380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1381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1382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115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771</v>
      </c>
      <c r="B9" s="12" t="s">
        <v>130</v>
      </c>
      <c r="C9" s="12" t="s">
        <v>1383</v>
      </c>
      <c r="D9" s="13" t="s">
        <v>1384</v>
      </c>
      <c r="E9" s="12" t="s">
        <v>133</v>
      </c>
      <c r="F9" s="12" t="s">
        <v>134</v>
      </c>
      <c r="G9" s="13" t="s">
        <v>1385</v>
      </c>
      <c r="H9" s="12" t="s">
        <v>97</v>
      </c>
      <c r="I9" s="12" t="s">
        <v>112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774</v>
      </c>
      <c r="B10" s="12" t="s">
        <v>1342</v>
      </c>
      <c r="C10" s="12" t="s">
        <v>1183</v>
      </c>
      <c r="D10" s="13" t="s">
        <v>1386</v>
      </c>
      <c r="E10" s="12" t="s">
        <v>133</v>
      </c>
      <c r="F10" s="12" t="s">
        <v>153</v>
      </c>
      <c r="G10" s="13" t="s">
        <v>1387</v>
      </c>
      <c r="H10" s="12" t="s">
        <v>97</v>
      </c>
      <c r="I10" s="12" t="s">
        <v>112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777</v>
      </c>
      <c r="B11" s="12" t="s">
        <v>137</v>
      </c>
      <c r="C11" s="12" t="s">
        <v>53</v>
      </c>
      <c r="D11" s="13" t="s">
        <v>1388</v>
      </c>
      <c r="E11" s="12" t="s">
        <v>133</v>
      </c>
      <c r="F11" s="12" t="s">
        <v>133</v>
      </c>
      <c r="G11" s="13" t="s">
        <v>139</v>
      </c>
      <c r="H11" s="12" t="s">
        <v>97</v>
      </c>
      <c r="I11" s="12" t="s">
        <v>112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780</v>
      </c>
      <c r="B12" s="12" t="s">
        <v>141</v>
      </c>
      <c r="C12" s="12" t="s">
        <v>1389</v>
      </c>
      <c r="D12" s="13" t="s">
        <v>1390</v>
      </c>
      <c r="E12" s="12" t="s">
        <v>133</v>
      </c>
      <c r="F12" s="12" t="s">
        <v>143</v>
      </c>
      <c r="G12" s="13" t="s">
        <v>1391</v>
      </c>
      <c r="H12" s="12" t="s">
        <v>97</v>
      </c>
      <c r="I12" s="12" t="s">
        <v>112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784</v>
      </c>
      <c r="B13" s="12" t="s">
        <v>146</v>
      </c>
      <c r="C13" s="12" t="s">
        <v>1392</v>
      </c>
      <c r="D13" s="13" t="s">
        <v>1393</v>
      </c>
      <c r="E13" s="12" t="s">
        <v>133</v>
      </c>
      <c r="F13" s="12" t="s">
        <v>148</v>
      </c>
      <c r="G13" s="13" t="s">
        <v>1394</v>
      </c>
      <c r="H13" s="12" t="s">
        <v>97</v>
      </c>
      <c r="I13" s="12" t="s">
        <v>112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787</v>
      </c>
      <c r="B14" s="12" t="s">
        <v>1395</v>
      </c>
      <c r="C14" s="12" t="s">
        <v>1396</v>
      </c>
      <c r="D14" s="13" t="s">
        <v>1397</v>
      </c>
      <c r="E14" s="12" t="s">
        <v>133</v>
      </c>
      <c r="F14" s="12" t="s">
        <v>153</v>
      </c>
      <c r="G14" s="13" t="s">
        <v>1398</v>
      </c>
      <c r="H14" s="12" t="s">
        <v>97</v>
      </c>
      <c r="I14" s="12" t="s">
        <v>112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790</v>
      </c>
      <c r="B15" s="12" t="s">
        <v>1132</v>
      </c>
      <c r="C15" s="12" t="s">
        <v>1383</v>
      </c>
      <c r="D15" s="13" t="s">
        <v>1399</v>
      </c>
      <c r="E15" s="12" t="s">
        <v>133</v>
      </c>
      <c r="F15" s="12" t="s">
        <v>158</v>
      </c>
      <c r="G15" s="13" t="s">
        <v>1400</v>
      </c>
      <c r="H15" s="12" t="s">
        <v>97</v>
      </c>
      <c r="I15" s="12" t="s">
        <v>112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792</v>
      </c>
      <c r="B16" s="12" t="s">
        <v>1401</v>
      </c>
      <c r="C16" s="12" t="s">
        <v>1402</v>
      </c>
      <c r="D16" s="13" t="s">
        <v>1403</v>
      </c>
      <c r="E16" s="12" t="s">
        <v>133</v>
      </c>
      <c r="F16" s="12" t="s">
        <v>158</v>
      </c>
      <c r="G16" s="13" t="s">
        <v>1404</v>
      </c>
      <c r="H16" s="12" t="s">
        <v>97</v>
      </c>
      <c r="I16" s="12" t="s">
        <v>112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796</v>
      </c>
      <c r="B17" s="12" t="s">
        <v>1405</v>
      </c>
      <c r="C17" s="12" t="s">
        <v>1406</v>
      </c>
      <c r="D17" s="13" t="s">
        <v>1407</v>
      </c>
      <c r="E17" s="12" t="s">
        <v>133</v>
      </c>
      <c r="F17" s="12" t="s">
        <v>158</v>
      </c>
      <c r="G17" s="13" t="s">
        <v>1400</v>
      </c>
      <c r="H17" s="12" t="s">
        <v>97</v>
      </c>
      <c r="I17" s="12" t="s">
        <v>112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800</v>
      </c>
      <c r="B18" s="12" t="s">
        <v>1408</v>
      </c>
      <c r="C18" s="12" t="s">
        <v>1383</v>
      </c>
      <c r="D18" s="13" t="s">
        <v>1409</v>
      </c>
      <c r="E18" s="12" t="s">
        <v>133</v>
      </c>
      <c r="F18" s="12" t="s">
        <v>158</v>
      </c>
      <c r="G18" s="13" t="s">
        <v>1404</v>
      </c>
      <c r="H18" s="12" t="s">
        <v>97</v>
      </c>
      <c r="I18" s="12" t="s">
        <v>112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804</v>
      </c>
      <c r="B19" s="12" t="s">
        <v>181</v>
      </c>
      <c r="C19" s="12" t="s">
        <v>1410</v>
      </c>
      <c r="D19" s="13" t="s">
        <v>1411</v>
      </c>
      <c r="E19" s="12" t="s">
        <v>133</v>
      </c>
      <c r="F19" s="12" t="s">
        <v>153</v>
      </c>
      <c r="G19" s="13" t="s">
        <v>1398</v>
      </c>
      <c r="H19" s="12" t="s">
        <v>97</v>
      </c>
      <c r="I19" s="12" t="s">
        <v>112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806</v>
      </c>
      <c r="B20" s="12" t="s">
        <v>161</v>
      </c>
      <c r="C20" s="12" t="s">
        <v>53</v>
      </c>
      <c r="D20" s="13" t="s">
        <v>1412</v>
      </c>
      <c r="E20" s="12" t="s">
        <v>133</v>
      </c>
      <c r="F20" s="12" t="s">
        <v>163</v>
      </c>
      <c r="G20" s="13" t="s">
        <v>1400</v>
      </c>
      <c r="H20" s="12" t="s">
        <v>97</v>
      </c>
      <c r="I20" s="12" t="s">
        <v>112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809</v>
      </c>
      <c r="B21" s="12" t="s">
        <v>166</v>
      </c>
      <c r="C21" s="12" t="s">
        <v>53</v>
      </c>
      <c r="D21" s="13" t="s">
        <v>1413</v>
      </c>
      <c r="E21" s="12" t="s">
        <v>133</v>
      </c>
      <c r="F21" s="12" t="s">
        <v>168</v>
      </c>
      <c r="G21" s="13" t="s">
        <v>1414</v>
      </c>
      <c r="H21" s="12" t="s">
        <v>95</v>
      </c>
      <c r="I21" s="12" t="s">
        <v>111</v>
      </c>
      <c r="J21" s="14"/>
      <c r="K21" s="13" t="s">
        <v>1415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812</v>
      </c>
      <c r="B22" s="12" t="s">
        <v>172</v>
      </c>
      <c r="C22" s="12" t="s">
        <v>1416</v>
      </c>
      <c r="D22" s="13" t="s">
        <v>1417</v>
      </c>
      <c r="E22" s="12" t="s">
        <v>133</v>
      </c>
      <c r="F22" s="12" t="s">
        <v>174</v>
      </c>
      <c r="G22" s="13" t="s">
        <v>1418</v>
      </c>
      <c r="H22" s="12" t="s">
        <v>95</v>
      </c>
      <c r="I22" s="12" t="s">
        <v>111</v>
      </c>
      <c r="J22" s="14"/>
      <c r="K22" s="13" t="s">
        <v>1419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815</v>
      </c>
      <c r="B23" s="12" t="s">
        <v>1420</v>
      </c>
      <c r="C23" s="12" t="s">
        <v>1085</v>
      </c>
      <c r="D23" s="13" t="s">
        <v>1421</v>
      </c>
      <c r="E23" s="12" t="s">
        <v>133</v>
      </c>
      <c r="F23" s="12" t="s">
        <v>174</v>
      </c>
      <c r="G23" s="13" t="s">
        <v>1422</v>
      </c>
      <c r="H23" s="12" t="s">
        <v>95</v>
      </c>
      <c r="I23" s="12" t="s">
        <v>111</v>
      </c>
      <c r="J23" s="14"/>
      <c r="K23" s="13" t="s">
        <v>1423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818</v>
      </c>
      <c r="B24" s="12" t="s">
        <v>1424</v>
      </c>
      <c r="C24" s="12" t="s">
        <v>53</v>
      </c>
      <c r="D24" s="13" t="s">
        <v>1425</v>
      </c>
      <c r="E24" s="12" t="s">
        <v>133</v>
      </c>
      <c r="F24" s="12" t="s">
        <v>174</v>
      </c>
      <c r="G24" s="13" t="s">
        <v>1418</v>
      </c>
      <c r="H24" s="12" t="s">
        <v>95</v>
      </c>
      <c r="I24" s="12" t="s">
        <v>111</v>
      </c>
      <c r="J24" s="14"/>
      <c r="K24" s="13" t="s">
        <v>1426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948</v>
      </c>
      <c r="B25" s="12" t="s">
        <v>178</v>
      </c>
      <c r="C25" s="12" t="s">
        <v>53</v>
      </c>
      <c r="D25" s="13" t="s">
        <v>553</v>
      </c>
      <c r="E25" s="12" t="s">
        <v>133</v>
      </c>
      <c r="F25" s="12" t="s">
        <v>174</v>
      </c>
      <c r="G25" s="13" t="s">
        <v>1427</v>
      </c>
      <c r="H25" s="12" t="s">
        <v>95</v>
      </c>
      <c r="I25" s="12" t="s">
        <v>111</v>
      </c>
      <c r="J25" s="14"/>
      <c r="K25" s="13" t="s">
        <v>1428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1429</v>
      </c>
      <c r="B26" s="12" t="s">
        <v>186</v>
      </c>
      <c r="C26" s="12" t="s">
        <v>53</v>
      </c>
      <c r="D26" s="13" t="s">
        <v>1430</v>
      </c>
      <c r="E26" s="12" t="s">
        <v>133</v>
      </c>
      <c r="F26" s="12" t="s">
        <v>174</v>
      </c>
      <c r="G26" s="13" t="s">
        <v>1418</v>
      </c>
      <c r="H26" s="12" t="s">
        <v>95</v>
      </c>
      <c r="I26" s="12" t="s">
        <v>111</v>
      </c>
      <c r="J26" s="14"/>
      <c r="K26" s="13" t="s">
        <v>562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1431</v>
      </c>
      <c r="B27" s="12" t="s">
        <v>190</v>
      </c>
      <c r="C27" s="12" t="s">
        <v>53</v>
      </c>
      <c r="D27" s="13" t="s">
        <v>1432</v>
      </c>
      <c r="E27" s="12" t="s">
        <v>133</v>
      </c>
      <c r="F27" s="12" t="s">
        <v>192</v>
      </c>
      <c r="G27" s="13" t="s">
        <v>1433</v>
      </c>
      <c r="H27" s="12" t="s">
        <v>97</v>
      </c>
      <c r="I27" s="12" t="s">
        <v>112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1434</v>
      </c>
      <c r="B28" s="12" t="s">
        <v>195</v>
      </c>
      <c r="C28" s="12" t="s">
        <v>53</v>
      </c>
      <c r="D28" s="13" t="s">
        <v>1435</v>
      </c>
      <c r="E28" s="12" t="s">
        <v>133</v>
      </c>
      <c r="F28" s="12" t="s">
        <v>192</v>
      </c>
      <c r="G28" s="13" t="s">
        <v>1436</v>
      </c>
      <c r="H28" s="12" t="s">
        <v>97</v>
      </c>
      <c r="I28" s="12" t="s">
        <v>112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1437</v>
      </c>
      <c r="B29" s="12" t="s">
        <v>199</v>
      </c>
      <c r="C29" s="12" t="s">
        <v>53</v>
      </c>
      <c r="D29" s="13" t="s">
        <v>1438</v>
      </c>
      <c r="E29" s="12" t="s">
        <v>201</v>
      </c>
      <c r="F29" s="12" t="s">
        <v>201</v>
      </c>
      <c r="G29" s="13" t="s">
        <v>202</v>
      </c>
      <c r="H29" s="12" t="s">
        <v>97</v>
      </c>
      <c r="I29" s="12" t="s">
        <v>112</v>
      </c>
      <c r="J29" s="14" t="s">
        <v>1439</v>
      </c>
      <c r="K29" s="13" t="s">
        <v>1440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1441</v>
      </c>
      <c r="B30" s="12" t="s">
        <v>204</v>
      </c>
      <c r="C30" s="12" t="s">
        <v>53</v>
      </c>
      <c r="D30" s="13" t="s">
        <v>1442</v>
      </c>
      <c r="E30" s="12" t="s">
        <v>133</v>
      </c>
      <c r="F30" s="12" t="s">
        <v>133</v>
      </c>
      <c r="G30" s="13" t="s">
        <v>573</v>
      </c>
      <c r="H30" s="12" t="s">
        <v>97</v>
      </c>
      <c r="I30" s="12" t="s">
        <v>112</v>
      </c>
      <c r="J30" s="14" t="s">
        <v>1439</v>
      </c>
      <c r="K30" s="13" t="s">
        <v>1443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1444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1445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115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1446</v>
      </c>
      <c r="B9" s="12" t="s">
        <v>130</v>
      </c>
      <c r="C9" s="12" t="s">
        <v>1383</v>
      </c>
      <c r="D9" s="13" t="s">
        <v>1447</v>
      </c>
      <c r="E9" s="12" t="s">
        <v>133</v>
      </c>
      <c r="F9" s="12" t="s">
        <v>134</v>
      </c>
      <c r="G9" s="13" t="s">
        <v>1448</v>
      </c>
      <c r="H9" s="12" t="s">
        <v>97</v>
      </c>
      <c r="I9" s="12" t="s">
        <v>112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1449</v>
      </c>
      <c r="B10" s="12" t="s">
        <v>1342</v>
      </c>
      <c r="C10" s="12" t="s">
        <v>1183</v>
      </c>
      <c r="D10" s="13" t="s">
        <v>1386</v>
      </c>
      <c r="E10" s="12" t="s">
        <v>133</v>
      </c>
      <c r="F10" s="12" t="s">
        <v>153</v>
      </c>
      <c r="G10" s="13" t="s">
        <v>1450</v>
      </c>
      <c r="H10" s="12" t="s">
        <v>97</v>
      </c>
      <c r="I10" s="12" t="s">
        <v>112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1451</v>
      </c>
      <c r="B11" s="12" t="s">
        <v>137</v>
      </c>
      <c r="C11" s="12" t="s">
        <v>54</v>
      </c>
      <c r="D11" s="13" t="s">
        <v>1452</v>
      </c>
      <c r="E11" s="12" t="s">
        <v>133</v>
      </c>
      <c r="F11" s="12" t="s">
        <v>133</v>
      </c>
      <c r="G11" s="13" t="s">
        <v>139</v>
      </c>
      <c r="H11" s="12" t="s">
        <v>97</v>
      </c>
      <c r="I11" s="12" t="s">
        <v>112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1453</v>
      </c>
      <c r="B12" s="12" t="s">
        <v>141</v>
      </c>
      <c r="C12" s="12" t="s">
        <v>1389</v>
      </c>
      <c r="D12" s="13" t="s">
        <v>1454</v>
      </c>
      <c r="E12" s="12" t="s">
        <v>133</v>
      </c>
      <c r="F12" s="12" t="s">
        <v>143</v>
      </c>
      <c r="G12" s="13" t="s">
        <v>1455</v>
      </c>
      <c r="H12" s="12" t="s">
        <v>97</v>
      </c>
      <c r="I12" s="12" t="s">
        <v>112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1456</v>
      </c>
      <c r="B13" s="12" t="s">
        <v>146</v>
      </c>
      <c r="C13" s="12" t="s">
        <v>1392</v>
      </c>
      <c r="D13" s="13" t="s">
        <v>1393</v>
      </c>
      <c r="E13" s="12" t="s">
        <v>133</v>
      </c>
      <c r="F13" s="12" t="s">
        <v>148</v>
      </c>
      <c r="G13" s="13" t="s">
        <v>1457</v>
      </c>
      <c r="H13" s="12" t="s">
        <v>97</v>
      </c>
      <c r="I13" s="12" t="s">
        <v>112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1458</v>
      </c>
      <c r="B14" s="12" t="s">
        <v>1395</v>
      </c>
      <c r="C14" s="12" t="s">
        <v>1396</v>
      </c>
      <c r="D14" s="13" t="s">
        <v>1459</v>
      </c>
      <c r="E14" s="12" t="s">
        <v>133</v>
      </c>
      <c r="F14" s="12" t="s">
        <v>153</v>
      </c>
      <c r="G14" s="13" t="s">
        <v>1460</v>
      </c>
      <c r="H14" s="12" t="s">
        <v>97</v>
      </c>
      <c r="I14" s="12" t="s">
        <v>112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1461</v>
      </c>
      <c r="B15" s="12" t="s">
        <v>1132</v>
      </c>
      <c r="C15" s="12" t="s">
        <v>1383</v>
      </c>
      <c r="D15" s="13" t="s">
        <v>1399</v>
      </c>
      <c r="E15" s="12" t="s">
        <v>133</v>
      </c>
      <c r="F15" s="12" t="s">
        <v>158</v>
      </c>
      <c r="G15" s="13" t="s">
        <v>1462</v>
      </c>
      <c r="H15" s="12" t="s">
        <v>97</v>
      </c>
      <c r="I15" s="12" t="s">
        <v>112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1463</v>
      </c>
      <c r="B16" s="12" t="s">
        <v>1401</v>
      </c>
      <c r="C16" s="12" t="s">
        <v>1402</v>
      </c>
      <c r="D16" s="13" t="s">
        <v>1464</v>
      </c>
      <c r="E16" s="12" t="s">
        <v>133</v>
      </c>
      <c r="F16" s="12" t="s">
        <v>158</v>
      </c>
      <c r="G16" s="13" t="s">
        <v>1465</v>
      </c>
      <c r="H16" s="12" t="s">
        <v>97</v>
      </c>
      <c r="I16" s="12" t="s">
        <v>112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1466</v>
      </c>
      <c r="B17" s="12" t="s">
        <v>1405</v>
      </c>
      <c r="C17" s="12" t="s">
        <v>1406</v>
      </c>
      <c r="D17" s="13" t="s">
        <v>1407</v>
      </c>
      <c r="E17" s="12" t="s">
        <v>133</v>
      </c>
      <c r="F17" s="12" t="s">
        <v>158</v>
      </c>
      <c r="G17" s="13" t="s">
        <v>1462</v>
      </c>
      <c r="H17" s="12" t="s">
        <v>97</v>
      </c>
      <c r="I17" s="12" t="s">
        <v>112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1467</v>
      </c>
      <c r="B18" s="12" t="s">
        <v>1408</v>
      </c>
      <c r="C18" s="12" t="s">
        <v>1383</v>
      </c>
      <c r="D18" s="13" t="s">
        <v>1468</v>
      </c>
      <c r="E18" s="12" t="s">
        <v>133</v>
      </c>
      <c r="F18" s="12" t="s">
        <v>158</v>
      </c>
      <c r="G18" s="13" t="s">
        <v>1465</v>
      </c>
      <c r="H18" s="12" t="s">
        <v>97</v>
      </c>
      <c r="I18" s="12" t="s">
        <v>112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1469</v>
      </c>
      <c r="B19" s="12" t="s">
        <v>181</v>
      </c>
      <c r="C19" s="12" t="s">
        <v>1410</v>
      </c>
      <c r="D19" s="13" t="s">
        <v>1411</v>
      </c>
      <c r="E19" s="12" t="s">
        <v>133</v>
      </c>
      <c r="F19" s="12" t="s">
        <v>153</v>
      </c>
      <c r="G19" s="13" t="s">
        <v>1460</v>
      </c>
      <c r="H19" s="12" t="s">
        <v>97</v>
      </c>
      <c r="I19" s="12" t="s">
        <v>112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1470</v>
      </c>
      <c r="B20" s="12" t="s">
        <v>161</v>
      </c>
      <c r="C20" s="12" t="s">
        <v>54</v>
      </c>
      <c r="D20" s="13" t="s">
        <v>1471</v>
      </c>
      <c r="E20" s="12" t="s">
        <v>133</v>
      </c>
      <c r="F20" s="12" t="s">
        <v>163</v>
      </c>
      <c r="G20" s="13" t="s">
        <v>1462</v>
      </c>
      <c r="H20" s="12" t="s">
        <v>97</v>
      </c>
      <c r="I20" s="12" t="s">
        <v>112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1472</v>
      </c>
      <c r="B21" s="12" t="s">
        <v>166</v>
      </c>
      <c r="C21" s="12" t="s">
        <v>54</v>
      </c>
      <c r="D21" s="13" t="s">
        <v>1413</v>
      </c>
      <c r="E21" s="12" t="s">
        <v>133</v>
      </c>
      <c r="F21" s="12" t="s">
        <v>168</v>
      </c>
      <c r="G21" s="13" t="s">
        <v>1473</v>
      </c>
      <c r="H21" s="12" t="s">
        <v>95</v>
      </c>
      <c r="I21" s="12" t="s">
        <v>111</v>
      </c>
      <c r="J21" s="14"/>
      <c r="K21" s="13" t="s">
        <v>1415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1474</v>
      </c>
      <c r="B22" s="12" t="s">
        <v>172</v>
      </c>
      <c r="C22" s="12" t="s">
        <v>1416</v>
      </c>
      <c r="D22" s="13" t="s">
        <v>1417</v>
      </c>
      <c r="E22" s="12" t="s">
        <v>133</v>
      </c>
      <c r="F22" s="12" t="s">
        <v>174</v>
      </c>
      <c r="G22" s="13" t="s">
        <v>1475</v>
      </c>
      <c r="H22" s="12" t="s">
        <v>95</v>
      </c>
      <c r="I22" s="12" t="s">
        <v>111</v>
      </c>
      <c r="J22" s="14"/>
      <c r="K22" s="13" t="s">
        <v>1419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1476</v>
      </c>
      <c r="B23" s="12" t="s">
        <v>1420</v>
      </c>
      <c r="C23" s="12" t="s">
        <v>1085</v>
      </c>
      <c r="D23" s="13" t="s">
        <v>1477</v>
      </c>
      <c r="E23" s="12" t="s">
        <v>133</v>
      </c>
      <c r="F23" s="12" t="s">
        <v>174</v>
      </c>
      <c r="G23" s="13" t="s">
        <v>1478</v>
      </c>
      <c r="H23" s="12" t="s">
        <v>95</v>
      </c>
      <c r="I23" s="12" t="s">
        <v>111</v>
      </c>
      <c r="J23" s="14"/>
      <c r="K23" s="13" t="s">
        <v>1423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1479</v>
      </c>
      <c r="B24" s="12" t="s">
        <v>1424</v>
      </c>
      <c r="C24" s="12" t="s">
        <v>54</v>
      </c>
      <c r="D24" s="13" t="s">
        <v>1425</v>
      </c>
      <c r="E24" s="12" t="s">
        <v>133</v>
      </c>
      <c r="F24" s="12" t="s">
        <v>174</v>
      </c>
      <c r="G24" s="13" t="s">
        <v>1475</v>
      </c>
      <c r="H24" s="12" t="s">
        <v>95</v>
      </c>
      <c r="I24" s="12" t="s">
        <v>111</v>
      </c>
      <c r="J24" s="14"/>
      <c r="K24" s="13" t="s">
        <v>1426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1480</v>
      </c>
      <c r="B25" s="12" t="s">
        <v>178</v>
      </c>
      <c r="C25" s="12" t="s">
        <v>54</v>
      </c>
      <c r="D25" s="13" t="s">
        <v>553</v>
      </c>
      <c r="E25" s="12" t="s">
        <v>133</v>
      </c>
      <c r="F25" s="12" t="s">
        <v>174</v>
      </c>
      <c r="G25" s="13" t="s">
        <v>1481</v>
      </c>
      <c r="H25" s="12" t="s">
        <v>95</v>
      </c>
      <c r="I25" s="12" t="s">
        <v>111</v>
      </c>
      <c r="J25" s="14"/>
      <c r="K25" s="13" t="s">
        <v>1428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1482</v>
      </c>
      <c r="B26" s="12" t="s">
        <v>186</v>
      </c>
      <c r="C26" s="12" t="s">
        <v>54</v>
      </c>
      <c r="D26" s="13" t="s">
        <v>1483</v>
      </c>
      <c r="E26" s="12" t="s">
        <v>133</v>
      </c>
      <c r="F26" s="12" t="s">
        <v>174</v>
      </c>
      <c r="G26" s="13" t="s">
        <v>1475</v>
      </c>
      <c r="H26" s="12" t="s">
        <v>95</v>
      </c>
      <c r="I26" s="12" t="s">
        <v>111</v>
      </c>
      <c r="J26" s="14"/>
      <c r="K26" s="13" t="s">
        <v>562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1484</v>
      </c>
      <c r="B27" s="12" t="s">
        <v>190</v>
      </c>
      <c r="C27" s="12" t="s">
        <v>54</v>
      </c>
      <c r="D27" s="13" t="s">
        <v>1432</v>
      </c>
      <c r="E27" s="12" t="s">
        <v>133</v>
      </c>
      <c r="F27" s="12" t="s">
        <v>192</v>
      </c>
      <c r="G27" s="13" t="s">
        <v>1485</v>
      </c>
      <c r="H27" s="12" t="s">
        <v>97</v>
      </c>
      <c r="I27" s="12" t="s">
        <v>112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1486</v>
      </c>
      <c r="B28" s="12" t="s">
        <v>195</v>
      </c>
      <c r="C28" s="12" t="s">
        <v>54</v>
      </c>
      <c r="D28" s="13" t="s">
        <v>1487</v>
      </c>
      <c r="E28" s="12" t="s">
        <v>133</v>
      </c>
      <c r="F28" s="12" t="s">
        <v>192</v>
      </c>
      <c r="G28" s="13" t="s">
        <v>1488</v>
      </c>
      <c r="H28" s="12" t="s">
        <v>97</v>
      </c>
      <c r="I28" s="12" t="s">
        <v>112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1489</v>
      </c>
      <c r="B29" s="12" t="s">
        <v>199</v>
      </c>
      <c r="C29" s="12" t="s">
        <v>54</v>
      </c>
      <c r="D29" s="13" t="s">
        <v>1490</v>
      </c>
      <c r="E29" s="12" t="s">
        <v>201</v>
      </c>
      <c r="F29" s="12" t="s">
        <v>201</v>
      </c>
      <c r="G29" s="13" t="s">
        <v>202</v>
      </c>
      <c r="H29" s="12" t="s">
        <v>97</v>
      </c>
      <c r="I29" s="12" t="s">
        <v>112</v>
      </c>
      <c r="J29" s="14" t="n">
        <v>46229</v>
      </c>
      <c r="K29" s="13" t="s">
        <v>1440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1491</v>
      </c>
      <c r="B30" s="12" t="s">
        <v>204</v>
      </c>
      <c r="C30" s="12" t="s">
        <v>54</v>
      </c>
      <c r="D30" s="13" t="s">
        <v>1442</v>
      </c>
      <c r="E30" s="12" t="s">
        <v>133</v>
      </c>
      <c r="F30" s="12" t="s">
        <v>133</v>
      </c>
      <c r="G30" s="13" t="s">
        <v>573</v>
      </c>
      <c r="H30" s="12" t="s">
        <v>97</v>
      </c>
      <c r="I30" s="12" t="s">
        <v>112</v>
      </c>
      <c r="J30" s="14" t="n">
        <v>46229</v>
      </c>
      <c r="K30" s="13" t="s">
        <v>1443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1492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1493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115</v>
      </c>
      <c r="E4" s="6" t="n">
        <f aca="false">SUM(M9:M30)</f>
        <v>17</v>
      </c>
      <c r="G4" s="5" t="s">
        <v>14</v>
      </c>
      <c r="H4" s="7" t="n">
        <f aca="false">IF(B4=0,0,E4/B4)</f>
        <v>0.772727272727273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1494</v>
      </c>
      <c r="B9" s="12" t="s">
        <v>130</v>
      </c>
      <c r="C9" s="12" t="s">
        <v>781</v>
      </c>
      <c r="D9" s="13" t="s">
        <v>1495</v>
      </c>
      <c r="E9" s="12" t="s">
        <v>133</v>
      </c>
      <c r="F9" s="12" t="s">
        <v>134</v>
      </c>
      <c r="G9" s="13" t="s">
        <v>1496</v>
      </c>
      <c r="H9" s="12" t="s">
        <v>97</v>
      </c>
      <c r="I9" s="12" t="s">
        <v>112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1497</v>
      </c>
      <c r="B10" s="12" t="s">
        <v>1342</v>
      </c>
      <c r="C10" s="12" t="s">
        <v>1498</v>
      </c>
      <c r="D10" s="13" t="s">
        <v>1499</v>
      </c>
      <c r="E10" s="12" t="s">
        <v>133</v>
      </c>
      <c r="F10" s="12" t="s">
        <v>153</v>
      </c>
      <c r="G10" s="13" t="s">
        <v>1500</v>
      </c>
      <c r="H10" s="12" t="s">
        <v>97</v>
      </c>
      <c r="I10" s="12" t="s">
        <v>112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1501</v>
      </c>
      <c r="B11" s="12" t="s">
        <v>137</v>
      </c>
      <c r="C11" s="12" t="s">
        <v>55</v>
      </c>
      <c r="D11" s="13" t="s">
        <v>1502</v>
      </c>
      <c r="E11" s="12" t="s">
        <v>133</v>
      </c>
      <c r="F11" s="12" t="s">
        <v>133</v>
      </c>
      <c r="G11" s="13" t="s">
        <v>139</v>
      </c>
      <c r="H11" s="12" t="s">
        <v>97</v>
      </c>
      <c r="I11" s="12" t="s">
        <v>112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1503</v>
      </c>
      <c r="B12" s="12" t="s">
        <v>141</v>
      </c>
      <c r="C12" s="12" t="s">
        <v>1498</v>
      </c>
      <c r="D12" s="13" t="s">
        <v>1504</v>
      </c>
      <c r="E12" s="12" t="s">
        <v>133</v>
      </c>
      <c r="F12" s="12" t="s">
        <v>143</v>
      </c>
      <c r="G12" s="13" t="s">
        <v>1505</v>
      </c>
      <c r="H12" s="12" t="s">
        <v>97</v>
      </c>
      <c r="I12" s="12" t="s">
        <v>112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1506</v>
      </c>
      <c r="B13" s="12" t="s">
        <v>146</v>
      </c>
      <c r="C13" s="12" t="s">
        <v>1498</v>
      </c>
      <c r="D13" s="13" t="s">
        <v>1507</v>
      </c>
      <c r="E13" s="12" t="s">
        <v>133</v>
      </c>
      <c r="F13" s="12" t="s">
        <v>148</v>
      </c>
      <c r="G13" s="13" t="s">
        <v>1508</v>
      </c>
      <c r="H13" s="12" t="s">
        <v>97</v>
      </c>
      <c r="I13" s="12" t="s">
        <v>112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1509</v>
      </c>
      <c r="B14" s="12" t="s">
        <v>1132</v>
      </c>
      <c r="C14" s="12" t="s">
        <v>781</v>
      </c>
      <c r="D14" s="13" t="s">
        <v>1510</v>
      </c>
      <c r="E14" s="12" t="s">
        <v>133</v>
      </c>
      <c r="F14" s="12" t="s">
        <v>158</v>
      </c>
      <c r="G14" s="13" t="s">
        <v>1511</v>
      </c>
      <c r="H14" s="12" t="s">
        <v>97</v>
      </c>
      <c r="I14" s="12" t="s">
        <v>112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1512</v>
      </c>
      <c r="B15" s="12" t="s">
        <v>1513</v>
      </c>
      <c r="C15" s="12" t="s">
        <v>781</v>
      </c>
      <c r="D15" s="13" t="s">
        <v>1514</v>
      </c>
      <c r="E15" s="12" t="s">
        <v>133</v>
      </c>
      <c r="F15" s="12" t="s">
        <v>158</v>
      </c>
      <c r="G15" s="13" t="s">
        <v>1511</v>
      </c>
      <c r="H15" s="12" t="s">
        <v>97</v>
      </c>
      <c r="I15" s="12" t="s">
        <v>112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1515</v>
      </c>
      <c r="B16" s="12" t="s">
        <v>1516</v>
      </c>
      <c r="C16" s="12" t="s">
        <v>781</v>
      </c>
      <c r="D16" s="13" t="s">
        <v>1517</v>
      </c>
      <c r="E16" s="12" t="s">
        <v>133</v>
      </c>
      <c r="F16" s="12" t="s">
        <v>158</v>
      </c>
      <c r="G16" s="13" t="s">
        <v>1518</v>
      </c>
      <c r="H16" s="12" t="s">
        <v>97</v>
      </c>
      <c r="I16" s="12" t="s">
        <v>112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1519</v>
      </c>
      <c r="B17" s="12" t="s">
        <v>1520</v>
      </c>
      <c r="C17" s="12" t="s">
        <v>1498</v>
      </c>
      <c r="D17" s="13" t="s">
        <v>1521</v>
      </c>
      <c r="E17" s="12" t="s">
        <v>133</v>
      </c>
      <c r="F17" s="12" t="s">
        <v>158</v>
      </c>
      <c r="G17" s="13" t="s">
        <v>1511</v>
      </c>
      <c r="H17" s="12" t="s">
        <v>97</v>
      </c>
      <c r="I17" s="12" t="s">
        <v>112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1522</v>
      </c>
      <c r="B18" s="12" t="s">
        <v>1408</v>
      </c>
      <c r="C18" s="12" t="s">
        <v>781</v>
      </c>
      <c r="D18" s="13" t="s">
        <v>1523</v>
      </c>
      <c r="E18" s="12" t="s">
        <v>133</v>
      </c>
      <c r="F18" s="12" t="s">
        <v>158</v>
      </c>
      <c r="G18" s="13" t="s">
        <v>1518</v>
      </c>
      <c r="H18" s="12" t="s">
        <v>97</v>
      </c>
      <c r="I18" s="12" t="s">
        <v>112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1524</v>
      </c>
      <c r="B19" s="12" t="s">
        <v>181</v>
      </c>
      <c r="C19" s="12" t="s">
        <v>781</v>
      </c>
      <c r="D19" s="13" t="s">
        <v>1525</v>
      </c>
      <c r="E19" s="12" t="s">
        <v>133</v>
      </c>
      <c r="F19" s="12" t="s">
        <v>153</v>
      </c>
      <c r="G19" s="13" t="s">
        <v>1526</v>
      </c>
      <c r="H19" s="12" t="s">
        <v>97</v>
      </c>
      <c r="I19" s="12" t="s">
        <v>112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1527</v>
      </c>
      <c r="B20" s="12" t="s">
        <v>161</v>
      </c>
      <c r="C20" s="12" t="s">
        <v>55</v>
      </c>
      <c r="D20" s="13" t="s">
        <v>1528</v>
      </c>
      <c r="E20" s="12" t="s">
        <v>133</v>
      </c>
      <c r="F20" s="12" t="s">
        <v>163</v>
      </c>
      <c r="G20" s="13" t="s">
        <v>1511</v>
      </c>
      <c r="H20" s="12" t="s">
        <v>97</v>
      </c>
      <c r="I20" s="12" t="s">
        <v>112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1529</v>
      </c>
      <c r="B21" s="12" t="s">
        <v>1530</v>
      </c>
      <c r="C21" s="12" t="s">
        <v>781</v>
      </c>
      <c r="D21" s="13" t="s">
        <v>1531</v>
      </c>
      <c r="E21" s="12" t="s">
        <v>133</v>
      </c>
      <c r="F21" s="12" t="s">
        <v>158</v>
      </c>
      <c r="G21" s="13" t="s">
        <v>1532</v>
      </c>
      <c r="H21" s="12" t="s">
        <v>97</v>
      </c>
      <c r="I21" s="12" t="s">
        <v>112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1533</v>
      </c>
      <c r="B22" s="12" t="s">
        <v>166</v>
      </c>
      <c r="C22" s="12" t="s">
        <v>55</v>
      </c>
      <c r="D22" s="13" t="s">
        <v>1534</v>
      </c>
      <c r="E22" s="12" t="s">
        <v>133</v>
      </c>
      <c r="F22" s="12" t="s">
        <v>168</v>
      </c>
      <c r="G22" s="13" t="s">
        <v>1535</v>
      </c>
      <c r="H22" s="12" t="s">
        <v>95</v>
      </c>
      <c r="I22" s="12" t="s">
        <v>111</v>
      </c>
      <c r="J22" s="14"/>
      <c r="K22" s="13" t="s">
        <v>1415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1536</v>
      </c>
      <c r="B23" s="12" t="s">
        <v>172</v>
      </c>
      <c r="C23" s="12" t="s">
        <v>781</v>
      </c>
      <c r="D23" s="13" t="s">
        <v>1537</v>
      </c>
      <c r="E23" s="12" t="s">
        <v>133</v>
      </c>
      <c r="F23" s="12" t="s">
        <v>174</v>
      </c>
      <c r="G23" s="13" t="s">
        <v>1538</v>
      </c>
      <c r="H23" s="12" t="s">
        <v>95</v>
      </c>
      <c r="I23" s="12" t="s">
        <v>111</v>
      </c>
      <c r="J23" s="14"/>
      <c r="K23" s="13" t="s">
        <v>1539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1540</v>
      </c>
      <c r="B24" s="12" t="s">
        <v>178</v>
      </c>
      <c r="C24" s="12" t="s">
        <v>1498</v>
      </c>
      <c r="D24" s="13" t="s">
        <v>553</v>
      </c>
      <c r="E24" s="12" t="s">
        <v>133</v>
      </c>
      <c r="F24" s="12" t="s">
        <v>174</v>
      </c>
      <c r="G24" s="13" t="s">
        <v>1541</v>
      </c>
      <c r="H24" s="12" t="s">
        <v>95</v>
      </c>
      <c r="I24" s="12" t="s">
        <v>111</v>
      </c>
      <c r="J24" s="14"/>
      <c r="K24" s="13" t="s">
        <v>1542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1543</v>
      </c>
      <c r="B25" s="12" t="s">
        <v>1424</v>
      </c>
      <c r="C25" s="12" t="s">
        <v>55</v>
      </c>
      <c r="D25" s="13" t="s">
        <v>1544</v>
      </c>
      <c r="E25" s="12" t="s">
        <v>133</v>
      </c>
      <c r="F25" s="12" t="s">
        <v>174</v>
      </c>
      <c r="G25" s="13" t="s">
        <v>1538</v>
      </c>
      <c r="H25" s="12" t="s">
        <v>95</v>
      </c>
      <c r="I25" s="12" t="s">
        <v>111</v>
      </c>
      <c r="J25" s="14"/>
      <c r="K25" s="13" t="s">
        <v>1426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1545</v>
      </c>
      <c r="B26" s="12" t="s">
        <v>186</v>
      </c>
      <c r="C26" s="12" t="s">
        <v>55</v>
      </c>
      <c r="D26" s="13" t="s">
        <v>1546</v>
      </c>
      <c r="E26" s="12" t="s">
        <v>133</v>
      </c>
      <c r="F26" s="12" t="s">
        <v>174</v>
      </c>
      <c r="G26" s="13" t="s">
        <v>1538</v>
      </c>
      <c r="H26" s="12" t="s">
        <v>95</v>
      </c>
      <c r="I26" s="12" t="s">
        <v>111</v>
      </c>
      <c r="J26" s="14"/>
      <c r="K26" s="13" t="s">
        <v>562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1547</v>
      </c>
      <c r="B27" s="12" t="s">
        <v>190</v>
      </c>
      <c r="C27" s="12" t="s">
        <v>55</v>
      </c>
      <c r="D27" s="13" t="s">
        <v>1548</v>
      </c>
      <c r="E27" s="12" t="s">
        <v>133</v>
      </c>
      <c r="F27" s="12" t="s">
        <v>192</v>
      </c>
      <c r="G27" s="13" t="s">
        <v>1549</v>
      </c>
      <c r="H27" s="12" t="s">
        <v>97</v>
      </c>
      <c r="I27" s="12" t="s">
        <v>112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1550</v>
      </c>
      <c r="B28" s="12" t="s">
        <v>195</v>
      </c>
      <c r="C28" s="12" t="s">
        <v>55</v>
      </c>
      <c r="D28" s="13" t="s">
        <v>1551</v>
      </c>
      <c r="E28" s="12" t="s">
        <v>133</v>
      </c>
      <c r="F28" s="12" t="s">
        <v>192</v>
      </c>
      <c r="G28" s="13" t="s">
        <v>1552</v>
      </c>
      <c r="H28" s="12" t="s">
        <v>97</v>
      </c>
      <c r="I28" s="12" t="s">
        <v>112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1553</v>
      </c>
      <c r="B29" s="12" t="s">
        <v>199</v>
      </c>
      <c r="C29" s="12" t="s">
        <v>55</v>
      </c>
      <c r="D29" s="13" t="s">
        <v>1554</v>
      </c>
      <c r="E29" s="12" t="s">
        <v>201</v>
      </c>
      <c r="F29" s="12" t="s">
        <v>201</v>
      </c>
      <c r="G29" s="13" t="s">
        <v>202</v>
      </c>
      <c r="H29" s="12" t="s">
        <v>97</v>
      </c>
      <c r="I29" s="12" t="s">
        <v>112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1555</v>
      </c>
      <c r="B30" s="12" t="s">
        <v>204</v>
      </c>
      <c r="C30" s="12" t="s">
        <v>55</v>
      </c>
      <c r="D30" s="13" t="s">
        <v>1442</v>
      </c>
      <c r="E30" s="12" t="s">
        <v>133</v>
      </c>
      <c r="F30" s="12" t="s">
        <v>133</v>
      </c>
      <c r="G30" s="13" t="s">
        <v>573</v>
      </c>
      <c r="H30" s="12" t="s">
        <v>97</v>
      </c>
      <c r="I30" s="12" t="s">
        <v>112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115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1558</v>
      </c>
      <c r="B9" s="1" t="s">
        <v>130</v>
      </c>
      <c r="C9" s="1" t="s">
        <v>1559</v>
      </c>
      <c r="D9" s="1" t="s">
        <v>1560</v>
      </c>
      <c r="E9" s="1" t="s">
        <v>133</v>
      </c>
      <c r="F9" s="1" t="s">
        <v>134</v>
      </c>
      <c r="G9" s="1" t="s">
        <v>1561</v>
      </c>
      <c r="H9" s="1" t="s">
        <v>97</v>
      </c>
      <c r="I9" s="1" t="s">
        <v>112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1562</v>
      </c>
      <c r="B10" s="1" t="s">
        <v>1342</v>
      </c>
      <c r="C10" s="1" t="s">
        <v>1559</v>
      </c>
      <c r="D10" s="1" t="s">
        <v>1563</v>
      </c>
      <c r="E10" s="1" t="s">
        <v>133</v>
      </c>
      <c r="F10" s="1" t="s">
        <v>153</v>
      </c>
      <c r="G10" s="1" t="s">
        <v>1564</v>
      </c>
      <c r="H10" s="1" t="s">
        <v>97</v>
      </c>
      <c r="I10" s="1" t="s">
        <v>112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1565</v>
      </c>
      <c r="B11" s="1" t="s">
        <v>137</v>
      </c>
      <c r="C11" s="1" t="s">
        <v>1566</v>
      </c>
      <c r="D11" s="1" t="s">
        <v>1567</v>
      </c>
      <c r="E11" s="1" t="s">
        <v>133</v>
      </c>
      <c r="F11" s="1" t="s">
        <v>133</v>
      </c>
      <c r="G11" s="1" t="s">
        <v>139</v>
      </c>
      <c r="H11" s="1" t="s">
        <v>97</v>
      </c>
      <c r="I11" s="1" t="s">
        <v>112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1568</v>
      </c>
      <c r="B12" s="1" t="s">
        <v>141</v>
      </c>
      <c r="C12" s="1" t="s">
        <v>1559</v>
      </c>
      <c r="D12" s="1" t="s">
        <v>1569</v>
      </c>
      <c r="E12" s="1" t="s">
        <v>133</v>
      </c>
      <c r="F12" s="1" t="s">
        <v>143</v>
      </c>
      <c r="G12" s="1" t="s">
        <v>1570</v>
      </c>
      <c r="H12" s="1" t="s">
        <v>97</v>
      </c>
      <c r="I12" s="1" t="s">
        <v>112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1571</v>
      </c>
      <c r="B13" s="1" t="s">
        <v>146</v>
      </c>
      <c r="C13" s="1" t="s">
        <v>1559</v>
      </c>
      <c r="D13" s="1" t="s">
        <v>1572</v>
      </c>
      <c r="E13" s="1" t="s">
        <v>133</v>
      </c>
      <c r="F13" s="1" t="s">
        <v>148</v>
      </c>
      <c r="G13" s="1" t="s">
        <v>1573</v>
      </c>
      <c r="H13" s="1" t="s">
        <v>97</v>
      </c>
      <c r="I13" s="1" t="s">
        <v>112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1574</v>
      </c>
      <c r="B14" s="1" t="s">
        <v>1575</v>
      </c>
      <c r="C14" s="1" t="s">
        <v>1559</v>
      </c>
      <c r="D14" s="1" t="s">
        <v>1576</v>
      </c>
      <c r="E14" s="1" t="s">
        <v>133</v>
      </c>
      <c r="F14" s="1" t="s">
        <v>158</v>
      </c>
      <c r="G14" s="1" t="s">
        <v>1577</v>
      </c>
      <c r="H14" s="1" t="s">
        <v>97</v>
      </c>
      <c r="I14" s="1" t="s">
        <v>112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1578</v>
      </c>
      <c r="B15" s="1" t="s">
        <v>1579</v>
      </c>
      <c r="C15" s="1" t="s">
        <v>781</v>
      </c>
      <c r="D15" s="1" t="s">
        <v>1580</v>
      </c>
      <c r="E15" s="1" t="s">
        <v>133</v>
      </c>
      <c r="F15" s="1" t="s">
        <v>158</v>
      </c>
      <c r="G15" s="1" t="s">
        <v>1577</v>
      </c>
      <c r="H15" s="1" t="s">
        <v>97</v>
      </c>
      <c r="I15" s="1" t="s">
        <v>112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1581</v>
      </c>
      <c r="B16" s="1" t="s">
        <v>1582</v>
      </c>
      <c r="C16" s="1" t="s">
        <v>1559</v>
      </c>
      <c r="D16" s="1" t="s">
        <v>1583</v>
      </c>
      <c r="E16" s="1" t="s">
        <v>133</v>
      </c>
      <c r="F16" s="1" t="s">
        <v>158</v>
      </c>
      <c r="G16" s="1" t="s">
        <v>1577</v>
      </c>
      <c r="H16" s="1" t="s">
        <v>97</v>
      </c>
      <c r="I16" s="1" t="s">
        <v>112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1584</v>
      </c>
      <c r="B17" s="1" t="s">
        <v>89</v>
      </c>
      <c r="C17" s="1" t="s">
        <v>781</v>
      </c>
      <c r="D17" s="1" t="s">
        <v>1585</v>
      </c>
      <c r="E17" s="1" t="s">
        <v>133</v>
      </c>
      <c r="F17" s="1" t="s">
        <v>153</v>
      </c>
      <c r="G17" s="1" t="s">
        <v>1586</v>
      </c>
      <c r="H17" s="1" t="s">
        <v>97</v>
      </c>
      <c r="I17" s="1" t="s">
        <v>112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1587</v>
      </c>
      <c r="B18" s="1" t="s">
        <v>1588</v>
      </c>
      <c r="C18" s="1" t="s">
        <v>1559</v>
      </c>
      <c r="D18" s="1" t="s">
        <v>1589</v>
      </c>
      <c r="E18" s="1" t="s">
        <v>133</v>
      </c>
      <c r="F18" s="1" t="s">
        <v>158</v>
      </c>
      <c r="G18" s="1" t="s">
        <v>1577</v>
      </c>
      <c r="H18" s="1" t="s">
        <v>97</v>
      </c>
      <c r="I18" s="1" t="s">
        <v>112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1590</v>
      </c>
      <c r="B19" s="1" t="s">
        <v>1591</v>
      </c>
      <c r="C19" s="1" t="s">
        <v>1559</v>
      </c>
      <c r="D19" s="1" t="s">
        <v>1592</v>
      </c>
      <c r="E19" s="1" t="s">
        <v>133</v>
      </c>
      <c r="F19" s="1" t="s">
        <v>158</v>
      </c>
      <c r="G19" s="1" t="s">
        <v>1586</v>
      </c>
      <c r="H19" s="1" t="s">
        <v>97</v>
      </c>
      <c r="I19" s="1" t="s">
        <v>112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1593</v>
      </c>
      <c r="B20" s="1" t="s">
        <v>1408</v>
      </c>
      <c r="C20" s="1" t="s">
        <v>781</v>
      </c>
      <c r="D20" s="1" t="s">
        <v>1594</v>
      </c>
      <c r="E20" s="1" t="s">
        <v>133</v>
      </c>
      <c r="F20" s="1" t="s">
        <v>158</v>
      </c>
      <c r="G20" s="1" t="s">
        <v>1577</v>
      </c>
      <c r="H20" s="1" t="s">
        <v>97</v>
      </c>
      <c r="I20" s="1" t="s">
        <v>112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1595</v>
      </c>
      <c r="B21" s="1" t="s">
        <v>181</v>
      </c>
      <c r="C21" s="1" t="s">
        <v>1559</v>
      </c>
      <c r="D21" s="1" t="s">
        <v>1596</v>
      </c>
      <c r="E21" s="1" t="s">
        <v>133</v>
      </c>
      <c r="F21" s="1" t="s">
        <v>158</v>
      </c>
      <c r="G21" s="1" t="s">
        <v>1577</v>
      </c>
      <c r="H21" s="1" t="s">
        <v>97</v>
      </c>
      <c r="I21" s="1" t="s">
        <v>112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1597</v>
      </c>
      <c r="B22" s="1" t="s">
        <v>161</v>
      </c>
      <c r="C22" s="1" t="s">
        <v>1559</v>
      </c>
      <c r="D22" s="1" t="s">
        <v>1598</v>
      </c>
      <c r="E22" s="1" t="s">
        <v>133</v>
      </c>
      <c r="F22" s="1" t="s">
        <v>163</v>
      </c>
      <c r="G22" s="1" t="s">
        <v>1577</v>
      </c>
      <c r="H22" s="1" t="s">
        <v>97</v>
      </c>
      <c r="I22" s="1" t="s">
        <v>112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1599</v>
      </c>
      <c r="B23" s="1" t="s">
        <v>166</v>
      </c>
      <c r="C23" s="1" t="s">
        <v>1566</v>
      </c>
      <c r="D23" s="1" t="s">
        <v>1600</v>
      </c>
      <c r="E23" s="1" t="s">
        <v>133</v>
      </c>
      <c r="F23" s="1" t="s">
        <v>168</v>
      </c>
      <c r="G23" s="1" t="s">
        <v>1601</v>
      </c>
      <c r="H23" s="1" t="s">
        <v>91</v>
      </c>
      <c r="I23" s="1" t="s">
        <v>111</v>
      </c>
      <c r="J23" s="10" t="n">
        <v>46229</v>
      </c>
      <c r="K23" s="1" t="s">
        <v>1602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1603</v>
      </c>
      <c r="B24" s="1" t="s">
        <v>186</v>
      </c>
      <c r="C24" s="1" t="s">
        <v>1566</v>
      </c>
      <c r="D24" s="1" t="s">
        <v>1604</v>
      </c>
      <c r="E24" s="1" t="s">
        <v>133</v>
      </c>
      <c r="F24" s="1" t="s">
        <v>174</v>
      </c>
      <c r="G24" s="1" t="s">
        <v>1605</v>
      </c>
      <c r="H24" s="1" t="s">
        <v>91</v>
      </c>
      <c r="I24" s="1" t="s">
        <v>111</v>
      </c>
      <c r="J24" s="10" t="n">
        <v>46229</v>
      </c>
      <c r="K24" s="1" t="s">
        <v>1606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1607</v>
      </c>
      <c r="B25" s="1" t="s">
        <v>190</v>
      </c>
      <c r="C25" s="1" t="s">
        <v>1566</v>
      </c>
      <c r="D25" s="1" t="s">
        <v>1608</v>
      </c>
      <c r="E25" s="1" t="s">
        <v>133</v>
      </c>
      <c r="F25" s="1" t="s">
        <v>192</v>
      </c>
      <c r="G25" s="1" t="s">
        <v>1609</v>
      </c>
      <c r="H25" s="1" t="s">
        <v>97</v>
      </c>
      <c r="I25" s="1" t="s">
        <v>112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1610</v>
      </c>
      <c r="B26" s="1" t="s">
        <v>195</v>
      </c>
      <c r="C26" s="1" t="s">
        <v>1566</v>
      </c>
      <c r="D26" s="1" t="s">
        <v>1611</v>
      </c>
      <c r="E26" s="1" t="s">
        <v>133</v>
      </c>
      <c r="F26" s="1" t="s">
        <v>192</v>
      </c>
      <c r="G26" s="1" t="s">
        <v>1612</v>
      </c>
      <c r="H26" s="1" t="s">
        <v>97</v>
      </c>
      <c r="I26" s="1" t="s">
        <v>112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1613</v>
      </c>
      <c r="B27" s="1" t="s">
        <v>199</v>
      </c>
      <c r="C27" s="1" t="s">
        <v>1566</v>
      </c>
      <c r="D27" s="1" t="s">
        <v>1614</v>
      </c>
      <c r="E27" s="1" t="s">
        <v>201</v>
      </c>
      <c r="F27" s="1" t="s">
        <v>201</v>
      </c>
      <c r="G27" s="1" t="s">
        <v>202</v>
      </c>
      <c r="H27" s="1" t="s">
        <v>97</v>
      </c>
      <c r="I27" s="1" t="s">
        <v>112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1615</v>
      </c>
      <c r="B28" s="1" t="s">
        <v>204</v>
      </c>
      <c r="C28" s="1" t="s">
        <v>1566</v>
      </c>
      <c r="D28" s="1" t="s">
        <v>1616</v>
      </c>
      <c r="E28" s="1" t="s">
        <v>133</v>
      </c>
      <c r="F28" s="1" t="s">
        <v>133</v>
      </c>
      <c r="G28" s="1" t="s">
        <v>206</v>
      </c>
      <c r="H28" s="1" t="s">
        <v>97</v>
      </c>
      <c r="I28" s="1" t="s">
        <v>112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115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42" hidden="false" customHeight="true" outlineLevel="0" collapsed="false">
      <c r="A9" s="1" t="s">
        <v>1619</v>
      </c>
      <c r="B9" s="1" t="s">
        <v>130</v>
      </c>
      <c r="C9" s="1" t="s">
        <v>1620</v>
      </c>
      <c r="D9" s="1" t="s">
        <v>1621</v>
      </c>
      <c r="E9" s="1" t="s">
        <v>133</v>
      </c>
      <c r="F9" s="1" t="s">
        <v>134</v>
      </c>
      <c r="G9" s="1" t="s">
        <v>1622</v>
      </c>
      <c r="H9" s="1" t="s">
        <v>97</v>
      </c>
      <c r="I9" s="1" t="s">
        <v>112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1623</v>
      </c>
      <c r="B10" s="1" t="s">
        <v>1342</v>
      </c>
      <c r="C10" s="1" t="s">
        <v>1620</v>
      </c>
      <c r="D10" s="1" t="s">
        <v>1624</v>
      </c>
      <c r="E10" s="1" t="s">
        <v>133</v>
      </c>
      <c r="F10" s="1" t="s">
        <v>153</v>
      </c>
      <c r="G10" s="1" t="s">
        <v>1625</v>
      </c>
      <c r="H10" s="1" t="s">
        <v>97</v>
      </c>
      <c r="I10" s="1" t="s">
        <v>112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1626</v>
      </c>
      <c r="B11" s="1" t="s">
        <v>137</v>
      </c>
      <c r="C11" s="1" t="s">
        <v>57</v>
      </c>
      <c r="D11" s="1" t="s">
        <v>1627</v>
      </c>
      <c r="E11" s="1" t="s">
        <v>133</v>
      </c>
      <c r="F11" s="1" t="s">
        <v>133</v>
      </c>
      <c r="G11" s="1" t="s">
        <v>139</v>
      </c>
      <c r="H11" s="1" t="s">
        <v>97</v>
      </c>
      <c r="I11" s="1" t="s">
        <v>112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1628</v>
      </c>
      <c r="B12" s="1" t="s">
        <v>141</v>
      </c>
      <c r="C12" s="1" t="s">
        <v>1620</v>
      </c>
      <c r="D12" s="1" t="s">
        <v>1629</v>
      </c>
      <c r="E12" s="1" t="s">
        <v>133</v>
      </c>
      <c r="F12" s="1" t="s">
        <v>143</v>
      </c>
      <c r="G12" s="1" t="s">
        <v>1630</v>
      </c>
      <c r="H12" s="1" t="s">
        <v>97</v>
      </c>
      <c r="I12" s="1" t="s">
        <v>112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1631</v>
      </c>
      <c r="B13" s="1" t="s">
        <v>146</v>
      </c>
      <c r="C13" s="1" t="s">
        <v>1620</v>
      </c>
      <c r="D13" s="1" t="s">
        <v>1632</v>
      </c>
      <c r="E13" s="1" t="s">
        <v>133</v>
      </c>
      <c r="F13" s="1" t="s">
        <v>148</v>
      </c>
      <c r="G13" s="1" t="s">
        <v>1633</v>
      </c>
      <c r="H13" s="1" t="s">
        <v>97</v>
      </c>
      <c r="I13" s="1" t="s">
        <v>112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1634</v>
      </c>
      <c r="B14" s="1" t="s">
        <v>1575</v>
      </c>
      <c r="C14" s="1" t="s">
        <v>1620</v>
      </c>
      <c r="D14" s="1" t="s">
        <v>1635</v>
      </c>
      <c r="E14" s="1" t="s">
        <v>133</v>
      </c>
      <c r="F14" s="1" t="s">
        <v>158</v>
      </c>
      <c r="G14" s="1" t="s">
        <v>1636</v>
      </c>
      <c r="H14" s="1" t="s">
        <v>97</v>
      </c>
      <c r="I14" s="1" t="s">
        <v>112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1637</v>
      </c>
      <c r="B15" s="1" t="s">
        <v>1579</v>
      </c>
      <c r="C15" s="1" t="s">
        <v>781</v>
      </c>
      <c r="D15" s="1" t="s">
        <v>1638</v>
      </c>
      <c r="E15" s="1" t="s">
        <v>133</v>
      </c>
      <c r="F15" s="1" t="s">
        <v>158</v>
      </c>
      <c r="G15" s="1" t="s">
        <v>1636</v>
      </c>
      <c r="H15" s="1" t="s">
        <v>97</v>
      </c>
      <c r="I15" s="1" t="s">
        <v>112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1639</v>
      </c>
      <c r="B16" s="1" t="s">
        <v>1582</v>
      </c>
      <c r="C16" s="1" t="s">
        <v>781</v>
      </c>
      <c r="D16" s="1" t="s">
        <v>1640</v>
      </c>
      <c r="E16" s="1" t="s">
        <v>133</v>
      </c>
      <c r="F16" s="1" t="s">
        <v>158</v>
      </c>
      <c r="G16" s="1" t="s">
        <v>1636</v>
      </c>
      <c r="H16" s="1" t="s">
        <v>97</v>
      </c>
      <c r="I16" s="1" t="s">
        <v>112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1641</v>
      </c>
      <c r="B17" s="1" t="s">
        <v>89</v>
      </c>
      <c r="C17" s="1" t="s">
        <v>781</v>
      </c>
      <c r="D17" s="1" t="s">
        <v>1642</v>
      </c>
      <c r="E17" s="1" t="s">
        <v>133</v>
      </c>
      <c r="F17" s="1" t="s">
        <v>153</v>
      </c>
      <c r="G17" s="1" t="s">
        <v>1643</v>
      </c>
      <c r="H17" s="1" t="s">
        <v>97</v>
      </c>
      <c r="I17" s="1" t="s">
        <v>112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1644</v>
      </c>
      <c r="B18" s="1" t="s">
        <v>1588</v>
      </c>
      <c r="C18" s="1" t="s">
        <v>1620</v>
      </c>
      <c r="D18" s="1" t="s">
        <v>1645</v>
      </c>
      <c r="E18" s="1" t="s">
        <v>133</v>
      </c>
      <c r="F18" s="1" t="s">
        <v>158</v>
      </c>
      <c r="G18" s="1" t="s">
        <v>1643</v>
      </c>
      <c r="H18" s="1" t="s">
        <v>97</v>
      </c>
      <c r="I18" s="1" t="s">
        <v>112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1646</v>
      </c>
      <c r="B19" s="1" t="s">
        <v>1591</v>
      </c>
      <c r="C19" s="1" t="s">
        <v>1620</v>
      </c>
      <c r="D19" s="1" t="s">
        <v>1647</v>
      </c>
      <c r="E19" s="1" t="s">
        <v>133</v>
      </c>
      <c r="F19" s="1" t="s">
        <v>153</v>
      </c>
      <c r="G19" s="1" t="s">
        <v>1625</v>
      </c>
      <c r="H19" s="1" t="s">
        <v>97</v>
      </c>
      <c r="I19" s="1" t="s">
        <v>112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1648</v>
      </c>
      <c r="B20" s="1" t="s">
        <v>1408</v>
      </c>
      <c r="C20" s="1" t="s">
        <v>781</v>
      </c>
      <c r="D20" s="1" t="s">
        <v>1649</v>
      </c>
      <c r="E20" s="1" t="s">
        <v>133</v>
      </c>
      <c r="F20" s="1" t="s">
        <v>158</v>
      </c>
      <c r="G20" s="1" t="s">
        <v>1636</v>
      </c>
      <c r="H20" s="1" t="s">
        <v>97</v>
      </c>
      <c r="I20" s="1" t="s">
        <v>112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1650</v>
      </c>
      <c r="B21" s="1" t="s">
        <v>181</v>
      </c>
      <c r="C21" s="1" t="s">
        <v>1620</v>
      </c>
      <c r="D21" s="1" t="s">
        <v>1651</v>
      </c>
      <c r="E21" s="1" t="s">
        <v>133</v>
      </c>
      <c r="F21" s="1" t="s">
        <v>158</v>
      </c>
      <c r="G21" s="1" t="s">
        <v>1636</v>
      </c>
      <c r="H21" s="1" t="s">
        <v>97</v>
      </c>
      <c r="I21" s="1" t="s">
        <v>112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1652</v>
      </c>
      <c r="B22" s="1" t="s">
        <v>161</v>
      </c>
      <c r="C22" s="1" t="s">
        <v>1620</v>
      </c>
      <c r="D22" s="1" t="s">
        <v>1653</v>
      </c>
      <c r="E22" s="1" t="s">
        <v>133</v>
      </c>
      <c r="F22" s="1" t="s">
        <v>163</v>
      </c>
      <c r="G22" s="1" t="s">
        <v>1636</v>
      </c>
      <c r="H22" s="1" t="s">
        <v>97</v>
      </c>
      <c r="I22" s="1" t="s">
        <v>112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1654</v>
      </c>
      <c r="B23" s="1" t="s">
        <v>166</v>
      </c>
      <c r="C23" s="1" t="s">
        <v>57</v>
      </c>
      <c r="D23" s="1" t="s">
        <v>1655</v>
      </c>
      <c r="E23" s="1" t="s">
        <v>133</v>
      </c>
      <c r="F23" s="1" t="s">
        <v>168</v>
      </c>
      <c r="G23" s="1" t="s">
        <v>1656</v>
      </c>
      <c r="H23" s="1" t="s">
        <v>91</v>
      </c>
      <c r="I23" s="1" t="s">
        <v>111</v>
      </c>
      <c r="J23" s="10" t="n">
        <v>46229</v>
      </c>
      <c r="K23" s="1" t="s">
        <v>1657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1658</v>
      </c>
      <c r="B24" s="1" t="s">
        <v>186</v>
      </c>
      <c r="C24" s="1" t="s">
        <v>57</v>
      </c>
      <c r="D24" s="1" t="s">
        <v>1659</v>
      </c>
      <c r="E24" s="1" t="s">
        <v>133</v>
      </c>
      <c r="F24" s="1" t="s">
        <v>174</v>
      </c>
      <c r="G24" s="1" t="s">
        <v>1660</v>
      </c>
      <c r="H24" s="1" t="s">
        <v>91</v>
      </c>
      <c r="I24" s="1" t="s">
        <v>111</v>
      </c>
      <c r="J24" s="10" t="n">
        <v>46229</v>
      </c>
      <c r="K24" s="1" t="s">
        <v>1661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1662</v>
      </c>
      <c r="B25" s="1" t="s">
        <v>190</v>
      </c>
      <c r="C25" s="1" t="s">
        <v>57</v>
      </c>
      <c r="D25" s="1" t="s">
        <v>1608</v>
      </c>
      <c r="E25" s="1" t="s">
        <v>133</v>
      </c>
      <c r="F25" s="1" t="s">
        <v>192</v>
      </c>
      <c r="G25" s="1" t="s">
        <v>1663</v>
      </c>
      <c r="H25" s="1" t="s">
        <v>97</v>
      </c>
      <c r="I25" s="1" t="s">
        <v>112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1664</v>
      </c>
      <c r="B26" s="1" t="s">
        <v>195</v>
      </c>
      <c r="C26" s="1" t="s">
        <v>57</v>
      </c>
      <c r="D26" s="1" t="s">
        <v>1611</v>
      </c>
      <c r="E26" s="1" t="s">
        <v>133</v>
      </c>
      <c r="F26" s="1" t="s">
        <v>192</v>
      </c>
      <c r="G26" s="1" t="s">
        <v>1665</v>
      </c>
      <c r="H26" s="1" t="s">
        <v>97</v>
      </c>
      <c r="I26" s="1" t="s">
        <v>112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1666</v>
      </c>
      <c r="B27" s="1" t="s">
        <v>199</v>
      </c>
      <c r="C27" s="1" t="s">
        <v>57</v>
      </c>
      <c r="D27" s="1" t="s">
        <v>1667</v>
      </c>
      <c r="E27" s="1" t="s">
        <v>201</v>
      </c>
      <c r="F27" s="1" t="s">
        <v>201</v>
      </c>
      <c r="G27" s="1" t="s">
        <v>202</v>
      </c>
      <c r="H27" s="1" t="s">
        <v>97</v>
      </c>
      <c r="I27" s="1" t="s">
        <v>112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1668</v>
      </c>
      <c r="B28" s="1" t="s">
        <v>204</v>
      </c>
      <c r="C28" s="1" t="s">
        <v>57</v>
      </c>
      <c r="D28" s="1" t="s">
        <v>1669</v>
      </c>
      <c r="E28" s="1" t="s">
        <v>133</v>
      </c>
      <c r="F28" s="1" t="s">
        <v>133</v>
      </c>
      <c r="G28" s="1" t="s">
        <v>206</v>
      </c>
      <c r="H28" s="1" t="s">
        <v>97</v>
      </c>
      <c r="I28" s="1" t="s">
        <v>112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115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42" hidden="false" customHeight="true" outlineLevel="0" collapsed="false">
      <c r="A9" s="1" t="s">
        <v>1672</v>
      </c>
      <c r="B9" s="1" t="s">
        <v>89</v>
      </c>
      <c r="C9" s="1" t="s">
        <v>1673</v>
      </c>
      <c r="D9" s="1" t="s">
        <v>1674</v>
      </c>
      <c r="E9" s="1" t="s">
        <v>133</v>
      </c>
      <c r="F9" s="1" t="s">
        <v>134</v>
      </c>
      <c r="G9" s="1" t="s">
        <v>1675</v>
      </c>
      <c r="H9" s="1" t="s">
        <v>97</v>
      </c>
      <c r="I9" s="1" t="s">
        <v>112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1676</v>
      </c>
      <c r="B10" s="1" t="s">
        <v>1342</v>
      </c>
      <c r="C10" s="1" t="s">
        <v>1183</v>
      </c>
      <c r="D10" s="1" t="s">
        <v>1677</v>
      </c>
      <c r="E10" s="1" t="s">
        <v>133</v>
      </c>
      <c r="F10" s="1" t="s">
        <v>153</v>
      </c>
      <c r="G10" s="1" t="s">
        <v>1678</v>
      </c>
      <c r="H10" s="1" t="s">
        <v>97</v>
      </c>
      <c r="I10" s="1" t="s">
        <v>112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1679</v>
      </c>
      <c r="B11" s="1" t="s">
        <v>137</v>
      </c>
      <c r="C11" s="1" t="s">
        <v>58</v>
      </c>
      <c r="D11" s="1" t="s">
        <v>1680</v>
      </c>
      <c r="E11" s="1" t="s">
        <v>133</v>
      </c>
      <c r="F11" s="1" t="s">
        <v>133</v>
      </c>
      <c r="G11" s="1" t="s">
        <v>139</v>
      </c>
      <c r="H11" s="1" t="s">
        <v>97</v>
      </c>
      <c r="I11" s="1" t="s">
        <v>112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1681</v>
      </c>
      <c r="B12" s="1" t="s">
        <v>141</v>
      </c>
      <c r="C12" s="1" t="s">
        <v>1183</v>
      </c>
      <c r="D12" s="1" t="s">
        <v>1682</v>
      </c>
      <c r="E12" s="1" t="s">
        <v>133</v>
      </c>
      <c r="F12" s="1" t="s">
        <v>143</v>
      </c>
      <c r="G12" s="1" t="s">
        <v>1683</v>
      </c>
      <c r="H12" s="1" t="s">
        <v>97</v>
      </c>
      <c r="I12" s="1" t="s">
        <v>112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1684</v>
      </c>
      <c r="B13" s="1" t="s">
        <v>146</v>
      </c>
      <c r="C13" s="1" t="s">
        <v>1183</v>
      </c>
      <c r="D13" s="1" t="s">
        <v>1685</v>
      </c>
      <c r="E13" s="1" t="s">
        <v>133</v>
      </c>
      <c r="F13" s="1" t="s">
        <v>148</v>
      </c>
      <c r="G13" s="1" t="s">
        <v>1686</v>
      </c>
      <c r="H13" s="1" t="s">
        <v>97</v>
      </c>
      <c r="I13" s="1" t="s">
        <v>112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1687</v>
      </c>
      <c r="B14" s="1" t="s">
        <v>1575</v>
      </c>
      <c r="C14" s="1" t="s">
        <v>1688</v>
      </c>
      <c r="D14" s="1" t="s">
        <v>1689</v>
      </c>
      <c r="E14" s="1" t="s">
        <v>133</v>
      </c>
      <c r="F14" s="1" t="s">
        <v>158</v>
      </c>
      <c r="G14" s="1" t="s">
        <v>1690</v>
      </c>
      <c r="H14" s="1" t="s">
        <v>97</v>
      </c>
      <c r="I14" s="1" t="s">
        <v>112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1691</v>
      </c>
      <c r="B15" s="1" t="s">
        <v>1692</v>
      </c>
      <c r="C15" s="1" t="s">
        <v>1693</v>
      </c>
      <c r="D15" s="1" t="s">
        <v>1694</v>
      </c>
      <c r="E15" s="1" t="s">
        <v>133</v>
      </c>
      <c r="F15" s="1" t="s">
        <v>168</v>
      </c>
      <c r="G15" s="1" t="s">
        <v>1695</v>
      </c>
      <c r="H15" s="1" t="s">
        <v>99</v>
      </c>
      <c r="I15" s="1" t="s">
        <v>111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1696</v>
      </c>
      <c r="B16" s="1" t="s">
        <v>1697</v>
      </c>
      <c r="C16" s="1" t="s">
        <v>781</v>
      </c>
      <c r="D16" s="1" t="s">
        <v>1698</v>
      </c>
      <c r="E16" s="1" t="s">
        <v>133</v>
      </c>
      <c r="F16" s="1" t="s">
        <v>168</v>
      </c>
      <c r="G16" s="1" t="s">
        <v>1695</v>
      </c>
      <c r="H16" s="1" t="s">
        <v>99</v>
      </c>
      <c r="I16" s="1" t="s">
        <v>111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1699</v>
      </c>
      <c r="B17" s="1" t="s">
        <v>1085</v>
      </c>
      <c r="C17" s="1" t="s">
        <v>1700</v>
      </c>
      <c r="D17" s="1" t="s">
        <v>1701</v>
      </c>
      <c r="E17" s="1" t="s">
        <v>133</v>
      </c>
      <c r="F17" s="1" t="s">
        <v>158</v>
      </c>
      <c r="G17" s="1" t="s">
        <v>1702</v>
      </c>
      <c r="H17" s="1" t="s">
        <v>97</v>
      </c>
      <c r="I17" s="1" t="s">
        <v>112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1703</v>
      </c>
      <c r="B18" s="1" t="s">
        <v>1704</v>
      </c>
      <c r="C18" s="1" t="s">
        <v>1705</v>
      </c>
      <c r="D18" s="1" t="s">
        <v>1706</v>
      </c>
      <c r="E18" s="1" t="s">
        <v>133</v>
      </c>
      <c r="F18" s="1" t="s">
        <v>163</v>
      </c>
      <c r="G18" s="1" t="s">
        <v>1707</v>
      </c>
      <c r="H18" s="1" t="s">
        <v>97</v>
      </c>
      <c r="I18" s="1" t="s">
        <v>112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1708</v>
      </c>
      <c r="B19" s="1" t="s">
        <v>1709</v>
      </c>
      <c r="C19" s="1" t="s">
        <v>1710</v>
      </c>
      <c r="D19" s="1" t="s">
        <v>1711</v>
      </c>
      <c r="E19" s="1" t="s">
        <v>133</v>
      </c>
      <c r="F19" s="1" t="s">
        <v>153</v>
      </c>
      <c r="G19" s="1" t="s">
        <v>1707</v>
      </c>
      <c r="H19" s="1" t="s">
        <v>97</v>
      </c>
      <c r="I19" s="1" t="s">
        <v>112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1712</v>
      </c>
      <c r="B20" s="1" t="s">
        <v>1713</v>
      </c>
      <c r="C20" s="1" t="s">
        <v>1710</v>
      </c>
      <c r="D20" s="1" t="s">
        <v>1714</v>
      </c>
      <c r="E20" s="1" t="s">
        <v>133</v>
      </c>
      <c r="F20" s="1" t="s">
        <v>158</v>
      </c>
      <c r="G20" s="1" t="s">
        <v>1690</v>
      </c>
      <c r="H20" s="1" t="s">
        <v>97</v>
      </c>
      <c r="I20" s="1" t="s">
        <v>112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1715</v>
      </c>
      <c r="B21" s="1" t="s">
        <v>1716</v>
      </c>
      <c r="C21" s="1" t="s">
        <v>33</v>
      </c>
      <c r="D21" s="1" t="s">
        <v>1717</v>
      </c>
      <c r="E21" s="1" t="s">
        <v>133</v>
      </c>
      <c r="F21" s="1" t="s">
        <v>158</v>
      </c>
      <c r="G21" s="1" t="s">
        <v>1690</v>
      </c>
      <c r="H21" s="1" t="s">
        <v>97</v>
      </c>
      <c r="I21" s="1" t="s">
        <v>112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1718</v>
      </c>
      <c r="B22" s="1" t="s">
        <v>181</v>
      </c>
      <c r="C22" s="1" t="s">
        <v>1183</v>
      </c>
      <c r="D22" s="1" t="s">
        <v>1719</v>
      </c>
      <c r="E22" s="1" t="s">
        <v>133</v>
      </c>
      <c r="F22" s="1" t="s">
        <v>158</v>
      </c>
      <c r="G22" s="1" t="s">
        <v>1707</v>
      </c>
      <c r="H22" s="1" t="s">
        <v>97</v>
      </c>
      <c r="I22" s="1" t="s">
        <v>112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1720</v>
      </c>
      <c r="B23" s="1" t="s">
        <v>172</v>
      </c>
      <c r="C23" s="1" t="s">
        <v>1721</v>
      </c>
      <c r="D23" s="1" t="s">
        <v>1722</v>
      </c>
      <c r="E23" s="1" t="s">
        <v>133</v>
      </c>
      <c r="F23" s="1" t="s">
        <v>158</v>
      </c>
      <c r="G23" s="1" t="s">
        <v>1702</v>
      </c>
      <c r="H23" s="1" t="s">
        <v>97</v>
      </c>
      <c r="I23" s="1" t="s">
        <v>112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1723</v>
      </c>
      <c r="B24" s="1" t="s">
        <v>161</v>
      </c>
      <c r="C24" s="1" t="s">
        <v>1183</v>
      </c>
      <c r="D24" s="1" t="s">
        <v>1724</v>
      </c>
      <c r="E24" s="1" t="s">
        <v>133</v>
      </c>
      <c r="F24" s="1" t="s">
        <v>163</v>
      </c>
      <c r="G24" s="1" t="s">
        <v>1690</v>
      </c>
      <c r="H24" s="1" t="s">
        <v>97</v>
      </c>
      <c r="I24" s="1" t="s">
        <v>112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1725</v>
      </c>
      <c r="B25" s="1" t="s">
        <v>166</v>
      </c>
      <c r="C25" s="1" t="s">
        <v>58</v>
      </c>
      <c r="D25" s="1" t="s">
        <v>1726</v>
      </c>
      <c r="E25" s="1" t="s">
        <v>133</v>
      </c>
      <c r="F25" s="1" t="s">
        <v>168</v>
      </c>
      <c r="G25" s="1" t="s">
        <v>1695</v>
      </c>
      <c r="H25" s="1" t="s">
        <v>99</v>
      </c>
      <c r="I25" s="1" t="s">
        <v>111</v>
      </c>
      <c r="J25" s="10" t="n">
        <v>46229</v>
      </c>
      <c r="K25" s="1" t="s">
        <v>1727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1728</v>
      </c>
      <c r="B26" s="1" t="s">
        <v>186</v>
      </c>
      <c r="C26" s="1" t="s">
        <v>58</v>
      </c>
      <c r="D26" s="1" t="s">
        <v>1729</v>
      </c>
      <c r="E26" s="1" t="s">
        <v>133</v>
      </c>
      <c r="F26" s="1" t="s">
        <v>174</v>
      </c>
      <c r="G26" s="1" t="s">
        <v>1730</v>
      </c>
      <c r="H26" s="1" t="s">
        <v>91</v>
      </c>
      <c r="I26" s="1" t="s">
        <v>111</v>
      </c>
      <c r="J26" s="10" t="n">
        <v>46229</v>
      </c>
      <c r="K26" s="1" t="s">
        <v>1661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1731</v>
      </c>
      <c r="B27" s="1" t="s">
        <v>190</v>
      </c>
      <c r="C27" s="1" t="s">
        <v>58</v>
      </c>
      <c r="D27" s="1" t="s">
        <v>1732</v>
      </c>
      <c r="E27" s="1" t="s">
        <v>133</v>
      </c>
      <c r="F27" s="1" t="s">
        <v>192</v>
      </c>
      <c r="G27" s="1" t="s">
        <v>1733</v>
      </c>
      <c r="H27" s="1" t="s">
        <v>97</v>
      </c>
      <c r="I27" s="1" t="s">
        <v>112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1734</v>
      </c>
      <c r="B28" s="1" t="s">
        <v>195</v>
      </c>
      <c r="C28" s="1" t="s">
        <v>58</v>
      </c>
      <c r="D28" s="1" t="s">
        <v>1735</v>
      </c>
      <c r="E28" s="1" t="s">
        <v>133</v>
      </c>
      <c r="F28" s="1" t="s">
        <v>192</v>
      </c>
      <c r="G28" s="1" t="s">
        <v>1736</v>
      </c>
      <c r="H28" s="1" t="s">
        <v>97</v>
      </c>
      <c r="I28" s="1" t="s">
        <v>112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1737</v>
      </c>
      <c r="B29" s="1" t="s">
        <v>621</v>
      </c>
      <c r="C29" s="1" t="s">
        <v>58</v>
      </c>
      <c r="D29" s="1" t="s">
        <v>1738</v>
      </c>
      <c r="E29" s="1" t="s">
        <v>133</v>
      </c>
      <c r="F29" s="1" t="s">
        <v>623</v>
      </c>
      <c r="G29" s="1" t="s">
        <v>1739</v>
      </c>
      <c r="H29" s="1" t="s">
        <v>97</v>
      </c>
      <c r="I29" s="1" t="s">
        <v>112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1740</v>
      </c>
      <c r="B30" s="1" t="s">
        <v>199</v>
      </c>
      <c r="C30" s="1" t="s">
        <v>58</v>
      </c>
      <c r="D30" s="1" t="s">
        <v>1741</v>
      </c>
      <c r="E30" s="1" t="s">
        <v>201</v>
      </c>
      <c r="F30" s="1" t="s">
        <v>201</v>
      </c>
      <c r="G30" s="1" t="s">
        <v>202</v>
      </c>
      <c r="H30" s="1" t="s">
        <v>97</v>
      </c>
      <c r="I30" s="1" t="s">
        <v>112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1742</v>
      </c>
      <c r="B31" s="1" t="s">
        <v>204</v>
      </c>
      <c r="C31" s="1" t="s">
        <v>58</v>
      </c>
      <c r="D31" s="1" t="s">
        <v>1743</v>
      </c>
      <c r="E31" s="1" t="s">
        <v>133</v>
      </c>
      <c r="F31" s="1" t="s">
        <v>133</v>
      </c>
      <c r="G31" s="1" t="s">
        <v>206</v>
      </c>
      <c r="H31" s="1" t="s">
        <v>97</v>
      </c>
      <c r="I31" s="1" t="s">
        <v>112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1744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115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42" hidden="false" customHeight="true" outlineLevel="0" collapsed="false">
      <c r="A9" s="1" t="s">
        <v>1746</v>
      </c>
      <c r="B9" s="1" t="s">
        <v>89</v>
      </c>
      <c r="C9" s="1" t="s">
        <v>1183</v>
      </c>
      <c r="D9" s="1" t="s">
        <v>1747</v>
      </c>
      <c r="E9" s="1" t="s">
        <v>133</v>
      </c>
      <c r="F9" s="1" t="s">
        <v>134</v>
      </c>
      <c r="G9" s="1" t="s">
        <v>1748</v>
      </c>
      <c r="H9" s="8" t="s">
        <v>97</v>
      </c>
      <c r="I9" s="8" t="s">
        <v>112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1749</v>
      </c>
      <c r="B10" s="1" t="s">
        <v>1342</v>
      </c>
      <c r="C10" s="1" t="s">
        <v>1750</v>
      </c>
      <c r="D10" s="1" t="s">
        <v>1751</v>
      </c>
      <c r="E10" s="1" t="s">
        <v>133</v>
      </c>
      <c r="F10" s="1" t="s">
        <v>153</v>
      </c>
      <c r="G10" s="1" t="s">
        <v>1752</v>
      </c>
      <c r="H10" s="8" t="s">
        <v>97</v>
      </c>
      <c r="I10" s="8" t="s">
        <v>112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1753</v>
      </c>
      <c r="B11" s="1" t="s">
        <v>137</v>
      </c>
      <c r="C11" s="1" t="s">
        <v>59</v>
      </c>
      <c r="D11" s="1" t="s">
        <v>1754</v>
      </c>
      <c r="E11" s="1" t="s">
        <v>133</v>
      </c>
      <c r="F11" s="1" t="s">
        <v>133</v>
      </c>
      <c r="G11" s="1" t="s">
        <v>139</v>
      </c>
      <c r="H11" s="8" t="s">
        <v>97</v>
      </c>
      <c r="I11" s="8" t="s">
        <v>112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1755</v>
      </c>
      <c r="B12" s="1" t="s">
        <v>141</v>
      </c>
      <c r="C12" s="1" t="s">
        <v>1183</v>
      </c>
      <c r="D12" s="1" t="s">
        <v>1756</v>
      </c>
      <c r="E12" s="1" t="s">
        <v>133</v>
      </c>
      <c r="F12" s="1" t="s">
        <v>143</v>
      </c>
      <c r="G12" s="1" t="s">
        <v>1757</v>
      </c>
      <c r="H12" s="8" t="s">
        <v>97</v>
      </c>
      <c r="I12" s="8" t="s">
        <v>112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1758</v>
      </c>
      <c r="B13" s="1" t="s">
        <v>146</v>
      </c>
      <c r="C13" s="1" t="s">
        <v>1183</v>
      </c>
      <c r="D13" s="1" t="s">
        <v>1759</v>
      </c>
      <c r="E13" s="1" t="s">
        <v>133</v>
      </c>
      <c r="F13" s="1" t="s">
        <v>148</v>
      </c>
      <c r="G13" s="1" t="s">
        <v>1760</v>
      </c>
      <c r="H13" s="8" t="s">
        <v>97</v>
      </c>
      <c r="I13" s="8" t="s">
        <v>112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1761</v>
      </c>
      <c r="B14" s="1" t="s">
        <v>1575</v>
      </c>
      <c r="C14" s="1" t="s">
        <v>1762</v>
      </c>
      <c r="D14" s="1" t="s">
        <v>1763</v>
      </c>
      <c r="E14" s="1" t="s">
        <v>133</v>
      </c>
      <c r="F14" s="1" t="s">
        <v>158</v>
      </c>
      <c r="G14" s="1" t="s">
        <v>1764</v>
      </c>
      <c r="H14" s="8" t="s">
        <v>97</v>
      </c>
      <c r="I14" s="8" t="s">
        <v>112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1765</v>
      </c>
      <c r="B15" s="1" t="s">
        <v>1692</v>
      </c>
      <c r="C15" s="1" t="s">
        <v>1183</v>
      </c>
      <c r="D15" s="1" t="s">
        <v>1766</v>
      </c>
      <c r="E15" s="1" t="s">
        <v>133</v>
      </c>
      <c r="F15" s="1" t="s">
        <v>168</v>
      </c>
      <c r="G15" s="1" t="s">
        <v>1767</v>
      </c>
      <c r="H15" s="8" t="s">
        <v>99</v>
      </c>
      <c r="I15" s="8" t="s">
        <v>111</v>
      </c>
      <c r="J15" s="10" t="n">
        <v>46229</v>
      </c>
      <c r="K15" s="1" t="s">
        <v>1768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1769</v>
      </c>
      <c r="B16" s="1" t="s">
        <v>1697</v>
      </c>
      <c r="C16" s="1" t="s">
        <v>1770</v>
      </c>
      <c r="D16" s="1" t="s">
        <v>1771</v>
      </c>
      <c r="E16" s="1" t="s">
        <v>133</v>
      </c>
      <c r="F16" s="1" t="s">
        <v>168</v>
      </c>
      <c r="G16" s="1" t="s">
        <v>1767</v>
      </c>
      <c r="H16" s="8" t="s">
        <v>99</v>
      </c>
      <c r="I16" s="8" t="s">
        <v>111</v>
      </c>
      <c r="J16" s="10" t="n">
        <v>46229</v>
      </c>
      <c r="K16" s="1" t="s">
        <v>1772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1773</v>
      </c>
      <c r="B17" s="1" t="s">
        <v>1774</v>
      </c>
      <c r="C17" s="1" t="s">
        <v>1775</v>
      </c>
      <c r="D17" s="1" t="s">
        <v>1776</v>
      </c>
      <c r="E17" s="1" t="s">
        <v>133</v>
      </c>
      <c r="F17" s="1" t="s">
        <v>158</v>
      </c>
      <c r="G17" s="1" t="s">
        <v>1777</v>
      </c>
      <c r="H17" s="8" t="s">
        <v>97</v>
      </c>
      <c r="I17" s="8" t="s">
        <v>112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1778</v>
      </c>
      <c r="B18" s="1" t="s">
        <v>1588</v>
      </c>
      <c r="C18" s="1" t="s">
        <v>1779</v>
      </c>
      <c r="D18" s="1" t="s">
        <v>1780</v>
      </c>
      <c r="E18" s="1" t="s">
        <v>133</v>
      </c>
      <c r="F18" s="1" t="s">
        <v>158</v>
      </c>
      <c r="G18" s="1" t="s">
        <v>1777</v>
      </c>
      <c r="H18" s="8" t="s">
        <v>97</v>
      </c>
      <c r="I18" s="8" t="s">
        <v>112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1781</v>
      </c>
      <c r="B19" s="1" t="s">
        <v>1782</v>
      </c>
      <c r="C19" s="1" t="s">
        <v>1775</v>
      </c>
      <c r="D19" s="1" t="s">
        <v>1783</v>
      </c>
      <c r="E19" s="1" t="s">
        <v>133</v>
      </c>
      <c r="F19" s="1" t="s">
        <v>158</v>
      </c>
      <c r="G19" s="1" t="s">
        <v>1764</v>
      </c>
      <c r="H19" s="8" t="s">
        <v>97</v>
      </c>
      <c r="I19" s="8" t="s">
        <v>112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1784</v>
      </c>
      <c r="B20" s="1" t="s">
        <v>1785</v>
      </c>
      <c r="C20" s="1" t="s">
        <v>1085</v>
      </c>
      <c r="D20" s="1" t="s">
        <v>1786</v>
      </c>
      <c r="E20" s="1" t="s">
        <v>133</v>
      </c>
      <c r="F20" s="1" t="s">
        <v>153</v>
      </c>
      <c r="G20" s="1" t="s">
        <v>1787</v>
      </c>
      <c r="H20" s="8" t="s">
        <v>97</v>
      </c>
      <c r="I20" s="8" t="s">
        <v>112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1788</v>
      </c>
      <c r="B21" s="1" t="s">
        <v>1789</v>
      </c>
      <c r="C21" s="1" t="s">
        <v>1789</v>
      </c>
      <c r="D21" s="1" t="s">
        <v>1790</v>
      </c>
      <c r="E21" s="1" t="s">
        <v>133</v>
      </c>
      <c r="F21" s="1" t="s">
        <v>168</v>
      </c>
      <c r="G21" s="1" t="s">
        <v>1767</v>
      </c>
      <c r="H21" s="8" t="s">
        <v>99</v>
      </c>
      <c r="I21" s="8" t="s">
        <v>111</v>
      </c>
      <c r="J21" s="10" t="n">
        <v>46229</v>
      </c>
      <c r="K21" s="1" t="s">
        <v>1791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1792</v>
      </c>
      <c r="B22" s="1" t="s">
        <v>181</v>
      </c>
      <c r="C22" s="1" t="s">
        <v>1762</v>
      </c>
      <c r="D22" s="1" t="s">
        <v>1793</v>
      </c>
      <c r="E22" s="1" t="s">
        <v>133</v>
      </c>
      <c r="F22" s="1" t="s">
        <v>158</v>
      </c>
      <c r="G22" s="1" t="s">
        <v>1787</v>
      </c>
      <c r="H22" s="8" t="s">
        <v>97</v>
      </c>
      <c r="I22" s="8" t="s">
        <v>112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1794</v>
      </c>
      <c r="B23" s="1" t="s">
        <v>172</v>
      </c>
      <c r="C23" s="1" t="s">
        <v>1721</v>
      </c>
      <c r="D23" s="1" t="s">
        <v>1795</v>
      </c>
      <c r="E23" s="1" t="s">
        <v>133</v>
      </c>
      <c r="F23" s="1" t="s">
        <v>158</v>
      </c>
      <c r="G23" s="1" t="s">
        <v>1777</v>
      </c>
      <c r="H23" s="8" t="s">
        <v>97</v>
      </c>
      <c r="I23" s="8" t="s">
        <v>112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1796</v>
      </c>
      <c r="B24" s="1" t="s">
        <v>1228</v>
      </c>
      <c r="C24" s="1" t="s">
        <v>1721</v>
      </c>
      <c r="D24" s="1" t="s">
        <v>1797</v>
      </c>
      <c r="E24" s="1" t="s">
        <v>133</v>
      </c>
      <c r="F24" s="1" t="s">
        <v>158</v>
      </c>
      <c r="G24" s="1" t="s">
        <v>1764</v>
      </c>
      <c r="H24" s="8" t="s">
        <v>97</v>
      </c>
      <c r="I24" s="8" t="s">
        <v>112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1798</v>
      </c>
      <c r="B25" s="1" t="s">
        <v>161</v>
      </c>
      <c r="C25" s="1" t="s">
        <v>1183</v>
      </c>
      <c r="D25" s="1" t="s">
        <v>1799</v>
      </c>
      <c r="E25" s="1" t="s">
        <v>133</v>
      </c>
      <c r="F25" s="1" t="s">
        <v>163</v>
      </c>
      <c r="G25" s="1" t="s">
        <v>1764</v>
      </c>
      <c r="H25" s="8" t="s">
        <v>97</v>
      </c>
      <c r="I25" s="8" t="s">
        <v>112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1800</v>
      </c>
      <c r="B26" s="1" t="s">
        <v>166</v>
      </c>
      <c r="C26" s="1" t="s">
        <v>59</v>
      </c>
      <c r="D26" s="1" t="s">
        <v>1801</v>
      </c>
      <c r="E26" s="1" t="s">
        <v>133</v>
      </c>
      <c r="F26" s="1" t="s">
        <v>168</v>
      </c>
      <c r="G26" s="1" t="s">
        <v>1767</v>
      </c>
      <c r="H26" s="8" t="s">
        <v>99</v>
      </c>
      <c r="I26" s="8" t="s">
        <v>111</v>
      </c>
      <c r="J26" s="10" t="n">
        <v>46229</v>
      </c>
      <c r="K26" s="1" t="s">
        <v>1802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1803</v>
      </c>
      <c r="B27" s="1" t="s">
        <v>186</v>
      </c>
      <c r="C27" s="1" t="s">
        <v>59</v>
      </c>
      <c r="D27" s="1" t="s">
        <v>1804</v>
      </c>
      <c r="E27" s="1" t="s">
        <v>133</v>
      </c>
      <c r="F27" s="1" t="s">
        <v>174</v>
      </c>
      <c r="G27" s="1" t="s">
        <v>1805</v>
      </c>
      <c r="H27" s="8" t="s">
        <v>91</v>
      </c>
      <c r="I27" s="8" t="s">
        <v>111</v>
      </c>
      <c r="J27" s="10" t="n">
        <v>46229</v>
      </c>
      <c r="K27" s="1" t="s">
        <v>1806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1807</v>
      </c>
      <c r="B28" s="1" t="s">
        <v>190</v>
      </c>
      <c r="C28" s="1" t="s">
        <v>59</v>
      </c>
      <c r="D28" s="1" t="s">
        <v>1808</v>
      </c>
      <c r="E28" s="1" t="s">
        <v>133</v>
      </c>
      <c r="F28" s="1" t="s">
        <v>192</v>
      </c>
      <c r="G28" s="1" t="s">
        <v>1809</v>
      </c>
      <c r="H28" s="8" t="s">
        <v>97</v>
      </c>
      <c r="I28" s="8" t="s">
        <v>112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1810</v>
      </c>
      <c r="B29" s="1" t="s">
        <v>621</v>
      </c>
      <c r="C29" s="1" t="s">
        <v>59</v>
      </c>
      <c r="D29" s="1" t="s">
        <v>1811</v>
      </c>
      <c r="E29" s="1" t="s">
        <v>133</v>
      </c>
      <c r="F29" s="1" t="s">
        <v>623</v>
      </c>
      <c r="G29" s="1" t="s">
        <v>1812</v>
      </c>
      <c r="H29" s="8" t="s">
        <v>97</v>
      </c>
      <c r="I29" s="8" t="s">
        <v>112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1813</v>
      </c>
      <c r="B30" s="1" t="s">
        <v>199</v>
      </c>
      <c r="C30" s="1" t="s">
        <v>59</v>
      </c>
      <c r="D30" s="1" t="s">
        <v>1814</v>
      </c>
      <c r="E30" s="1" t="s">
        <v>201</v>
      </c>
      <c r="F30" s="1" t="s">
        <v>201</v>
      </c>
      <c r="G30" s="1" t="s">
        <v>202</v>
      </c>
      <c r="H30" s="8" t="s">
        <v>97</v>
      </c>
      <c r="I30" s="8" t="s">
        <v>112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1815</v>
      </c>
      <c r="B31" s="1" t="s">
        <v>204</v>
      </c>
      <c r="C31" s="1" t="s">
        <v>59</v>
      </c>
      <c r="D31" s="1" t="s">
        <v>1816</v>
      </c>
      <c r="E31" s="1" t="s">
        <v>133</v>
      </c>
      <c r="F31" s="1" t="s">
        <v>133</v>
      </c>
      <c r="G31" s="1" t="s">
        <v>206</v>
      </c>
      <c r="H31" s="8" t="s">
        <v>97</v>
      </c>
      <c r="I31" s="8" t="s">
        <v>112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115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1819</v>
      </c>
      <c r="B9" s="12" t="s">
        <v>89</v>
      </c>
      <c r="C9" s="12" t="s">
        <v>60</v>
      </c>
      <c r="D9" s="13" t="s">
        <v>1820</v>
      </c>
      <c r="E9" s="12" t="s">
        <v>133</v>
      </c>
      <c r="F9" s="12" t="s">
        <v>134</v>
      </c>
      <c r="G9" s="13" t="s">
        <v>1821</v>
      </c>
      <c r="H9" s="12" t="s">
        <v>97</v>
      </c>
      <c r="I9" s="12" t="s">
        <v>112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1822</v>
      </c>
      <c r="B10" s="12" t="s">
        <v>1342</v>
      </c>
      <c r="C10" s="12" t="s">
        <v>60</v>
      </c>
      <c r="D10" s="13" t="s">
        <v>1823</v>
      </c>
      <c r="E10" s="12" t="s">
        <v>133</v>
      </c>
      <c r="F10" s="12" t="s">
        <v>153</v>
      </c>
      <c r="G10" s="13" t="s">
        <v>1824</v>
      </c>
      <c r="H10" s="12" t="s">
        <v>97</v>
      </c>
      <c r="I10" s="12" t="s">
        <v>112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1825</v>
      </c>
      <c r="B11" s="12" t="s">
        <v>137</v>
      </c>
      <c r="C11" s="12" t="s">
        <v>60</v>
      </c>
      <c r="D11" s="13" t="s">
        <v>1826</v>
      </c>
      <c r="E11" s="12" t="s">
        <v>133</v>
      </c>
      <c r="F11" s="12" t="s">
        <v>133</v>
      </c>
      <c r="G11" s="13" t="s">
        <v>139</v>
      </c>
      <c r="H11" s="12" t="s">
        <v>97</v>
      </c>
      <c r="I11" s="12" t="s">
        <v>112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1827</v>
      </c>
      <c r="B12" s="12" t="s">
        <v>141</v>
      </c>
      <c r="C12" s="12" t="s">
        <v>60</v>
      </c>
      <c r="D12" s="13" t="s">
        <v>1828</v>
      </c>
      <c r="E12" s="12" t="s">
        <v>133</v>
      </c>
      <c r="F12" s="12" t="s">
        <v>143</v>
      </c>
      <c r="G12" s="13" t="s">
        <v>1829</v>
      </c>
      <c r="H12" s="12" t="s">
        <v>97</v>
      </c>
      <c r="I12" s="12" t="s">
        <v>112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1830</v>
      </c>
      <c r="B13" s="12" t="s">
        <v>146</v>
      </c>
      <c r="C13" s="12" t="s">
        <v>60</v>
      </c>
      <c r="D13" s="13" t="s">
        <v>1831</v>
      </c>
      <c r="E13" s="12" t="s">
        <v>133</v>
      </c>
      <c r="F13" s="12" t="s">
        <v>148</v>
      </c>
      <c r="G13" s="13" t="s">
        <v>1832</v>
      </c>
      <c r="H13" s="12" t="s">
        <v>97</v>
      </c>
      <c r="I13" s="12" t="s">
        <v>112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1833</v>
      </c>
      <c r="B14" s="12" t="s">
        <v>1575</v>
      </c>
      <c r="C14" s="12" t="s">
        <v>60</v>
      </c>
      <c r="D14" s="13" t="s">
        <v>1834</v>
      </c>
      <c r="E14" s="12" t="s">
        <v>133</v>
      </c>
      <c r="F14" s="12" t="s">
        <v>158</v>
      </c>
      <c r="G14" s="13" t="s">
        <v>1835</v>
      </c>
      <c r="H14" s="12" t="s">
        <v>97</v>
      </c>
      <c r="I14" s="12" t="s">
        <v>112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1836</v>
      </c>
      <c r="B15" s="12" t="s">
        <v>1692</v>
      </c>
      <c r="C15" s="12" t="s">
        <v>60</v>
      </c>
      <c r="D15" s="13" t="s">
        <v>1837</v>
      </c>
      <c r="E15" s="12" t="s">
        <v>133</v>
      </c>
      <c r="F15" s="12" t="s">
        <v>168</v>
      </c>
      <c r="G15" s="13" t="s">
        <v>1838</v>
      </c>
      <c r="H15" s="12" t="s">
        <v>99</v>
      </c>
      <c r="I15" s="12" t="s">
        <v>111</v>
      </c>
      <c r="J15" s="14" t="n">
        <v>46229</v>
      </c>
      <c r="K15" s="13" t="s">
        <v>1768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1839</v>
      </c>
      <c r="B16" s="12" t="s">
        <v>1840</v>
      </c>
      <c r="C16" s="12" t="s">
        <v>60</v>
      </c>
      <c r="D16" s="13" t="s">
        <v>1841</v>
      </c>
      <c r="E16" s="12" t="s">
        <v>133</v>
      </c>
      <c r="F16" s="12" t="s">
        <v>168</v>
      </c>
      <c r="G16" s="13" t="s">
        <v>1838</v>
      </c>
      <c r="H16" s="12" t="s">
        <v>99</v>
      </c>
      <c r="I16" s="12" t="s">
        <v>111</v>
      </c>
      <c r="J16" s="14" t="n">
        <v>46229</v>
      </c>
      <c r="K16" s="13" t="s">
        <v>1842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1843</v>
      </c>
      <c r="B17" s="12" t="s">
        <v>1844</v>
      </c>
      <c r="C17" s="12" t="s">
        <v>60</v>
      </c>
      <c r="D17" s="13" t="s">
        <v>1845</v>
      </c>
      <c r="E17" s="12" t="s">
        <v>133</v>
      </c>
      <c r="F17" s="12" t="s">
        <v>158</v>
      </c>
      <c r="G17" s="13" t="s">
        <v>1846</v>
      </c>
      <c r="H17" s="12" t="s">
        <v>97</v>
      </c>
      <c r="I17" s="12" t="s">
        <v>112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1847</v>
      </c>
      <c r="B18" s="12" t="s">
        <v>1848</v>
      </c>
      <c r="C18" s="12" t="s">
        <v>60</v>
      </c>
      <c r="D18" s="13" t="s">
        <v>1849</v>
      </c>
      <c r="E18" s="12" t="s">
        <v>133</v>
      </c>
      <c r="F18" s="12" t="s">
        <v>158</v>
      </c>
      <c r="G18" s="13" t="s">
        <v>1835</v>
      </c>
      <c r="H18" s="12" t="s">
        <v>97</v>
      </c>
      <c r="I18" s="12" t="s">
        <v>112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1850</v>
      </c>
      <c r="B19" s="12" t="s">
        <v>1851</v>
      </c>
      <c r="C19" s="12" t="s">
        <v>60</v>
      </c>
      <c r="D19" s="13" t="s">
        <v>1852</v>
      </c>
      <c r="E19" s="12" t="s">
        <v>133</v>
      </c>
      <c r="F19" s="12" t="s">
        <v>158</v>
      </c>
      <c r="G19" s="13" t="s">
        <v>1853</v>
      </c>
      <c r="H19" s="12" t="s">
        <v>97</v>
      </c>
      <c r="I19" s="12" t="s">
        <v>112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1854</v>
      </c>
      <c r="B20" s="12" t="s">
        <v>181</v>
      </c>
      <c r="C20" s="12" t="s">
        <v>60</v>
      </c>
      <c r="D20" s="13" t="s">
        <v>1855</v>
      </c>
      <c r="E20" s="12" t="s">
        <v>133</v>
      </c>
      <c r="F20" s="12" t="s">
        <v>168</v>
      </c>
      <c r="G20" s="13" t="s">
        <v>1838</v>
      </c>
      <c r="H20" s="12" t="s">
        <v>99</v>
      </c>
      <c r="I20" s="12" t="s">
        <v>111</v>
      </c>
      <c r="J20" s="14" t="n">
        <v>46229</v>
      </c>
      <c r="K20" s="13" t="s">
        <v>1856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1857</v>
      </c>
      <c r="B21" s="12" t="s">
        <v>161</v>
      </c>
      <c r="C21" s="12" t="s">
        <v>60</v>
      </c>
      <c r="D21" s="13" t="s">
        <v>1858</v>
      </c>
      <c r="E21" s="12" t="s">
        <v>133</v>
      </c>
      <c r="F21" s="12" t="s">
        <v>163</v>
      </c>
      <c r="G21" s="13" t="s">
        <v>1835</v>
      </c>
      <c r="H21" s="12" t="s">
        <v>97</v>
      </c>
      <c r="I21" s="12" t="s">
        <v>112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1859</v>
      </c>
      <c r="B22" s="12" t="s">
        <v>172</v>
      </c>
      <c r="C22" s="12" t="s">
        <v>60</v>
      </c>
      <c r="D22" s="13" t="s">
        <v>1860</v>
      </c>
      <c r="E22" s="12" t="s">
        <v>133</v>
      </c>
      <c r="F22" s="12" t="s">
        <v>158</v>
      </c>
      <c r="G22" s="13" t="s">
        <v>1846</v>
      </c>
      <c r="H22" s="12" t="s">
        <v>97</v>
      </c>
      <c r="I22" s="12" t="s">
        <v>112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1861</v>
      </c>
      <c r="B23" s="12" t="s">
        <v>1862</v>
      </c>
      <c r="C23" s="12" t="s">
        <v>60</v>
      </c>
      <c r="D23" s="13" t="s">
        <v>1863</v>
      </c>
      <c r="E23" s="12" t="s">
        <v>133</v>
      </c>
      <c r="F23" s="12" t="s">
        <v>168</v>
      </c>
      <c r="G23" s="13" t="s">
        <v>1838</v>
      </c>
      <c r="H23" s="12" t="s">
        <v>99</v>
      </c>
      <c r="I23" s="12" t="s">
        <v>111</v>
      </c>
      <c r="J23" s="14" t="n">
        <v>46229</v>
      </c>
      <c r="K23" s="13" t="s">
        <v>1864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1865</v>
      </c>
      <c r="B24" s="12" t="s">
        <v>166</v>
      </c>
      <c r="C24" s="12" t="s">
        <v>60</v>
      </c>
      <c r="D24" s="13" t="s">
        <v>1866</v>
      </c>
      <c r="E24" s="12" t="s">
        <v>133</v>
      </c>
      <c r="F24" s="12" t="s">
        <v>168</v>
      </c>
      <c r="G24" s="13" t="s">
        <v>1838</v>
      </c>
      <c r="H24" s="12" t="s">
        <v>99</v>
      </c>
      <c r="I24" s="12" t="s">
        <v>111</v>
      </c>
      <c r="J24" s="14" t="n">
        <v>46229</v>
      </c>
      <c r="K24" s="13" t="s">
        <v>1867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1868</v>
      </c>
      <c r="B25" s="12" t="s">
        <v>186</v>
      </c>
      <c r="C25" s="12" t="s">
        <v>60</v>
      </c>
      <c r="D25" s="13" t="s">
        <v>1869</v>
      </c>
      <c r="E25" s="12" t="s">
        <v>133</v>
      </c>
      <c r="F25" s="12" t="s">
        <v>174</v>
      </c>
      <c r="G25" s="13" t="s">
        <v>1870</v>
      </c>
      <c r="H25" s="12" t="s">
        <v>91</v>
      </c>
      <c r="I25" s="12" t="s">
        <v>111</v>
      </c>
      <c r="J25" s="14" t="n">
        <v>46229</v>
      </c>
      <c r="K25" s="13" t="s">
        <v>1806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1871</v>
      </c>
      <c r="B26" s="12" t="s">
        <v>190</v>
      </c>
      <c r="C26" s="12" t="s">
        <v>60</v>
      </c>
      <c r="D26" s="13" t="s">
        <v>1872</v>
      </c>
      <c r="E26" s="12" t="s">
        <v>133</v>
      </c>
      <c r="F26" s="12" t="s">
        <v>192</v>
      </c>
      <c r="G26" s="13" t="s">
        <v>1873</v>
      </c>
      <c r="H26" s="12" t="s">
        <v>97</v>
      </c>
      <c r="I26" s="12" t="s">
        <v>112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1874</v>
      </c>
      <c r="B27" s="12" t="s">
        <v>195</v>
      </c>
      <c r="C27" s="12" t="s">
        <v>60</v>
      </c>
      <c r="D27" s="13" t="s">
        <v>1875</v>
      </c>
      <c r="E27" s="12" t="s">
        <v>133</v>
      </c>
      <c r="F27" s="12" t="s">
        <v>192</v>
      </c>
      <c r="G27" s="13" t="s">
        <v>1876</v>
      </c>
      <c r="H27" s="12" t="s">
        <v>97</v>
      </c>
      <c r="I27" s="12" t="s">
        <v>112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1877</v>
      </c>
      <c r="B28" s="12" t="s">
        <v>621</v>
      </c>
      <c r="C28" s="12" t="s">
        <v>60</v>
      </c>
      <c r="D28" s="13" t="s">
        <v>1878</v>
      </c>
      <c r="E28" s="12" t="s">
        <v>133</v>
      </c>
      <c r="F28" s="12" t="s">
        <v>623</v>
      </c>
      <c r="G28" s="13" t="s">
        <v>1879</v>
      </c>
      <c r="H28" s="12" t="s">
        <v>97</v>
      </c>
      <c r="I28" s="12" t="s">
        <v>112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1880</v>
      </c>
      <c r="B29" s="12" t="s">
        <v>199</v>
      </c>
      <c r="C29" s="12" t="s">
        <v>60</v>
      </c>
      <c r="D29" s="13" t="s">
        <v>1881</v>
      </c>
      <c r="E29" s="12" t="s">
        <v>201</v>
      </c>
      <c r="F29" s="12" t="s">
        <v>201</v>
      </c>
      <c r="G29" s="13" t="s">
        <v>202</v>
      </c>
      <c r="H29" s="12" t="s">
        <v>97</v>
      </c>
      <c r="I29" s="12" t="s">
        <v>112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1882</v>
      </c>
      <c r="B30" s="12" t="s">
        <v>204</v>
      </c>
      <c r="C30" s="12" t="s">
        <v>60</v>
      </c>
      <c r="D30" s="13" t="s">
        <v>1883</v>
      </c>
      <c r="E30" s="12" t="s">
        <v>133</v>
      </c>
      <c r="F30" s="12" t="s">
        <v>133</v>
      </c>
      <c r="G30" s="13" t="s">
        <v>206</v>
      </c>
      <c r="H30" s="12" t="s">
        <v>97</v>
      </c>
      <c r="I30" s="12" t="s">
        <v>112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1884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115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42" hidden="false" customHeight="true" outlineLevel="0" collapsed="false">
      <c r="A9" s="1" t="s">
        <v>1885</v>
      </c>
      <c r="B9" s="1" t="s">
        <v>89</v>
      </c>
      <c r="C9" s="1" t="s">
        <v>1183</v>
      </c>
      <c r="D9" s="1" t="s">
        <v>1886</v>
      </c>
      <c r="E9" s="1" t="s">
        <v>133</v>
      </c>
      <c r="F9" s="1" t="s">
        <v>134</v>
      </c>
      <c r="G9" s="1" t="s">
        <v>1887</v>
      </c>
      <c r="H9" s="1" t="s">
        <v>97</v>
      </c>
      <c r="I9" s="1" t="s">
        <v>112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1888</v>
      </c>
      <c r="B10" s="1" t="s">
        <v>1342</v>
      </c>
      <c r="C10" s="1" t="s">
        <v>1183</v>
      </c>
      <c r="D10" s="1" t="s">
        <v>1889</v>
      </c>
      <c r="E10" s="1" t="s">
        <v>133</v>
      </c>
      <c r="F10" s="1" t="s">
        <v>153</v>
      </c>
      <c r="G10" s="1" t="s">
        <v>1890</v>
      </c>
      <c r="H10" s="1" t="s">
        <v>97</v>
      </c>
      <c r="I10" s="1" t="s">
        <v>112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1891</v>
      </c>
      <c r="B11" s="1" t="s">
        <v>137</v>
      </c>
      <c r="C11" s="1" t="s">
        <v>1892</v>
      </c>
      <c r="D11" s="1" t="s">
        <v>1893</v>
      </c>
      <c r="E11" s="1" t="s">
        <v>133</v>
      </c>
      <c r="F11" s="1" t="s">
        <v>133</v>
      </c>
      <c r="G11" s="1" t="s">
        <v>1894</v>
      </c>
      <c r="H11" s="1" t="s">
        <v>97</v>
      </c>
      <c r="I11" s="1" t="s">
        <v>112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1895</v>
      </c>
      <c r="B12" s="1" t="s">
        <v>141</v>
      </c>
      <c r="C12" s="1" t="s">
        <v>1183</v>
      </c>
      <c r="D12" s="1" t="s">
        <v>1896</v>
      </c>
      <c r="E12" s="1" t="s">
        <v>133</v>
      </c>
      <c r="F12" s="1" t="s">
        <v>143</v>
      </c>
      <c r="G12" s="1" t="s">
        <v>1897</v>
      </c>
      <c r="H12" s="1" t="s">
        <v>97</v>
      </c>
      <c r="I12" s="1" t="s">
        <v>112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1898</v>
      </c>
      <c r="B13" s="1" t="s">
        <v>146</v>
      </c>
      <c r="C13" s="1" t="s">
        <v>1183</v>
      </c>
      <c r="D13" s="1" t="s">
        <v>1899</v>
      </c>
      <c r="E13" s="1" t="s">
        <v>133</v>
      </c>
      <c r="F13" s="1" t="s">
        <v>148</v>
      </c>
      <c r="G13" s="1" t="s">
        <v>1900</v>
      </c>
      <c r="H13" s="1" t="s">
        <v>97</v>
      </c>
      <c r="I13" s="1" t="s">
        <v>112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1901</v>
      </c>
      <c r="B14" s="1" t="s">
        <v>1575</v>
      </c>
      <c r="C14" s="1" t="s">
        <v>1902</v>
      </c>
      <c r="D14" s="1" t="s">
        <v>1903</v>
      </c>
      <c r="E14" s="1" t="s">
        <v>133</v>
      </c>
      <c r="F14" s="1" t="s">
        <v>158</v>
      </c>
      <c r="G14" s="1" t="s">
        <v>1904</v>
      </c>
      <c r="H14" s="1" t="s">
        <v>97</v>
      </c>
      <c r="I14" s="1" t="s">
        <v>112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1905</v>
      </c>
      <c r="B15" s="1" t="s">
        <v>1697</v>
      </c>
      <c r="C15" s="1" t="s">
        <v>1906</v>
      </c>
      <c r="D15" s="1" t="s">
        <v>1907</v>
      </c>
      <c r="E15" s="1" t="s">
        <v>133</v>
      </c>
      <c r="F15" s="1" t="s">
        <v>168</v>
      </c>
      <c r="G15" s="1" t="s">
        <v>1908</v>
      </c>
      <c r="H15" s="1" t="s">
        <v>99</v>
      </c>
      <c r="I15" s="1" t="s">
        <v>111</v>
      </c>
      <c r="J15" s="10" t="n">
        <v>46230</v>
      </c>
      <c r="K15" s="1" t="s">
        <v>1909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1910</v>
      </c>
      <c r="B16" s="1" t="s">
        <v>1342</v>
      </c>
      <c r="C16" s="1" t="s">
        <v>1911</v>
      </c>
      <c r="D16" s="1" t="s">
        <v>1912</v>
      </c>
      <c r="E16" s="1" t="s">
        <v>133</v>
      </c>
      <c r="F16" s="1" t="s">
        <v>168</v>
      </c>
      <c r="G16" s="1" t="s">
        <v>1908</v>
      </c>
      <c r="H16" s="1" t="s">
        <v>99</v>
      </c>
      <c r="I16" s="1" t="s">
        <v>111</v>
      </c>
      <c r="J16" s="10" t="n">
        <v>46230</v>
      </c>
      <c r="K16" s="1" t="s">
        <v>1913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1914</v>
      </c>
      <c r="B17" s="1" t="s">
        <v>1915</v>
      </c>
      <c r="C17" s="1" t="s">
        <v>1916</v>
      </c>
      <c r="D17" s="1" t="s">
        <v>1917</v>
      </c>
      <c r="E17" s="1" t="s">
        <v>133</v>
      </c>
      <c r="F17" s="1" t="s">
        <v>158</v>
      </c>
      <c r="G17" s="1" t="s">
        <v>1904</v>
      </c>
      <c r="H17" s="1" t="s">
        <v>97</v>
      </c>
      <c r="I17" s="1" t="s">
        <v>112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1918</v>
      </c>
      <c r="B18" s="1" t="s">
        <v>1588</v>
      </c>
      <c r="C18" s="1" t="s">
        <v>1919</v>
      </c>
      <c r="D18" s="1" t="s">
        <v>1920</v>
      </c>
      <c r="E18" s="1" t="s">
        <v>133</v>
      </c>
      <c r="F18" s="1" t="s">
        <v>158</v>
      </c>
      <c r="G18" s="1" t="s">
        <v>1921</v>
      </c>
      <c r="H18" s="1" t="s">
        <v>97</v>
      </c>
      <c r="I18" s="1" t="s">
        <v>112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1922</v>
      </c>
      <c r="B19" s="1" t="s">
        <v>1923</v>
      </c>
      <c r="C19" s="1" t="s">
        <v>1924</v>
      </c>
      <c r="D19" s="1" t="s">
        <v>1925</v>
      </c>
      <c r="E19" s="1" t="s">
        <v>133</v>
      </c>
      <c r="F19" s="1" t="s">
        <v>158</v>
      </c>
      <c r="G19" s="1" t="s">
        <v>1904</v>
      </c>
      <c r="H19" s="1" t="s">
        <v>97</v>
      </c>
      <c r="I19" s="1" t="s">
        <v>112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1926</v>
      </c>
      <c r="B20" s="1" t="s">
        <v>1582</v>
      </c>
      <c r="C20" s="1" t="s">
        <v>1416</v>
      </c>
      <c r="D20" s="1" t="s">
        <v>1927</v>
      </c>
      <c r="E20" s="1" t="s">
        <v>133</v>
      </c>
      <c r="F20" s="1" t="s">
        <v>158</v>
      </c>
      <c r="G20" s="1" t="s">
        <v>1904</v>
      </c>
      <c r="H20" s="1" t="s">
        <v>97</v>
      </c>
      <c r="I20" s="1" t="s">
        <v>112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1928</v>
      </c>
      <c r="B21" s="1" t="s">
        <v>181</v>
      </c>
      <c r="C21" s="1" t="s">
        <v>1929</v>
      </c>
      <c r="D21" s="1" t="s">
        <v>1930</v>
      </c>
      <c r="E21" s="1" t="s">
        <v>133</v>
      </c>
      <c r="F21" s="1" t="s">
        <v>158</v>
      </c>
      <c r="G21" s="1" t="s">
        <v>1931</v>
      </c>
      <c r="H21" s="1" t="s">
        <v>97</v>
      </c>
      <c r="I21" s="1" t="s">
        <v>112</v>
      </c>
      <c r="J21" s="10" t="n">
        <v>46230</v>
      </c>
      <c r="K21" s="1" t="s">
        <v>1791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1932</v>
      </c>
      <c r="B22" s="1" t="s">
        <v>172</v>
      </c>
      <c r="C22" s="1" t="s">
        <v>1906</v>
      </c>
      <c r="D22" s="1" t="s">
        <v>1933</v>
      </c>
      <c r="E22" s="1" t="s">
        <v>133</v>
      </c>
      <c r="F22" s="1" t="s">
        <v>158</v>
      </c>
      <c r="G22" s="1" t="s">
        <v>1921</v>
      </c>
      <c r="H22" s="1" t="s">
        <v>97</v>
      </c>
      <c r="I22" s="1" t="s">
        <v>112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1934</v>
      </c>
      <c r="B23" s="1" t="s">
        <v>1228</v>
      </c>
      <c r="C23" s="1" t="s">
        <v>1906</v>
      </c>
      <c r="D23" s="1" t="s">
        <v>1935</v>
      </c>
      <c r="E23" s="1" t="s">
        <v>133</v>
      </c>
      <c r="F23" s="1" t="s">
        <v>158</v>
      </c>
      <c r="G23" s="1" t="s">
        <v>1904</v>
      </c>
      <c r="H23" s="1" t="s">
        <v>97</v>
      </c>
      <c r="I23" s="1" t="s">
        <v>112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1936</v>
      </c>
      <c r="B24" s="1" t="s">
        <v>161</v>
      </c>
      <c r="C24" s="1" t="s">
        <v>1183</v>
      </c>
      <c r="D24" s="1" t="s">
        <v>1937</v>
      </c>
      <c r="E24" s="1" t="s">
        <v>133</v>
      </c>
      <c r="F24" s="1" t="s">
        <v>163</v>
      </c>
      <c r="G24" s="1" t="s">
        <v>1904</v>
      </c>
      <c r="H24" s="1" t="s">
        <v>97</v>
      </c>
      <c r="I24" s="1" t="s">
        <v>112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1938</v>
      </c>
      <c r="B25" s="1" t="s">
        <v>166</v>
      </c>
      <c r="C25" s="1" t="s">
        <v>1892</v>
      </c>
      <c r="D25" s="1" t="s">
        <v>1939</v>
      </c>
      <c r="E25" s="1" t="s">
        <v>133</v>
      </c>
      <c r="F25" s="1" t="s">
        <v>168</v>
      </c>
      <c r="G25" s="1" t="s">
        <v>1908</v>
      </c>
      <c r="H25" s="1" t="s">
        <v>99</v>
      </c>
      <c r="I25" s="1" t="s">
        <v>111</v>
      </c>
      <c r="J25" s="10" t="n">
        <v>46230</v>
      </c>
      <c r="K25" s="1" t="s">
        <v>1940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1941</v>
      </c>
      <c r="B26" s="1" t="s">
        <v>1582</v>
      </c>
      <c r="C26" s="1" t="s">
        <v>1942</v>
      </c>
      <c r="D26" s="1" t="s">
        <v>1943</v>
      </c>
      <c r="E26" s="1" t="s">
        <v>133</v>
      </c>
      <c r="F26" s="1" t="s">
        <v>158</v>
      </c>
      <c r="G26" s="1" t="s">
        <v>1904</v>
      </c>
      <c r="H26" s="1" t="s">
        <v>97</v>
      </c>
      <c r="I26" s="1" t="s">
        <v>112</v>
      </c>
      <c r="J26" s="10" t="n">
        <v>46230</v>
      </c>
      <c r="K26" s="1" t="s">
        <v>1802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1944</v>
      </c>
      <c r="B27" s="1" t="s">
        <v>186</v>
      </c>
      <c r="C27" s="1" t="s">
        <v>61</v>
      </c>
      <c r="D27" s="1" t="s">
        <v>1945</v>
      </c>
      <c r="E27" s="1" t="s">
        <v>133</v>
      </c>
      <c r="F27" s="1" t="s">
        <v>174</v>
      </c>
      <c r="G27" s="1" t="s">
        <v>1946</v>
      </c>
      <c r="H27" s="1" t="s">
        <v>91</v>
      </c>
      <c r="I27" s="1" t="s">
        <v>111</v>
      </c>
      <c r="J27" s="10" t="n">
        <v>46230</v>
      </c>
      <c r="K27" s="1" t="s">
        <v>1806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1947</v>
      </c>
      <c r="B28" s="1" t="s">
        <v>190</v>
      </c>
      <c r="C28" s="1" t="s">
        <v>61</v>
      </c>
      <c r="D28" s="1" t="s">
        <v>1808</v>
      </c>
      <c r="E28" s="1" t="s">
        <v>133</v>
      </c>
      <c r="F28" s="1" t="s">
        <v>192</v>
      </c>
      <c r="G28" s="1" t="s">
        <v>1948</v>
      </c>
      <c r="H28" s="1" t="s">
        <v>97</v>
      </c>
      <c r="I28" s="1" t="s">
        <v>112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1949</v>
      </c>
      <c r="B29" s="1" t="s">
        <v>621</v>
      </c>
      <c r="C29" s="1" t="s">
        <v>61</v>
      </c>
      <c r="D29" s="1" t="s">
        <v>1950</v>
      </c>
      <c r="E29" s="1" t="s">
        <v>133</v>
      </c>
      <c r="F29" s="1" t="s">
        <v>623</v>
      </c>
      <c r="G29" s="1" t="s">
        <v>1951</v>
      </c>
      <c r="H29" s="1" t="s">
        <v>97</v>
      </c>
      <c r="I29" s="1" t="s">
        <v>112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1952</v>
      </c>
      <c r="B30" s="1" t="s">
        <v>199</v>
      </c>
      <c r="C30" s="1" t="s">
        <v>61</v>
      </c>
      <c r="D30" s="1" t="s">
        <v>1953</v>
      </c>
      <c r="E30" s="1" t="s">
        <v>201</v>
      </c>
      <c r="F30" s="1" t="s">
        <v>201</v>
      </c>
      <c r="G30" s="1" t="s">
        <v>202</v>
      </c>
      <c r="H30" s="1" t="s">
        <v>97</v>
      </c>
      <c r="I30" s="1" t="s">
        <v>112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1954</v>
      </c>
      <c r="B31" s="1" t="s">
        <v>204</v>
      </c>
      <c r="C31" s="1" t="s">
        <v>61</v>
      </c>
      <c r="D31" s="1" t="s">
        <v>1816</v>
      </c>
      <c r="E31" s="1" t="s">
        <v>133</v>
      </c>
      <c r="F31" s="1" t="s">
        <v>133</v>
      </c>
      <c r="G31" s="1" t="s">
        <v>206</v>
      </c>
      <c r="H31" s="1" t="s">
        <v>97</v>
      </c>
      <c r="I31" s="1" t="s">
        <v>112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115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42" hidden="false" customHeight="true" outlineLevel="0" collapsed="false">
      <c r="A9" s="1" t="s">
        <v>1956</v>
      </c>
      <c r="B9" s="1" t="s">
        <v>89</v>
      </c>
      <c r="C9" s="1" t="s">
        <v>1183</v>
      </c>
      <c r="D9" s="1" t="s">
        <v>1957</v>
      </c>
      <c r="E9" s="1" t="s">
        <v>133</v>
      </c>
      <c r="F9" s="1" t="s">
        <v>134</v>
      </c>
      <c r="G9" s="1" t="s">
        <v>1958</v>
      </c>
      <c r="H9" s="1" t="s">
        <v>97</v>
      </c>
      <c r="I9" s="1" t="s">
        <v>112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1959</v>
      </c>
      <c r="B10" s="1" t="s">
        <v>1342</v>
      </c>
      <c r="C10" s="1" t="s">
        <v>1183</v>
      </c>
      <c r="D10" s="1" t="s">
        <v>1960</v>
      </c>
      <c r="E10" s="1" t="s">
        <v>133</v>
      </c>
      <c r="F10" s="1" t="s">
        <v>153</v>
      </c>
      <c r="G10" s="1" t="s">
        <v>1961</v>
      </c>
      <c r="H10" s="1" t="s">
        <v>97</v>
      </c>
      <c r="I10" s="1" t="s">
        <v>112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1962</v>
      </c>
      <c r="B11" s="1" t="s">
        <v>137</v>
      </c>
      <c r="C11" s="1" t="s">
        <v>1963</v>
      </c>
      <c r="D11" s="1" t="s">
        <v>1964</v>
      </c>
      <c r="E11" s="1" t="s">
        <v>133</v>
      </c>
      <c r="F11" s="1" t="s">
        <v>133</v>
      </c>
      <c r="G11" s="1" t="s">
        <v>1894</v>
      </c>
      <c r="H11" s="1" t="s">
        <v>97</v>
      </c>
      <c r="I11" s="1" t="s">
        <v>112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1965</v>
      </c>
      <c r="B12" s="1" t="s">
        <v>141</v>
      </c>
      <c r="C12" s="1" t="s">
        <v>1183</v>
      </c>
      <c r="D12" s="1" t="s">
        <v>1966</v>
      </c>
      <c r="E12" s="1" t="s">
        <v>133</v>
      </c>
      <c r="F12" s="1" t="s">
        <v>143</v>
      </c>
      <c r="G12" s="1" t="s">
        <v>1967</v>
      </c>
      <c r="H12" s="1" t="s">
        <v>97</v>
      </c>
      <c r="I12" s="1" t="s">
        <v>112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1968</v>
      </c>
      <c r="B13" s="1" t="s">
        <v>146</v>
      </c>
      <c r="C13" s="1" t="s">
        <v>1183</v>
      </c>
      <c r="D13" s="1" t="s">
        <v>1969</v>
      </c>
      <c r="E13" s="1" t="s">
        <v>133</v>
      </c>
      <c r="F13" s="1" t="s">
        <v>148</v>
      </c>
      <c r="G13" s="1" t="s">
        <v>1970</v>
      </c>
      <c r="H13" s="1" t="s">
        <v>97</v>
      </c>
      <c r="I13" s="1" t="s">
        <v>112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1971</v>
      </c>
      <c r="B14" s="1" t="s">
        <v>1972</v>
      </c>
      <c r="C14" s="1" t="s">
        <v>1416</v>
      </c>
      <c r="D14" s="1" t="s">
        <v>1973</v>
      </c>
      <c r="E14" s="1" t="s">
        <v>133</v>
      </c>
      <c r="F14" s="1" t="s">
        <v>158</v>
      </c>
      <c r="G14" s="1" t="s">
        <v>1974</v>
      </c>
      <c r="H14" s="1" t="s">
        <v>97</v>
      </c>
      <c r="I14" s="1" t="s">
        <v>112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1975</v>
      </c>
      <c r="B15" s="1" t="s">
        <v>1697</v>
      </c>
      <c r="C15" s="1" t="s">
        <v>1906</v>
      </c>
      <c r="D15" s="1" t="s">
        <v>1976</v>
      </c>
      <c r="E15" s="1" t="s">
        <v>133</v>
      </c>
      <c r="F15" s="1" t="s">
        <v>168</v>
      </c>
      <c r="G15" s="1" t="s">
        <v>1977</v>
      </c>
      <c r="H15" s="1" t="s">
        <v>99</v>
      </c>
      <c r="I15" s="1" t="s">
        <v>111</v>
      </c>
      <c r="J15" s="10" t="n">
        <v>46230</v>
      </c>
      <c r="K15" s="1" t="s">
        <v>1978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1979</v>
      </c>
      <c r="B16" s="1" t="s">
        <v>1342</v>
      </c>
      <c r="C16" s="1" t="s">
        <v>1980</v>
      </c>
      <c r="D16" s="1" t="s">
        <v>1981</v>
      </c>
      <c r="E16" s="1" t="s">
        <v>133</v>
      </c>
      <c r="F16" s="1" t="s">
        <v>168</v>
      </c>
      <c r="G16" s="1" t="s">
        <v>1977</v>
      </c>
      <c r="H16" s="1" t="s">
        <v>99</v>
      </c>
      <c r="I16" s="1" t="s">
        <v>111</v>
      </c>
      <c r="J16" s="10" t="n">
        <v>46230</v>
      </c>
      <c r="K16" s="1" t="s">
        <v>1978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1982</v>
      </c>
      <c r="B17" s="1" t="s">
        <v>1915</v>
      </c>
      <c r="C17" s="1" t="s">
        <v>1916</v>
      </c>
      <c r="D17" s="1" t="s">
        <v>1983</v>
      </c>
      <c r="E17" s="1" t="s">
        <v>133</v>
      </c>
      <c r="F17" s="1" t="s">
        <v>158</v>
      </c>
      <c r="G17" s="1" t="s">
        <v>1974</v>
      </c>
      <c r="H17" s="1" t="s">
        <v>97</v>
      </c>
      <c r="I17" s="1" t="s">
        <v>112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1984</v>
      </c>
      <c r="B18" s="1" t="s">
        <v>1588</v>
      </c>
      <c r="C18" s="1" t="s">
        <v>1919</v>
      </c>
      <c r="D18" s="1" t="s">
        <v>1985</v>
      </c>
      <c r="E18" s="1" t="s">
        <v>133</v>
      </c>
      <c r="F18" s="1" t="s">
        <v>158</v>
      </c>
      <c r="G18" s="1" t="s">
        <v>1974</v>
      </c>
      <c r="H18" s="1" t="s">
        <v>97</v>
      </c>
      <c r="I18" s="1" t="s">
        <v>112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1986</v>
      </c>
      <c r="B19" s="1" t="s">
        <v>1923</v>
      </c>
      <c r="C19" s="1" t="s">
        <v>1924</v>
      </c>
      <c r="D19" s="1" t="s">
        <v>1987</v>
      </c>
      <c r="E19" s="1" t="s">
        <v>133</v>
      </c>
      <c r="F19" s="1" t="s">
        <v>158</v>
      </c>
      <c r="G19" s="1" t="s">
        <v>1974</v>
      </c>
      <c r="H19" s="1" t="s">
        <v>97</v>
      </c>
      <c r="I19" s="1" t="s">
        <v>112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1988</v>
      </c>
      <c r="B20" s="1" t="s">
        <v>1582</v>
      </c>
      <c r="C20" s="1" t="s">
        <v>1942</v>
      </c>
      <c r="D20" s="1" t="s">
        <v>1943</v>
      </c>
      <c r="E20" s="1" t="s">
        <v>133</v>
      </c>
      <c r="F20" s="1" t="s">
        <v>158</v>
      </c>
      <c r="G20" s="1" t="s">
        <v>1974</v>
      </c>
      <c r="H20" s="1" t="s">
        <v>97</v>
      </c>
      <c r="I20" s="1" t="s">
        <v>112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1989</v>
      </c>
      <c r="B21" s="1" t="s">
        <v>181</v>
      </c>
      <c r="C21" s="1" t="s">
        <v>1990</v>
      </c>
      <c r="D21" s="1" t="s">
        <v>1991</v>
      </c>
      <c r="E21" s="1" t="s">
        <v>133</v>
      </c>
      <c r="F21" s="1" t="s">
        <v>158</v>
      </c>
      <c r="G21" s="1" t="s">
        <v>1974</v>
      </c>
      <c r="H21" s="1" t="s">
        <v>97</v>
      </c>
      <c r="I21" s="1" t="s">
        <v>112</v>
      </c>
      <c r="J21" s="10" t="n">
        <v>46230</v>
      </c>
      <c r="K21" s="1" t="s">
        <v>1791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1992</v>
      </c>
      <c r="B22" s="1" t="s">
        <v>172</v>
      </c>
      <c r="C22" s="1" t="s">
        <v>1183</v>
      </c>
      <c r="D22" s="1" t="s">
        <v>1993</v>
      </c>
      <c r="E22" s="1" t="s">
        <v>133</v>
      </c>
      <c r="F22" s="1" t="s">
        <v>158</v>
      </c>
      <c r="G22" s="1" t="s">
        <v>1974</v>
      </c>
      <c r="H22" s="1" t="s">
        <v>97</v>
      </c>
      <c r="I22" s="1" t="s">
        <v>112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1994</v>
      </c>
      <c r="B23" s="1" t="s">
        <v>1228</v>
      </c>
      <c r="C23" s="1" t="s">
        <v>1183</v>
      </c>
      <c r="D23" s="1" t="s">
        <v>1995</v>
      </c>
      <c r="E23" s="1" t="s">
        <v>133</v>
      </c>
      <c r="F23" s="1" t="s">
        <v>158</v>
      </c>
      <c r="G23" s="1" t="s">
        <v>1974</v>
      </c>
      <c r="H23" s="1" t="s">
        <v>97</v>
      </c>
      <c r="I23" s="1" t="s">
        <v>112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1996</v>
      </c>
      <c r="B24" s="1" t="s">
        <v>161</v>
      </c>
      <c r="C24" s="1" t="s">
        <v>1183</v>
      </c>
      <c r="D24" s="1" t="s">
        <v>1997</v>
      </c>
      <c r="E24" s="1" t="s">
        <v>133</v>
      </c>
      <c r="F24" s="1" t="s">
        <v>163</v>
      </c>
      <c r="G24" s="1" t="s">
        <v>1974</v>
      </c>
      <c r="H24" s="1" t="s">
        <v>97</v>
      </c>
      <c r="I24" s="1" t="s">
        <v>112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1998</v>
      </c>
      <c r="B25" s="1" t="s">
        <v>166</v>
      </c>
      <c r="C25" s="1" t="s">
        <v>1183</v>
      </c>
      <c r="D25" s="1" t="s">
        <v>1999</v>
      </c>
      <c r="E25" s="1" t="s">
        <v>133</v>
      </c>
      <c r="F25" s="1" t="s">
        <v>168</v>
      </c>
      <c r="G25" s="1" t="s">
        <v>1977</v>
      </c>
      <c r="H25" s="1" t="s">
        <v>99</v>
      </c>
      <c r="I25" s="1" t="s">
        <v>111</v>
      </c>
      <c r="J25" s="10" t="n">
        <v>46230</v>
      </c>
      <c r="K25" s="1" t="s">
        <v>2000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2001</v>
      </c>
      <c r="B26" s="1" t="s">
        <v>2002</v>
      </c>
      <c r="C26" s="1" t="s">
        <v>1183</v>
      </c>
      <c r="D26" s="1" t="s">
        <v>2003</v>
      </c>
      <c r="E26" s="1" t="s">
        <v>133</v>
      </c>
      <c r="F26" s="1" t="s">
        <v>158</v>
      </c>
      <c r="G26" s="1" t="s">
        <v>1974</v>
      </c>
      <c r="H26" s="1" t="s">
        <v>97</v>
      </c>
      <c r="I26" s="1" t="s">
        <v>112</v>
      </c>
      <c r="J26" s="10" t="n">
        <v>46230</v>
      </c>
      <c r="K26" s="1" t="s">
        <v>1802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2004</v>
      </c>
      <c r="B27" s="1" t="s">
        <v>186</v>
      </c>
      <c r="C27" s="1" t="s">
        <v>62</v>
      </c>
      <c r="D27" s="1" t="s">
        <v>1945</v>
      </c>
      <c r="E27" s="1" t="s">
        <v>133</v>
      </c>
      <c r="F27" s="1" t="s">
        <v>174</v>
      </c>
      <c r="G27" s="1" t="s">
        <v>2005</v>
      </c>
      <c r="H27" s="1" t="s">
        <v>91</v>
      </c>
      <c r="I27" s="1" t="s">
        <v>111</v>
      </c>
      <c r="J27" s="10" t="n">
        <v>46230</v>
      </c>
      <c r="K27" s="1" t="s">
        <v>1806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2006</v>
      </c>
      <c r="B28" s="1" t="s">
        <v>190</v>
      </c>
      <c r="C28" s="1" t="s">
        <v>62</v>
      </c>
      <c r="D28" s="1" t="s">
        <v>1808</v>
      </c>
      <c r="E28" s="1" t="s">
        <v>133</v>
      </c>
      <c r="F28" s="1" t="s">
        <v>192</v>
      </c>
      <c r="G28" s="1" t="s">
        <v>2007</v>
      </c>
      <c r="H28" s="1" t="s">
        <v>97</v>
      </c>
      <c r="I28" s="1" t="s">
        <v>112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2008</v>
      </c>
      <c r="B29" s="1" t="s">
        <v>621</v>
      </c>
      <c r="C29" s="1" t="s">
        <v>62</v>
      </c>
      <c r="D29" s="1" t="s">
        <v>1950</v>
      </c>
      <c r="E29" s="1" t="s">
        <v>133</v>
      </c>
      <c r="F29" s="1" t="s">
        <v>623</v>
      </c>
      <c r="G29" s="1" t="s">
        <v>2009</v>
      </c>
      <c r="H29" s="1" t="s">
        <v>97</v>
      </c>
      <c r="I29" s="1" t="s">
        <v>112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2010</v>
      </c>
      <c r="B30" s="1" t="s">
        <v>199</v>
      </c>
      <c r="C30" s="1" t="s">
        <v>62</v>
      </c>
      <c r="D30" s="1" t="s">
        <v>1953</v>
      </c>
      <c r="E30" s="1" t="s">
        <v>201</v>
      </c>
      <c r="F30" s="1" t="s">
        <v>201</v>
      </c>
      <c r="G30" s="1" t="s">
        <v>202</v>
      </c>
      <c r="H30" s="1" t="s">
        <v>97</v>
      </c>
      <c r="I30" s="1" t="s">
        <v>112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2011</v>
      </c>
      <c r="B31" s="1" t="s">
        <v>204</v>
      </c>
      <c r="C31" s="1" t="s">
        <v>62</v>
      </c>
      <c r="D31" s="1" t="s">
        <v>1816</v>
      </c>
      <c r="E31" s="1" t="s">
        <v>133</v>
      </c>
      <c r="F31" s="1" t="s">
        <v>133</v>
      </c>
      <c r="G31" s="1" t="s">
        <v>206</v>
      </c>
      <c r="H31" s="1" t="s">
        <v>97</v>
      </c>
      <c r="I31" s="1" t="s">
        <v>112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2012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115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42" hidden="false" customHeight="true" outlineLevel="0" collapsed="false">
      <c r="A9" s="1" t="s">
        <v>2013</v>
      </c>
      <c r="B9" s="1" t="s">
        <v>89</v>
      </c>
      <c r="C9" s="1" t="s">
        <v>1183</v>
      </c>
      <c r="D9" s="1" t="s">
        <v>2014</v>
      </c>
      <c r="E9" s="1" t="s">
        <v>133</v>
      </c>
      <c r="F9" s="1" t="s">
        <v>134</v>
      </c>
      <c r="G9" s="1" t="s">
        <v>2015</v>
      </c>
      <c r="H9" s="1" t="s">
        <v>97</v>
      </c>
      <c r="I9" s="1" t="s">
        <v>112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2016</v>
      </c>
      <c r="B10" s="1" t="s">
        <v>1342</v>
      </c>
      <c r="C10" s="1" t="s">
        <v>1183</v>
      </c>
      <c r="D10" s="1" t="s">
        <v>1960</v>
      </c>
      <c r="E10" s="1" t="s">
        <v>133</v>
      </c>
      <c r="F10" s="1" t="s">
        <v>153</v>
      </c>
      <c r="G10" s="1" t="s">
        <v>2017</v>
      </c>
      <c r="H10" s="1" t="s">
        <v>97</v>
      </c>
      <c r="I10" s="1" t="s">
        <v>112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2018</v>
      </c>
      <c r="B11" s="1" t="s">
        <v>137</v>
      </c>
      <c r="C11" s="1" t="s">
        <v>63</v>
      </c>
      <c r="D11" s="1" t="s">
        <v>1964</v>
      </c>
      <c r="E11" s="1" t="s">
        <v>133</v>
      </c>
      <c r="F11" s="1" t="s">
        <v>133</v>
      </c>
      <c r="G11" s="1" t="s">
        <v>1894</v>
      </c>
      <c r="H11" s="1" t="s">
        <v>97</v>
      </c>
      <c r="I11" s="1" t="s">
        <v>112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2019</v>
      </c>
      <c r="B12" s="1" t="s">
        <v>141</v>
      </c>
      <c r="C12" s="1" t="s">
        <v>1183</v>
      </c>
      <c r="D12" s="1" t="s">
        <v>1966</v>
      </c>
      <c r="E12" s="1" t="s">
        <v>133</v>
      </c>
      <c r="F12" s="1" t="s">
        <v>143</v>
      </c>
      <c r="G12" s="1" t="s">
        <v>2020</v>
      </c>
      <c r="H12" s="1" t="s">
        <v>97</v>
      </c>
      <c r="I12" s="1" t="s">
        <v>112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2021</v>
      </c>
      <c r="B13" s="1" t="s">
        <v>146</v>
      </c>
      <c r="C13" s="1" t="s">
        <v>1183</v>
      </c>
      <c r="D13" s="1" t="s">
        <v>1969</v>
      </c>
      <c r="E13" s="1" t="s">
        <v>133</v>
      </c>
      <c r="F13" s="1" t="s">
        <v>148</v>
      </c>
      <c r="G13" s="1" t="s">
        <v>2022</v>
      </c>
      <c r="H13" s="1" t="s">
        <v>97</v>
      </c>
      <c r="I13" s="1" t="s">
        <v>112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2023</v>
      </c>
      <c r="B14" s="1" t="s">
        <v>1575</v>
      </c>
      <c r="C14" s="1" t="s">
        <v>2024</v>
      </c>
      <c r="D14" s="1" t="s">
        <v>2025</v>
      </c>
      <c r="E14" s="1" t="s">
        <v>133</v>
      </c>
      <c r="F14" s="1" t="s">
        <v>158</v>
      </c>
      <c r="G14" s="1" t="s">
        <v>2026</v>
      </c>
      <c r="H14" s="1" t="s">
        <v>97</v>
      </c>
      <c r="I14" s="1" t="s">
        <v>112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2027</v>
      </c>
      <c r="B15" s="1" t="s">
        <v>2028</v>
      </c>
      <c r="C15" s="1" t="s">
        <v>1383</v>
      </c>
      <c r="D15" s="1" t="s">
        <v>2029</v>
      </c>
      <c r="E15" s="1" t="s">
        <v>133</v>
      </c>
      <c r="F15" s="1" t="s">
        <v>158</v>
      </c>
      <c r="G15" s="1" t="s">
        <v>2026</v>
      </c>
      <c r="H15" s="1" t="s">
        <v>97</v>
      </c>
      <c r="I15" s="1" t="s">
        <v>112</v>
      </c>
      <c r="J15" s="10" t="n">
        <v>46230</v>
      </c>
      <c r="K15" s="1" t="s">
        <v>1768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2030</v>
      </c>
      <c r="B16" s="1" t="s">
        <v>1697</v>
      </c>
      <c r="C16" s="1" t="s">
        <v>2031</v>
      </c>
      <c r="D16" s="1" t="s">
        <v>2032</v>
      </c>
      <c r="E16" s="1" t="s">
        <v>133</v>
      </c>
      <c r="F16" s="1" t="s">
        <v>168</v>
      </c>
      <c r="G16" s="1" t="s">
        <v>2033</v>
      </c>
      <c r="H16" s="1" t="s">
        <v>99</v>
      </c>
      <c r="I16" s="1" t="s">
        <v>111</v>
      </c>
      <c r="J16" s="10" t="n">
        <v>46230</v>
      </c>
      <c r="K16" s="1" t="s">
        <v>1978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2034</v>
      </c>
      <c r="B17" s="1" t="s">
        <v>1588</v>
      </c>
      <c r="C17" s="1" t="s">
        <v>2035</v>
      </c>
      <c r="D17" s="1" t="s">
        <v>2036</v>
      </c>
      <c r="E17" s="1" t="s">
        <v>133</v>
      </c>
      <c r="F17" s="1" t="s">
        <v>158</v>
      </c>
      <c r="G17" s="1" t="s">
        <v>2026</v>
      </c>
      <c r="H17" s="1" t="s">
        <v>97</v>
      </c>
      <c r="I17" s="1" t="s">
        <v>112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2037</v>
      </c>
      <c r="B18" s="1" t="s">
        <v>1915</v>
      </c>
      <c r="C18" s="1" t="s">
        <v>1916</v>
      </c>
      <c r="D18" s="1" t="s">
        <v>2038</v>
      </c>
      <c r="E18" s="1" t="s">
        <v>133</v>
      </c>
      <c r="F18" s="1" t="s">
        <v>158</v>
      </c>
      <c r="G18" s="1" t="s">
        <v>2026</v>
      </c>
      <c r="H18" s="1" t="s">
        <v>97</v>
      </c>
      <c r="I18" s="1" t="s">
        <v>112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2039</v>
      </c>
      <c r="B19" s="1" t="s">
        <v>1923</v>
      </c>
      <c r="C19" s="1" t="s">
        <v>1924</v>
      </c>
      <c r="D19" s="1" t="s">
        <v>2040</v>
      </c>
      <c r="E19" s="1" t="s">
        <v>133</v>
      </c>
      <c r="F19" s="1" t="s">
        <v>158</v>
      </c>
      <c r="G19" s="1" t="s">
        <v>2026</v>
      </c>
      <c r="H19" s="1" t="s">
        <v>97</v>
      </c>
      <c r="I19" s="1" t="s">
        <v>112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2041</v>
      </c>
      <c r="B20" s="1" t="s">
        <v>1582</v>
      </c>
      <c r="C20" s="1" t="s">
        <v>1942</v>
      </c>
      <c r="D20" s="1" t="s">
        <v>1943</v>
      </c>
      <c r="E20" s="1" t="s">
        <v>133</v>
      </c>
      <c r="F20" s="1" t="s">
        <v>158</v>
      </c>
      <c r="G20" s="1" t="s">
        <v>2026</v>
      </c>
      <c r="H20" s="1" t="s">
        <v>97</v>
      </c>
      <c r="I20" s="1" t="s">
        <v>112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2042</v>
      </c>
      <c r="B21" s="1" t="s">
        <v>181</v>
      </c>
      <c r="C21" s="1" t="s">
        <v>1990</v>
      </c>
      <c r="D21" s="1" t="s">
        <v>1991</v>
      </c>
      <c r="E21" s="1" t="s">
        <v>133</v>
      </c>
      <c r="F21" s="1" t="s">
        <v>158</v>
      </c>
      <c r="G21" s="1" t="s">
        <v>2026</v>
      </c>
      <c r="H21" s="1" t="s">
        <v>97</v>
      </c>
      <c r="I21" s="1" t="s">
        <v>112</v>
      </c>
      <c r="J21" s="10" t="n">
        <v>46230</v>
      </c>
      <c r="K21" s="1" t="s">
        <v>1791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2043</v>
      </c>
      <c r="B22" s="1" t="s">
        <v>172</v>
      </c>
      <c r="C22" s="1" t="s">
        <v>1183</v>
      </c>
      <c r="D22" s="1" t="s">
        <v>1993</v>
      </c>
      <c r="E22" s="1" t="s">
        <v>133</v>
      </c>
      <c r="F22" s="1" t="s">
        <v>158</v>
      </c>
      <c r="G22" s="1" t="s">
        <v>2026</v>
      </c>
      <c r="H22" s="1" t="s">
        <v>97</v>
      </c>
      <c r="I22" s="1" t="s">
        <v>112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2044</v>
      </c>
      <c r="B23" s="1" t="s">
        <v>1228</v>
      </c>
      <c r="C23" s="1" t="s">
        <v>1183</v>
      </c>
      <c r="D23" s="1" t="s">
        <v>1995</v>
      </c>
      <c r="E23" s="1" t="s">
        <v>133</v>
      </c>
      <c r="F23" s="1" t="s">
        <v>158</v>
      </c>
      <c r="G23" s="1" t="s">
        <v>2026</v>
      </c>
      <c r="H23" s="1" t="s">
        <v>97</v>
      </c>
      <c r="I23" s="1" t="s">
        <v>112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2045</v>
      </c>
      <c r="B24" s="1" t="s">
        <v>161</v>
      </c>
      <c r="C24" s="1" t="s">
        <v>1183</v>
      </c>
      <c r="D24" s="1" t="s">
        <v>1997</v>
      </c>
      <c r="E24" s="1" t="s">
        <v>133</v>
      </c>
      <c r="F24" s="1" t="s">
        <v>163</v>
      </c>
      <c r="G24" s="1" t="s">
        <v>2026</v>
      </c>
      <c r="H24" s="1" t="s">
        <v>97</v>
      </c>
      <c r="I24" s="1" t="s">
        <v>112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2046</v>
      </c>
      <c r="B25" s="1" t="s">
        <v>166</v>
      </c>
      <c r="C25" s="1" t="s">
        <v>1183</v>
      </c>
      <c r="D25" s="1" t="s">
        <v>1999</v>
      </c>
      <c r="E25" s="1" t="s">
        <v>133</v>
      </c>
      <c r="F25" s="1" t="s">
        <v>168</v>
      </c>
      <c r="G25" s="1" t="s">
        <v>2033</v>
      </c>
      <c r="H25" s="1" t="s">
        <v>99</v>
      </c>
      <c r="I25" s="1" t="s">
        <v>111</v>
      </c>
      <c r="J25" s="10" t="n">
        <v>46230</v>
      </c>
      <c r="K25" s="1" t="s">
        <v>2000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2047</v>
      </c>
      <c r="B26" s="1" t="s">
        <v>2002</v>
      </c>
      <c r="C26" s="1" t="s">
        <v>1183</v>
      </c>
      <c r="D26" s="1" t="s">
        <v>2003</v>
      </c>
      <c r="E26" s="1" t="s">
        <v>133</v>
      </c>
      <c r="F26" s="1" t="s">
        <v>158</v>
      </c>
      <c r="G26" s="1" t="s">
        <v>2026</v>
      </c>
      <c r="H26" s="1" t="s">
        <v>97</v>
      </c>
      <c r="I26" s="1" t="s">
        <v>112</v>
      </c>
      <c r="J26" s="10" t="n">
        <v>46230</v>
      </c>
      <c r="K26" s="1" t="s">
        <v>1802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2048</v>
      </c>
      <c r="B27" s="1" t="s">
        <v>186</v>
      </c>
      <c r="C27" s="1" t="s">
        <v>63</v>
      </c>
      <c r="D27" s="1" t="s">
        <v>1945</v>
      </c>
      <c r="E27" s="1" t="s">
        <v>133</v>
      </c>
      <c r="F27" s="1" t="s">
        <v>174</v>
      </c>
      <c r="G27" s="1" t="s">
        <v>2049</v>
      </c>
      <c r="H27" s="1" t="s">
        <v>91</v>
      </c>
      <c r="I27" s="1" t="s">
        <v>111</v>
      </c>
      <c r="J27" s="10" t="n">
        <v>46230</v>
      </c>
      <c r="K27" s="1" t="s">
        <v>1806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2050</v>
      </c>
      <c r="B28" s="1" t="s">
        <v>190</v>
      </c>
      <c r="C28" s="1" t="s">
        <v>63</v>
      </c>
      <c r="D28" s="1" t="s">
        <v>1808</v>
      </c>
      <c r="E28" s="1" t="s">
        <v>133</v>
      </c>
      <c r="F28" s="1" t="s">
        <v>192</v>
      </c>
      <c r="G28" s="1" t="s">
        <v>2051</v>
      </c>
      <c r="H28" s="1" t="s">
        <v>97</v>
      </c>
      <c r="I28" s="1" t="s">
        <v>112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2052</v>
      </c>
      <c r="B29" s="1" t="s">
        <v>621</v>
      </c>
      <c r="C29" s="1" t="s">
        <v>63</v>
      </c>
      <c r="D29" s="1" t="s">
        <v>1950</v>
      </c>
      <c r="E29" s="1" t="s">
        <v>133</v>
      </c>
      <c r="F29" s="1" t="s">
        <v>623</v>
      </c>
      <c r="G29" s="1" t="s">
        <v>2053</v>
      </c>
      <c r="H29" s="1" t="s">
        <v>97</v>
      </c>
      <c r="I29" s="1" t="s">
        <v>112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2054</v>
      </c>
      <c r="B30" s="1" t="s">
        <v>199</v>
      </c>
      <c r="C30" s="1" t="s">
        <v>63</v>
      </c>
      <c r="D30" s="1" t="s">
        <v>1953</v>
      </c>
      <c r="E30" s="1" t="s">
        <v>201</v>
      </c>
      <c r="F30" s="1" t="s">
        <v>201</v>
      </c>
      <c r="G30" s="1" t="s">
        <v>202</v>
      </c>
      <c r="H30" s="1" t="s">
        <v>97</v>
      </c>
      <c r="I30" s="1" t="s">
        <v>112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2055</v>
      </c>
      <c r="B31" s="1" t="s">
        <v>204</v>
      </c>
      <c r="C31" s="1" t="s">
        <v>63</v>
      </c>
      <c r="D31" s="1" t="s">
        <v>1816</v>
      </c>
      <c r="E31" s="1" t="s">
        <v>133</v>
      </c>
      <c r="F31" s="1" t="s">
        <v>133</v>
      </c>
      <c r="G31" s="1" t="s">
        <v>206</v>
      </c>
      <c r="H31" s="1" t="s">
        <v>97</v>
      </c>
      <c r="I31" s="1" t="s">
        <v>112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115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42" hidden="false" customHeight="true" outlineLevel="0" collapsed="false">
      <c r="A9" s="1" t="s">
        <v>2057</v>
      </c>
      <c r="B9" s="1" t="s">
        <v>89</v>
      </c>
      <c r="C9" s="1" t="s">
        <v>1183</v>
      </c>
      <c r="D9" s="1" t="s">
        <v>2058</v>
      </c>
      <c r="E9" s="1" t="s">
        <v>133</v>
      </c>
      <c r="F9" s="1" t="s">
        <v>134</v>
      </c>
      <c r="G9" s="1" t="s">
        <v>2059</v>
      </c>
      <c r="H9" s="1" t="s">
        <v>97</v>
      </c>
      <c r="I9" s="1" t="s">
        <v>112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2060</v>
      </c>
      <c r="B10" s="1" t="s">
        <v>1342</v>
      </c>
      <c r="C10" s="1" t="s">
        <v>1183</v>
      </c>
      <c r="D10" s="1" t="s">
        <v>1960</v>
      </c>
      <c r="E10" s="1" t="s">
        <v>133</v>
      </c>
      <c r="F10" s="1" t="s">
        <v>153</v>
      </c>
      <c r="G10" s="1" t="s">
        <v>2061</v>
      </c>
      <c r="H10" s="1" t="s">
        <v>97</v>
      </c>
      <c r="I10" s="1" t="s">
        <v>112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2062</v>
      </c>
      <c r="B11" s="1" t="s">
        <v>137</v>
      </c>
      <c r="C11" s="1" t="s">
        <v>2063</v>
      </c>
      <c r="D11" s="1" t="s">
        <v>1964</v>
      </c>
      <c r="E11" s="1" t="s">
        <v>133</v>
      </c>
      <c r="F11" s="1" t="s">
        <v>133</v>
      </c>
      <c r="G11" s="1" t="s">
        <v>1894</v>
      </c>
      <c r="H11" s="1" t="s">
        <v>97</v>
      </c>
      <c r="I11" s="1" t="s">
        <v>112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2064</v>
      </c>
      <c r="B12" s="1" t="s">
        <v>141</v>
      </c>
      <c r="C12" s="1" t="s">
        <v>1183</v>
      </c>
      <c r="D12" s="1" t="s">
        <v>1966</v>
      </c>
      <c r="E12" s="1" t="s">
        <v>133</v>
      </c>
      <c r="F12" s="1" t="s">
        <v>143</v>
      </c>
      <c r="G12" s="1" t="s">
        <v>2065</v>
      </c>
      <c r="H12" s="1" t="s">
        <v>97</v>
      </c>
      <c r="I12" s="1" t="s">
        <v>112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2066</v>
      </c>
      <c r="B13" s="1" t="s">
        <v>146</v>
      </c>
      <c r="C13" s="1" t="s">
        <v>1183</v>
      </c>
      <c r="D13" s="1" t="s">
        <v>1969</v>
      </c>
      <c r="E13" s="1" t="s">
        <v>133</v>
      </c>
      <c r="F13" s="1" t="s">
        <v>148</v>
      </c>
      <c r="G13" s="1" t="s">
        <v>2067</v>
      </c>
      <c r="H13" s="1" t="s">
        <v>97</v>
      </c>
      <c r="I13" s="1" t="s">
        <v>112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2068</v>
      </c>
      <c r="B14" s="1" t="s">
        <v>1575</v>
      </c>
      <c r="C14" s="1" t="s">
        <v>2069</v>
      </c>
      <c r="D14" s="1" t="s">
        <v>2070</v>
      </c>
      <c r="E14" s="1" t="s">
        <v>133</v>
      </c>
      <c r="F14" s="1" t="s">
        <v>158</v>
      </c>
      <c r="G14" s="1" t="s">
        <v>2071</v>
      </c>
      <c r="H14" s="1" t="s">
        <v>97</v>
      </c>
      <c r="I14" s="1" t="s">
        <v>112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2072</v>
      </c>
      <c r="B15" s="1" t="s">
        <v>2073</v>
      </c>
      <c r="C15" s="1" t="s">
        <v>2074</v>
      </c>
      <c r="D15" s="1" t="s">
        <v>2075</v>
      </c>
      <c r="E15" s="1" t="s">
        <v>133</v>
      </c>
      <c r="F15" s="1" t="s">
        <v>158</v>
      </c>
      <c r="G15" s="1" t="s">
        <v>2071</v>
      </c>
      <c r="H15" s="1" t="s">
        <v>97</v>
      </c>
      <c r="I15" s="1" t="s">
        <v>112</v>
      </c>
      <c r="J15" s="10" t="n">
        <v>46230</v>
      </c>
      <c r="K15" s="1" t="s">
        <v>1768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2076</v>
      </c>
      <c r="B16" s="1" t="s">
        <v>1697</v>
      </c>
      <c r="C16" s="1" t="s">
        <v>2077</v>
      </c>
      <c r="D16" s="1" t="s">
        <v>2078</v>
      </c>
      <c r="E16" s="1" t="s">
        <v>133</v>
      </c>
      <c r="F16" s="1" t="s">
        <v>168</v>
      </c>
      <c r="G16" s="1" t="s">
        <v>2079</v>
      </c>
      <c r="H16" s="1" t="s">
        <v>99</v>
      </c>
      <c r="I16" s="1" t="s">
        <v>111</v>
      </c>
      <c r="J16" s="10" t="n">
        <v>46230</v>
      </c>
      <c r="K16" s="1" t="s">
        <v>1978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2080</v>
      </c>
      <c r="B17" s="1" t="s">
        <v>2028</v>
      </c>
      <c r="C17" s="1" t="s">
        <v>1721</v>
      </c>
      <c r="D17" s="1" t="s">
        <v>2081</v>
      </c>
      <c r="E17" s="1" t="s">
        <v>133</v>
      </c>
      <c r="F17" s="1" t="s">
        <v>158</v>
      </c>
      <c r="G17" s="1" t="s">
        <v>2071</v>
      </c>
      <c r="H17" s="1" t="s">
        <v>97</v>
      </c>
      <c r="I17" s="1" t="s">
        <v>112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2082</v>
      </c>
      <c r="B18" s="1" t="s">
        <v>2083</v>
      </c>
      <c r="C18" s="1" t="s">
        <v>2084</v>
      </c>
      <c r="D18" s="1" t="s">
        <v>2085</v>
      </c>
      <c r="E18" s="1" t="s">
        <v>133</v>
      </c>
      <c r="F18" s="1" t="s">
        <v>158</v>
      </c>
      <c r="G18" s="1" t="s">
        <v>2071</v>
      </c>
      <c r="H18" s="1" t="s">
        <v>97</v>
      </c>
      <c r="I18" s="1" t="s">
        <v>112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2086</v>
      </c>
      <c r="B19" s="1" t="s">
        <v>1588</v>
      </c>
      <c r="C19" s="1" t="s">
        <v>2087</v>
      </c>
      <c r="D19" s="1" t="s">
        <v>2088</v>
      </c>
      <c r="E19" s="1" t="s">
        <v>133</v>
      </c>
      <c r="F19" s="1" t="s">
        <v>158</v>
      </c>
      <c r="G19" s="1" t="s">
        <v>2071</v>
      </c>
      <c r="H19" s="1" t="s">
        <v>97</v>
      </c>
      <c r="I19" s="1" t="s">
        <v>112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2089</v>
      </c>
      <c r="B20" s="1" t="s">
        <v>1582</v>
      </c>
      <c r="C20" s="1" t="s">
        <v>1942</v>
      </c>
      <c r="D20" s="1" t="s">
        <v>1943</v>
      </c>
      <c r="E20" s="1" t="s">
        <v>133</v>
      </c>
      <c r="F20" s="1" t="s">
        <v>158</v>
      </c>
      <c r="G20" s="1" t="s">
        <v>2071</v>
      </c>
      <c r="H20" s="1" t="s">
        <v>97</v>
      </c>
      <c r="I20" s="1" t="s">
        <v>112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2090</v>
      </c>
      <c r="B21" s="1" t="s">
        <v>181</v>
      </c>
      <c r="C21" s="1" t="s">
        <v>1990</v>
      </c>
      <c r="D21" s="1" t="s">
        <v>1991</v>
      </c>
      <c r="E21" s="1" t="s">
        <v>133</v>
      </c>
      <c r="F21" s="1" t="s">
        <v>158</v>
      </c>
      <c r="G21" s="1" t="s">
        <v>2071</v>
      </c>
      <c r="H21" s="1" t="s">
        <v>97</v>
      </c>
      <c r="I21" s="1" t="s">
        <v>112</v>
      </c>
      <c r="J21" s="10" t="n">
        <v>46230</v>
      </c>
      <c r="K21" s="1" t="s">
        <v>1791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2091</v>
      </c>
      <c r="B22" s="1" t="s">
        <v>172</v>
      </c>
      <c r="C22" s="1" t="s">
        <v>1183</v>
      </c>
      <c r="D22" s="1" t="s">
        <v>1993</v>
      </c>
      <c r="E22" s="1" t="s">
        <v>133</v>
      </c>
      <c r="F22" s="1" t="s">
        <v>158</v>
      </c>
      <c r="G22" s="1" t="s">
        <v>2071</v>
      </c>
      <c r="H22" s="1" t="s">
        <v>97</v>
      </c>
      <c r="I22" s="1" t="s">
        <v>112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2092</v>
      </c>
      <c r="B23" s="1" t="s">
        <v>1228</v>
      </c>
      <c r="C23" s="1" t="s">
        <v>1183</v>
      </c>
      <c r="D23" s="1" t="s">
        <v>1995</v>
      </c>
      <c r="E23" s="1" t="s">
        <v>133</v>
      </c>
      <c r="F23" s="1" t="s">
        <v>158</v>
      </c>
      <c r="G23" s="1" t="s">
        <v>2071</v>
      </c>
      <c r="H23" s="1" t="s">
        <v>97</v>
      </c>
      <c r="I23" s="1" t="s">
        <v>112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2093</v>
      </c>
      <c r="B24" s="1" t="s">
        <v>161</v>
      </c>
      <c r="C24" s="1" t="s">
        <v>1183</v>
      </c>
      <c r="D24" s="1" t="s">
        <v>1997</v>
      </c>
      <c r="E24" s="1" t="s">
        <v>133</v>
      </c>
      <c r="F24" s="1" t="s">
        <v>163</v>
      </c>
      <c r="G24" s="1" t="s">
        <v>2071</v>
      </c>
      <c r="H24" s="1" t="s">
        <v>97</v>
      </c>
      <c r="I24" s="1" t="s">
        <v>112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2094</v>
      </c>
      <c r="B25" s="1" t="s">
        <v>166</v>
      </c>
      <c r="C25" s="1" t="s">
        <v>1183</v>
      </c>
      <c r="D25" s="1" t="s">
        <v>1999</v>
      </c>
      <c r="E25" s="1" t="s">
        <v>133</v>
      </c>
      <c r="F25" s="1" t="s">
        <v>168</v>
      </c>
      <c r="G25" s="1" t="s">
        <v>2079</v>
      </c>
      <c r="H25" s="1" t="s">
        <v>99</v>
      </c>
      <c r="I25" s="1" t="s">
        <v>111</v>
      </c>
      <c r="J25" s="10" t="n">
        <v>46230</v>
      </c>
      <c r="K25" s="1" t="s">
        <v>2000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2095</v>
      </c>
      <c r="B26" s="1" t="s">
        <v>2002</v>
      </c>
      <c r="C26" s="1" t="s">
        <v>1183</v>
      </c>
      <c r="D26" s="1" t="s">
        <v>2003</v>
      </c>
      <c r="E26" s="1" t="s">
        <v>133</v>
      </c>
      <c r="F26" s="1" t="s">
        <v>158</v>
      </c>
      <c r="G26" s="1" t="s">
        <v>2071</v>
      </c>
      <c r="H26" s="1" t="s">
        <v>97</v>
      </c>
      <c r="I26" s="1" t="s">
        <v>112</v>
      </c>
      <c r="J26" s="10" t="n">
        <v>46230</v>
      </c>
      <c r="K26" s="1" t="s">
        <v>1802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2096</v>
      </c>
      <c r="B27" s="1" t="s">
        <v>186</v>
      </c>
      <c r="C27" s="1" t="s">
        <v>64</v>
      </c>
      <c r="D27" s="1" t="s">
        <v>1945</v>
      </c>
      <c r="E27" s="1" t="s">
        <v>133</v>
      </c>
      <c r="F27" s="1" t="s">
        <v>174</v>
      </c>
      <c r="G27" s="1" t="s">
        <v>2097</v>
      </c>
      <c r="H27" s="1" t="s">
        <v>91</v>
      </c>
      <c r="I27" s="1" t="s">
        <v>111</v>
      </c>
      <c r="J27" s="10" t="n">
        <v>46230</v>
      </c>
      <c r="K27" s="1" t="s">
        <v>1806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2098</v>
      </c>
      <c r="B28" s="1" t="s">
        <v>190</v>
      </c>
      <c r="C28" s="1" t="s">
        <v>64</v>
      </c>
      <c r="D28" s="1" t="s">
        <v>1808</v>
      </c>
      <c r="E28" s="1" t="s">
        <v>133</v>
      </c>
      <c r="F28" s="1" t="s">
        <v>192</v>
      </c>
      <c r="G28" s="1" t="s">
        <v>2099</v>
      </c>
      <c r="H28" s="1" t="s">
        <v>97</v>
      </c>
      <c r="I28" s="1" t="s">
        <v>112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2100</v>
      </c>
      <c r="B29" s="1" t="s">
        <v>621</v>
      </c>
      <c r="C29" s="1" t="s">
        <v>64</v>
      </c>
      <c r="D29" s="1" t="s">
        <v>1950</v>
      </c>
      <c r="E29" s="1" t="s">
        <v>133</v>
      </c>
      <c r="F29" s="1" t="s">
        <v>623</v>
      </c>
      <c r="G29" s="1" t="s">
        <v>2101</v>
      </c>
      <c r="H29" s="1" t="s">
        <v>97</v>
      </c>
      <c r="I29" s="1" t="s">
        <v>112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2102</v>
      </c>
      <c r="B30" s="1" t="s">
        <v>199</v>
      </c>
      <c r="C30" s="1" t="s">
        <v>64</v>
      </c>
      <c r="D30" s="1" t="s">
        <v>1953</v>
      </c>
      <c r="E30" s="1" t="s">
        <v>201</v>
      </c>
      <c r="F30" s="1" t="s">
        <v>201</v>
      </c>
      <c r="G30" s="1" t="s">
        <v>202</v>
      </c>
      <c r="H30" s="1" t="s">
        <v>97</v>
      </c>
      <c r="I30" s="1" t="s">
        <v>112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2103</v>
      </c>
      <c r="B31" s="1" t="s">
        <v>204</v>
      </c>
      <c r="C31" s="1" t="s">
        <v>64</v>
      </c>
      <c r="D31" s="1" t="s">
        <v>1816</v>
      </c>
      <c r="E31" s="1" t="s">
        <v>133</v>
      </c>
      <c r="F31" s="1" t="s">
        <v>133</v>
      </c>
      <c r="G31" s="1" t="s">
        <v>206</v>
      </c>
      <c r="H31" s="1" t="s">
        <v>97</v>
      </c>
      <c r="I31" s="1" t="s">
        <v>112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115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2106</v>
      </c>
      <c r="B9" s="12" t="s">
        <v>89</v>
      </c>
      <c r="C9" s="12" t="s">
        <v>1183</v>
      </c>
      <c r="D9" s="13" t="s">
        <v>2107</v>
      </c>
      <c r="E9" s="12" t="s">
        <v>133</v>
      </c>
      <c r="F9" s="12" t="s">
        <v>134</v>
      </c>
      <c r="G9" s="13" t="s">
        <v>2108</v>
      </c>
      <c r="H9" s="12" t="s">
        <v>97</v>
      </c>
      <c r="I9" s="12" t="s">
        <v>112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2109</v>
      </c>
      <c r="B10" s="12" t="s">
        <v>1342</v>
      </c>
      <c r="C10" s="12" t="s">
        <v>2110</v>
      </c>
      <c r="D10" s="13" t="s">
        <v>2111</v>
      </c>
      <c r="E10" s="12" t="s">
        <v>133</v>
      </c>
      <c r="F10" s="12" t="s">
        <v>153</v>
      </c>
      <c r="G10" s="13" t="s">
        <v>2112</v>
      </c>
      <c r="H10" s="12" t="s">
        <v>97</v>
      </c>
      <c r="I10" s="12" t="s">
        <v>112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2113</v>
      </c>
      <c r="B11" s="12" t="s">
        <v>137</v>
      </c>
      <c r="C11" s="12" t="s">
        <v>2114</v>
      </c>
      <c r="D11" s="13" t="s">
        <v>2115</v>
      </c>
      <c r="E11" s="12" t="s">
        <v>133</v>
      </c>
      <c r="F11" s="12" t="s">
        <v>133</v>
      </c>
      <c r="G11" s="13" t="s">
        <v>1894</v>
      </c>
      <c r="H11" s="12" t="s">
        <v>97</v>
      </c>
      <c r="I11" s="12" t="s">
        <v>112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2116</v>
      </c>
      <c r="B12" s="12" t="s">
        <v>141</v>
      </c>
      <c r="C12" s="12" t="s">
        <v>1183</v>
      </c>
      <c r="D12" s="13" t="s">
        <v>2117</v>
      </c>
      <c r="E12" s="12" t="s">
        <v>133</v>
      </c>
      <c r="F12" s="12" t="s">
        <v>143</v>
      </c>
      <c r="G12" s="13" t="s">
        <v>2118</v>
      </c>
      <c r="H12" s="12" t="s">
        <v>97</v>
      </c>
      <c r="I12" s="12" t="s">
        <v>112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2119</v>
      </c>
      <c r="B13" s="12" t="s">
        <v>146</v>
      </c>
      <c r="C13" s="12" t="s">
        <v>1183</v>
      </c>
      <c r="D13" s="13" t="s">
        <v>2120</v>
      </c>
      <c r="E13" s="12" t="s">
        <v>133</v>
      </c>
      <c r="F13" s="12" t="s">
        <v>148</v>
      </c>
      <c r="G13" s="13" t="s">
        <v>2121</v>
      </c>
      <c r="H13" s="12" t="s">
        <v>97</v>
      </c>
      <c r="I13" s="12" t="s">
        <v>112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2122</v>
      </c>
      <c r="B14" s="12" t="s">
        <v>1575</v>
      </c>
      <c r="C14" s="12" t="s">
        <v>2110</v>
      </c>
      <c r="D14" s="13" t="s">
        <v>2123</v>
      </c>
      <c r="E14" s="12" t="s">
        <v>133</v>
      </c>
      <c r="F14" s="12" t="s">
        <v>158</v>
      </c>
      <c r="G14" s="13" t="s">
        <v>2124</v>
      </c>
      <c r="H14" s="12" t="s">
        <v>97</v>
      </c>
      <c r="I14" s="12" t="s">
        <v>112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2125</v>
      </c>
      <c r="B15" s="12" t="s">
        <v>1132</v>
      </c>
      <c r="C15" s="12" t="s">
        <v>781</v>
      </c>
      <c r="D15" s="13" t="s">
        <v>2126</v>
      </c>
      <c r="E15" s="12" t="s">
        <v>133</v>
      </c>
      <c r="F15" s="12" t="s">
        <v>158</v>
      </c>
      <c r="G15" s="13" t="s">
        <v>2127</v>
      </c>
      <c r="H15" s="12" t="s">
        <v>97</v>
      </c>
      <c r="I15" s="12" t="s">
        <v>112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2128</v>
      </c>
      <c r="B16" s="12" t="s">
        <v>1774</v>
      </c>
      <c r="C16" s="12" t="s">
        <v>1559</v>
      </c>
      <c r="D16" s="13" t="s">
        <v>2129</v>
      </c>
      <c r="E16" s="12" t="s">
        <v>133</v>
      </c>
      <c r="F16" s="12" t="s">
        <v>158</v>
      </c>
      <c r="G16" s="13" t="s">
        <v>2127</v>
      </c>
      <c r="H16" s="12" t="s">
        <v>97</v>
      </c>
      <c r="I16" s="12" t="s">
        <v>112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2130</v>
      </c>
      <c r="B17" s="12" t="s">
        <v>1697</v>
      </c>
      <c r="C17" s="12" t="s">
        <v>1183</v>
      </c>
      <c r="D17" s="13" t="s">
        <v>2131</v>
      </c>
      <c r="E17" s="12" t="s">
        <v>133</v>
      </c>
      <c r="F17" s="12" t="s">
        <v>158</v>
      </c>
      <c r="G17" s="13" t="s">
        <v>2124</v>
      </c>
      <c r="H17" s="12" t="s">
        <v>97</v>
      </c>
      <c r="I17" s="12" t="s">
        <v>112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2132</v>
      </c>
      <c r="B18" s="12" t="s">
        <v>1289</v>
      </c>
      <c r="C18" s="12" t="s">
        <v>781</v>
      </c>
      <c r="D18" s="13" t="s">
        <v>2133</v>
      </c>
      <c r="E18" s="12" t="s">
        <v>133</v>
      </c>
      <c r="F18" s="12" t="s">
        <v>158</v>
      </c>
      <c r="G18" s="13" t="s">
        <v>2134</v>
      </c>
      <c r="H18" s="12" t="s">
        <v>97</v>
      </c>
      <c r="I18" s="12" t="s">
        <v>112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2135</v>
      </c>
      <c r="B19" s="12" t="s">
        <v>1915</v>
      </c>
      <c r="C19" s="12" t="s">
        <v>2136</v>
      </c>
      <c r="D19" s="13" t="s">
        <v>2137</v>
      </c>
      <c r="E19" s="12" t="s">
        <v>133</v>
      </c>
      <c r="F19" s="12" t="s">
        <v>158</v>
      </c>
      <c r="G19" s="13" t="s">
        <v>2127</v>
      </c>
      <c r="H19" s="12" t="s">
        <v>97</v>
      </c>
      <c r="I19" s="12" t="s">
        <v>112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2138</v>
      </c>
      <c r="B20" s="12" t="s">
        <v>1395</v>
      </c>
      <c r="C20" s="12" t="s">
        <v>2139</v>
      </c>
      <c r="D20" s="13" t="s">
        <v>2140</v>
      </c>
      <c r="E20" s="12" t="s">
        <v>133</v>
      </c>
      <c r="F20" s="12" t="s">
        <v>158</v>
      </c>
      <c r="G20" s="13" t="s">
        <v>2124</v>
      </c>
      <c r="H20" s="12" t="s">
        <v>97</v>
      </c>
      <c r="I20" s="12" t="s">
        <v>112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2141</v>
      </c>
      <c r="B21" s="12" t="s">
        <v>2142</v>
      </c>
      <c r="C21" s="12" t="s">
        <v>1559</v>
      </c>
      <c r="D21" s="13" t="s">
        <v>2143</v>
      </c>
      <c r="E21" s="12" t="s">
        <v>133</v>
      </c>
      <c r="F21" s="12" t="s">
        <v>153</v>
      </c>
      <c r="G21" s="13" t="s">
        <v>2144</v>
      </c>
      <c r="H21" s="12" t="s">
        <v>97</v>
      </c>
      <c r="I21" s="12" t="s">
        <v>112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2145</v>
      </c>
      <c r="B22" s="12" t="s">
        <v>2146</v>
      </c>
      <c r="C22" s="12" t="s">
        <v>854</v>
      </c>
      <c r="D22" s="13" t="s">
        <v>2147</v>
      </c>
      <c r="E22" s="12" t="s">
        <v>133</v>
      </c>
      <c r="F22" s="12" t="s">
        <v>158</v>
      </c>
      <c r="G22" s="13" t="s">
        <v>2134</v>
      </c>
      <c r="H22" s="12" t="s">
        <v>97</v>
      </c>
      <c r="I22" s="12" t="s">
        <v>112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2148</v>
      </c>
      <c r="B23" s="12" t="s">
        <v>1085</v>
      </c>
      <c r="C23" s="12" t="s">
        <v>2149</v>
      </c>
      <c r="D23" s="13" t="s">
        <v>2150</v>
      </c>
      <c r="E23" s="12" t="s">
        <v>133</v>
      </c>
      <c r="F23" s="12" t="s">
        <v>158</v>
      </c>
      <c r="G23" s="13" t="s">
        <v>2124</v>
      </c>
      <c r="H23" s="12" t="s">
        <v>97</v>
      </c>
      <c r="I23" s="12" t="s">
        <v>112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2151</v>
      </c>
      <c r="B24" s="12" t="s">
        <v>181</v>
      </c>
      <c r="C24" s="12" t="s">
        <v>1183</v>
      </c>
      <c r="D24" s="13" t="s">
        <v>2152</v>
      </c>
      <c r="E24" s="12" t="s">
        <v>133</v>
      </c>
      <c r="F24" s="12" t="s">
        <v>158</v>
      </c>
      <c r="G24" s="13" t="s">
        <v>2144</v>
      </c>
      <c r="H24" s="12" t="s">
        <v>97</v>
      </c>
      <c r="I24" s="12" t="s">
        <v>112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2153</v>
      </c>
      <c r="B25" s="12" t="s">
        <v>2154</v>
      </c>
      <c r="C25" s="12" t="s">
        <v>781</v>
      </c>
      <c r="D25" s="13" t="s">
        <v>2155</v>
      </c>
      <c r="E25" s="12" t="s">
        <v>133</v>
      </c>
      <c r="F25" s="12" t="s">
        <v>158</v>
      </c>
      <c r="G25" s="13" t="s">
        <v>2127</v>
      </c>
      <c r="H25" s="12" t="s">
        <v>97</v>
      </c>
      <c r="I25" s="12" t="s">
        <v>112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2156</v>
      </c>
      <c r="B26" s="12" t="s">
        <v>1530</v>
      </c>
      <c r="C26" s="12" t="s">
        <v>781</v>
      </c>
      <c r="D26" s="13" t="s">
        <v>2157</v>
      </c>
      <c r="E26" s="12" t="s">
        <v>133</v>
      </c>
      <c r="F26" s="12" t="s">
        <v>168</v>
      </c>
      <c r="G26" s="13" t="s">
        <v>2158</v>
      </c>
      <c r="H26" s="12" t="s">
        <v>99</v>
      </c>
      <c r="I26" s="12" t="s">
        <v>111</v>
      </c>
      <c r="J26" s="14" t="n">
        <v>46230</v>
      </c>
      <c r="K26" s="13" t="s">
        <v>2159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2160</v>
      </c>
      <c r="B27" s="12" t="s">
        <v>172</v>
      </c>
      <c r="C27" s="12" t="s">
        <v>1183</v>
      </c>
      <c r="D27" s="13" t="s">
        <v>2161</v>
      </c>
      <c r="E27" s="12" t="s">
        <v>133</v>
      </c>
      <c r="F27" s="12" t="s">
        <v>158</v>
      </c>
      <c r="G27" s="13" t="s">
        <v>2127</v>
      </c>
      <c r="H27" s="12" t="s">
        <v>97</v>
      </c>
      <c r="I27" s="12" t="s">
        <v>112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2162</v>
      </c>
      <c r="B28" s="12" t="s">
        <v>2163</v>
      </c>
      <c r="C28" s="12" t="s">
        <v>1183</v>
      </c>
      <c r="D28" s="13" t="s">
        <v>2164</v>
      </c>
      <c r="E28" s="12" t="s">
        <v>133</v>
      </c>
      <c r="F28" s="12" t="s">
        <v>158</v>
      </c>
      <c r="G28" s="13" t="s">
        <v>2127</v>
      </c>
      <c r="H28" s="12" t="s">
        <v>97</v>
      </c>
      <c r="I28" s="12" t="s">
        <v>112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2165</v>
      </c>
      <c r="B29" s="12" t="s">
        <v>161</v>
      </c>
      <c r="C29" s="12" t="s">
        <v>1183</v>
      </c>
      <c r="D29" s="13" t="s">
        <v>2166</v>
      </c>
      <c r="E29" s="12" t="s">
        <v>133</v>
      </c>
      <c r="F29" s="12" t="s">
        <v>163</v>
      </c>
      <c r="G29" s="13" t="s">
        <v>2124</v>
      </c>
      <c r="H29" s="12" t="s">
        <v>97</v>
      </c>
      <c r="I29" s="12" t="s">
        <v>112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2167</v>
      </c>
      <c r="B30" s="12" t="s">
        <v>166</v>
      </c>
      <c r="C30" s="12" t="s">
        <v>1183</v>
      </c>
      <c r="D30" s="13" t="s">
        <v>2168</v>
      </c>
      <c r="E30" s="12" t="s">
        <v>133</v>
      </c>
      <c r="F30" s="12" t="s">
        <v>168</v>
      </c>
      <c r="G30" s="13" t="s">
        <v>2169</v>
      </c>
      <c r="H30" s="12" t="s">
        <v>99</v>
      </c>
      <c r="I30" s="12" t="s">
        <v>111</v>
      </c>
      <c r="J30" s="14" t="n">
        <v>46230</v>
      </c>
      <c r="K30" s="13" t="s">
        <v>2170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2171</v>
      </c>
      <c r="B31" s="12" t="s">
        <v>186</v>
      </c>
      <c r="C31" s="12" t="s">
        <v>65</v>
      </c>
      <c r="D31" s="13" t="s">
        <v>2172</v>
      </c>
      <c r="E31" s="12" t="s">
        <v>133</v>
      </c>
      <c r="F31" s="12" t="s">
        <v>174</v>
      </c>
      <c r="G31" s="13" t="s">
        <v>2173</v>
      </c>
      <c r="H31" s="12" t="s">
        <v>91</v>
      </c>
      <c r="I31" s="12" t="s">
        <v>111</v>
      </c>
      <c r="J31" s="14" t="n">
        <v>46230</v>
      </c>
      <c r="K31" s="13" t="s">
        <v>1806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2174</v>
      </c>
      <c r="B32" s="12" t="s">
        <v>190</v>
      </c>
      <c r="C32" s="12" t="s">
        <v>65</v>
      </c>
      <c r="D32" s="13" t="s">
        <v>2175</v>
      </c>
      <c r="E32" s="12" t="s">
        <v>133</v>
      </c>
      <c r="F32" s="12" t="s">
        <v>192</v>
      </c>
      <c r="G32" s="13" t="s">
        <v>2176</v>
      </c>
      <c r="H32" s="12" t="s">
        <v>97</v>
      </c>
      <c r="I32" s="12" t="s">
        <v>112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2177</v>
      </c>
      <c r="B33" s="12" t="s">
        <v>195</v>
      </c>
      <c r="C33" s="12" t="s">
        <v>65</v>
      </c>
      <c r="D33" s="13" t="s">
        <v>2178</v>
      </c>
      <c r="E33" s="12" t="s">
        <v>133</v>
      </c>
      <c r="F33" s="12" t="s">
        <v>192</v>
      </c>
      <c r="G33" s="13" t="s">
        <v>2179</v>
      </c>
      <c r="H33" s="12" t="s">
        <v>97</v>
      </c>
      <c r="I33" s="12" t="s">
        <v>112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2180</v>
      </c>
      <c r="B34" s="12" t="s">
        <v>621</v>
      </c>
      <c r="C34" s="12" t="s">
        <v>65</v>
      </c>
      <c r="D34" s="13" t="s">
        <v>2181</v>
      </c>
      <c r="E34" s="12" t="s">
        <v>133</v>
      </c>
      <c r="F34" s="12" t="s">
        <v>623</v>
      </c>
      <c r="G34" s="13" t="s">
        <v>2182</v>
      </c>
      <c r="H34" s="12" t="s">
        <v>97</v>
      </c>
      <c r="I34" s="12" t="s">
        <v>112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2183</v>
      </c>
      <c r="B35" s="12" t="s">
        <v>199</v>
      </c>
      <c r="C35" s="12" t="s">
        <v>65</v>
      </c>
      <c r="D35" s="13" t="s">
        <v>2184</v>
      </c>
      <c r="E35" s="12" t="s">
        <v>201</v>
      </c>
      <c r="F35" s="12" t="s">
        <v>201</v>
      </c>
      <c r="G35" s="13" t="s">
        <v>202</v>
      </c>
      <c r="H35" s="12" t="s">
        <v>97</v>
      </c>
      <c r="I35" s="12" t="s">
        <v>112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2185</v>
      </c>
      <c r="B36" s="12" t="s">
        <v>204</v>
      </c>
      <c r="C36" s="12" t="s">
        <v>65</v>
      </c>
      <c r="D36" s="13" t="s">
        <v>2186</v>
      </c>
      <c r="E36" s="12" t="s">
        <v>133</v>
      </c>
      <c r="F36" s="12" t="s">
        <v>133</v>
      </c>
      <c r="G36" s="13" t="s">
        <v>206</v>
      </c>
      <c r="H36" s="12" t="s">
        <v>97</v>
      </c>
      <c r="I36" s="12" t="s">
        <v>112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2188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115</v>
      </c>
      <c r="E4" s="6" t="n">
        <f aca="false">SUM(M9:M27)</f>
        <v>18</v>
      </c>
      <c r="G4" s="5" t="s">
        <v>14</v>
      </c>
      <c r="H4" s="7" t="n">
        <f aca="false">IF(B4=0,0,E4/B4)</f>
        <v>0.947368421052632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2189</v>
      </c>
      <c r="B9" s="12" t="s">
        <v>89</v>
      </c>
      <c r="C9" s="12" t="s">
        <v>781</v>
      </c>
      <c r="D9" s="13" t="s">
        <v>2190</v>
      </c>
      <c r="E9" s="12" t="s">
        <v>133</v>
      </c>
      <c r="F9" s="12" t="s">
        <v>134</v>
      </c>
      <c r="G9" s="13" t="s">
        <v>2191</v>
      </c>
      <c r="H9" s="12" t="s">
        <v>97</v>
      </c>
      <c r="I9" s="12" t="s">
        <v>112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2192</v>
      </c>
      <c r="B10" s="12" t="s">
        <v>1342</v>
      </c>
      <c r="C10" s="12" t="s">
        <v>781</v>
      </c>
      <c r="D10" s="13" t="s">
        <v>2193</v>
      </c>
      <c r="E10" s="12" t="s">
        <v>133</v>
      </c>
      <c r="F10" s="12" t="s">
        <v>153</v>
      </c>
      <c r="G10" s="13" t="s">
        <v>2194</v>
      </c>
      <c r="H10" s="12" t="s">
        <v>97</v>
      </c>
      <c r="I10" s="12" t="s">
        <v>112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2195</v>
      </c>
      <c r="B11" s="12" t="s">
        <v>137</v>
      </c>
      <c r="C11" s="12" t="s">
        <v>2196</v>
      </c>
      <c r="D11" s="13" t="s">
        <v>2197</v>
      </c>
      <c r="E11" s="12" t="s">
        <v>133</v>
      </c>
      <c r="F11" s="12" t="s">
        <v>133</v>
      </c>
      <c r="G11" s="13" t="s">
        <v>1894</v>
      </c>
      <c r="H11" s="12" t="s">
        <v>97</v>
      </c>
      <c r="I11" s="12" t="s">
        <v>112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2198</v>
      </c>
      <c r="B12" s="12" t="s">
        <v>141</v>
      </c>
      <c r="C12" s="12" t="s">
        <v>781</v>
      </c>
      <c r="D12" s="13" t="s">
        <v>2199</v>
      </c>
      <c r="E12" s="12" t="s">
        <v>133</v>
      </c>
      <c r="F12" s="12" t="s">
        <v>143</v>
      </c>
      <c r="G12" s="13" t="s">
        <v>2200</v>
      </c>
      <c r="H12" s="12" t="s">
        <v>97</v>
      </c>
      <c r="I12" s="12" t="s">
        <v>112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2201</v>
      </c>
      <c r="B13" s="12" t="s">
        <v>2202</v>
      </c>
      <c r="C13" s="12" t="s">
        <v>781</v>
      </c>
      <c r="D13" s="13" t="s">
        <v>2203</v>
      </c>
      <c r="E13" s="12" t="s">
        <v>133</v>
      </c>
      <c r="F13" s="12" t="s">
        <v>153</v>
      </c>
      <c r="G13" s="13" t="s">
        <v>2194</v>
      </c>
      <c r="H13" s="12" t="s">
        <v>97</v>
      </c>
      <c r="I13" s="12" t="s">
        <v>112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2204</v>
      </c>
      <c r="B14" s="12" t="s">
        <v>1292</v>
      </c>
      <c r="C14" s="12" t="s">
        <v>781</v>
      </c>
      <c r="D14" s="13" t="s">
        <v>2205</v>
      </c>
      <c r="E14" s="12" t="s">
        <v>133</v>
      </c>
      <c r="F14" s="12" t="s">
        <v>158</v>
      </c>
      <c r="G14" s="13" t="s">
        <v>2206</v>
      </c>
      <c r="H14" s="12" t="s">
        <v>97</v>
      </c>
      <c r="I14" s="12" t="s">
        <v>112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2207</v>
      </c>
      <c r="B15" s="12" t="s">
        <v>2208</v>
      </c>
      <c r="C15" s="12" t="s">
        <v>781</v>
      </c>
      <c r="D15" s="13" t="s">
        <v>2209</v>
      </c>
      <c r="E15" s="12" t="s">
        <v>133</v>
      </c>
      <c r="F15" s="12" t="s">
        <v>158</v>
      </c>
      <c r="G15" s="13" t="s">
        <v>2206</v>
      </c>
      <c r="H15" s="12" t="s">
        <v>97</v>
      </c>
      <c r="I15" s="12" t="s">
        <v>112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2210</v>
      </c>
      <c r="B16" s="12" t="s">
        <v>2211</v>
      </c>
      <c r="C16" s="12" t="s">
        <v>781</v>
      </c>
      <c r="D16" s="13" t="s">
        <v>2212</v>
      </c>
      <c r="E16" s="12" t="s">
        <v>133</v>
      </c>
      <c r="F16" s="12" t="s">
        <v>158</v>
      </c>
      <c r="G16" s="13" t="s">
        <v>2206</v>
      </c>
      <c r="H16" s="12" t="s">
        <v>97</v>
      </c>
      <c r="I16" s="12" t="s">
        <v>112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2213</v>
      </c>
      <c r="B17" s="12" t="s">
        <v>181</v>
      </c>
      <c r="C17" s="12" t="s">
        <v>781</v>
      </c>
      <c r="D17" s="13" t="s">
        <v>2214</v>
      </c>
      <c r="E17" s="12" t="s">
        <v>133</v>
      </c>
      <c r="F17" s="12" t="s">
        <v>158</v>
      </c>
      <c r="G17" s="13" t="s">
        <v>2215</v>
      </c>
      <c r="H17" s="12" t="s">
        <v>97</v>
      </c>
      <c r="I17" s="12" t="s">
        <v>112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2216</v>
      </c>
      <c r="B18" s="12" t="s">
        <v>2217</v>
      </c>
      <c r="C18" s="12" t="s">
        <v>781</v>
      </c>
      <c r="D18" s="13" t="s">
        <v>2218</v>
      </c>
      <c r="E18" s="12" t="s">
        <v>133</v>
      </c>
      <c r="F18" s="12" t="s">
        <v>158</v>
      </c>
      <c r="G18" s="13" t="s">
        <v>2206</v>
      </c>
      <c r="H18" s="12" t="s">
        <v>97</v>
      </c>
      <c r="I18" s="12" t="s">
        <v>112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2219</v>
      </c>
      <c r="B19" s="12" t="s">
        <v>172</v>
      </c>
      <c r="C19" s="12" t="s">
        <v>781</v>
      </c>
      <c r="D19" s="13" t="s">
        <v>2220</v>
      </c>
      <c r="E19" s="12" t="s">
        <v>133</v>
      </c>
      <c r="F19" s="12" t="s">
        <v>158</v>
      </c>
      <c r="G19" s="13" t="s">
        <v>2221</v>
      </c>
      <c r="H19" s="12" t="s">
        <v>97</v>
      </c>
      <c r="I19" s="12" t="s">
        <v>112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2222</v>
      </c>
      <c r="B20" s="12" t="s">
        <v>161</v>
      </c>
      <c r="C20" s="12" t="s">
        <v>781</v>
      </c>
      <c r="D20" s="13" t="s">
        <v>2223</v>
      </c>
      <c r="E20" s="12" t="s">
        <v>133</v>
      </c>
      <c r="F20" s="12" t="s">
        <v>163</v>
      </c>
      <c r="G20" s="13" t="s">
        <v>2206</v>
      </c>
      <c r="H20" s="12" t="s">
        <v>97</v>
      </c>
      <c r="I20" s="12" t="s">
        <v>112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2224</v>
      </c>
      <c r="B21" s="12" t="s">
        <v>166</v>
      </c>
      <c r="C21" s="12" t="s">
        <v>781</v>
      </c>
      <c r="D21" s="13" t="s">
        <v>2225</v>
      </c>
      <c r="E21" s="12" t="s">
        <v>133</v>
      </c>
      <c r="F21" s="12" t="s">
        <v>168</v>
      </c>
      <c r="G21" s="13" t="s">
        <v>2226</v>
      </c>
      <c r="H21" s="12" t="s">
        <v>99</v>
      </c>
      <c r="I21" s="12" t="s">
        <v>111</v>
      </c>
      <c r="J21" s="14" t="n">
        <v>46230</v>
      </c>
      <c r="K21" s="13" t="s">
        <v>2227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2228</v>
      </c>
      <c r="B22" s="12" t="s">
        <v>186</v>
      </c>
      <c r="C22" s="12" t="s">
        <v>66</v>
      </c>
      <c r="D22" s="13" t="s">
        <v>2229</v>
      </c>
      <c r="E22" s="12" t="s">
        <v>133</v>
      </c>
      <c r="F22" s="12" t="s">
        <v>174</v>
      </c>
      <c r="G22" s="13" t="s">
        <v>2230</v>
      </c>
      <c r="H22" s="12" t="s">
        <v>91</v>
      </c>
      <c r="I22" s="12" t="s">
        <v>111</v>
      </c>
      <c r="J22" s="14" t="n">
        <v>46230</v>
      </c>
      <c r="K22" s="13" t="s">
        <v>1806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2231</v>
      </c>
      <c r="B23" s="12" t="s">
        <v>190</v>
      </c>
      <c r="C23" s="12" t="s">
        <v>66</v>
      </c>
      <c r="D23" s="13" t="s">
        <v>2232</v>
      </c>
      <c r="E23" s="12" t="s">
        <v>133</v>
      </c>
      <c r="F23" s="12" t="s">
        <v>192</v>
      </c>
      <c r="G23" s="13" t="s">
        <v>2233</v>
      </c>
      <c r="H23" s="12" t="s">
        <v>97</v>
      </c>
      <c r="I23" s="12" t="s">
        <v>112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2234</v>
      </c>
      <c r="B24" s="12" t="s">
        <v>195</v>
      </c>
      <c r="C24" s="12" t="s">
        <v>66</v>
      </c>
      <c r="D24" s="13" t="s">
        <v>2235</v>
      </c>
      <c r="E24" s="12" t="s">
        <v>133</v>
      </c>
      <c r="F24" s="12" t="s">
        <v>192</v>
      </c>
      <c r="G24" s="13" t="s">
        <v>2236</v>
      </c>
      <c r="H24" s="12" t="s">
        <v>97</v>
      </c>
      <c r="I24" s="12" t="s">
        <v>112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2237</v>
      </c>
      <c r="B25" s="12" t="s">
        <v>621</v>
      </c>
      <c r="C25" s="12" t="s">
        <v>66</v>
      </c>
      <c r="D25" s="13" t="s">
        <v>2238</v>
      </c>
      <c r="E25" s="12" t="s">
        <v>133</v>
      </c>
      <c r="F25" s="12" t="s">
        <v>623</v>
      </c>
      <c r="G25" s="13" t="s">
        <v>2239</v>
      </c>
      <c r="H25" s="12" t="s">
        <v>97</v>
      </c>
      <c r="I25" s="12" t="s">
        <v>112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2240</v>
      </c>
      <c r="B26" s="12" t="s">
        <v>199</v>
      </c>
      <c r="C26" s="12" t="s">
        <v>66</v>
      </c>
      <c r="D26" s="13" t="s">
        <v>2241</v>
      </c>
      <c r="E26" s="12" t="s">
        <v>201</v>
      </c>
      <c r="F26" s="12" t="s">
        <v>201</v>
      </c>
      <c r="G26" s="13" t="s">
        <v>202</v>
      </c>
      <c r="H26" s="12" t="s">
        <v>97</v>
      </c>
      <c r="I26" s="12" t="s">
        <v>112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2242</v>
      </c>
      <c r="B27" s="12" t="s">
        <v>204</v>
      </c>
      <c r="C27" s="12" t="s">
        <v>66</v>
      </c>
      <c r="D27" s="13" t="s">
        <v>2243</v>
      </c>
      <c r="E27" s="12" t="s">
        <v>133</v>
      </c>
      <c r="F27" s="12" t="s">
        <v>133</v>
      </c>
      <c r="G27" s="13" t="s">
        <v>206</v>
      </c>
      <c r="H27" s="12" t="s">
        <v>97</v>
      </c>
      <c r="I27" s="12" t="s">
        <v>112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2244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2245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115</v>
      </c>
      <c r="E4" s="6" t="n">
        <f aca="false">SUM(M9:M33)</f>
        <v>24</v>
      </c>
      <c r="G4" s="5" t="s">
        <v>14</v>
      </c>
      <c r="H4" s="7" t="n">
        <f aca="false">IF(B4=0,0,E4/B4)</f>
        <v>0.96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1036</v>
      </c>
      <c r="B9" s="12" t="s">
        <v>89</v>
      </c>
      <c r="C9" s="12" t="s">
        <v>781</v>
      </c>
      <c r="D9" s="13" t="s">
        <v>2246</v>
      </c>
      <c r="E9" s="12" t="s">
        <v>133</v>
      </c>
      <c r="F9" s="12" t="s">
        <v>134</v>
      </c>
      <c r="G9" s="13" t="s">
        <v>2247</v>
      </c>
      <c r="H9" s="12" t="s">
        <v>97</v>
      </c>
      <c r="I9" s="12" t="s">
        <v>112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1039</v>
      </c>
      <c r="B10" s="12" t="s">
        <v>1342</v>
      </c>
      <c r="C10" s="12" t="s">
        <v>1183</v>
      </c>
      <c r="D10" s="13" t="s">
        <v>2248</v>
      </c>
      <c r="E10" s="12" t="s">
        <v>133</v>
      </c>
      <c r="F10" s="12" t="s">
        <v>153</v>
      </c>
      <c r="G10" s="13" t="s">
        <v>2249</v>
      </c>
      <c r="H10" s="12" t="s">
        <v>97</v>
      </c>
      <c r="I10" s="12" t="s">
        <v>112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1041</v>
      </c>
      <c r="B11" s="12" t="s">
        <v>137</v>
      </c>
      <c r="C11" s="12" t="s">
        <v>1183</v>
      </c>
      <c r="D11" s="13" t="s">
        <v>2250</v>
      </c>
      <c r="E11" s="12" t="s">
        <v>133</v>
      </c>
      <c r="F11" s="12" t="s">
        <v>133</v>
      </c>
      <c r="G11" s="13" t="s">
        <v>139</v>
      </c>
      <c r="H11" s="12" t="s">
        <v>97</v>
      </c>
      <c r="I11" s="12" t="s">
        <v>112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1044</v>
      </c>
      <c r="B12" s="12" t="s">
        <v>141</v>
      </c>
      <c r="C12" s="12" t="s">
        <v>1183</v>
      </c>
      <c r="D12" s="13" t="s">
        <v>2251</v>
      </c>
      <c r="E12" s="12" t="s">
        <v>133</v>
      </c>
      <c r="F12" s="12" t="s">
        <v>143</v>
      </c>
      <c r="G12" s="13" t="s">
        <v>2252</v>
      </c>
      <c r="H12" s="12" t="s">
        <v>97</v>
      </c>
      <c r="I12" s="12" t="s">
        <v>112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1047</v>
      </c>
      <c r="B13" s="12" t="s">
        <v>146</v>
      </c>
      <c r="C13" s="12" t="s">
        <v>1183</v>
      </c>
      <c r="D13" s="13" t="s">
        <v>2253</v>
      </c>
      <c r="E13" s="12" t="s">
        <v>133</v>
      </c>
      <c r="F13" s="12" t="s">
        <v>148</v>
      </c>
      <c r="G13" s="13" t="s">
        <v>2254</v>
      </c>
      <c r="H13" s="12" t="s">
        <v>97</v>
      </c>
      <c r="I13" s="12" t="s">
        <v>112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1050</v>
      </c>
      <c r="B14" s="12" t="s">
        <v>1575</v>
      </c>
      <c r="C14" s="12" t="s">
        <v>781</v>
      </c>
      <c r="D14" s="13" t="s">
        <v>2255</v>
      </c>
      <c r="E14" s="12" t="s">
        <v>133</v>
      </c>
      <c r="F14" s="12" t="s">
        <v>158</v>
      </c>
      <c r="G14" s="13" t="s">
        <v>2256</v>
      </c>
      <c r="H14" s="12" t="s">
        <v>97</v>
      </c>
      <c r="I14" s="12" t="s">
        <v>112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1053</v>
      </c>
      <c r="B15" s="12" t="s">
        <v>1692</v>
      </c>
      <c r="C15" s="12" t="s">
        <v>781</v>
      </c>
      <c r="D15" s="13" t="s">
        <v>2257</v>
      </c>
      <c r="E15" s="12" t="s">
        <v>133</v>
      </c>
      <c r="F15" s="12" t="s">
        <v>168</v>
      </c>
      <c r="G15" s="13" t="s">
        <v>2258</v>
      </c>
      <c r="H15" s="12" t="s">
        <v>99</v>
      </c>
      <c r="I15" s="12" t="s">
        <v>111</v>
      </c>
      <c r="J15" s="14" t="n">
        <v>46230</v>
      </c>
      <c r="K15" s="13" t="s">
        <v>2259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1055</v>
      </c>
      <c r="B16" s="12" t="s">
        <v>1697</v>
      </c>
      <c r="C16" s="12" t="s">
        <v>781</v>
      </c>
      <c r="D16" s="13" t="s">
        <v>2260</v>
      </c>
      <c r="E16" s="12" t="s">
        <v>133</v>
      </c>
      <c r="F16" s="12" t="s">
        <v>168</v>
      </c>
      <c r="G16" s="13" t="s">
        <v>2258</v>
      </c>
      <c r="H16" s="12" t="s">
        <v>99</v>
      </c>
      <c r="I16" s="12" t="s">
        <v>111</v>
      </c>
      <c r="J16" s="14" t="n">
        <v>46230</v>
      </c>
      <c r="K16" s="13" t="s">
        <v>2261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1059</v>
      </c>
      <c r="B17" s="12" t="s">
        <v>1172</v>
      </c>
      <c r="C17" s="12" t="s">
        <v>781</v>
      </c>
      <c r="D17" s="13" t="s">
        <v>2262</v>
      </c>
      <c r="E17" s="12" t="s">
        <v>133</v>
      </c>
      <c r="F17" s="12" t="s">
        <v>153</v>
      </c>
      <c r="G17" s="13" t="s">
        <v>2263</v>
      </c>
      <c r="H17" s="12" t="s">
        <v>97</v>
      </c>
      <c r="I17" s="12" t="s">
        <v>112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1063</v>
      </c>
      <c r="B18" s="12" t="s">
        <v>2264</v>
      </c>
      <c r="C18" s="12" t="s">
        <v>2265</v>
      </c>
      <c r="D18" s="13" t="s">
        <v>2266</v>
      </c>
      <c r="E18" s="12" t="s">
        <v>133</v>
      </c>
      <c r="F18" s="12" t="s">
        <v>158</v>
      </c>
      <c r="G18" s="13" t="s">
        <v>2263</v>
      </c>
      <c r="H18" s="12" t="s">
        <v>97</v>
      </c>
      <c r="I18" s="12" t="s">
        <v>112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1065</v>
      </c>
      <c r="B19" s="12" t="s">
        <v>2267</v>
      </c>
      <c r="C19" s="12" t="s">
        <v>1085</v>
      </c>
      <c r="D19" s="13" t="s">
        <v>2268</v>
      </c>
      <c r="E19" s="12" t="s">
        <v>133</v>
      </c>
      <c r="F19" s="12" t="s">
        <v>158</v>
      </c>
      <c r="G19" s="13" t="s">
        <v>2263</v>
      </c>
      <c r="H19" s="12" t="s">
        <v>97</v>
      </c>
      <c r="I19" s="12" t="s">
        <v>112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1068</v>
      </c>
      <c r="B20" s="12" t="s">
        <v>2269</v>
      </c>
      <c r="C20" s="12" t="s">
        <v>2270</v>
      </c>
      <c r="D20" s="13" t="s">
        <v>2271</v>
      </c>
      <c r="E20" s="12" t="s">
        <v>133</v>
      </c>
      <c r="F20" s="12" t="s">
        <v>158</v>
      </c>
      <c r="G20" s="13" t="s">
        <v>2272</v>
      </c>
      <c r="H20" s="12" t="s">
        <v>97</v>
      </c>
      <c r="I20" s="12" t="s">
        <v>112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1071</v>
      </c>
      <c r="B21" s="12" t="s">
        <v>1789</v>
      </c>
      <c r="C21" s="12" t="s">
        <v>1789</v>
      </c>
      <c r="D21" s="13" t="s">
        <v>2273</v>
      </c>
      <c r="E21" s="12" t="s">
        <v>133</v>
      </c>
      <c r="F21" s="12" t="s">
        <v>168</v>
      </c>
      <c r="G21" s="13" t="s">
        <v>2258</v>
      </c>
      <c r="H21" s="12" t="s">
        <v>99</v>
      </c>
      <c r="I21" s="12" t="s">
        <v>111</v>
      </c>
      <c r="J21" s="14" t="n">
        <v>46230</v>
      </c>
      <c r="K21" s="13" t="s">
        <v>2274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1073</v>
      </c>
      <c r="B22" s="12" t="s">
        <v>181</v>
      </c>
      <c r="C22" s="12" t="s">
        <v>2275</v>
      </c>
      <c r="D22" s="13" t="s">
        <v>2276</v>
      </c>
      <c r="E22" s="12" t="s">
        <v>133</v>
      </c>
      <c r="F22" s="12" t="s">
        <v>153</v>
      </c>
      <c r="G22" s="13" t="s">
        <v>2263</v>
      </c>
      <c r="H22" s="12" t="s">
        <v>97</v>
      </c>
      <c r="I22" s="12" t="s">
        <v>112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1076</v>
      </c>
      <c r="B23" s="12" t="s">
        <v>2277</v>
      </c>
      <c r="C23" s="12" t="s">
        <v>1085</v>
      </c>
      <c r="D23" s="13" t="s">
        <v>2278</v>
      </c>
      <c r="E23" s="12" t="s">
        <v>133</v>
      </c>
      <c r="F23" s="12" t="s">
        <v>158</v>
      </c>
      <c r="G23" s="13" t="s">
        <v>2279</v>
      </c>
      <c r="H23" s="12" t="s">
        <v>97</v>
      </c>
      <c r="I23" s="12" t="s">
        <v>112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2280</v>
      </c>
      <c r="B24" s="12" t="s">
        <v>161</v>
      </c>
      <c r="C24" s="12" t="s">
        <v>1183</v>
      </c>
      <c r="D24" s="13" t="s">
        <v>2281</v>
      </c>
      <c r="E24" s="12" t="s">
        <v>133</v>
      </c>
      <c r="F24" s="12" t="s">
        <v>163</v>
      </c>
      <c r="G24" s="13" t="s">
        <v>2256</v>
      </c>
      <c r="H24" s="12" t="s">
        <v>97</v>
      </c>
      <c r="I24" s="12" t="s">
        <v>112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2282</v>
      </c>
      <c r="B25" s="12" t="s">
        <v>172</v>
      </c>
      <c r="C25" s="12" t="s">
        <v>1183</v>
      </c>
      <c r="D25" s="13" t="s">
        <v>2283</v>
      </c>
      <c r="E25" s="12" t="s">
        <v>133</v>
      </c>
      <c r="F25" s="12" t="s">
        <v>158</v>
      </c>
      <c r="G25" s="13" t="s">
        <v>2284</v>
      </c>
      <c r="H25" s="12" t="s">
        <v>97</v>
      </c>
      <c r="I25" s="12" t="s">
        <v>112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2285</v>
      </c>
      <c r="B26" s="12" t="s">
        <v>1862</v>
      </c>
      <c r="C26" s="12" t="s">
        <v>1183</v>
      </c>
      <c r="D26" s="13" t="s">
        <v>2286</v>
      </c>
      <c r="E26" s="12" t="s">
        <v>133</v>
      </c>
      <c r="F26" s="12" t="s">
        <v>168</v>
      </c>
      <c r="G26" s="13" t="s">
        <v>2258</v>
      </c>
      <c r="H26" s="12" t="s">
        <v>99</v>
      </c>
      <c r="I26" s="12" t="s">
        <v>111</v>
      </c>
      <c r="J26" s="14" t="n">
        <v>46230</v>
      </c>
      <c r="K26" s="13" t="s">
        <v>2287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2288</v>
      </c>
      <c r="B27" s="12" t="s">
        <v>166</v>
      </c>
      <c r="C27" s="12" t="s">
        <v>1183</v>
      </c>
      <c r="D27" s="13" t="s">
        <v>2289</v>
      </c>
      <c r="E27" s="12" t="s">
        <v>133</v>
      </c>
      <c r="F27" s="12" t="s">
        <v>168</v>
      </c>
      <c r="G27" s="13" t="s">
        <v>2258</v>
      </c>
      <c r="H27" s="12" t="s">
        <v>99</v>
      </c>
      <c r="I27" s="12" t="s">
        <v>111</v>
      </c>
      <c r="J27" s="14" t="n">
        <v>46230</v>
      </c>
      <c r="K27" s="13" t="s">
        <v>2290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2291</v>
      </c>
      <c r="B28" s="12" t="s">
        <v>621</v>
      </c>
      <c r="C28" s="12" t="s">
        <v>1183</v>
      </c>
      <c r="D28" s="13" t="s">
        <v>2292</v>
      </c>
      <c r="E28" s="12" t="s">
        <v>133</v>
      </c>
      <c r="F28" s="12" t="s">
        <v>623</v>
      </c>
      <c r="G28" s="13" t="s">
        <v>2293</v>
      </c>
      <c r="H28" s="12" t="s">
        <v>97</v>
      </c>
      <c r="I28" s="12" t="s">
        <v>112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2294</v>
      </c>
      <c r="B29" s="12" t="s">
        <v>186</v>
      </c>
      <c r="C29" s="12" t="s">
        <v>1183</v>
      </c>
      <c r="D29" s="13" t="s">
        <v>2295</v>
      </c>
      <c r="E29" s="12" t="s">
        <v>133</v>
      </c>
      <c r="F29" s="12" t="s">
        <v>174</v>
      </c>
      <c r="G29" s="13" t="s">
        <v>2296</v>
      </c>
      <c r="H29" s="12" t="s">
        <v>91</v>
      </c>
      <c r="I29" s="12" t="s">
        <v>111</v>
      </c>
      <c r="J29" s="14" t="n">
        <v>46230</v>
      </c>
      <c r="K29" s="13" t="s">
        <v>1806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2297</v>
      </c>
      <c r="B30" s="12" t="s">
        <v>190</v>
      </c>
      <c r="C30" s="12" t="s">
        <v>1183</v>
      </c>
      <c r="D30" s="13" t="s">
        <v>2298</v>
      </c>
      <c r="E30" s="12" t="s">
        <v>133</v>
      </c>
      <c r="F30" s="12" t="s">
        <v>192</v>
      </c>
      <c r="G30" s="13" t="s">
        <v>2299</v>
      </c>
      <c r="H30" s="12" t="s">
        <v>97</v>
      </c>
      <c r="I30" s="12" t="s">
        <v>112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2300</v>
      </c>
      <c r="B31" s="12" t="s">
        <v>195</v>
      </c>
      <c r="C31" s="12" t="s">
        <v>67</v>
      </c>
      <c r="D31" s="13" t="s">
        <v>2301</v>
      </c>
      <c r="E31" s="12" t="s">
        <v>133</v>
      </c>
      <c r="F31" s="12" t="s">
        <v>192</v>
      </c>
      <c r="G31" s="13" t="s">
        <v>2302</v>
      </c>
      <c r="H31" s="12" t="s">
        <v>97</v>
      </c>
      <c r="I31" s="12" t="s">
        <v>112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2303</v>
      </c>
      <c r="B32" s="12" t="s">
        <v>199</v>
      </c>
      <c r="C32" s="12" t="s">
        <v>67</v>
      </c>
      <c r="D32" s="13" t="s">
        <v>2304</v>
      </c>
      <c r="E32" s="12" t="s">
        <v>201</v>
      </c>
      <c r="F32" s="12" t="s">
        <v>201</v>
      </c>
      <c r="G32" s="13" t="s">
        <v>202</v>
      </c>
      <c r="H32" s="12" t="s">
        <v>97</v>
      </c>
      <c r="I32" s="12" t="s">
        <v>112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2305</v>
      </c>
      <c r="B33" s="12" t="s">
        <v>204</v>
      </c>
      <c r="C33" s="12" t="s">
        <v>67</v>
      </c>
      <c r="D33" s="13" t="s">
        <v>2306</v>
      </c>
      <c r="E33" s="12" t="s">
        <v>133</v>
      </c>
      <c r="F33" s="12" t="s">
        <v>133</v>
      </c>
      <c r="G33" s="13" t="s">
        <v>2307</v>
      </c>
      <c r="H33" s="12" t="s">
        <v>97</v>
      </c>
      <c r="I33" s="12" t="s">
        <v>112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2308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2309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115</v>
      </c>
      <c r="E4" s="6" t="n">
        <f aca="false">SUM(M9:M34)</f>
        <v>25</v>
      </c>
      <c r="G4" s="5" t="s">
        <v>14</v>
      </c>
      <c r="H4" s="7" t="n">
        <f aca="false">IF(B4=0,0,E4/B4)</f>
        <v>0.961538461538462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2310</v>
      </c>
      <c r="B9" s="12" t="s">
        <v>89</v>
      </c>
      <c r="C9" s="12" t="s">
        <v>781</v>
      </c>
      <c r="D9" s="13" t="s">
        <v>2311</v>
      </c>
      <c r="E9" s="12" t="s">
        <v>133</v>
      </c>
      <c r="F9" s="12" t="s">
        <v>134</v>
      </c>
      <c r="G9" s="13" t="s">
        <v>2312</v>
      </c>
      <c r="H9" s="12" t="s">
        <v>97</v>
      </c>
      <c r="I9" s="12" t="s">
        <v>112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2313</v>
      </c>
      <c r="B10" s="12" t="s">
        <v>1342</v>
      </c>
      <c r="C10" s="12" t="s">
        <v>1183</v>
      </c>
      <c r="D10" s="13" t="s">
        <v>2314</v>
      </c>
      <c r="E10" s="12" t="s">
        <v>133</v>
      </c>
      <c r="F10" s="12" t="s">
        <v>153</v>
      </c>
      <c r="G10" s="13" t="s">
        <v>2315</v>
      </c>
      <c r="H10" s="12" t="s">
        <v>97</v>
      </c>
      <c r="I10" s="12" t="s">
        <v>112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2316</v>
      </c>
      <c r="B11" s="12" t="s">
        <v>137</v>
      </c>
      <c r="C11" s="12" t="s">
        <v>1183</v>
      </c>
      <c r="D11" s="13" t="s">
        <v>2317</v>
      </c>
      <c r="E11" s="12" t="s">
        <v>133</v>
      </c>
      <c r="F11" s="12" t="s">
        <v>133</v>
      </c>
      <c r="G11" s="13" t="s">
        <v>139</v>
      </c>
      <c r="H11" s="12" t="s">
        <v>97</v>
      </c>
      <c r="I11" s="12" t="s">
        <v>112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2318</v>
      </c>
      <c r="B12" s="12" t="s">
        <v>141</v>
      </c>
      <c r="C12" s="12" t="s">
        <v>1183</v>
      </c>
      <c r="D12" s="13" t="s">
        <v>2319</v>
      </c>
      <c r="E12" s="12" t="s">
        <v>133</v>
      </c>
      <c r="F12" s="12" t="s">
        <v>143</v>
      </c>
      <c r="G12" s="13" t="s">
        <v>2320</v>
      </c>
      <c r="H12" s="12" t="s">
        <v>97</v>
      </c>
      <c r="I12" s="12" t="s">
        <v>112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2321</v>
      </c>
      <c r="B13" s="12" t="s">
        <v>146</v>
      </c>
      <c r="C13" s="12" t="s">
        <v>1183</v>
      </c>
      <c r="D13" s="13" t="s">
        <v>2322</v>
      </c>
      <c r="E13" s="12" t="s">
        <v>133</v>
      </c>
      <c r="F13" s="12" t="s">
        <v>148</v>
      </c>
      <c r="G13" s="13" t="s">
        <v>2323</v>
      </c>
      <c r="H13" s="12" t="s">
        <v>97</v>
      </c>
      <c r="I13" s="12" t="s">
        <v>112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2324</v>
      </c>
      <c r="B14" s="12" t="s">
        <v>1575</v>
      </c>
      <c r="C14" s="12" t="s">
        <v>781</v>
      </c>
      <c r="D14" s="13" t="s">
        <v>2325</v>
      </c>
      <c r="E14" s="12" t="s">
        <v>133</v>
      </c>
      <c r="F14" s="12" t="s">
        <v>158</v>
      </c>
      <c r="G14" s="13" t="s">
        <v>2326</v>
      </c>
      <c r="H14" s="12" t="s">
        <v>97</v>
      </c>
      <c r="I14" s="12" t="s">
        <v>112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2327</v>
      </c>
      <c r="B15" s="12" t="s">
        <v>1692</v>
      </c>
      <c r="C15" s="12" t="s">
        <v>781</v>
      </c>
      <c r="D15" s="13" t="s">
        <v>2328</v>
      </c>
      <c r="E15" s="12" t="s">
        <v>133</v>
      </c>
      <c r="F15" s="12" t="s">
        <v>168</v>
      </c>
      <c r="G15" s="13" t="s">
        <v>2329</v>
      </c>
      <c r="H15" s="12" t="s">
        <v>99</v>
      </c>
      <c r="I15" s="12" t="s">
        <v>111</v>
      </c>
      <c r="J15" s="14" t="n">
        <v>46230</v>
      </c>
      <c r="K15" s="13" t="s">
        <v>2259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2330</v>
      </c>
      <c r="B16" s="12" t="s">
        <v>1697</v>
      </c>
      <c r="C16" s="12" t="s">
        <v>781</v>
      </c>
      <c r="D16" s="13" t="s">
        <v>2331</v>
      </c>
      <c r="E16" s="12" t="s">
        <v>133</v>
      </c>
      <c r="F16" s="12" t="s">
        <v>168</v>
      </c>
      <c r="G16" s="13" t="s">
        <v>2329</v>
      </c>
      <c r="H16" s="12" t="s">
        <v>99</v>
      </c>
      <c r="I16" s="12" t="s">
        <v>111</v>
      </c>
      <c r="J16" s="14" t="n">
        <v>46230</v>
      </c>
      <c r="K16" s="13" t="s">
        <v>2261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2332</v>
      </c>
      <c r="B17" s="12" t="s">
        <v>2333</v>
      </c>
      <c r="C17" s="12" t="s">
        <v>836</v>
      </c>
      <c r="D17" s="13" t="s">
        <v>2334</v>
      </c>
      <c r="E17" s="12" t="s">
        <v>133</v>
      </c>
      <c r="F17" s="12" t="s">
        <v>153</v>
      </c>
      <c r="G17" s="13" t="s">
        <v>2335</v>
      </c>
      <c r="H17" s="12" t="s">
        <v>97</v>
      </c>
      <c r="I17" s="12" t="s">
        <v>112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2336</v>
      </c>
      <c r="B18" s="12" t="s">
        <v>2337</v>
      </c>
      <c r="C18" s="12" t="s">
        <v>836</v>
      </c>
      <c r="D18" s="13" t="s">
        <v>2338</v>
      </c>
      <c r="E18" s="12" t="s">
        <v>133</v>
      </c>
      <c r="F18" s="12" t="s">
        <v>153</v>
      </c>
      <c r="G18" s="13" t="s">
        <v>2335</v>
      </c>
      <c r="H18" s="12" t="s">
        <v>97</v>
      </c>
      <c r="I18" s="12" t="s">
        <v>112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2339</v>
      </c>
      <c r="B19" s="12" t="s">
        <v>2340</v>
      </c>
      <c r="C19" s="12" t="s">
        <v>781</v>
      </c>
      <c r="D19" s="13" t="s">
        <v>2341</v>
      </c>
      <c r="E19" s="12" t="s">
        <v>133</v>
      </c>
      <c r="F19" s="12" t="s">
        <v>153</v>
      </c>
      <c r="G19" s="13" t="s">
        <v>2315</v>
      </c>
      <c r="H19" s="12" t="s">
        <v>97</v>
      </c>
      <c r="I19" s="12" t="s">
        <v>112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2342</v>
      </c>
      <c r="B20" s="12" t="s">
        <v>2343</v>
      </c>
      <c r="C20" s="12" t="s">
        <v>1779</v>
      </c>
      <c r="D20" s="13" t="s">
        <v>2344</v>
      </c>
      <c r="E20" s="12" t="s">
        <v>133</v>
      </c>
      <c r="F20" s="12" t="s">
        <v>158</v>
      </c>
      <c r="G20" s="13" t="s">
        <v>2335</v>
      </c>
      <c r="H20" s="12" t="s">
        <v>97</v>
      </c>
      <c r="I20" s="12" t="s">
        <v>112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2345</v>
      </c>
      <c r="B21" s="12" t="s">
        <v>2264</v>
      </c>
      <c r="C21" s="12" t="s">
        <v>2346</v>
      </c>
      <c r="D21" s="13" t="s">
        <v>2347</v>
      </c>
      <c r="E21" s="12" t="s">
        <v>133</v>
      </c>
      <c r="F21" s="12" t="s">
        <v>158</v>
      </c>
      <c r="G21" s="13" t="s">
        <v>2335</v>
      </c>
      <c r="H21" s="12" t="s">
        <v>97</v>
      </c>
      <c r="I21" s="12" t="s">
        <v>112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2348</v>
      </c>
      <c r="B22" s="12" t="s">
        <v>2267</v>
      </c>
      <c r="C22" s="12" t="s">
        <v>1085</v>
      </c>
      <c r="D22" s="13" t="s">
        <v>2349</v>
      </c>
      <c r="E22" s="12" t="s">
        <v>133</v>
      </c>
      <c r="F22" s="12" t="s">
        <v>158</v>
      </c>
      <c r="G22" s="13" t="s">
        <v>2335</v>
      </c>
      <c r="H22" s="12" t="s">
        <v>97</v>
      </c>
      <c r="I22" s="12" t="s">
        <v>112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2350</v>
      </c>
      <c r="B23" s="12" t="s">
        <v>2269</v>
      </c>
      <c r="C23" s="12" t="s">
        <v>2351</v>
      </c>
      <c r="D23" s="13" t="s">
        <v>2352</v>
      </c>
      <c r="E23" s="12" t="s">
        <v>133</v>
      </c>
      <c r="F23" s="12" t="s">
        <v>158</v>
      </c>
      <c r="G23" s="13" t="s">
        <v>2353</v>
      </c>
      <c r="H23" s="12" t="s">
        <v>97</v>
      </c>
      <c r="I23" s="12" t="s">
        <v>112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2354</v>
      </c>
      <c r="B24" s="12" t="s">
        <v>1582</v>
      </c>
      <c r="C24" s="12" t="s">
        <v>1779</v>
      </c>
      <c r="D24" s="13" t="s">
        <v>2355</v>
      </c>
      <c r="E24" s="12" t="s">
        <v>133</v>
      </c>
      <c r="F24" s="12" t="s">
        <v>158</v>
      </c>
      <c r="G24" s="13" t="s">
        <v>2326</v>
      </c>
      <c r="H24" s="12" t="s">
        <v>97</v>
      </c>
      <c r="I24" s="12" t="s">
        <v>112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2356</v>
      </c>
      <c r="B25" s="12" t="s">
        <v>2028</v>
      </c>
      <c r="C25" s="12" t="s">
        <v>1183</v>
      </c>
      <c r="D25" s="13" t="s">
        <v>2357</v>
      </c>
      <c r="E25" s="12" t="s">
        <v>133</v>
      </c>
      <c r="F25" s="12" t="s">
        <v>168</v>
      </c>
      <c r="G25" s="13" t="s">
        <v>2358</v>
      </c>
      <c r="H25" s="12" t="s">
        <v>99</v>
      </c>
      <c r="I25" s="12" t="s">
        <v>111</v>
      </c>
      <c r="J25" s="14" t="n">
        <v>46230</v>
      </c>
      <c r="K25" s="13" t="s">
        <v>2359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2360</v>
      </c>
      <c r="B26" s="12" t="s">
        <v>181</v>
      </c>
      <c r="C26" s="12" t="s">
        <v>2361</v>
      </c>
      <c r="D26" s="13" t="s">
        <v>2362</v>
      </c>
      <c r="E26" s="12" t="s">
        <v>133</v>
      </c>
      <c r="F26" s="12" t="s">
        <v>153</v>
      </c>
      <c r="G26" s="13" t="s">
        <v>2315</v>
      </c>
      <c r="H26" s="12" t="s">
        <v>97</v>
      </c>
      <c r="I26" s="12" t="s">
        <v>112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2363</v>
      </c>
      <c r="B27" s="12" t="s">
        <v>2364</v>
      </c>
      <c r="C27" s="12" t="s">
        <v>1183</v>
      </c>
      <c r="D27" s="13" t="s">
        <v>2365</v>
      </c>
      <c r="E27" s="12" t="s">
        <v>133</v>
      </c>
      <c r="F27" s="12" t="s">
        <v>163</v>
      </c>
      <c r="G27" s="13" t="s">
        <v>2326</v>
      </c>
      <c r="H27" s="12" t="s">
        <v>97</v>
      </c>
      <c r="I27" s="12" t="s">
        <v>112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2366</v>
      </c>
      <c r="B28" s="12" t="s">
        <v>1862</v>
      </c>
      <c r="C28" s="12" t="s">
        <v>1183</v>
      </c>
      <c r="D28" s="13" t="s">
        <v>2286</v>
      </c>
      <c r="E28" s="12" t="s">
        <v>133</v>
      </c>
      <c r="F28" s="12" t="s">
        <v>168</v>
      </c>
      <c r="G28" s="13" t="s">
        <v>2329</v>
      </c>
      <c r="H28" s="12" t="s">
        <v>99</v>
      </c>
      <c r="I28" s="12" t="s">
        <v>111</v>
      </c>
      <c r="J28" s="14" t="n">
        <v>46230</v>
      </c>
      <c r="K28" s="13" t="s">
        <v>2287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2367</v>
      </c>
      <c r="B29" s="12" t="s">
        <v>166</v>
      </c>
      <c r="C29" s="12" t="s">
        <v>1183</v>
      </c>
      <c r="D29" s="13" t="s">
        <v>2368</v>
      </c>
      <c r="E29" s="12" t="s">
        <v>133</v>
      </c>
      <c r="F29" s="12" t="s">
        <v>168</v>
      </c>
      <c r="G29" s="13" t="s">
        <v>2329</v>
      </c>
      <c r="H29" s="12" t="s">
        <v>99</v>
      </c>
      <c r="I29" s="12" t="s">
        <v>111</v>
      </c>
      <c r="J29" s="14" t="n">
        <v>46230</v>
      </c>
      <c r="K29" s="13" t="s">
        <v>2369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2370</v>
      </c>
      <c r="B30" s="12" t="s">
        <v>621</v>
      </c>
      <c r="C30" s="12" t="s">
        <v>1183</v>
      </c>
      <c r="D30" s="13" t="s">
        <v>2371</v>
      </c>
      <c r="E30" s="12" t="s">
        <v>133</v>
      </c>
      <c r="F30" s="12" t="s">
        <v>623</v>
      </c>
      <c r="G30" s="13" t="s">
        <v>2372</v>
      </c>
      <c r="H30" s="12" t="s">
        <v>97</v>
      </c>
      <c r="I30" s="12" t="s">
        <v>112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2373</v>
      </c>
      <c r="B31" s="12" t="s">
        <v>186</v>
      </c>
      <c r="C31" s="12" t="s">
        <v>1183</v>
      </c>
      <c r="D31" s="13" t="s">
        <v>2295</v>
      </c>
      <c r="E31" s="12" t="s">
        <v>133</v>
      </c>
      <c r="F31" s="12" t="s">
        <v>174</v>
      </c>
      <c r="G31" s="13" t="s">
        <v>2374</v>
      </c>
      <c r="H31" s="12" t="s">
        <v>91</v>
      </c>
      <c r="I31" s="12" t="s">
        <v>111</v>
      </c>
      <c r="J31" s="14" t="n">
        <v>46230</v>
      </c>
      <c r="K31" s="13" t="s">
        <v>1806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2375</v>
      </c>
      <c r="B32" s="12" t="s">
        <v>2376</v>
      </c>
      <c r="C32" s="12" t="s">
        <v>1183</v>
      </c>
      <c r="D32" s="13" t="s">
        <v>2377</v>
      </c>
      <c r="E32" s="12" t="s">
        <v>133</v>
      </c>
      <c r="F32" s="12" t="s">
        <v>192</v>
      </c>
      <c r="G32" s="13" t="s">
        <v>2378</v>
      </c>
      <c r="H32" s="12" t="s">
        <v>97</v>
      </c>
      <c r="I32" s="12" t="s">
        <v>112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2379</v>
      </c>
      <c r="B33" s="12" t="s">
        <v>199</v>
      </c>
      <c r="C33" s="12" t="s">
        <v>68</v>
      </c>
      <c r="D33" s="13" t="s">
        <v>2380</v>
      </c>
      <c r="E33" s="12" t="s">
        <v>201</v>
      </c>
      <c r="F33" s="12" t="s">
        <v>201</v>
      </c>
      <c r="G33" s="13" t="s">
        <v>202</v>
      </c>
      <c r="H33" s="12" t="s">
        <v>97</v>
      </c>
      <c r="I33" s="12" t="s">
        <v>112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2381</v>
      </c>
      <c r="B34" s="12" t="s">
        <v>204</v>
      </c>
      <c r="C34" s="12" t="s">
        <v>68</v>
      </c>
      <c r="D34" s="13" t="s">
        <v>2382</v>
      </c>
      <c r="E34" s="12" t="s">
        <v>133</v>
      </c>
      <c r="F34" s="12" t="s">
        <v>133</v>
      </c>
      <c r="G34" s="13" t="s">
        <v>2307</v>
      </c>
      <c r="H34" s="12" t="s">
        <v>97</v>
      </c>
      <c r="I34" s="12" t="s">
        <v>112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2384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115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2385</v>
      </c>
      <c r="B9" s="12" t="s">
        <v>89</v>
      </c>
      <c r="C9" s="12" t="s">
        <v>1183</v>
      </c>
      <c r="D9" s="13" t="s">
        <v>2386</v>
      </c>
      <c r="E9" s="12" t="s">
        <v>133</v>
      </c>
      <c r="F9" s="12" t="s">
        <v>134</v>
      </c>
      <c r="G9" s="13" t="s">
        <v>2387</v>
      </c>
      <c r="H9" s="12" t="s">
        <v>97</v>
      </c>
      <c r="I9" s="12" t="s">
        <v>112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2388</v>
      </c>
      <c r="B10" s="12" t="s">
        <v>2389</v>
      </c>
      <c r="C10" s="12" t="s">
        <v>2390</v>
      </c>
      <c r="D10" s="13" t="s">
        <v>2391</v>
      </c>
      <c r="E10" s="12" t="s">
        <v>133</v>
      </c>
      <c r="F10" s="12" t="s">
        <v>153</v>
      </c>
      <c r="G10" s="13" t="s">
        <v>2392</v>
      </c>
      <c r="H10" s="12" t="s">
        <v>97</v>
      </c>
      <c r="I10" s="12" t="s">
        <v>112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2393</v>
      </c>
      <c r="B11" s="12" t="s">
        <v>1342</v>
      </c>
      <c r="C11" s="12" t="s">
        <v>1183</v>
      </c>
      <c r="D11" s="13" t="s">
        <v>2394</v>
      </c>
      <c r="E11" s="12" t="s">
        <v>133</v>
      </c>
      <c r="F11" s="12" t="s">
        <v>153</v>
      </c>
      <c r="G11" s="13" t="s">
        <v>2392</v>
      </c>
      <c r="H11" s="12" t="s">
        <v>97</v>
      </c>
      <c r="I11" s="12" t="s">
        <v>112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2395</v>
      </c>
      <c r="B12" s="12" t="s">
        <v>137</v>
      </c>
      <c r="C12" s="12" t="s">
        <v>1183</v>
      </c>
      <c r="D12" s="13" t="s">
        <v>2396</v>
      </c>
      <c r="E12" s="12" t="s">
        <v>133</v>
      </c>
      <c r="F12" s="12" t="s">
        <v>133</v>
      </c>
      <c r="G12" s="13" t="s">
        <v>581</v>
      </c>
      <c r="H12" s="12" t="s">
        <v>97</v>
      </c>
      <c r="I12" s="12" t="s">
        <v>112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2397</v>
      </c>
      <c r="B13" s="12" t="s">
        <v>141</v>
      </c>
      <c r="C13" s="12" t="s">
        <v>2398</v>
      </c>
      <c r="D13" s="13" t="s">
        <v>2399</v>
      </c>
      <c r="E13" s="12" t="s">
        <v>133</v>
      </c>
      <c r="F13" s="12" t="s">
        <v>143</v>
      </c>
      <c r="G13" s="13" t="s">
        <v>2400</v>
      </c>
      <c r="H13" s="12" t="s">
        <v>97</v>
      </c>
      <c r="I13" s="12" t="s">
        <v>112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2401</v>
      </c>
      <c r="B14" s="12" t="s">
        <v>146</v>
      </c>
      <c r="C14" s="12" t="s">
        <v>1183</v>
      </c>
      <c r="D14" s="13" t="s">
        <v>2402</v>
      </c>
      <c r="E14" s="12" t="s">
        <v>133</v>
      </c>
      <c r="F14" s="12" t="s">
        <v>148</v>
      </c>
      <c r="G14" s="13" t="s">
        <v>2403</v>
      </c>
      <c r="H14" s="12" t="s">
        <v>97</v>
      </c>
      <c r="I14" s="12" t="s">
        <v>112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2404</v>
      </c>
      <c r="B15" s="12" t="s">
        <v>1575</v>
      </c>
      <c r="C15" s="12" t="s">
        <v>2405</v>
      </c>
      <c r="D15" s="13" t="s">
        <v>2406</v>
      </c>
      <c r="E15" s="12" t="s">
        <v>133</v>
      </c>
      <c r="F15" s="12" t="s">
        <v>158</v>
      </c>
      <c r="G15" s="13" t="s">
        <v>2407</v>
      </c>
      <c r="H15" s="12" t="s">
        <v>97</v>
      </c>
      <c r="I15" s="12" t="s">
        <v>112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2408</v>
      </c>
      <c r="B16" s="12" t="s">
        <v>141</v>
      </c>
      <c r="C16" s="12" t="s">
        <v>2409</v>
      </c>
      <c r="D16" s="13" t="s">
        <v>2410</v>
      </c>
      <c r="E16" s="12" t="s">
        <v>133</v>
      </c>
      <c r="F16" s="12" t="s">
        <v>168</v>
      </c>
      <c r="G16" s="13" t="s">
        <v>2411</v>
      </c>
      <c r="H16" s="12" t="s">
        <v>99</v>
      </c>
      <c r="I16" s="12" t="s">
        <v>111</v>
      </c>
      <c r="J16" s="14" t="n">
        <v>46230</v>
      </c>
      <c r="K16" s="13" t="s">
        <v>2412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2413</v>
      </c>
      <c r="B17" s="12" t="s">
        <v>1085</v>
      </c>
      <c r="C17" s="12" t="s">
        <v>2414</v>
      </c>
      <c r="D17" s="13" t="s">
        <v>2415</v>
      </c>
      <c r="E17" s="12" t="s">
        <v>133</v>
      </c>
      <c r="F17" s="12" t="s">
        <v>168</v>
      </c>
      <c r="G17" s="13" t="s">
        <v>2416</v>
      </c>
      <c r="H17" s="12" t="s">
        <v>99</v>
      </c>
      <c r="I17" s="12" t="s">
        <v>111</v>
      </c>
      <c r="J17" s="14" t="n">
        <v>46230</v>
      </c>
      <c r="K17" s="13" t="s">
        <v>2417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2418</v>
      </c>
      <c r="B18" s="12" t="s">
        <v>2419</v>
      </c>
      <c r="C18" s="12" t="s">
        <v>2420</v>
      </c>
      <c r="D18" s="13" t="s">
        <v>2421</v>
      </c>
      <c r="E18" s="12" t="s">
        <v>133</v>
      </c>
      <c r="F18" s="12" t="s">
        <v>158</v>
      </c>
      <c r="G18" s="13" t="s">
        <v>2407</v>
      </c>
      <c r="H18" s="12" t="s">
        <v>97</v>
      </c>
      <c r="I18" s="12" t="s">
        <v>112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2422</v>
      </c>
      <c r="B19" s="12" t="s">
        <v>2423</v>
      </c>
      <c r="C19" s="12" t="s">
        <v>2424</v>
      </c>
      <c r="D19" s="13" t="s">
        <v>2425</v>
      </c>
      <c r="E19" s="12" t="s">
        <v>133</v>
      </c>
      <c r="F19" s="12" t="s">
        <v>158</v>
      </c>
      <c r="G19" s="13" t="s">
        <v>2426</v>
      </c>
      <c r="H19" s="12" t="s">
        <v>97</v>
      </c>
      <c r="I19" s="12" t="s">
        <v>112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2427</v>
      </c>
      <c r="B20" s="12" t="s">
        <v>2428</v>
      </c>
      <c r="C20" s="12" t="s">
        <v>2083</v>
      </c>
      <c r="D20" s="13" t="s">
        <v>2429</v>
      </c>
      <c r="E20" s="12" t="s">
        <v>133</v>
      </c>
      <c r="F20" s="12" t="s">
        <v>168</v>
      </c>
      <c r="G20" s="13" t="s">
        <v>2426</v>
      </c>
      <c r="H20" s="12" t="s">
        <v>99</v>
      </c>
      <c r="I20" s="12" t="s">
        <v>111</v>
      </c>
      <c r="J20" s="14" t="n">
        <v>46230</v>
      </c>
      <c r="K20" s="13" t="s">
        <v>2430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2431</v>
      </c>
      <c r="B21" s="12" t="s">
        <v>2432</v>
      </c>
      <c r="C21" s="12" t="s">
        <v>2424</v>
      </c>
      <c r="D21" s="13" t="s">
        <v>2433</v>
      </c>
      <c r="E21" s="12" t="s">
        <v>133</v>
      </c>
      <c r="F21" s="12" t="s">
        <v>158</v>
      </c>
      <c r="G21" s="13" t="s">
        <v>2426</v>
      </c>
      <c r="H21" s="12" t="s">
        <v>97</v>
      </c>
      <c r="I21" s="12" t="s">
        <v>112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2434</v>
      </c>
      <c r="B22" s="12" t="s">
        <v>2435</v>
      </c>
      <c r="C22" s="12" t="s">
        <v>2436</v>
      </c>
      <c r="D22" s="13" t="s">
        <v>2437</v>
      </c>
      <c r="E22" s="12" t="s">
        <v>133</v>
      </c>
      <c r="F22" s="12" t="s">
        <v>158</v>
      </c>
      <c r="G22" s="13" t="s">
        <v>2438</v>
      </c>
      <c r="H22" s="12" t="s">
        <v>97</v>
      </c>
      <c r="I22" s="12" t="s">
        <v>112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2439</v>
      </c>
      <c r="B23" s="12" t="s">
        <v>2440</v>
      </c>
      <c r="C23" s="12" t="s">
        <v>2441</v>
      </c>
      <c r="D23" s="13" t="s">
        <v>2442</v>
      </c>
      <c r="E23" s="12" t="s">
        <v>133</v>
      </c>
      <c r="F23" s="12" t="s">
        <v>153</v>
      </c>
      <c r="G23" s="13" t="s">
        <v>2443</v>
      </c>
      <c r="H23" s="12" t="s">
        <v>97</v>
      </c>
      <c r="I23" s="12" t="s">
        <v>112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2444</v>
      </c>
      <c r="B24" s="12" t="s">
        <v>2445</v>
      </c>
      <c r="C24" s="12" t="s">
        <v>2436</v>
      </c>
      <c r="D24" s="13" t="s">
        <v>2446</v>
      </c>
      <c r="E24" s="12" t="s">
        <v>133</v>
      </c>
      <c r="F24" s="12" t="s">
        <v>163</v>
      </c>
      <c r="G24" s="13" t="s">
        <v>2407</v>
      </c>
      <c r="H24" s="12" t="s">
        <v>97</v>
      </c>
      <c r="I24" s="12" t="s">
        <v>112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2447</v>
      </c>
      <c r="B25" s="12" t="s">
        <v>1582</v>
      </c>
      <c r="C25" s="12" t="s">
        <v>2448</v>
      </c>
      <c r="D25" s="13" t="s">
        <v>2449</v>
      </c>
      <c r="E25" s="12" t="s">
        <v>133</v>
      </c>
      <c r="F25" s="12" t="s">
        <v>158</v>
      </c>
      <c r="G25" s="13" t="s">
        <v>2438</v>
      </c>
      <c r="H25" s="12" t="s">
        <v>97</v>
      </c>
      <c r="I25" s="12" t="s">
        <v>112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2450</v>
      </c>
      <c r="B26" s="12" t="s">
        <v>2451</v>
      </c>
      <c r="C26" s="12" t="s">
        <v>781</v>
      </c>
      <c r="D26" s="13" t="s">
        <v>2452</v>
      </c>
      <c r="E26" s="12" t="s">
        <v>133</v>
      </c>
      <c r="F26" s="12" t="s">
        <v>134</v>
      </c>
      <c r="G26" s="13" t="s">
        <v>2453</v>
      </c>
      <c r="H26" s="12" t="s">
        <v>97</v>
      </c>
      <c r="I26" s="12" t="s">
        <v>112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2454</v>
      </c>
      <c r="B27" s="12" t="s">
        <v>2455</v>
      </c>
      <c r="C27" s="12" t="s">
        <v>2456</v>
      </c>
      <c r="D27" s="13" t="s">
        <v>2457</v>
      </c>
      <c r="E27" s="12" t="s">
        <v>133</v>
      </c>
      <c r="F27" s="12" t="s">
        <v>153</v>
      </c>
      <c r="G27" s="13" t="s">
        <v>2458</v>
      </c>
      <c r="H27" s="12" t="s">
        <v>97</v>
      </c>
      <c r="I27" s="12" t="s">
        <v>112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2459</v>
      </c>
      <c r="B28" s="12" t="s">
        <v>1530</v>
      </c>
      <c r="C28" s="12" t="s">
        <v>1183</v>
      </c>
      <c r="D28" s="13" t="s">
        <v>2460</v>
      </c>
      <c r="E28" s="12" t="s">
        <v>133</v>
      </c>
      <c r="F28" s="12" t="s">
        <v>153</v>
      </c>
      <c r="G28" s="13" t="s">
        <v>2461</v>
      </c>
      <c r="H28" s="12" t="s">
        <v>97</v>
      </c>
      <c r="I28" s="12" t="s">
        <v>112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2462</v>
      </c>
      <c r="B29" s="12" t="s">
        <v>2463</v>
      </c>
      <c r="C29" s="12" t="s">
        <v>1183</v>
      </c>
      <c r="D29" s="13" t="s">
        <v>2464</v>
      </c>
      <c r="E29" s="12" t="s">
        <v>133</v>
      </c>
      <c r="F29" s="12" t="s">
        <v>168</v>
      </c>
      <c r="G29" s="13" t="s">
        <v>2426</v>
      </c>
      <c r="H29" s="12" t="s">
        <v>99</v>
      </c>
      <c r="I29" s="12" t="s">
        <v>111</v>
      </c>
      <c r="J29" s="14" t="n">
        <v>46230</v>
      </c>
      <c r="K29" s="13" t="s">
        <v>2465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2466</v>
      </c>
      <c r="B30" s="12" t="s">
        <v>1862</v>
      </c>
      <c r="C30" s="12" t="s">
        <v>1183</v>
      </c>
      <c r="D30" s="13" t="s">
        <v>2467</v>
      </c>
      <c r="E30" s="12" t="s">
        <v>133</v>
      </c>
      <c r="F30" s="12" t="s">
        <v>168</v>
      </c>
      <c r="G30" s="13" t="s">
        <v>2411</v>
      </c>
      <c r="H30" s="12" t="s">
        <v>99</v>
      </c>
      <c r="I30" s="12" t="s">
        <v>111</v>
      </c>
      <c r="J30" s="14" t="n">
        <v>46230</v>
      </c>
      <c r="K30" s="13" t="s">
        <v>2468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2469</v>
      </c>
      <c r="B31" s="12" t="s">
        <v>2470</v>
      </c>
      <c r="C31" s="12" t="s">
        <v>2409</v>
      </c>
      <c r="D31" s="13" t="s">
        <v>2471</v>
      </c>
      <c r="E31" s="12" t="s">
        <v>133</v>
      </c>
      <c r="F31" s="12" t="s">
        <v>168</v>
      </c>
      <c r="G31" s="13" t="s">
        <v>2411</v>
      </c>
      <c r="H31" s="12" t="s">
        <v>99</v>
      </c>
      <c r="I31" s="12" t="s">
        <v>111</v>
      </c>
      <c r="J31" s="14" t="n">
        <v>46230</v>
      </c>
      <c r="K31" s="13" t="s">
        <v>2472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2473</v>
      </c>
      <c r="B32" s="12" t="s">
        <v>161</v>
      </c>
      <c r="C32" s="12" t="s">
        <v>1183</v>
      </c>
      <c r="D32" s="13" t="s">
        <v>2474</v>
      </c>
      <c r="E32" s="12" t="s">
        <v>133</v>
      </c>
      <c r="F32" s="12" t="s">
        <v>163</v>
      </c>
      <c r="G32" s="13" t="s">
        <v>2438</v>
      </c>
      <c r="H32" s="12" t="s">
        <v>97</v>
      </c>
      <c r="I32" s="12" t="s">
        <v>112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2475</v>
      </c>
      <c r="B33" s="12" t="s">
        <v>166</v>
      </c>
      <c r="C33" s="12" t="s">
        <v>1183</v>
      </c>
      <c r="D33" s="13" t="s">
        <v>2476</v>
      </c>
      <c r="E33" s="12" t="s">
        <v>133</v>
      </c>
      <c r="F33" s="12" t="s">
        <v>168</v>
      </c>
      <c r="G33" s="13" t="s">
        <v>2411</v>
      </c>
      <c r="H33" s="12" t="s">
        <v>99</v>
      </c>
      <c r="I33" s="12" t="s">
        <v>111</v>
      </c>
      <c r="J33" s="14" t="n">
        <v>46230</v>
      </c>
      <c r="K33" s="13" t="s">
        <v>2477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2478</v>
      </c>
      <c r="B34" s="12" t="s">
        <v>621</v>
      </c>
      <c r="C34" s="12" t="s">
        <v>1183</v>
      </c>
      <c r="D34" s="13" t="s">
        <v>2479</v>
      </c>
      <c r="E34" s="12" t="s">
        <v>133</v>
      </c>
      <c r="F34" s="12" t="s">
        <v>623</v>
      </c>
      <c r="G34" s="13" t="s">
        <v>2480</v>
      </c>
      <c r="H34" s="12" t="s">
        <v>97</v>
      </c>
      <c r="I34" s="12" t="s">
        <v>112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2481</v>
      </c>
      <c r="B35" s="12" t="s">
        <v>186</v>
      </c>
      <c r="C35" s="12" t="s">
        <v>1183</v>
      </c>
      <c r="D35" s="13" t="s">
        <v>2482</v>
      </c>
      <c r="E35" s="12" t="s">
        <v>133</v>
      </c>
      <c r="F35" s="12" t="s">
        <v>174</v>
      </c>
      <c r="G35" s="13" t="s">
        <v>2483</v>
      </c>
      <c r="H35" s="12" t="s">
        <v>91</v>
      </c>
      <c r="I35" s="12" t="s">
        <v>111</v>
      </c>
      <c r="J35" s="14" t="n">
        <v>46230</v>
      </c>
      <c r="K35" s="13" t="s">
        <v>1806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2484</v>
      </c>
      <c r="B36" s="12" t="s">
        <v>2376</v>
      </c>
      <c r="C36" s="12" t="s">
        <v>69</v>
      </c>
      <c r="D36" s="13" t="s">
        <v>2485</v>
      </c>
      <c r="E36" s="12" t="s">
        <v>133</v>
      </c>
      <c r="F36" s="12" t="s">
        <v>192</v>
      </c>
      <c r="G36" s="13" t="s">
        <v>2486</v>
      </c>
      <c r="H36" s="12" t="s">
        <v>97</v>
      </c>
      <c r="I36" s="12" t="s">
        <v>112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2487</v>
      </c>
      <c r="B37" s="12" t="s">
        <v>195</v>
      </c>
      <c r="C37" s="12" t="s">
        <v>69</v>
      </c>
      <c r="D37" s="13" t="s">
        <v>2488</v>
      </c>
      <c r="E37" s="12" t="s">
        <v>133</v>
      </c>
      <c r="F37" s="12" t="s">
        <v>192</v>
      </c>
      <c r="G37" s="13" t="s">
        <v>2489</v>
      </c>
      <c r="H37" s="12" t="s">
        <v>97</v>
      </c>
      <c r="I37" s="12" t="s">
        <v>112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2490</v>
      </c>
      <c r="B38" s="12" t="s">
        <v>199</v>
      </c>
      <c r="C38" s="12" t="s">
        <v>2390</v>
      </c>
      <c r="D38" s="13" t="s">
        <v>2491</v>
      </c>
      <c r="E38" s="12" t="s">
        <v>201</v>
      </c>
      <c r="F38" s="12" t="s">
        <v>201</v>
      </c>
      <c r="G38" s="13" t="s">
        <v>202</v>
      </c>
      <c r="H38" s="12" t="s">
        <v>97</v>
      </c>
      <c r="I38" s="12" t="s">
        <v>112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2492</v>
      </c>
      <c r="B39" s="12" t="s">
        <v>204</v>
      </c>
      <c r="C39" s="12" t="s">
        <v>69</v>
      </c>
      <c r="D39" s="13" t="s">
        <v>2493</v>
      </c>
      <c r="E39" s="12" t="s">
        <v>133</v>
      </c>
      <c r="F39" s="12" t="s">
        <v>133</v>
      </c>
      <c r="G39" s="13" t="s">
        <v>2494</v>
      </c>
      <c r="H39" s="12" t="s">
        <v>97</v>
      </c>
      <c r="I39" s="12" t="s">
        <v>112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2496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115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1494</v>
      </c>
      <c r="B9" s="12" t="s">
        <v>89</v>
      </c>
      <c r="C9" s="12" t="s">
        <v>1183</v>
      </c>
      <c r="D9" s="13" t="s">
        <v>2497</v>
      </c>
      <c r="E9" s="12" t="s">
        <v>133</v>
      </c>
      <c r="F9" s="12" t="s">
        <v>134</v>
      </c>
      <c r="G9" s="13" t="s">
        <v>2498</v>
      </c>
      <c r="H9" s="12" t="s">
        <v>97</v>
      </c>
      <c r="I9" s="12" t="s">
        <v>112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1497</v>
      </c>
      <c r="B10" s="12" t="s">
        <v>2389</v>
      </c>
      <c r="C10" s="12" t="s">
        <v>1183</v>
      </c>
      <c r="D10" s="13" t="s">
        <v>2499</v>
      </c>
      <c r="E10" s="12" t="s">
        <v>133</v>
      </c>
      <c r="F10" s="12" t="s">
        <v>153</v>
      </c>
      <c r="G10" s="13" t="s">
        <v>2500</v>
      </c>
      <c r="H10" s="12" t="s">
        <v>97</v>
      </c>
      <c r="I10" s="12" t="s">
        <v>112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1501</v>
      </c>
      <c r="B11" s="12" t="s">
        <v>1342</v>
      </c>
      <c r="C11" s="12" t="s">
        <v>2501</v>
      </c>
      <c r="D11" s="13" t="s">
        <v>2502</v>
      </c>
      <c r="E11" s="12" t="s">
        <v>133</v>
      </c>
      <c r="F11" s="12" t="s">
        <v>153</v>
      </c>
      <c r="G11" s="13" t="s">
        <v>2500</v>
      </c>
      <c r="H11" s="12" t="s">
        <v>97</v>
      </c>
      <c r="I11" s="12" t="s">
        <v>112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1503</v>
      </c>
      <c r="B12" s="12" t="s">
        <v>141</v>
      </c>
      <c r="C12" s="12" t="s">
        <v>2398</v>
      </c>
      <c r="D12" s="13" t="s">
        <v>2503</v>
      </c>
      <c r="E12" s="12" t="s">
        <v>133</v>
      </c>
      <c r="F12" s="12" t="s">
        <v>143</v>
      </c>
      <c r="G12" s="13" t="s">
        <v>2504</v>
      </c>
      <c r="H12" s="12" t="s">
        <v>97</v>
      </c>
      <c r="I12" s="12" t="s">
        <v>112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1506</v>
      </c>
      <c r="B13" s="12" t="s">
        <v>137</v>
      </c>
      <c r="C13" s="12" t="s">
        <v>1183</v>
      </c>
      <c r="D13" s="13" t="s">
        <v>2505</v>
      </c>
      <c r="E13" s="12" t="s">
        <v>133</v>
      </c>
      <c r="F13" s="12" t="s">
        <v>133</v>
      </c>
      <c r="G13" s="13" t="s">
        <v>139</v>
      </c>
      <c r="H13" s="12" t="s">
        <v>97</v>
      </c>
      <c r="I13" s="12" t="s">
        <v>112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1509</v>
      </c>
      <c r="B14" s="12" t="s">
        <v>1309</v>
      </c>
      <c r="C14" s="12" t="s">
        <v>781</v>
      </c>
      <c r="D14" s="13" t="s">
        <v>2506</v>
      </c>
      <c r="E14" s="12" t="s">
        <v>133</v>
      </c>
      <c r="F14" s="12" t="s">
        <v>133</v>
      </c>
      <c r="G14" s="13" t="s">
        <v>1311</v>
      </c>
      <c r="H14" s="12" t="s">
        <v>97</v>
      </c>
      <c r="I14" s="12" t="s">
        <v>112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1512</v>
      </c>
      <c r="B15" s="12" t="s">
        <v>1575</v>
      </c>
      <c r="C15" s="12" t="s">
        <v>781</v>
      </c>
      <c r="D15" s="13" t="s">
        <v>2507</v>
      </c>
      <c r="E15" s="12" t="s">
        <v>133</v>
      </c>
      <c r="F15" s="12" t="s">
        <v>153</v>
      </c>
      <c r="G15" s="13" t="s">
        <v>2500</v>
      </c>
      <c r="H15" s="12" t="s">
        <v>97</v>
      </c>
      <c r="I15" s="12" t="s">
        <v>112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1515</v>
      </c>
      <c r="B16" s="12" t="s">
        <v>1132</v>
      </c>
      <c r="C16" s="12" t="s">
        <v>781</v>
      </c>
      <c r="D16" s="13" t="s">
        <v>2508</v>
      </c>
      <c r="E16" s="12" t="s">
        <v>133</v>
      </c>
      <c r="F16" s="12" t="s">
        <v>158</v>
      </c>
      <c r="G16" s="13" t="s">
        <v>2509</v>
      </c>
      <c r="H16" s="12" t="s">
        <v>97</v>
      </c>
      <c r="I16" s="12" t="s">
        <v>112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1519</v>
      </c>
      <c r="B17" s="12" t="s">
        <v>661</v>
      </c>
      <c r="C17" s="12" t="s">
        <v>2510</v>
      </c>
      <c r="D17" s="13" t="s">
        <v>2511</v>
      </c>
      <c r="E17" s="12" t="s">
        <v>133</v>
      </c>
      <c r="F17" s="12" t="s">
        <v>153</v>
      </c>
      <c r="G17" s="13" t="s">
        <v>2500</v>
      </c>
      <c r="H17" s="12" t="s">
        <v>97</v>
      </c>
      <c r="I17" s="12" t="s">
        <v>112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1522</v>
      </c>
      <c r="B18" s="12" t="s">
        <v>2512</v>
      </c>
      <c r="C18" s="12" t="s">
        <v>2510</v>
      </c>
      <c r="D18" s="13" t="s">
        <v>2513</v>
      </c>
      <c r="E18" s="12" t="s">
        <v>133</v>
      </c>
      <c r="F18" s="12" t="s">
        <v>158</v>
      </c>
      <c r="G18" s="13" t="s">
        <v>2509</v>
      </c>
      <c r="H18" s="12" t="s">
        <v>97</v>
      </c>
      <c r="I18" s="12" t="s">
        <v>112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1524</v>
      </c>
      <c r="B19" s="12" t="s">
        <v>2514</v>
      </c>
      <c r="C19" s="12" t="s">
        <v>2515</v>
      </c>
      <c r="D19" s="13" t="s">
        <v>2516</v>
      </c>
      <c r="E19" s="12" t="s">
        <v>133</v>
      </c>
      <c r="F19" s="12" t="s">
        <v>158</v>
      </c>
      <c r="G19" s="13" t="s">
        <v>2509</v>
      </c>
      <c r="H19" s="12" t="s">
        <v>97</v>
      </c>
      <c r="I19" s="12" t="s">
        <v>112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1527</v>
      </c>
      <c r="B20" s="12" t="s">
        <v>172</v>
      </c>
      <c r="C20" s="12" t="s">
        <v>42</v>
      </c>
      <c r="D20" s="13" t="s">
        <v>2517</v>
      </c>
      <c r="E20" s="12" t="s">
        <v>133</v>
      </c>
      <c r="F20" s="12" t="s">
        <v>158</v>
      </c>
      <c r="G20" s="13" t="s">
        <v>2509</v>
      </c>
      <c r="H20" s="12" t="s">
        <v>97</v>
      </c>
      <c r="I20" s="12" t="s">
        <v>112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1529</v>
      </c>
      <c r="B21" s="12" t="s">
        <v>2518</v>
      </c>
      <c r="C21" s="12" t="s">
        <v>2519</v>
      </c>
      <c r="D21" s="13" t="s">
        <v>2520</v>
      </c>
      <c r="E21" s="12" t="s">
        <v>133</v>
      </c>
      <c r="F21" s="12" t="s">
        <v>158</v>
      </c>
      <c r="G21" s="13" t="s">
        <v>2509</v>
      </c>
      <c r="H21" s="12" t="s">
        <v>97</v>
      </c>
      <c r="I21" s="12" t="s">
        <v>112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1533</v>
      </c>
      <c r="B22" s="12" t="s">
        <v>2521</v>
      </c>
      <c r="C22" s="12" t="s">
        <v>1183</v>
      </c>
      <c r="D22" s="13" t="s">
        <v>2522</v>
      </c>
      <c r="E22" s="12" t="s">
        <v>133</v>
      </c>
      <c r="F22" s="12" t="s">
        <v>168</v>
      </c>
      <c r="G22" s="13" t="s">
        <v>2523</v>
      </c>
      <c r="H22" s="12" t="s">
        <v>99</v>
      </c>
      <c r="I22" s="12" t="s">
        <v>111</v>
      </c>
      <c r="J22" s="14" t="n">
        <v>46230</v>
      </c>
      <c r="K22" s="13" t="s">
        <v>2524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1536</v>
      </c>
      <c r="B23" s="12" t="s">
        <v>1862</v>
      </c>
      <c r="C23" s="12" t="s">
        <v>1183</v>
      </c>
      <c r="D23" s="13" t="s">
        <v>2525</v>
      </c>
      <c r="E23" s="12" t="s">
        <v>133</v>
      </c>
      <c r="F23" s="12" t="s">
        <v>168</v>
      </c>
      <c r="G23" s="13" t="s">
        <v>2523</v>
      </c>
      <c r="H23" s="12" t="s">
        <v>99</v>
      </c>
      <c r="I23" s="12" t="s">
        <v>111</v>
      </c>
      <c r="J23" s="14" t="n">
        <v>46230</v>
      </c>
      <c r="K23" s="13" t="s">
        <v>2526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1540</v>
      </c>
      <c r="B24" s="12" t="s">
        <v>166</v>
      </c>
      <c r="C24" s="12" t="s">
        <v>1183</v>
      </c>
      <c r="D24" s="13" t="s">
        <v>2527</v>
      </c>
      <c r="E24" s="12" t="s">
        <v>133</v>
      </c>
      <c r="F24" s="12" t="s">
        <v>168</v>
      </c>
      <c r="G24" s="13" t="s">
        <v>2523</v>
      </c>
      <c r="H24" s="12" t="s">
        <v>99</v>
      </c>
      <c r="I24" s="12" t="s">
        <v>111</v>
      </c>
      <c r="J24" s="14" t="n">
        <v>46231</v>
      </c>
      <c r="K24" s="13" t="s">
        <v>2528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1543</v>
      </c>
      <c r="B25" s="12" t="s">
        <v>161</v>
      </c>
      <c r="C25" s="12" t="s">
        <v>1183</v>
      </c>
      <c r="D25" s="13" t="s">
        <v>2529</v>
      </c>
      <c r="E25" s="12" t="s">
        <v>133</v>
      </c>
      <c r="F25" s="12" t="s">
        <v>163</v>
      </c>
      <c r="G25" s="13" t="s">
        <v>2509</v>
      </c>
      <c r="H25" s="12" t="s">
        <v>97</v>
      </c>
      <c r="I25" s="12" t="s">
        <v>112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1545</v>
      </c>
      <c r="B26" s="12" t="s">
        <v>621</v>
      </c>
      <c r="C26" s="12" t="s">
        <v>1183</v>
      </c>
      <c r="D26" s="13" t="s">
        <v>2530</v>
      </c>
      <c r="E26" s="12" t="s">
        <v>133</v>
      </c>
      <c r="F26" s="12" t="s">
        <v>623</v>
      </c>
      <c r="G26" s="13" t="s">
        <v>2531</v>
      </c>
      <c r="H26" s="12" t="s">
        <v>97</v>
      </c>
      <c r="I26" s="12" t="s">
        <v>112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1547</v>
      </c>
      <c r="B27" s="12" t="s">
        <v>2376</v>
      </c>
      <c r="C27" s="12" t="s">
        <v>2532</v>
      </c>
      <c r="D27" s="13" t="s">
        <v>2533</v>
      </c>
      <c r="E27" s="12" t="s">
        <v>133</v>
      </c>
      <c r="F27" s="12" t="s">
        <v>192</v>
      </c>
      <c r="G27" s="13" t="s">
        <v>2534</v>
      </c>
      <c r="H27" s="12" t="s">
        <v>97</v>
      </c>
      <c r="I27" s="12" t="s">
        <v>112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1550</v>
      </c>
      <c r="B28" s="12" t="s">
        <v>195</v>
      </c>
      <c r="C28" s="12" t="s">
        <v>2532</v>
      </c>
      <c r="D28" s="13" t="s">
        <v>2535</v>
      </c>
      <c r="E28" s="12" t="s">
        <v>133</v>
      </c>
      <c r="F28" s="12" t="s">
        <v>192</v>
      </c>
      <c r="G28" s="13" t="s">
        <v>2536</v>
      </c>
      <c r="H28" s="12" t="s">
        <v>97</v>
      </c>
      <c r="I28" s="12" t="s">
        <v>112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1553</v>
      </c>
      <c r="B29" s="12" t="s">
        <v>199</v>
      </c>
      <c r="C29" s="12" t="s">
        <v>2532</v>
      </c>
      <c r="D29" s="13" t="s">
        <v>2537</v>
      </c>
      <c r="E29" s="12" t="s">
        <v>201</v>
      </c>
      <c r="F29" s="12" t="s">
        <v>201</v>
      </c>
      <c r="G29" s="13" t="s">
        <v>2538</v>
      </c>
      <c r="H29" s="12" t="s">
        <v>97</v>
      </c>
      <c r="I29" s="12" t="s">
        <v>112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1555</v>
      </c>
      <c r="B30" s="12" t="s">
        <v>186</v>
      </c>
      <c r="C30" s="12" t="s">
        <v>1183</v>
      </c>
      <c r="D30" s="13" t="s">
        <v>2539</v>
      </c>
      <c r="E30" s="12" t="s">
        <v>133</v>
      </c>
      <c r="F30" s="12" t="s">
        <v>174</v>
      </c>
      <c r="G30" s="13" t="s">
        <v>2540</v>
      </c>
      <c r="H30" s="12" t="s">
        <v>91</v>
      </c>
      <c r="I30" s="12" t="s">
        <v>111</v>
      </c>
      <c r="J30" s="14" t="n">
        <v>46230</v>
      </c>
      <c r="K30" s="13" t="s">
        <v>1806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2541</v>
      </c>
      <c r="B31" s="12" t="s">
        <v>204</v>
      </c>
      <c r="C31" s="12" t="s">
        <v>2532</v>
      </c>
      <c r="D31" s="13" t="s">
        <v>2542</v>
      </c>
      <c r="E31" s="12" t="s">
        <v>133</v>
      </c>
      <c r="F31" s="12" t="s">
        <v>133</v>
      </c>
      <c r="G31" s="13" t="s">
        <v>2543</v>
      </c>
      <c r="H31" s="12" t="s">
        <v>97</v>
      </c>
      <c r="I31" s="12" t="s">
        <v>112</v>
      </c>
      <c r="J31" s="14" t="n">
        <v>46231</v>
      </c>
      <c r="K31" s="13" t="s">
        <v>2544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customFormat="fals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customFormat="fals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1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2545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2546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115</v>
      </c>
      <c r="E4" s="6" t="n">
        <f aca="false">SUM(M9:M33)</f>
        <v>21</v>
      </c>
      <c r="G4" s="5" t="s">
        <v>14</v>
      </c>
      <c r="H4" s="7" t="n">
        <f aca="false">IF(B4=0,0,E4/B4)</f>
        <v>0.84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2547</v>
      </c>
      <c r="B9" s="12" t="s">
        <v>89</v>
      </c>
      <c r="C9" s="12" t="s">
        <v>1183</v>
      </c>
      <c r="D9" s="13" t="s">
        <v>2548</v>
      </c>
      <c r="E9" s="12" t="s">
        <v>133</v>
      </c>
      <c r="F9" s="12" t="s">
        <v>134</v>
      </c>
      <c r="G9" s="13" t="s">
        <v>2549</v>
      </c>
      <c r="H9" s="12" t="s">
        <v>97</v>
      </c>
      <c r="I9" s="12" t="s">
        <v>112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2550</v>
      </c>
      <c r="B10" s="12" t="s">
        <v>2389</v>
      </c>
      <c r="C10" s="12" t="s">
        <v>1183</v>
      </c>
      <c r="D10" s="13" t="s">
        <v>2551</v>
      </c>
      <c r="E10" s="12" t="s">
        <v>133</v>
      </c>
      <c r="F10" s="12" t="s">
        <v>153</v>
      </c>
      <c r="G10" s="13" t="s">
        <v>2552</v>
      </c>
      <c r="H10" s="12" t="s">
        <v>97</v>
      </c>
      <c r="I10" s="12" t="s">
        <v>112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2553</v>
      </c>
      <c r="B11" s="12" t="s">
        <v>1342</v>
      </c>
      <c r="C11" s="12" t="s">
        <v>1183</v>
      </c>
      <c r="D11" s="13" t="s">
        <v>2554</v>
      </c>
      <c r="E11" s="12" t="s">
        <v>133</v>
      </c>
      <c r="F11" s="12" t="s">
        <v>153</v>
      </c>
      <c r="G11" s="13" t="s">
        <v>2552</v>
      </c>
      <c r="H11" s="12" t="s">
        <v>97</v>
      </c>
      <c r="I11" s="12" t="s">
        <v>112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2555</v>
      </c>
      <c r="B12" s="12" t="s">
        <v>141</v>
      </c>
      <c r="C12" s="12" t="s">
        <v>2398</v>
      </c>
      <c r="D12" s="13" t="s">
        <v>2556</v>
      </c>
      <c r="E12" s="12" t="s">
        <v>133</v>
      </c>
      <c r="F12" s="12" t="s">
        <v>143</v>
      </c>
      <c r="G12" s="13" t="s">
        <v>2557</v>
      </c>
      <c r="H12" s="12" t="s">
        <v>97</v>
      </c>
      <c r="I12" s="12" t="s">
        <v>112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2558</v>
      </c>
      <c r="B13" s="12" t="s">
        <v>137</v>
      </c>
      <c r="C13" s="12" t="s">
        <v>1183</v>
      </c>
      <c r="D13" s="13" t="s">
        <v>2559</v>
      </c>
      <c r="E13" s="12" t="s">
        <v>133</v>
      </c>
      <c r="F13" s="12" t="s">
        <v>133</v>
      </c>
      <c r="G13" s="13" t="s">
        <v>139</v>
      </c>
      <c r="H13" s="12" t="s">
        <v>97</v>
      </c>
      <c r="I13" s="12" t="s">
        <v>112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2560</v>
      </c>
      <c r="B14" s="12" t="s">
        <v>1309</v>
      </c>
      <c r="C14" s="12" t="s">
        <v>1183</v>
      </c>
      <c r="D14" s="13" t="s">
        <v>2561</v>
      </c>
      <c r="E14" s="12" t="s">
        <v>133</v>
      </c>
      <c r="F14" s="12" t="s">
        <v>133</v>
      </c>
      <c r="G14" s="13" t="s">
        <v>1311</v>
      </c>
      <c r="H14" s="12" t="s">
        <v>97</v>
      </c>
      <c r="I14" s="12" t="s">
        <v>112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2562</v>
      </c>
      <c r="B15" s="12" t="s">
        <v>1575</v>
      </c>
      <c r="C15" s="12" t="s">
        <v>781</v>
      </c>
      <c r="D15" s="13" t="s">
        <v>2563</v>
      </c>
      <c r="E15" s="12" t="s">
        <v>133</v>
      </c>
      <c r="F15" s="12" t="s">
        <v>153</v>
      </c>
      <c r="G15" s="13" t="s">
        <v>2552</v>
      </c>
      <c r="H15" s="12" t="s">
        <v>97</v>
      </c>
      <c r="I15" s="12" t="s">
        <v>112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2564</v>
      </c>
      <c r="B16" s="12" t="s">
        <v>1132</v>
      </c>
      <c r="C16" s="12" t="s">
        <v>781</v>
      </c>
      <c r="D16" s="13" t="s">
        <v>2565</v>
      </c>
      <c r="E16" s="12" t="s">
        <v>133</v>
      </c>
      <c r="F16" s="12" t="s">
        <v>158</v>
      </c>
      <c r="G16" s="13" t="s">
        <v>2566</v>
      </c>
      <c r="H16" s="12" t="s">
        <v>97</v>
      </c>
      <c r="I16" s="12" t="s">
        <v>112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2567</v>
      </c>
      <c r="B17" s="12" t="s">
        <v>2568</v>
      </c>
      <c r="C17" s="12" t="s">
        <v>2569</v>
      </c>
      <c r="D17" s="13" t="s">
        <v>2570</v>
      </c>
      <c r="E17" s="12" t="s">
        <v>133</v>
      </c>
      <c r="F17" s="12" t="s">
        <v>153</v>
      </c>
      <c r="G17" s="13" t="s">
        <v>2552</v>
      </c>
      <c r="H17" s="12" t="s">
        <v>97</v>
      </c>
      <c r="I17" s="12" t="s">
        <v>112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2571</v>
      </c>
      <c r="B18" s="12" t="s">
        <v>1172</v>
      </c>
      <c r="C18" s="12" t="s">
        <v>2572</v>
      </c>
      <c r="D18" s="13" t="s">
        <v>2573</v>
      </c>
      <c r="E18" s="12" t="s">
        <v>133</v>
      </c>
      <c r="F18" s="12" t="s">
        <v>158</v>
      </c>
      <c r="G18" s="13" t="s">
        <v>2566</v>
      </c>
      <c r="H18" s="12" t="s">
        <v>97</v>
      </c>
      <c r="I18" s="12" t="s">
        <v>112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2574</v>
      </c>
      <c r="B19" s="12" t="s">
        <v>2575</v>
      </c>
      <c r="C19" s="12" t="s">
        <v>2572</v>
      </c>
      <c r="D19" s="13" t="s">
        <v>2576</v>
      </c>
      <c r="E19" s="12" t="s">
        <v>133</v>
      </c>
      <c r="F19" s="12" t="s">
        <v>158</v>
      </c>
      <c r="G19" s="13" t="s">
        <v>2566</v>
      </c>
      <c r="H19" s="12" t="s">
        <v>97</v>
      </c>
      <c r="I19" s="12" t="s">
        <v>112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2577</v>
      </c>
      <c r="B20" s="12" t="s">
        <v>2578</v>
      </c>
      <c r="C20" s="12" t="s">
        <v>2579</v>
      </c>
      <c r="D20" s="13" t="s">
        <v>2580</v>
      </c>
      <c r="E20" s="12" t="s">
        <v>133</v>
      </c>
      <c r="F20" s="12" t="s">
        <v>158</v>
      </c>
      <c r="G20" s="13" t="s">
        <v>2566</v>
      </c>
      <c r="H20" s="12" t="s">
        <v>97</v>
      </c>
      <c r="I20" s="12" t="s">
        <v>112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2581</v>
      </c>
      <c r="B21" s="12" t="s">
        <v>161</v>
      </c>
      <c r="C21" s="12" t="s">
        <v>1183</v>
      </c>
      <c r="D21" s="13" t="s">
        <v>2582</v>
      </c>
      <c r="E21" s="12" t="s">
        <v>133</v>
      </c>
      <c r="F21" s="12" t="s">
        <v>158</v>
      </c>
      <c r="G21" s="13" t="s">
        <v>2566</v>
      </c>
      <c r="H21" s="12" t="s">
        <v>97</v>
      </c>
      <c r="I21" s="12" t="s">
        <v>112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2583</v>
      </c>
      <c r="B22" s="12" t="s">
        <v>172</v>
      </c>
      <c r="C22" s="12" t="s">
        <v>2584</v>
      </c>
      <c r="D22" s="13" t="s">
        <v>2585</v>
      </c>
      <c r="E22" s="12" t="s">
        <v>133</v>
      </c>
      <c r="F22" s="12" t="s">
        <v>158</v>
      </c>
      <c r="G22" s="13" t="s">
        <v>2566</v>
      </c>
      <c r="H22" s="12" t="s">
        <v>97</v>
      </c>
      <c r="I22" s="12" t="s">
        <v>112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2586</v>
      </c>
      <c r="B23" s="12" t="s">
        <v>1862</v>
      </c>
      <c r="C23" s="12" t="s">
        <v>1183</v>
      </c>
      <c r="D23" s="13" t="s">
        <v>2587</v>
      </c>
      <c r="E23" s="12" t="s">
        <v>133</v>
      </c>
      <c r="F23" s="12" t="s">
        <v>168</v>
      </c>
      <c r="G23" s="13" t="s">
        <v>2588</v>
      </c>
      <c r="H23" s="12" t="s">
        <v>95</v>
      </c>
      <c r="I23" s="12" t="s">
        <v>111</v>
      </c>
      <c r="J23" s="14" t="n">
        <v>46231</v>
      </c>
      <c r="K23" s="13" t="s">
        <v>2589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2590</v>
      </c>
      <c r="B24" s="12" t="s">
        <v>2470</v>
      </c>
      <c r="C24" s="12" t="s">
        <v>2572</v>
      </c>
      <c r="D24" s="13" t="s">
        <v>2591</v>
      </c>
      <c r="E24" s="12" t="s">
        <v>133</v>
      </c>
      <c r="F24" s="12" t="s">
        <v>174</v>
      </c>
      <c r="G24" s="13" t="s">
        <v>2592</v>
      </c>
      <c r="H24" s="12" t="s">
        <v>95</v>
      </c>
      <c r="I24" s="12" t="s">
        <v>111</v>
      </c>
      <c r="J24" s="14" t="n">
        <v>46231</v>
      </c>
      <c r="K24" s="13" t="s">
        <v>2593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2594</v>
      </c>
      <c r="B25" s="12" t="s">
        <v>166</v>
      </c>
      <c r="C25" s="12" t="s">
        <v>1183</v>
      </c>
      <c r="D25" s="13" t="s">
        <v>2595</v>
      </c>
      <c r="E25" s="12" t="s">
        <v>133</v>
      </c>
      <c r="F25" s="12" t="s">
        <v>168</v>
      </c>
      <c r="G25" s="13" t="s">
        <v>2588</v>
      </c>
      <c r="H25" s="12" t="s">
        <v>95</v>
      </c>
      <c r="I25" s="12" t="s">
        <v>111</v>
      </c>
      <c r="J25" s="14" t="n">
        <v>46231</v>
      </c>
      <c r="K25" s="13" t="s">
        <v>2596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2597</v>
      </c>
      <c r="B26" s="12" t="s">
        <v>1530</v>
      </c>
      <c r="C26" s="12" t="s">
        <v>2598</v>
      </c>
      <c r="D26" s="13" t="s">
        <v>2599</v>
      </c>
      <c r="E26" s="12" t="s">
        <v>133</v>
      </c>
      <c r="F26" s="12" t="s">
        <v>153</v>
      </c>
      <c r="G26" s="13" t="s">
        <v>2552</v>
      </c>
      <c r="H26" s="12" t="s">
        <v>97</v>
      </c>
      <c r="I26" s="12" t="s">
        <v>112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2600</v>
      </c>
      <c r="B27" s="12" t="s">
        <v>2376</v>
      </c>
      <c r="C27" s="12" t="s">
        <v>2601</v>
      </c>
      <c r="D27" s="13" t="s">
        <v>2602</v>
      </c>
      <c r="E27" s="12" t="s">
        <v>133</v>
      </c>
      <c r="F27" s="12" t="s">
        <v>2603</v>
      </c>
      <c r="G27" s="13" t="s">
        <v>2604</v>
      </c>
      <c r="H27" s="12" t="s">
        <v>97</v>
      </c>
      <c r="I27" s="12" t="s">
        <v>112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2605</v>
      </c>
      <c r="B28" s="12" t="s">
        <v>195</v>
      </c>
      <c r="C28" s="12" t="s">
        <v>2606</v>
      </c>
      <c r="D28" s="13" t="s">
        <v>2607</v>
      </c>
      <c r="E28" s="12" t="s">
        <v>133</v>
      </c>
      <c r="F28" s="12" t="s">
        <v>2603</v>
      </c>
      <c r="G28" s="13" t="s">
        <v>2608</v>
      </c>
      <c r="H28" s="12" t="s">
        <v>97</v>
      </c>
      <c r="I28" s="12" t="s">
        <v>112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2609</v>
      </c>
      <c r="B29" s="12" t="s">
        <v>621</v>
      </c>
      <c r="C29" s="12" t="s">
        <v>1183</v>
      </c>
      <c r="D29" s="13" t="s">
        <v>2610</v>
      </c>
      <c r="E29" s="12" t="s">
        <v>133</v>
      </c>
      <c r="F29" s="12" t="s">
        <v>623</v>
      </c>
      <c r="G29" s="13" t="s">
        <v>2611</v>
      </c>
      <c r="H29" s="12" t="s">
        <v>97</v>
      </c>
      <c r="I29" s="12" t="s">
        <v>112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2612</v>
      </c>
      <c r="B30" s="12" t="s">
        <v>186</v>
      </c>
      <c r="C30" s="12" t="s">
        <v>1183</v>
      </c>
      <c r="D30" s="13" t="s">
        <v>2613</v>
      </c>
      <c r="E30" s="12" t="s">
        <v>133</v>
      </c>
      <c r="F30" s="12" t="s">
        <v>174</v>
      </c>
      <c r="G30" s="13" t="s">
        <v>2592</v>
      </c>
      <c r="H30" s="12" t="s">
        <v>91</v>
      </c>
      <c r="I30" s="12" t="s">
        <v>111</v>
      </c>
      <c r="J30" s="14" t="n">
        <v>46231</v>
      </c>
      <c r="K30" s="13" t="s">
        <v>2614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2615</v>
      </c>
      <c r="B31" s="12" t="s">
        <v>199</v>
      </c>
      <c r="C31" s="12" t="s">
        <v>2616</v>
      </c>
      <c r="D31" s="13" t="s">
        <v>2617</v>
      </c>
      <c r="E31" s="12" t="s">
        <v>201</v>
      </c>
      <c r="F31" s="12" t="s">
        <v>201</v>
      </c>
      <c r="G31" s="13" t="s">
        <v>202</v>
      </c>
      <c r="H31" s="12" t="s">
        <v>97</v>
      </c>
      <c r="I31" s="12" t="s">
        <v>112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2618</v>
      </c>
      <c r="B32" s="12" t="s">
        <v>204</v>
      </c>
      <c r="C32" s="12" t="s">
        <v>2619</v>
      </c>
      <c r="D32" s="13" t="s">
        <v>2620</v>
      </c>
      <c r="E32" s="12" t="s">
        <v>133</v>
      </c>
      <c r="F32" s="12" t="s">
        <v>133</v>
      </c>
      <c r="G32" s="13" t="s">
        <v>206</v>
      </c>
      <c r="H32" s="12" t="s">
        <v>97</v>
      </c>
      <c r="I32" s="12" t="s">
        <v>112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2621</v>
      </c>
      <c r="B33" s="12" t="s">
        <v>2622</v>
      </c>
      <c r="C33" s="12" t="s">
        <v>1183</v>
      </c>
      <c r="D33" s="13" t="s">
        <v>2623</v>
      </c>
      <c r="E33" s="12" t="s">
        <v>133</v>
      </c>
      <c r="F33" s="12" t="s">
        <v>2603</v>
      </c>
      <c r="G33" s="13" t="s">
        <v>2604</v>
      </c>
      <c r="H33" s="12" t="s">
        <v>97</v>
      </c>
      <c r="I33" s="12" t="s">
        <v>112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115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2626</v>
      </c>
      <c r="B9" s="12" t="s">
        <v>89</v>
      </c>
      <c r="C9" s="12" t="s">
        <v>1183</v>
      </c>
      <c r="D9" s="13" t="s">
        <v>2627</v>
      </c>
      <c r="E9" s="12" t="s">
        <v>133</v>
      </c>
      <c r="F9" s="12" t="s">
        <v>134</v>
      </c>
      <c r="G9" s="13" t="s">
        <v>2628</v>
      </c>
      <c r="H9" s="12" t="s">
        <v>97</v>
      </c>
      <c r="I9" s="12" t="s">
        <v>112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2629</v>
      </c>
      <c r="B10" s="12" t="s">
        <v>2389</v>
      </c>
      <c r="C10" s="12" t="s">
        <v>1183</v>
      </c>
      <c r="D10" s="13" t="s">
        <v>2630</v>
      </c>
      <c r="E10" s="12" t="s">
        <v>133</v>
      </c>
      <c r="F10" s="12" t="s">
        <v>153</v>
      </c>
      <c r="G10" s="13" t="s">
        <v>2631</v>
      </c>
      <c r="H10" s="12" t="s">
        <v>97</v>
      </c>
      <c r="I10" s="12" t="s">
        <v>112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2632</v>
      </c>
      <c r="B11" s="12" t="s">
        <v>1342</v>
      </c>
      <c r="C11" s="12" t="s">
        <v>1183</v>
      </c>
      <c r="D11" s="13" t="s">
        <v>2633</v>
      </c>
      <c r="E11" s="12" t="s">
        <v>133</v>
      </c>
      <c r="F11" s="12" t="s">
        <v>153</v>
      </c>
      <c r="G11" s="13" t="s">
        <v>2631</v>
      </c>
      <c r="H11" s="12" t="s">
        <v>97</v>
      </c>
      <c r="I11" s="12" t="s">
        <v>112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2634</v>
      </c>
      <c r="B12" s="12" t="s">
        <v>141</v>
      </c>
      <c r="C12" s="12" t="s">
        <v>2398</v>
      </c>
      <c r="D12" s="13" t="s">
        <v>2635</v>
      </c>
      <c r="E12" s="12" t="s">
        <v>133</v>
      </c>
      <c r="F12" s="12" t="s">
        <v>143</v>
      </c>
      <c r="G12" s="13" t="s">
        <v>2636</v>
      </c>
      <c r="H12" s="12" t="s">
        <v>97</v>
      </c>
      <c r="I12" s="12" t="s">
        <v>112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2637</v>
      </c>
      <c r="B13" s="12" t="s">
        <v>137</v>
      </c>
      <c r="C13" s="12" t="s">
        <v>1183</v>
      </c>
      <c r="D13" s="13" t="s">
        <v>2638</v>
      </c>
      <c r="E13" s="12" t="s">
        <v>133</v>
      </c>
      <c r="F13" s="12" t="s">
        <v>133</v>
      </c>
      <c r="G13" s="13" t="s">
        <v>139</v>
      </c>
      <c r="H13" s="12" t="s">
        <v>97</v>
      </c>
      <c r="I13" s="12" t="s">
        <v>112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2639</v>
      </c>
      <c r="B14" s="12" t="s">
        <v>1309</v>
      </c>
      <c r="C14" s="12" t="s">
        <v>2640</v>
      </c>
      <c r="D14" s="13" t="s">
        <v>2641</v>
      </c>
      <c r="E14" s="12" t="s">
        <v>133</v>
      </c>
      <c r="F14" s="12" t="s">
        <v>133</v>
      </c>
      <c r="G14" s="13" t="s">
        <v>1311</v>
      </c>
      <c r="H14" s="12" t="s">
        <v>97</v>
      </c>
      <c r="I14" s="12" t="s">
        <v>112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2642</v>
      </c>
      <c r="B15" s="12" t="s">
        <v>1575</v>
      </c>
      <c r="C15" s="12" t="s">
        <v>2643</v>
      </c>
      <c r="D15" s="13" t="s">
        <v>2644</v>
      </c>
      <c r="E15" s="12" t="s">
        <v>133</v>
      </c>
      <c r="F15" s="12" t="s">
        <v>153</v>
      </c>
      <c r="G15" s="13" t="s">
        <v>2631</v>
      </c>
      <c r="H15" s="12" t="s">
        <v>97</v>
      </c>
      <c r="I15" s="12" t="s">
        <v>112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2645</v>
      </c>
      <c r="B16" s="12" t="s">
        <v>1132</v>
      </c>
      <c r="C16" s="12" t="s">
        <v>781</v>
      </c>
      <c r="D16" s="13" t="s">
        <v>2646</v>
      </c>
      <c r="E16" s="12" t="s">
        <v>133</v>
      </c>
      <c r="F16" s="12" t="s">
        <v>158</v>
      </c>
      <c r="G16" s="13" t="s">
        <v>2647</v>
      </c>
      <c r="H16" s="12" t="s">
        <v>97</v>
      </c>
      <c r="I16" s="12" t="s">
        <v>112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2648</v>
      </c>
      <c r="B17" s="12" t="s">
        <v>2649</v>
      </c>
      <c r="C17" s="12" t="s">
        <v>2640</v>
      </c>
      <c r="D17" s="13" t="s">
        <v>2650</v>
      </c>
      <c r="E17" s="12" t="s">
        <v>133</v>
      </c>
      <c r="F17" s="12" t="s">
        <v>158</v>
      </c>
      <c r="G17" s="13" t="s">
        <v>2651</v>
      </c>
      <c r="H17" s="12" t="s">
        <v>97</v>
      </c>
      <c r="I17" s="12" t="s">
        <v>112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2652</v>
      </c>
      <c r="B18" s="12" t="s">
        <v>1915</v>
      </c>
      <c r="C18" s="12" t="s">
        <v>2653</v>
      </c>
      <c r="D18" s="13" t="s">
        <v>2654</v>
      </c>
      <c r="E18" s="12" t="s">
        <v>133</v>
      </c>
      <c r="F18" s="12" t="s">
        <v>158</v>
      </c>
      <c r="G18" s="13" t="s">
        <v>2651</v>
      </c>
      <c r="H18" s="12" t="s">
        <v>97</v>
      </c>
      <c r="I18" s="12" t="s">
        <v>112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2655</v>
      </c>
      <c r="B19" s="12" t="s">
        <v>2514</v>
      </c>
      <c r="C19" s="12" t="s">
        <v>2656</v>
      </c>
      <c r="D19" s="13" t="s">
        <v>2657</v>
      </c>
      <c r="E19" s="12" t="s">
        <v>133</v>
      </c>
      <c r="F19" s="12" t="s">
        <v>158</v>
      </c>
      <c r="G19" s="13" t="s">
        <v>2647</v>
      </c>
      <c r="H19" s="12" t="s">
        <v>97</v>
      </c>
      <c r="I19" s="12" t="s">
        <v>112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2658</v>
      </c>
      <c r="B20" s="12" t="s">
        <v>2512</v>
      </c>
      <c r="C20" s="12" t="s">
        <v>2659</v>
      </c>
      <c r="D20" s="13" t="s">
        <v>2660</v>
      </c>
      <c r="E20" s="12" t="s">
        <v>133</v>
      </c>
      <c r="F20" s="12" t="s">
        <v>153</v>
      </c>
      <c r="G20" s="13" t="s">
        <v>2631</v>
      </c>
      <c r="H20" s="12" t="s">
        <v>97</v>
      </c>
      <c r="I20" s="12" t="s">
        <v>112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2661</v>
      </c>
      <c r="B21" s="12" t="s">
        <v>1588</v>
      </c>
      <c r="C21" s="12" t="s">
        <v>2662</v>
      </c>
      <c r="D21" s="13" t="s">
        <v>2663</v>
      </c>
      <c r="E21" s="12" t="s">
        <v>133</v>
      </c>
      <c r="F21" s="12" t="s">
        <v>158</v>
      </c>
      <c r="G21" s="13" t="s">
        <v>2647</v>
      </c>
      <c r="H21" s="12" t="s">
        <v>97</v>
      </c>
      <c r="I21" s="12" t="s">
        <v>112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2664</v>
      </c>
      <c r="B22" s="12" t="s">
        <v>172</v>
      </c>
      <c r="C22" s="12" t="s">
        <v>42</v>
      </c>
      <c r="D22" s="13" t="s">
        <v>2665</v>
      </c>
      <c r="E22" s="12" t="s">
        <v>133</v>
      </c>
      <c r="F22" s="12" t="s">
        <v>158</v>
      </c>
      <c r="G22" s="13" t="s">
        <v>2647</v>
      </c>
      <c r="H22" s="12" t="s">
        <v>97</v>
      </c>
      <c r="I22" s="12" t="s">
        <v>112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2666</v>
      </c>
      <c r="B23" s="12" t="s">
        <v>2521</v>
      </c>
      <c r="C23" s="12" t="s">
        <v>1183</v>
      </c>
      <c r="D23" s="13" t="s">
        <v>2667</v>
      </c>
      <c r="E23" s="12" t="s">
        <v>133</v>
      </c>
      <c r="F23" s="12" t="s">
        <v>168</v>
      </c>
      <c r="G23" s="13" t="s">
        <v>2668</v>
      </c>
      <c r="H23" s="12" t="s">
        <v>95</v>
      </c>
      <c r="I23" s="12" t="s">
        <v>111</v>
      </c>
      <c r="J23" s="14" t="n">
        <v>46231</v>
      </c>
      <c r="K23" s="13" t="s">
        <v>2589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2669</v>
      </c>
      <c r="B24" s="12" t="s">
        <v>1862</v>
      </c>
      <c r="C24" s="12" t="s">
        <v>1183</v>
      </c>
      <c r="D24" s="13" t="s">
        <v>2670</v>
      </c>
      <c r="E24" s="12" t="s">
        <v>133</v>
      </c>
      <c r="F24" s="12" t="s">
        <v>168</v>
      </c>
      <c r="G24" s="13" t="s">
        <v>2668</v>
      </c>
      <c r="H24" s="12" t="s">
        <v>95</v>
      </c>
      <c r="I24" s="12" t="s">
        <v>111</v>
      </c>
      <c r="J24" s="14" t="n">
        <v>46231</v>
      </c>
      <c r="K24" s="13" t="s">
        <v>2589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2671</v>
      </c>
      <c r="B25" s="12" t="s">
        <v>166</v>
      </c>
      <c r="C25" s="12" t="s">
        <v>1183</v>
      </c>
      <c r="D25" s="13" t="s">
        <v>2672</v>
      </c>
      <c r="E25" s="12" t="s">
        <v>133</v>
      </c>
      <c r="F25" s="12" t="s">
        <v>168</v>
      </c>
      <c r="G25" s="13" t="s">
        <v>2668</v>
      </c>
      <c r="H25" s="12" t="s">
        <v>95</v>
      </c>
      <c r="I25" s="12" t="s">
        <v>111</v>
      </c>
      <c r="J25" s="14" t="n">
        <v>46231</v>
      </c>
      <c r="K25" s="13" t="s">
        <v>2673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2674</v>
      </c>
      <c r="B26" s="12" t="s">
        <v>1530</v>
      </c>
      <c r="C26" s="12" t="s">
        <v>1183</v>
      </c>
      <c r="D26" s="13" t="s">
        <v>2675</v>
      </c>
      <c r="E26" s="12" t="s">
        <v>133</v>
      </c>
      <c r="F26" s="12" t="s">
        <v>153</v>
      </c>
      <c r="G26" s="13" t="s">
        <v>2676</v>
      </c>
      <c r="H26" s="12" t="s">
        <v>97</v>
      </c>
      <c r="I26" s="12" t="s">
        <v>112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2677</v>
      </c>
      <c r="B27" s="12" t="s">
        <v>161</v>
      </c>
      <c r="C27" s="12" t="s">
        <v>1183</v>
      </c>
      <c r="D27" s="13" t="s">
        <v>2678</v>
      </c>
      <c r="E27" s="12" t="s">
        <v>133</v>
      </c>
      <c r="F27" s="12" t="s">
        <v>163</v>
      </c>
      <c r="G27" s="13" t="s">
        <v>2647</v>
      </c>
      <c r="H27" s="12" t="s">
        <v>97</v>
      </c>
      <c r="I27" s="12" t="s">
        <v>112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2679</v>
      </c>
      <c r="B28" s="12" t="s">
        <v>621</v>
      </c>
      <c r="C28" s="12" t="s">
        <v>1183</v>
      </c>
      <c r="D28" s="13" t="s">
        <v>2680</v>
      </c>
      <c r="E28" s="12" t="s">
        <v>133</v>
      </c>
      <c r="F28" s="12" t="s">
        <v>623</v>
      </c>
      <c r="G28" s="13" t="s">
        <v>2681</v>
      </c>
      <c r="H28" s="12" t="s">
        <v>97</v>
      </c>
      <c r="I28" s="12" t="s">
        <v>112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2682</v>
      </c>
      <c r="B29" s="12" t="s">
        <v>2376</v>
      </c>
      <c r="C29" s="12" t="s">
        <v>2601</v>
      </c>
      <c r="D29" s="13" t="s">
        <v>2683</v>
      </c>
      <c r="E29" s="12" t="s">
        <v>133</v>
      </c>
      <c r="F29" s="12" t="s">
        <v>2603</v>
      </c>
      <c r="G29" s="13" t="s">
        <v>2684</v>
      </c>
      <c r="H29" s="12" t="s">
        <v>97</v>
      </c>
      <c r="I29" s="12" t="s">
        <v>112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2685</v>
      </c>
      <c r="B30" s="12" t="s">
        <v>195</v>
      </c>
      <c r="C30" s="12" t="s">
        <v>2606</v>
      </c>
      <c r="D30" s="13" t="s">
        <v>2686</v>
      </c>
      <c r="E30" s="12" t="s">
        <v>133</v>
      </c>
      <c r="F30" s="12" t="s">
        <v>2603</v>
      </c>
      <c r="G30" s="13" t="s">
        <v>2687</v>
      </c>
      <c r="H30" s="12" t="s">
        <v>97</v>
      </c>
      <c r="I30" s="12" t="s">
        <v>112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2688</v>
      </c>
      <c r="B31" s="12" t="s">
        <v>199</v>
      </c>
      <c r="C31" s="12" t="s">
        <v>1183</v>
      </c>
      <c r="D31" s="13" t="s">
        <v>2689</v>
      </c>
      <c r="E31" s="12" t="s">
        <v>201</v>
      </c>
      <c r="F31" s="12" t="s">
        <v>201</v>
      </c>
      <c r="G31" s="13" t="s">
        <v>202</v>
      </c>
      <c r="H31" s="12" t="s">
        <v>97</v>
      </c>
      <c r="I31" s="12" t="s">
        <v>112</v>
      </c>
      <c r="J31" s="14" t="n">
        <v>46231</v>
      </c>
      <c r="K31" s="13" t="s">
        <v>2690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2691</v>
      </c>
      <c r="B32" s="12" t="s">
        <v>186</v>
      </c>
      <c r="C32" s="12" t="s">
        <v>1183</v>
      </c>
      <c r="D32" s="13" t="s">
        <v>2692</v>
      </c>
      <c r="E32" s="12" t="s">
        <v>133</v>
      </c>
      <c r="F32" s="12" t="s">
        <v>174</v>
      </c>
      <c r="G32" s="13" t="s">
        <v>2693</v>
      </c>
      <c r="H32" s="12" t="s">
        <v>91</v>
      </c>
      <c r="I32" s="12" t="s">
        <v>111</v>
      </c>
      <c r="J32" s="14" t="n">
        <v>46231</v>
      </c>
      <c r="K32" s="13" t="s">
        <v>1806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2694</v>
      </c>
      <c r="B33" s="12" t="s">
        <v>204</v>
      </c>
      <c r="C33" s="12" t="s">
        <v>2619</v>
      </c>
      <c r="D33" s="13" t="s">
        <v>2542</v>
      </c>
      <c r="E33" s="12" t="s">
        <v>133</v>
      </c>
      <c r="F33" s="12" t="s">
        <v>133</v>
      </c>
      <c r="G33" s="13" t="s">
        <v>2543</v>
      </c>
      <c r="H33" s="12" t="s">
        <v>97</v>
      </c>
      <c r="I33" s="12" t="s">
        <v>112</v>
      </c>
      <c r="J33" s="14" t="n">
        <v>46231</v>
      </c>
      <c r="K33" s="13" t="s">
        <v>2695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2696</v>
      </c>
      <c r="B34" s="12" t="s">
        <v>2697</v>
      </c>
      <c r="C34" s="12" t="s">
        <v>1183</v>
      </c>
      <c r="D34" s="13" t="s">
        <v>2698</v>
      </c>
      <c r="E34" s="12" t="s">
        <v>133</v>
      </c>
      <c r="F34" s="12" t="s">
        <v>2603</v>
      </c>
      <c r="G34" s="13" t="s">
        <v>2684</v>
      </c>
      <c r="H34" s="12" t="s">
        <v>97</v>
      </c>
      <c r="I34" s="12" t="s">
        <v>112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4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115</v>
      </c>
      <c r="E4" s="6" t="n">
        <f aca="false">SUM(M9:M36)</f>
        <v>24</v>
      </c>
      <c r="G4" s="5" t="s">
        <v>14</v>
      </c>
      <c r="H4" s="7" t="n">
        <f aca="false">IF(B4=0,0,E4/B4)</f>
        <v>0.857142857142857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742</v>
      </c>
      <c r="B9" s="12" t="s">
        <v>89</v>
      </c>
      <c r="C9" s="12" t="s">
        <v>1183</v>
      </c>
      <c r="D9" s="13" t="s">
        <v>2701</v>
      </c>
      <c r="E9" s="12" t="s">
        <v>133</v>
      </c>
      <c r="F9" s="12" t="s">
        <v>134</v>
      </c>
      <c r="G9" s="13" t="s">
        <v>2702</v>
      </c>
      <c r="H9" s="12" t="s">
        <v>97</v>
      </c>
      <c r="I9" s="12" t="s">
        <v>112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745</v>
      </c>
      <c r="B10" s="12" t="s">
        <v>2389</v>
      </c>
      <c r="C10" s="12" t="s">
        <v>1183</v>
      </c>
      <c r="D10" s="13" t="s">
        <v>2703</v>
      </c>
      <c r="E10" s="12" t="s">
        <v>133</v>
      </c>
      <c r="F10" s="12" t="s">
        <v>153</v>
      </c>
      <c r="G10" s="13" t="s">
        <v>2704</v>
      </c>
      <c r="H10" s="12" t="s">
        <v>97</v>
      </c>
      <c r="I10" s="12" t="s">
        <v>112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746</v>
      </c>
      <c r="B11" s="12" t="s">
        <v>1342</v>
      </c>
      <c r="C11" s="12" t="s">
        <v>1183</v>
      </c>
      <c r="D11" s="13" t="s">
        <v>2705</v>
      </c>
      <c r="E11" s="12" t="s">
        <v>133</v>
      </c>
      <c r="F11" s="12" t="s">
        <v>153</v>
      </c>
      <c r="G11" s="13" t="s">
        <v>2704</v>
      </c>
      <c r="H11" s="12" t="s">
        <v>97</v>
      </c>
      <c r="I11" s="12" t="s">
        <v>112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748</v>
      </c>
      <c r="B12" s="12" t="s">
        <v>141</v>
      </c>
      <c r="C12" s="12" t="s">
        <v>2398</v>
      </c>
      <c r="D12" s="13" t="s">
        <v>2706</v>
      </c>
      <c r="E12" s="12" t="s">
        <v>133</v>
      </c>
      <c r="F12" s="12" t="s">
        <v>143</v>
      </c>
      <c r="G12" s="13" t="s">
        <v>2707</v>
      </c>
      <c r="H12" s="12" t="s">
        <v>97</v>
      </c>
      <c r="I12" s="12" t="s">
        <v>112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750</v>
      </c>
      <c r="B13" s="12" t="s">
        <v>137</v>
      </c>
      <c r="C13" s="12" t="s">
        <v>1183</v>
      </c>
      <c r="D13" s="13" t="s">
        <v>2708</v>
      </c>
      <c r="E13" s="12" t="s">
        <v>133</v>
      </c>
      <c r="F13" s="12" t="s">
        <v>133</v>
      </c>
      <c r="G13" s="13" t="s">
        <v>139</v>
      </c>
      <c r="H13" s="12" t="s">
        <v>97</v>
      </c>
      <c r="I13" s="12" t="s">
        <v>112</v>
      </c>
      <c r="J13" s="14" t="n">
        <v>46231</v>
      </c>
      <c r="K13" s="13" t="s">
        <v>2709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752</v>
      </c>
      <c r="B14" s="12" t="s">
        <v>1309</v>
      </c>
      <c r="C14" s="12" t="s">
        <v>2640</v>
      </c>
      <c r="D14" s="13" t="s">
        <v>2710</v>
      </c>
      <c r="E14" s="12" t="s">
        <v>133</v>
      </c>
      <c r="F14" s="12" t="s">
        <v>133</v>
      </c>
      <c r="G14" s="13" t="s">
        <v>1311</v>
      </c>
      <c r="H14" s="12" t="s">
        <v>97</v>
      </c>
      <c r="I14" s="12" t="s">
        <v>112</v>
      </c>
      <c r="J14" s="14" t="n">
        <v>46231</v>
      </c>
      <c r="K14" s="13" t="s">
        <v>2711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754</v>
      </c>
      <c r="B15" s="12" t="s">
        <v>1575</v>
      </c>
      <c r="C15" s="12" t="s">
        <v>2643</v>
      </c>
      <c r="D15" s="13" t="s">
        <v>2644</v>
      </c>
      <c r="E15" s="12" t="s">
        <v>133</v>
      </c>
      <c r="F15" s="12" t="s">
        <v>153</v>
      </c>
      <c r="G15" s="13" t="s">
        <v>2704</v>
      </c>
      <c r="H15" s="12" t="s">
        <v>97</v>
      </c>
      <c r="I15" s="12" t="s">
        <v>112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756</v>
      </c>
      <c r="B16" s="12" t="s">
        <v>1132</v>
      </c>
      <c r="C16" s="12" t="s">
        <v>781</v>
      </c>
      <c r="D16" s="13" t="s">
        <v>2646</v>
      </c>
      <c r="E16" s="12" t="s">
        <v>133</v>
      </c>
      <c r="F16" s="12" t="s">
        <v>158</v>
      </c>
      <c r="G16" s="13" t="s">
        <v>2712</v>
      </c>
      <c r="H16" s="12" t="s">
        <v>97</v>
      </c>
      <c r="I16" s="12" t="s">
        <v>112</v>
      </c>
      <c r="J16" s="14" t="n">
        <v>46231</v>
      </c>
      <c r="K16" s="13" t="s">
        <v>2713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758</v>
      </c>
      <c r="B17" s="12" t="s">
        <v>2714</v>
      </c>
      <c r="C17" s="12" t="s">
        <v>2715</v>
      </c>
      <c r="D17" s="13" t="s">
        <v>2716</v>
      </c>
      <c r="E17" s="12" t="s">
        <v>133</v>
      </c>
      <c r="F17" s="12" t="s">
        <v>158</v>
      </c>
      <c r="G17" s="13" t="s">
        <v>2717</v>
      </c>
      <c r="H17" s="12" t="s">
        <v>97</v>
      </c>
      <c r="I17" s="12" t="s">
        <v>112</v>
      </c>
      <c r="J17" s="14" t="n">
        <v>46231</v>
      </c>
      <c r="K17" s="13" t="s">
        <v>2718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760</v>
      </c>
      <c r="B18" s="12" t="s">
        <v>2649</v>
      </c>
      <c r="C18" s="12" t="s">
        <v>2640</v>
      </c>
      <c r="D18" s="13" t="s">
        <v>2719</v>
      </c>
      <c r="E18" s="12" t="s">
        <v>133</v>
      </c>
      <c r="F18" s="12" t="s">
        <v>158</v>
      </c>
      <c r="G18" s="13" t="s">
        <v>2717</v>
      </c>
      <c r="H18" s="12" t="s">
        <v>97</v>
      </c>
      <c r="I18" s="12" t="s">
        <v>112</v>
      </c>
      <c r="J18" s="14" t="n">
        <v>46231</v>
      </c>
      <c r="K18" s="13" t="s">
        <v>2720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761</v>
      </c>
      <c r="B19" s="12" t="s">
        <v>2721</v>
      </c>
      <c r="C19" s="12" t="s">
        <v>2653</v>
      </c>
      <c r="D19" s="13" t="s">
        <v>2722</v>
      </c>
      <c r="E19" s="12" t="s">
        <v>133</v>
      </c>
      <c r="F19" s="12" t="s">
        <v>158</v>
      </c>
      <c r="G19" s="13" t="s">
        <v>2717</v>
      </c>
      <c r="H19" s="12" t="s">
        <v>97</v>
      </c>
      <c r="I19" s="12" t="s">
        <v>112</v>
      </c>
      <c r="J19" s="14" t="n">
        <v>46231</v>
      </c>
      <c r="K19" s="13" t="s">
        <v>2718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763</v>
      </c>
      <c r="B20" s="12" t="s">
        <v>1915</v>
      </c>
      <c r="C20" s="12" t="s">
        <v>2653</v>
      </c>
      <c r="D20" s="13" t="s">
        <v>2723</v>
      </c>
      <c r="E20" s="12" t="s">
        <v>133</v>
      </c>
      <c r="F20" s="12" t="s">
        <v>158</v>
      </c>
      <c r="G20" s="13" t="s">
        <v>2717</v>
      </c>
      <c r="H20" s="12" t="s">
        <v>97</v>
      </c>
      <c r="I20" s="12" t="s">
        <v>112</v>
      </c>
      <c r="J20" s="14" t="n">
        <v>46231</v>
      </c>
      <c r="K20" s="13" t="s">
        <v>2724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764</v>
      </c>
      <c r="B21" s="12" t="s">
        <v>2514</v>
      </c>
      <c r="C21" s="12" t="s">
        <v>2656</v>
      </c>
      <c r="D21" s="13" t="s">
        <v>2657</v>
      </c>
      <c r="E21" s="12" t="s">
        <v>133</v>
      </c>
      <c r="F21" s="12" t="s">
        <v>158</v>
      </c>
      <c r="G21" s="13" t="s">
        <v>2712</v>
      </c>
      <c r="H21" s="12" t="s">
        <v>97</v>
      </c>
      <c r="I21" s="12" t="s">
        <v>112</v>
      </c>
      <c r="J21" s="14" t="n">
        <v>46231</v>
      </c>
      <c r="K21" s="13" t="s">
        <v>2725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766</v>
      </c>
      <c r="B22" s="12" t="s">
        <v>2512</v>
      </c>
      <c r="C22" s="12" t="s">
        <v>2726</v>
      </c>
      <c r="D22" s="13" t="s">
        <v>2660</v>
      </c>
      <c r="E22" s="12" t="s">
        <v>133</v>
      </c>
      <c r="F22" s="12" t="s">
        <v>153</v>
      </c>
      <c r="G22" s="13" t="s">
        <v>2704</v>
      </c>
      <c r="H22" s="12" t="s">
        <v>97</v>
      </c>
      <c r="I22" s="12" t="s">
        <v>112</v>
      </c>
      <c r="J22" s="14" t="n">
        <v>46231</v>
      </c>
      <c r="K22" s="13" t="s">
        <v>2727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768</v>
      </c>
      <c r="B23" s="12" t="s">
        <v>1588</v>
      </c>
      <c r="C23" s="12" t="s">
        <v>2662</v>
      </c>
      <c r="D23" s="13" t="s">
        <v>2728</v>
      </c>
      <c r="E23" s="12" t="s">
        <v>133</v>
      </c>
      <c r="F23" s="12" t="s">
        <v>158</v>
      </c>
      <c r="G23" s="13" t="s">
        <v>2712</v>
      </c>
      <c r="H23" s="12" t="s">
        <v>97</v>
      </c>
      <c r="I23" s="12" t="s">
        <v>112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769</v>
      </c>
      <c r="B24" s="12" t="s">
        <v>172</v>
      </c>
      <c r="C24" s="12" t="s">
        <v>42</v>
      </c>
      <c r="D24" s="13" t="s">
        <v>2729</v>
      </c>
      <c r="E24" s="12" t="s">
        <v>133</v>
      </c>
      <c r="F24" s="12" t="s">
        <v>158</v>
      </c>
      <c r="G24" s="13" t="s">
        <v>2712</v>
      </c>
      <c r="H24" s="12" t="s">
        <v>97</v>
      </c>
      <c r="I24" s="12" t="s">
        <v>112</v>
      </c>
      <c r="J24" s="14" t="n">
        <v>46231</v>
      </c>
      <c r="K24" s="13" t="s">
        <v>2730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2731</v>
      </c>
      <c r="B25" s="12" t="s">
        <v>2521</v>
      </c>
      <c r="C25" s="12" t="s">
        <v>1183</v>
      </c>
      <c r="D25" s="13" t="s">
        <v>2732</v>
      </c>
      <c r="E25" s="12" t="s">
        <v>133</v>
      </c>
      <c r="F25" s="12" t="s">
        <v>168</v>
      </c>
      <c r="G25" s="13" t="s">
        <v>2733</v>
      </c>
      <c r="H25" s="12" t="s">
        <v>95</v>
      </c>
      <c r="I25" s="12" t="s">
        <v>111</v>
      </c>
      <c r="J25" s="14" t="n">
        <v>46231</v>
      </c>
      <c r="K25" s="13" t="s">
        <v>2734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2735</v>
      </c>
      <c r="B26" s="12" t="s">
        <v>1862</v>
      </c>
      <c r="C26" s="12" t="s">
        <v>1183</v>
      </c>
      <c r="D26" s="13" t="s">
        <v>2736</v>
      </c>
      <c r="E26" s="12" t="s">
        <v>133</v>
      </c>
      <c r="F26" s="12" t="s">
        <v>168</v>
      </c>
      <c r="G26" s="13" t="s">
        <v>2733</v>
      </c>
      <c r="H26" s="12" t="s">
        <v>95</v>
      </c>
      <c r="I26" s="12" t="s">
        <v>111</v>
      </c>
      <c r="J26" s="14" t="n">
        <v>46231</v>
      </c>
      <c r="K26" s="13" t="s">
        <v>2589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2737</v>
      </c>
      <c r="B27" s="12" t="s">
        <v>166</v>
      </c>
      <c r="C27" s="12" t="s">
        <v>1183</v>
      </c>
      <c r="D27" s="13" t="s">
        <v>2738</v>
      </c>
      <c r="E27" s="12" t="s">
        <v>133</v>
      </c>
      <c r="F27" s="12" t="s">
        <v>168</v>
      </c>
      <c r="G27" s="13" t="s">
        <v>2733</v>
      </c>
      <c r="H27" s="12" t="s">
        <v>95</v>
      </c>
      <c r="I27" s="12" t="s">
        <v>111</v>
      </c>
      <c r="J27" s="14" t="n">
        <v>46231</v>
      </c>
      <c r="K27" s="13" t="s">
        <v>2673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2739</v>
      </c>
      <c r="B28" s="12" t="s">
        <v>1530</v>
      </c>
      <c r="C28" s="12" t="s">
        <v>1183</v>
      </c>
      <c r="D28" s="13" t="s">
        <v>2740</v>
      </c>
      <c r="E28" s="12" t="s">
        <v>133</v>
      </c>
      <c r="F28" s="12" t="s">
        <v>153</v>
      </c>
      <c r="G28" s="13" t="s">
        <v>2741</v>
      </c>
      <c r="H28" s="12" t="s">
        <v>97</v>
      </c>
      <c r="I28" s="12" t="s">
        <v>112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2742</v>
      </c>
      <c r="B29" s="12" t="s">
        <v>161</v>
      </c>
      <c r="C29" s="12" t="s">
        <v>1183</v>
      </c>
      <c r="D29" s="13" t="s">
        <v>2743</v>
      </c>
      <c r="E29" s="12" t="s">
        <v>133</v>
      </c>
      <c r="F29" s="12" t="s">
        <v>163</v>
      </c>
      <c r="G29" s="13" t="s">
        <v>2712</v>
      </c>
      <c r="H29" s="12" t="s">
        <v>97</v>
      </c>
      <c r="I29" s="12" t="s">
        <v>112</v>
      </c>
      <c r="J29" s="14" t="n">
        <v>46231</v>
      </c>
      <c r="K29" s="13" t="s">
        <v>2744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2745</v>
      </c>
      <c r="B30" s="12" t="s">
        <v>621</v>
      </c>
      <c r="C30" s="12" t="s">
        <v>1183</v>
      </c>
      <c r="D30" s="13" t="s">
        <v>2746</v>
      </c>
      <c r="E30" s="12" t="s">
        <v>133</v>
      </c>
      <c r="F30" s="12" t="s">
        <v>623</v>
      </c>
      <c r="G30" s="13" t="s">
        <v>2747</v>
      </c>
      <c r="H30" s="12" t="s">
        <v>97</v>
      </c>
      <c r="I30" s="12" t="s">
        <v>112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2748</v>
      </c>
      <c r="B31" s="12" t="s">
        <v>2376</v>
      </c>
      <c r="C31" s="12" t="s">
        <v>2601</v>
      </c>
      <c r="D31" s="13" t="s">
        <v>2749</v>
      </c>
      <c r="E31" s="12" t="s">
        <v>133</v>
      </c>
      <c r="F31" s="12" t="s">
        <v>2603</v>
      </c>
      <c r="G31" s="13" t="s">
        <v>2750</v>
      </c>
      <c r="H31" s="12" t="s">
        <v>97</v>
      </c>
      <c r="I31" s="12" t="s">
        <v>112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2751</v>
      </c>
      <c r="B32" s="12" t="s">
        <v>195</v>
      </c>
      <c r="C32" s="12" t="s">
        <v>2606</v>
      </c>
      <c r="D32" s="13" t="s">
        <v>2752</v>
      </c>
      <c r="E32" s="12" t="s">
        <v>133</v>
      </c>
      <c r="F32" s="12" t="s">
        <v>2603</v>
      </c>
      <c r="G32" s="13" t="s">
        <v>2753</v>
      </c>
      <c r="H32" s="12" t="s">
        <v>97</v>
      </c>
      <c r="I32" s="12" t="s">
        <v>112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2754</v>
      </c>
      <c r="B33" s="12" t="s">
        <v>199</v>
      </c>
      <c r="C33" s="12" t="s">
        <v>1183</v>
      </c>
      <c r="D33" s="13" t="s">
        <v>2755</v>
      </c>
      <c r="E33" s="12" t="s">
        <v>201</v>
      </c>
      <c r="F33" s="12" t="s">
        <v>201</v>
      </c>
      <c r="G33" s="13" t="s">
        <v>202</v>
      </c>
      <c r="H33" s="12" t="s">
        <v>97</v>
      </c>
      <c r="I33" s="12" t="s">
        <v>112</v>
      </c>
      <c r="J33" s="14" t="n">
        <v>46231</v>
      </c>
      <c r="K33" s="13" t="s">
        <v>2756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2757</v>
      </c>
      <c r="B34" s="12" t="s">
        <v>186</v>
      </c>
      <c r="C34" s="12" t="s">
        <v>1183</v>
      </c>
      <c r="D34" s="13" t="s">
        <v>2758</v>
      </c>
      <c r="E34" s="12" t="s">
        <v>133</v>
      </c>
      <c r="F34" s="12" t="s">
        <v>174</v>
      </c>
      <c r="G34" s="13" t="s">
        <v>2759</v>
      </c>
      <c r="H34" s="12" t="s">
        <v>91</v>
      </c>
      <c r="I34" s="12" t="s">
        <v>111</v>
      </c>
      <c r="J34" s="14" t="n">
        <v>46231</v>
      </c>
      <c r="K34" s="13" t="s">
        <v>1806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2760</v>
      </c>
      <c r="B35" s="12" t="s">
        <v>204</v>
      </c>
      <c r="C35" s="12" t="s">
        <v>2619</v>
      </c>
      <c r="D35" s="13" t="s">
        <v>2761</v>
      </c>
      <c r="E35" s="12" t="s">
        <v>133</v>
      </c>
      <c r="F35" s="12" t="s">
        <v>133</v>
      </c>
      <c r="G35" s="13" t="s">
        <v>2543</v>
      </c>
      <c r="H35" s="12" t="s">
        <v>97</v>
      </c>
      <c r="I35" s="12" t="s">
        <v>112</v>
      </c>
      <c r="J35" s="14" t="n">
        <v>46231</v>
      </c>
      <c r="K35" s="13" t="s">
        <v>2762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2763</v>
      </c>
      <c r="B36" s="12" t="s">
        <v>2697</v>
      </c>
      <c r="C36" s="12" t="s">
        <v>1183</v>
      </c>
      <c r="D36" s="13" t="s">
        <v>2764</v>
      </c>
      <c r="E36" s="12" t="s">
        <v>133</v>
      </c>
      <c r="F36" s="12" t="s">
        <v>2603</v>
      </c>
      <c r="G36" s="13" t="s">
        <v>2750</v>
      </c>
      <c r="H36" s="12" t="s">
        <v>97</v>
      </c>
      <c r="I36" s="12" t="s">
        <v>112</v>
      </c>
      <c r="J36" s="14" t="n">
        <v>46231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6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2766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115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2767</v>
      </c>
      <c r="B9" s="12" t="s">
        <v>89</v>
      </c>
      <c r="C9" s="12" t="s">
        <v>1183</v>
      </c>
      <c r="D9" s="13" t="s">
        <v>2768</v>
      </c>
      <c r="E9" s="12" t="s">
        <v>133</v>
      </c>
      <c r="F9" s="12" t="s">
        <v>134</v>
      </c>
      <c r="G9" s="13" t="s">
        <v>2769</v>
      </c>
      <c r="H9" s="12" t="s">
        <v>97</v>
      </c>
      <c r="I9" s="12" t="s">
        <v>112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2770</v>
      </c>
      <c r="B10" s="12" t="s">
        <v>2389</v>
      </c>
      <c r="C10" s="12" t="s">
        <v>1183</v>
      </c>
      <c r="D10" s="13" t="s">
        <v>2771</v>
      </c>
      <c r="E10" s="12" t="s">
        <v>133</v>
      </c>
      <c r="F10" s="12" t="s">
        <v>153</v>
      </c>
      <c r="G10" s="13" t="s">
        <v>2772</v>
      </c>
      <c r="H10" s="12" t="s">
        <v>97</v>
      </c>
      <c r="I10" s="12" t="s">
        <v>112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2773</v>
      </c>
      <c r="B11" s="12" t="s">
        <v>1342</v>
      </c>
      <c r="C11" s="12" t="s">
        <v>1183</v>
      </c>
      <c r="D11" s="13" t="s">
        <v>2774</v>
      </c>
      <c r="E11" s="12" t="s">
        <v>133</v>
      </c>
      <c r="F11" s="12" t="s">
        <v>153</v>
      </c>
      <c r="G11" s="13" t="s">
        <v>2772</v>
      </c>
      <c r="H11" s="12" t="s">
        <v>97</v>
      </c>
      <c r="I11" s="12" t="s">
        <v>112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2775</v>
      </c>
      <c r="B12" s="12" t="s">
        <v>141</v>
      </c>
      <c r="C12" s="12" t="s">
        <v>2398</v>
      </c>
      <c r="D12" s="13" t="s">
        <v>2776</v>
      </c>
      <c r="E12" s="12" t="s">
        <v>133</v>
      </c>
      <c r="F12" s="12" t="s">
        <v>143</v>
      </c>
      <c r="G12" s="13" t="s">
        <v>2777</v>
      </c>
      <c r="H12" s="12" t="s">
        <v>97</v>
      </c>
      <c r="I12" s="12" t="s">
        <v>112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2778</v>
      </c>
      <c r="B13" s="12" t="s">
        <v>137</v>
      </c>
      <c r="C13" s="12" t="s">
        <v>1183</v>
      </c>
      <c r="D13" s="13" t="s">
        <v>2779</v>
      </c>
      <c r="E13" s="12" t="s">
        <v>133</v>
      </c>
      <c r="F13" s="12" t="s">
        <v>133</v>
      </c>
      <c r="G13" s="13" t="s">
        <v>139</v>
      </c>
      <c r="H13" s="12" t="s">
        <v>97</v>
      </c>
      <c r="I13" s="12" t="s">
        <v>112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2780</v>
      </c>
      <c r="B14" s="12" t="s">
        <v>1309</v>
      </c>
      <c r="C14" s="12" t="s">
        <v>1183</v>
      </c>
      <c r="D14" s="13" t="s">
        <v>2781</v>
      </c>
      <c r="E14" s="12" t="s">
        <v>133</v>
      </c>
      <c r="F14" s="12" t="s">
        <v>133</v>
      </c>
      <c r="G14" s="13" t="s">
        <v>1311</v>
      </c>
      <c r="H14" s="12" t="s">
        <v>97</v>
      </c>
      <c r="I14" s="12" t="s">
        <v>112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2782</v>
      </c>
      <c r="B15" s="12" t="s">
        <v>1575</v>
      </c>
      <c r="C15" s="12" t="s">
        <v>781</v>
      </c>
      <c r="D15" s="13" t="s">
        <v>2783</v>
      </c>
      <c r="E15" s="12" t="s">
        <v>133</v>
      </c>
      <c r="F15" s="12" t="s">
        <v>153</v>
      </c>
      <c r="G15" s="13" t="s">
        <v>2784</v>
      </c>
      <c r="H15" s="12" t="s">
        <v>97</v>
      </c>
      <c r="I15" s="12" t="s">
        <v>112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2785</v>
      </c>
      <c r="B16" s="12" t="s">
        <v>1132</v>
      </c>
      <c r="C16" s="12" t="s">
        <v>781</v>
      </c>
      <c r="D16" s="13" t="s">
        <v>2786</v>
      </c>
      <c r="E16" s="12" t="s">
        <v>133</v>
      </c>
      <c r="F16" s="12" t="s">
        <v>158</v>
      </c>
      <c r="G16" s="13" t="s">
        <v>2787</v>
      </c>
      <c r="H16" s="12" t="s">
        <v>97</v>
      </c>
      <c r="I16" s="12" t="s">
        <v>112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2788</v>
      </c>
      <c r="B17" s="12" t="s">
        <v>2789</v>
      </c>
      <c r="C17" s="12" t="s">
        <v>836</v>
      </c>
      <c r="D17" s="13" t="s">
        <v>2790</v>
      </c>
      <c r="E17" s="12" t="s">
        <v>133</v>
      </c>
      <c r="F17" s="12" t="s">
        <v>158</v>
      </c>
      <c r="G17" s="13" t="s">
        <v>2791</v>
      </c>
      <c r="H17" s="12" t="s">
        <v>97</v>
      </c>
      <c r="I17" s="12" t="s">
        <v>112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2792</v>
      </c>
      <c r="B18" s="12" t="s">
        <v>2649</v>
      </c>
      <c r="C18" s="12" t="s">
        <v>836</v>
      </c>
      <c r="D18" s="13" t="s">
        <v>2793</v>
      </c>
      <c r="E18" s="12" t="s">
        <v>133</v>
      </c>
      <c r="F18" s="12" t="s">
        <v>158</v>
      </c>
      <c r="G18" s="13" t="s">
        <v>2791</v>
      </c>
      <c r="H18" s="12" t="s">
        <v>97</v>
      </c>
      <c r="I18" s="12" t="s">
        <v>112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2794</v>
      </c>
      <c r="B19" s="12" t="s">
        <v>1915</v>
      </c>
      <c r="C19" s="12" t="s">
        <v>836</v>
      </c>
      <c r="D19" s="13" t="s">
        <v>2795</v>
      </c>
      <c r="E19" s="12" t="s">
        <v>133</v>
      </c>
      <c r="F19" s="12" t="s">
        <v>158</v>
      </c>
      <c r="G19" s="13" t="s">
        <v>2787</v>
      </c>
      <c r="H19" s="12" t="s">
        <v>97</v>
      </c>
      <c r="I19" s="12" t="s">
        <v>112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2796</v>
      </c>
      <c r="B20" s="12" t="s">
        <v>2797</v>
      </c>
      <c r="C20" s="12" t="s">
        <v>2798</v>
      </c>
      <c r="D20" s="13" t="s">
        <v>2799</v>
      </c>
      <c r="E20" s="12" t="s">
        <v>133</v>
      </c>
      <c r="F20" s="12" t="s">
        <v>158</v>
      </c>
      <c r="G20" s="13" t="s">
        <v>2787</v>
      </c>
      <c r="H20" s="12" t="s">
        <v>97</v>
      </c>
      <c r="I20" s="12" t="s">
        <v>112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2800</v>
      </c>
      <c r="B21" s="12" t="s">
        <v>1588</v>
      </c>
      <c r="C21" s="12" t="s">
        <v>2801</v>
      </c>
      <c r="D21" s="13" t="s">
        <v>2802</v>
      </c>
      <c r="E21" s="12" t="s">
        <v>133</v>
      </c>
      <c r="F21" s="12" t="s">
        <v>158</v>
      </c>
      <c r="G21" s="13" t="s">
        <v>2787</v>
      </c>
      <c r="H21" s="12" t="s">
        <v>97</v>
      </c>
      <c r="I21" s="12" t="s">
        <v>112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2803</v>
      </c>
      <c r="B22" s="12" t="s">
        <v>172</v>
      </c>
      <c r="C22" s="12" t="s">
        <v>2804</v>
      </c>
      <c r="D22" s="13" t="s">
        <v>2805</v>
      </c>
      <c r="E22" s="12" t="s">
        <v>133</v>
      </c>
      <c r="F22" s="12" t="s">
        <v>158</v>
      </c>
      <c r="G22" s="13" t="s">
        <v>2787</v>
      </c>
      <c r="H22" s="12" t="s">
        <v>97</v>
      </c>
      <c r="I22" s="12" t="s">
        <v>112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2806</v>
      </c>
      <c r="B23" s="12" t="s">
        <v>2521</v>
      </c>
      <c r="C23" s="12" t="s">
        <v>1183</v>
      </c>
      <c r="D23" s="13" t="s">
        <v>2807</v>
      </c>
      <c r="E23" s="12" t="s">
        <v>133</v>
      </c>
      <c r="F23" s="12" t="s">
        <v>168</v>
      </c>
      <c r="G23" s="13" t="s">
        <v>2808</v>
      </c>
      <c r="H23" s="12" t="s">
        <v>95</v>
      </c>
      <c r="I23" s="12" t="s">
        <v>111</v>
      </c>
      <c r="J23" s="14" t="n">
        <v>46231</v>
      </c>
      <c r="K23" s="13" t="s">
        <v>2589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2809</v>
      </c>
      <c r="B24" s="12" t="s">
        <v>1862</v>
      </c>
      <c r="C24" s="12" t="s">
        <v>1183</v>
      </c>
      <c r="D24" s="13" t="s">
        <v>2810</v>
      </c>
      <c r="E24" s="12" t="s">
        <v>133</v>
      </c>
      <c r="F24" s="12" t="s">
        <v>168</v>
      </c>
      <c r="G24" s="13" t="s">
        <v>2808</v>
      </c>
      <c r="H24" s="12" t="s">
        <v>95</v>
      </c>
      <c r="I24" s="12" t="s">
        <v>111</v>
      </c>
      <c r="J24" s="14" t="n">
        <v>46231</v>
      </c>
      <c r="K24" s="13" t="s">
        <v>2589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2811</v>
      </c>
      <c r="B25" s="12" t="s">
        <v>166</v>
      </c>
      <c r="C25" s="12" t="s">
        <v>1183</v>
      </c>
      <c r="D25" s="13" t="s">
        <v>2812</v>
      </c>
      <c r="E25" s="12" t="s">
        <v>133</v>
      </c>
      <c r="F25" s="12" t="s">
        <v>168</v>
      </c>
      <c r="G25" s="13" t="s">
        <v>2808</v>
      </c>
      <c r="H25" s="12" t="s">
        <v>95</v>
      </c>
      <c r="I25" s="12" t="s">
        <v>111</v>
      </c>
      <c r="J25" s="14" t="n">
        <v>46231</v>
      </c>
      <c r="K25" s="13" t="s">
        <v>2673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2813</v>
      </c>
      <c r="B26" s="12" t="s">
        <v>1530</v>
      </c>
      <c r="C26" s="12" t="s">
        <v>1183</v>
      </c>
      <c r="D26" s="13" t="s">
        <v>2814</v>
      </c>
      <c r="E26" s="12" t="s">
        <v>133</v>
      </c>
      <c r="F26" s="12" t="s">
        <v>153</v>
      </c>
      <c r="G26" s="13" t="s">
        <v>2815</v>
      </c>
      <c r="H26" s="12" t="s">
        <v>97</v>
      </c>
      <c r="I26" s="12" t="s">
        <v>112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2816</v>
      </c>
      <c r="B27" s="12" t="s">
        <v>161</v>
      </c>
      <c r="C27" s="12" t="s">
        <v>1183</v>
      </c>
      <c r="D27" s="13" t="s">
        <v>2817</v>
      </c>
      <c r="E27" s="12" t="s">
        <v>133</v>
      </c>
      <c r="F27" s="12" t="s">
        <v>163</v>
      </c>
      <c r="G27" s="13" t="s">
        <v>2787</v>
      </c>
      <c r="H27" s="12" t="s">
        <v>97</v>
      </c>
      <c r="I27" s="12" t="s">
        <v>112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2818</v>
      </c>
      <c r="B28" s="12" t="s">
        <v>621</v>
      </c>
      <c r="C28" s="12" t="s">
        <v>1183</v>
      </c>
      <c r="D28" s="13" t="s">
        <v>2819</v>
      </c>
      <c r="E28" s="12" t="s">
        <v>133</v>
      </c>
      <c r="F28" s="12" t="s">
        <v>623</v>
      </c>
      <c r="G28" s="13" t="s">
        <v>2820</v>
      </c>
      <c r="H28" s="12" t="s">
        <v>97</v>
      </c>
      <c r="I28" s="12" t="s">
        <v>112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2821</v>
      </c>
      <c r="B29" s="12" t="s">
        <v>2376</v>
      </c>
      <c r="C29" s="12" t="s">
        <v>2601</v>
      </c>
      <c r="D29" s="13" t="s">
        <v>2822</v>
      </c>
      <c r="E29" s="12" t="s">
        <v>133</v>
      </c>
      <c r="F29" s="12" t="s">
        <v>2603</v>
      </c>
      <c r="G29" s="13" t="s">
        <v>2823</v>
      </c>
      <c r="H29" s="12" t="s">
        <v>97</v>
      </c>
      <c r="I29" s="12" t="s">
        <v>112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2824</v>
      </c>
      <c r="B30" s="12" t="s">
        <v>195</v>
      </c>
      <c r="C30" s="12" t="s">
        <v>2606</v>
      </c>
      <c r="D30" s="13" t="s">
        <v>2825</v>
      </c>
      <c r="E30" s="12" t="s">
        <v>133</v>
      </c>
      <c r="F30" s="12" t="s">
        <v>2603</v>
      </c>
      <c r="G30" s="13" t="s">
        <v>2826</v>
      </c>
      <c r="H30" s="12" t="s">
        <v>97</v>
      </c>
      <c r="I30" s="12" t="s">
        <v>112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2827</v>
      </c>
      <c r="B31" s="12" t="s">
        <v>199</v>
      </c>
      <c r="C31" s="12" t="s">
        <v>1183</v>
      </c>
      <c r="D31" s="13" t="s">
        <v>2828</v>
      </c>
      <c r="E31" s="12" t="s">
        <v>201</v>
      </c>
      <c r="F31" s="12" t="s">
        <v>201</v>
      </c>
      <c r="G31" s="13" t="s">
        <v>202</v>
      </c>
      <c r="H31" s="12" t="s">
        <v>97</v>
      </c>
      <c r="I31" s="12" t="s">
        <v>112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2829</v>
      </c>
      <c r="B32" s="12" t="s">
        <v>186</v>
      </c>
      <c r="C32" s="12" t="s">
        <v>1183</v>
      </c>
      <c r="D32" s="13" t="s">
        <v>2830</v>
      </c>
      <c r="E32" s="12" t="s">
        <v>133</v>
      </c>
      <c r="F32" s="12" t="s">
        <v>174</v>
      </c>
      <c r="G32" s="13" t="s">
        <v>2831</v>
      </c>
      <c r="H32" s="12" t="s">
        <v>91</v>
      </c>
      <c r="I32" s="12" t="s">
        <v>111</v>
      </c>
      <c r="J32" s="14" t="n">
        <v>46231</v>
      </c>
      <c r="K32" s="13" t="s">
        <v>1806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2832</v>
      </c>
      <c r="B33" s="12" t="s">
        <v>204</v>
      </c>
      <c r="C33" s="12" t="s">
        <v>2619</v>
      </c>
      <c r="D33" s="13" t="s">
        <v>2542</v>
      </c>
      <c r="E33" s="12" t="s">
        <v>133</v>
      </c>
      <c r="F33" s="12" t="s">
        <v>133</v>
      </c>
      <c r="G33" s="13" t="s">
        <v>2543</v>
      </c>
      <c r="H33" s="12" t="s">
        <v>97</v>
      </c>
      <c r="I33" s="12" t="s">
        <v>112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2833</v>
      </c>
      <c r="B34" s="12" t="s">
        <v>2697</v>
      </c>
      <c r="C34" s="12" t="s">
        <v>1183</v>
      </c>
      <c r="D34" s="13" t="s">
        <v>2834</v>
      </c>
      <c r="E34" s="12" t="s">
        <v>133</v>
      </c>
      <c r="F34" s="12" t="s">
        <v>2603</v>
      </c>
      <c r="G34" s="13" t="s">
        <v>2823</v>
      </c>
      <c r="H34" s="12" t="s">
        <v>97</v>
      </c>
      <c r="I34" s="12" t="s">
        <v>112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2836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115</v>
      </c>
      <c r="E4" s="6" t="n">
        <f aca="false">SUM(M9:M34)</f>
        <v>21</v>
      </c>
      <c r="G4" s="5" t="s">
        <v>14</v>
      </c>
      <c r="H4" s="7" t="n">
        <f aca="false">IF(B4=0,0,E4/B4)</f>
        <v>0.807692307692308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2837</v>
      </c>
      <c r="B9" s="12" t="s">
        <v>89</v>
      </c>
      <c r="C9" s="12" t="s">
        <v>781</v>
      </c>
      <c r="D9" s="13" t="s">
        <v>2838</v>
      </c>
      <c r="E9" s="12" t="s">
        <v>133</v>
      </c>
      <c r="F9" s="12" t="s">
        <v>134</v>
      </c>
      <c r="G9" s="13" t="s">
        <v>2839</v>
      </c>
      <c r="H9" s="12" t="s">
        <v>97</v>
      </c>
      <c r="I9" s="12" t="s">
        <v>112</v>
      </c>
      <c r="J9" s="14" t="n">
        <v>46231</v>
      </c>
      <c r="K9" s="13" t="s">
        <v>2840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2841</v>
      </c>
      <c r="B10" s="12" t="s">
        <v>2389</v>
      </c>
      <c r="C10" s="12" t="s">
        <v>781</v>
      </c>
      <c r="D10" s="13" t="s">
        <v>2842</v>
      </c>
      <c r="E10" s="12" t="s">
        <v>133</v>
      </c>
      <c r="F10" s="12" t="s">
        <v>153</v>
      </c>
      <c r="G10" s="13" t="s">
        <v>2843</v>
      </c>
      <c r="H10" s="12" t="s">
        <v>97</v>
      </c>
      <c r="I10" s="12" t="s">
        <v>112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2844</v>
      </c>
      <c r="B11" s="12" t="s">
        <v>1342</v>
      </c>
      <c r="C11" s="12" t="s">
        <v>781</v>
      </c>
      <c r="D11" s="13" t="s">
        <v>2845</v>
      </c>
      <c r="E11" s="12" t="s">
        <v>133</v>
      </c>
      <c r="F11" s="12" t="s">
        <v>153</v>
      </c>
      <c r="G11" s="13" t="s">
        <v>2843</v>
      </c>
      <c r="H11" s="12" t="s">
        <v>97</v>
      </c>
      <c r="I11" s="12" t="s">
        <v>112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2846</v>
      </c>
      <c r="B12" s="12" t="s">
        <v>141</v>
      </c>
      <c r="C12" s="12" t="s">
        <v>2398</v>
      </c>
      <c r="D12" s="13" t="s">
        <v>2847</v>
      </c>
      <c r="E12" s="12" t="s">
        <v>133</v>
      </c>
      <c r="F12" s="12" t="s">
        <v>143</v>
      </c>
      <c r="G12" s="13" t="s">
        <v>2848</v>
      </c>
      <c r="H12" s="12" t="s">
        <v>97</v>
      </c>
      <c r="I12" s="12" t="s">
        <v>112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2849</v>
      </c>
      <c r="B13" s="12" t="s">
        <v>137</v>
      </c>
      <c r="C13" s="12" t="s">
        <v>781</v>
      </c>
      <c r="D13" s="13" t="s">
        <v>2850</v>
      </c>
      <c r="E13" s="12" t="s">
        <v>133</v>
      </c>
      <c r="F13" s="12" t="s">
        <v>133</v>
      </c>
      <c r="G13" s="13" t="s">
        <v>139</v>
      </c>
      <c r="H13" s="12" t="s">
        <v>97</v>
      </c>
      <c r="I13" s="12" t="s">
        <v>112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2851</v>
      </c>
      <c r="B14" s="12" t="s">
        <v>1309</v>
      </c>
      <c r="C14" s="12" t="s">
        <v>781</v>
      </c>
      <c r="D14" s="13" t="s">
        <v>2852</v>
      </c>
      <c r="E14" s="12" t="s">
        <v>133</v>
      </c>
      <c r="F14" s="12" t="s">
        <v>133</v>
      </c>
      <c r="G14" s="13" t="s">
        <v>1311</v>
      </c>
      <c r="H14" s="12" t="s">
        <v>97</v>
      </c>
      <c r="I14" s="12" t="s">
        <v>112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2853</v>
      </c>
      <c r="B15" s="12" t="s">
        <v>1292</v>
      </c>
      <c r="C15" s="12" t="s">
        <v>781</v>
      </c>
      <c r="D15" s="13" t="s">
        <v>2854</v>
      </c>
      <c r="E15" s="12" t="s">
        <v>133</v>
      </c>
      <c r="F15" s="12" t="s">
        <v>158</v>
      </c>
      <c r="G15" s="13" t="s">
        <v>2855</v>
      </c>
      <c r="H15" s="12" t="s">
        <v>97</v>
      </c>
      <c r="I15" s="12" t="s">
        <v>112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2856</v>
      </c>
      <c r="B16" s="12" t="s">
        <v>1692</v>
      </c>
      <c r="C16" s="12" t="s">
        <v>781</v>
      </c>
      <c r="D16" s="13" t="s">
        <v>2857</v>
      </c>
      <c r="E16" s="12" t="s">
        <v>133</v>
      </c>
      <c r="F16" s="12" t="s">
        <v>158</v>
      </c>
      <c r="G16" s="13" t="s">
        <v>2858</v>
      </c>
      <c r="H16" s="12" t="s">
        <v>97</v>
      </c>
      <c r="I16" s="12" t="s">
        <v>112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2859</v>
      </c>
      <c r="B17" s="12" t="s">
        <v>2860</v>
      </c>
      <c r="C17" s="12" t="s">
        <v>781</v>
      </c>
      <c r="D17" s="13" t="s">
        <v>2861</v>
      </c>
      <c r="E17" s="12" t="s">
        <v>133</v>
      </c>
      <c r="F17" s="12" t="s">
        <v>158</v>
      </c>
      <c r="G17" s="13" t="s">
        <v>2858</v>
      </c>
      <c r="H17" s="12" t="s">
        <v>97</v>
      </c>
      <c r="I17" s="12" t="s">
        <v>112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2862</v>
      </c>
      <c r="B18" s="12" t="s">
        <v>2863</v>
      </c>
      <c r="C18" s="12" t="s">
        <v>781</v>
      </c>
      <c r="D18" s="13" t="s">
        <v>2864</v>
      </c>
      <c r="E18" s="12" t="s">
        <v>133</v>
      </c>
      <c r="F18" s="12" t="s">
        <v>158</v>
      </c>
      <c r="G18" s="13" t="s">
        <v>2858</v>
      </c>
      <c r="H18" s="12" t="s">
        <v>97</v>
      </c>
      <c r="I18" s="12" t="s">
        <v>112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2865</v>
      </c>
      <c r="B19" s="12" t="s">
        <v>1085</v>
      </c>
      <c r="C19" s="12" t="s">
        <v>2866</v>
      </c>
      <c r="D19" s="13" t="s">
        <v>2867</v>
      </c>
      <c r="E19" s="12" t="s">
        <v>133</v>
      </c>
      <c r="F19" s="12" t="s">
        <v>158</v>
      </c>
      <c r="G19" s="13" t="s">
        <v>2858</v>
      </c>
      <c r="H19" s="12" t="s">
        <v>97</v>
      </c>
      <c r="I19" s="12" t="s">
        <v>112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2868</v>
      </c>
      <c r="B20" s="12" t="s">
        <v>181</v>
      </c>
      <c r="C20" s="12" t="s">
        <v>781</v>
      </c>
      <c r="D20" s="13" t="s">
        <v>2869</v>
      </c>
      <c r="E20" s="12" t="s">
        <v>133</v>
      </c>
      <c r="F20" s="12" t="s">
        <v>153</v>
      </c>
      <c r="G20" s="13" t="s">
        <v>2843</v>
      </c>
      <c r="H20" s="12" t="s">
        <v>97</v>
      </c>
      <c r="I20" s="12" t="s">
        <v>112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2870</v>
      </c>
      <c r="B21" s="12" t="s">
        <v>661</v>
      </c>
      <c r="C21" s="12" t="s">
        <v>2871</v>
      </c>
      <c r="D21" s="13" t="s">
        <v>2872</v>
      </c>
      <c r="E21" s="12" t="s">
        <v>133</v>
      </c>
      <c r="F21" s="12" t="s">
        <v>158</v>
      </c>
      <c r="G21" s="13" t="s">
        <v>2858</v>
      </c>
      <c r="H21" s="12" t="s">
        <v>97</v>
      </c>
      <c r="I21" s="12" t="s">
        <v>112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2873</v>
      </c>
      <c r="B22" s="12" t="s">
        <v>161</v>
      </c>
      <c r="C22" s="12" t="s">
        <v>2871</v>
      </c>
      <c r="D22" s="13" t="s">
        <v>2874</v>
      </c>
      <c r="E22" s="12" t="s">
        <v>133</v>
      </c>
      <c r="F22" s="12" t="s">
        <v>163</v>
      </c>
      <c r="G22" s="13" t="s">
        <v>2858</v>
      </c>
      <c r="H22" s="12" t="s">
        <v>97</v>
      </c>
      <c r="I22" s="12" t="s">
        <v>112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2875</v>
      </c>
      <c r="B23" s="12" t="s">
        <v>172</v>
      </c>
      <c r="C23" s="12" t="s">
        <v>781</v>
      </c>
      <c r="D23" s="13" t="s">
        <v>2876</v>
      </c>
      <c r="E23" s="12" t="s">
        <v>133</v>
      </c>
      <c r="F23" s="12" t="s">
        <v>158</v>
      </c>
      <c r="G23" s="13" t="s">
        <v>2858</v>
      </c>
      <c r="H23" s="12" t="s">
        <v>97</v>
      </c>
      <c r="I23" s="12" t="s">
        <v>112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2877</v>
      </c>
      <c r="B24" s="12" t="s">
        <v>2521</v>
      </c>
      <c r="C24" s="12" t="s">
        <v>2871</v>
      </c>
      <c r="D24" s="13" t="s">
        <v>2878</v>
      </c>
      <c r="E24" s="12" t="s">
        <v>133</v>
      </c>
      <c r="F24" s="12" t="s">
        <v>168</v>
      </c>
      <c r="G24" s="13" t="s">
        <v>2879</v>
      </c>
      <c r="H24" s="12" t="s">
        <v>95</v>
      </c>
      <c r="I24" s="12" t="s">
        <v>111</v>
      </c>
      <c r="J24" s="14" t="n">
        <v>46231</v>
      </c>
      <c r="K24" s="13" t="s">
        <v>2880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2881</v>
      </c>
      <c r="B25" s="12" t="s">
        <v>1862</v>
      </c>
      <c r="C25" s="12" t="s">
        <v>781</v>
      </c>
      <c r="D25" s="13" t="s">
        <v>2882</v>
      </c>
      <c r="E25" s="12" t="s">
        <v>133</v>
      </c>
      <c r="F25" s="12" t="s">
        <v>168</v>
      </c>
      <c r="G25" s="13" t="s">
        <v>2879</v>
      </c>
      <c r="H25" s="12" t="s">
        <v>95</v>
      </c>
      <c r="I25" s="12" t="s">
        <v>111</v>
      </c>
      <c r="J25" s="14" t="n">
        <v>46231</v>
      </c>
      <c r="K25" s="13" t="s">
        <v>2883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2884</v>
      </c>
      <c r="B26" s="12" t="s">
        <v>2470</v>
      </c>
      <c r="C26" s="12" t="s">
        <v>781</v>
      </c>
      <c r="D26" s="13" t="s">
        <v>2885</v>
      </c>
      <c r="E26" s="12" t="s">
        <v>133</v>
      </c>
      <c r="F26" s="12" t="s">
        <v>168</v>
      </c>
      <c r="G26" s="13" t="s">
        <v>2886</v>
      </c>
      <c r="H26" s="12" t="s">
        <v>95</v>
      </c>
      <c r="I26" s="12" t="s">
        <v>111</v>
      </c>
      <c r="J26" s="14" t="n">
        <v>46231</v>
      </c>
      <c r="K26" s="13" t="s">
        <v>2887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2888</v>
      </c>
      <c r="B27" s="12" t="s">
        <v>1530</v>
      </c>
      <c r="C27" s="12" t="s">
        <v>781</v>
      </c>
      <c r="D27" s="13" t="s">
        <v>2889</v>
      </c>
      <c r="E27" s="12" t="s">
        <v>133</v>
      </c>
      <c r="F27" s="12" t="s">
        <v>153</v>
      </c>
      <c r="G27" s="13" t="s">
        <v>2890</v>
      </c>
      <c r="H27" s="12" t="s">
        <v>97</v>
      </c>
      <c r="I27" s="12" t="s">
        <v>112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2891</v>
      </c>
      <c r="B28" s="12" t="s">
        <v>621</v>
      </c>
      <c r="C28" s="12" t="s">
        <v>781</v>
      </c>
      <c r="D28" s="13" t="s">
        <v>2892</v>
      </c>
      <c r="E28" s="12" t="s">
        <v>133</v>
      </c>
      <c r="F28" s="12" t="s">
        <v>623</v>
      </c>
      <c r="G28" s="13" t="s">
        <v>2893</v>
      </c>
      <c r="H28" s="12" t="s">
        <v>97</v>
      </c>
      <c r="I28" s="12" t="s">
        <v>112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2894</v>
      </c>
      <c r="B29" s="12" t="s">
        <v>2376</v>
      </c>
      <c r="C29" s="12" t="s">
        <v>2601</v>
      </c>
      <c r="D29" s="13" t="s">
        <v>2895</v>
      </c>
      <c r="E29" s="12" t="s">
        <v>133</v>
      </c>
      <c r="F29" s="12" t="s">
        <v>2603</v>
      </c>
      <c r="G29" s="13" t="s">
        <v>2896</v>
      </c>
      <c r="H29" s="12" t="s">
        <v>97</v>
      </c>
      <c r="I29" s="12" t="s">
        <v>112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2897</v>
      </c>
      <c r="B30" s="12" t="s">
        <v>195</v>
      </c>
      <c r="C30" s="12" t="s">
        <v>2606</v>
      </c>
      <c r="D30" s="13" t="s">
        <v>2898</v>
      </c>
      <c r="E30" s="12" t="s">
        <v>133</v>
      </c>
      <c r="F30" s="12" t="s">
        <v>2603</v>
      </c>
      <c r="G30" s="13" t="s">
        <v>2899</v>
      </c>
      <c r="H30" s="12" t="s">
        <v>97</v>
      </c>
      <c r="I30" s="12" t="s">
        <v>112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2900</v>
      </c>
      <c r="B31" s="12" t="s">
        <v>199</v>
      </c>
      <c r="C31" s="12" t="s">
        <v>781</v>
      </c>
      <c r="D31" s="13" t="s">
        <v>2901</v>
      </c>
      <c r="E31" s="12" t="s">
        <v>201</v>
      </c>
      <c r="F31" s="12" t="s">
        <v>201</v>
      </c>
      <c r="G31" s="13" t="s">
        <v>202</v>
      </c>
      <c r="H31" s="12" t="s">
        <v>97</v>
      </c>
      <c r="I31" s="12" t="s">
        <v>112</v>
      </c>
      <c r="J31" s="14" t="s">
        <v>2902</v>
      </c>
      <c r="K31" s="13" t="s">
        <v>2903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2904</v>
      </c>
      <c r="B32" s="12" t="s">
        <v>166</v>
      </c>
      <c r="C32" s="12" t="s">
        <v>2871</v>
      </c>
      <c r="D32" s="13" t="s">
        <v>2905</v>
      </c>
      <c r="E32" s="12" t="s">
        <v>133</v>
      </c>
      <c r="F32" s="12" t="s">
        <v>168</v>
      </c>
      <c r="G32" s="13" t="s">
        <v>2879</v>
      </c>
      <c r="H32" s="12" t="s">
        <v>95</v>
      </c>
      <c r="I32" s="12" t="s">
        <v>111</v>
      </c>
      <c r="J32" s="14" t="n">
        <v>46231</v>
      </c>
      <c r="K32" s="13" t="s">
        <v>2906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2907</v>
      </c>
      <c r="B33" s="12" t="s">
        <v>186</v>
      </c>
      <c r="C33" s="12" t="s">
        <v>2871</v>
      </c>
      <c r="D33" s="13" t="s">
        <v>2908</v>
      </c>
      <c r="E33" s="12" t="s">
        <v>133</v>
      </c>
      <c r="F33" s="12" t="s">
        <v>174</v>
      </c>
      <c r="G33" s="13" t="s">
        <v>2909</v>
      </c>
      <c r="H33" s="12" t="s">
        <v>91</v>
      </c>
      <c r="I33" s="12" t="s">
        <v>111</v>
      </c>
      <c r="J33" s="14"/>
      <c r="K33" s="13" t="s">
        <v>1806</v>
      </c>
      <c r="L33" s="12" t="n">
        <v>1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>
      <c r="A34" s="12" t="s">
        <v>2910</v>
      </c>
      <c r="B34" s="12" t="s">
        <v>204</v>
      </c>
      <c r="C34" s="12" t="s">
        <v>2619</v>
      </c>
      <c r="D34" s="13" t="s">
        <v>2911</v>
      </c>
      <c r="E34" s="12" t="s">
        <v>133</v>
      </c>
      <c r="F34" s="12" t="s">
        <v>133</v>
      </c>
      <c r="G34" s="13" t="s">
        <v>2543</v>
      </c>
      <c r="H34" s="12" t="s">
        <v>97</v>
      </c>
      <c r="I34" s="12" t="s">
        <v>112</v>
      </c>
      <c r="J34" s="14" t="s">
        <v>2902</v>
      </c>
      <c r="K34" s="13" t="s">
        <v>2912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COUNTA(A9:A38)</f>
        <v>30</v>
      </c>
      <c r="D4" s="5" t="s">
        <v>115</v>
      </c>
      <c r="E4" s="6" t="n">
        <f aca="false">SUM(M9:M38)</f>
        <v>23</v>
      </c>
      <c r="G4" s="5" t="s">
        <v>14</v>
      </c>
      <c r="H4" s="7" t="n">
        <f aca="false">IF(B4=0,0,E4/B4)</f>
        <v>0.766666666666667</v>
      </c>
      <c r="J4" s="5" t="s">
        <v>15</v>
      </c>
      <c r="K4" s="6" t="str">
        <f aca="false">IF(COUNTIFS(E9:E38,"package",M9:M38,0)&gt;0,"open","complete")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IF(COUNTIFS(I9:I38,"yes",M9:M38,0)&gt;0,"open","complete")</f>
        <v>open</v>
      </c>
      <c r="D5" s="5" t="s">
        <v>16</v>
      </c>
      <c r="E5" s="6" t="str">
        <f aca="false">IF(COUNTIFS(E9:E38,"consumer",M9:M38,0)&gt;0,"open","complete")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1746</v>
      </c>
      <c r="B9" s="12" t="s">
        <v>89</v>
      </c>
      <c r="C9" s="12" t="s">
        <v>1183</v>
      </c>
      <c r="D9" s="13" t="s">
        <v>2915</v>
      </c>
      <c r="E9" s="12" t="s">
        <v>133</v>
      </c>
      <c r="F9" s="12" t="s">
        <v>134</v>
      </c>
      <c r="G9" s="13" t="s">
        <v>2916</v>
      </c>
      <c r="H9" s="12" t="s">
        <v>97</v>
      </c>
      <c r="I9" s="12" t="s">
        <v>112</v>
      </c>
      <c r="J9" s="14" t="n">
        <v>46231</v>
      </c>
      <c r="K9" s="13" t="s">
        <v>2917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1749</v>
      </c>
      <c r="B10" s="12" t="s">
        <v>2389</v>
      </c>
      <c r="C10" s="12" t="s">
        <v>2398</v>
      </c>
      <c r="D10" s="13" t="s">
        <v>2918</v>
      </c>
      <c r="E10" s="12" t="s">
        <v>133</v>
      </c>
      <c r="F10" s="12" t="s">
        <v>153</v>
      </c>
      <c r="G10" s="13" t="s">
        <v>2919</v>
      </c>
      <c r="H10" s="12" t="s">
        <v>97</v>
      </c>
      <c r="I10" s="12" t="s">
        <v>112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1753</v>
      </c>
      <c r="B11" s="12" t="s">
        <v>1342</v>
      </c>
      <c r="C11" s="12" t="s">
        <v>1183</v>
      </c>
      <c r="D11" s="13" t="s">
        <v>2920</v>
      </c>
      <c r="E11" s="12" t="s">
        <v>133</v>
      </c>
      <c r="F11" s="12" t="s">
        <v>153</v>
      </c>
      <c r="G11" s="13" t="s">
        <v>2919</v>
      </c>
      <c r="H11" s="12" t="s">
        <v>97</v>
      </c>
      <c r="I11" s="12" t="s">
        <v>112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1755</v>
      </c>
      <c r="B12" s="12" t="s">
        <v>141</v>
      </c>
      <c r="C12" s="12" t="s">
        <v>2398</v>
      </c>
      <c r="D12" s="13" t="s">
        <v>2921</v>
      </c>
      <c r="E12" s="12" t="s">
        <v>133</v>
      </c>
      <c r="F12" s="12" t="s">
        <v>143</v>
      </c>
      <c r="G12" s="13" t="s">
        <v>2922</v>
      </c>
      <c r="H12" s="12" t="s">
        <v>97</v>
      </c>
      <c r="I12" s="12" t="s">
        <v>112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1758</v>
      </c>
      <c r="B13" s="12" t="s">
        <v>137</v>
      </c>
      <c r="C13" s="12" t="s">
        <v>1183</v>
      </c>
      <c r="D13" s="13" t="s">
        <v>2923</v>
      </c>
      <c r="E13" s="12" t="s">
        <v>133</v>
      </c>
      <c r="F13" s="12" t="s">
        <v>133</v>
      </c>
      <c r="G13" s="13" t="s">
        <v>139</v>
      </c>
      <c r="H13" s="12" t="s">
        <v>97</v>
      </c>
      <c r="I13" s="12" t="s">
        <v>112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1761</v>
      </c>
      <c r="B14" s="12" t="s">
        <v>1309</v>
      </c>
      <c r="C14" s="12" t="s">
        <v>1183</v>
      </c>
      <c r="D14" s="13" t="s">
        <v>2924</v>
      </c>
      <c r="E14" s="12" t="s">
        <v>133</v>
      </c>
      <c r="F14" s="12" t="s">
        <v>133</v>
      </c>
      <c r="G14" s="13" t="s">
        <v>1311</v>
      </c>
      <c r="H14" s="12" t="s">
        <v>97</v>
      </c>
      <c r="I14" s="12" t="s">
        <v>112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1765</v>
      </c>
      <c r="B15" s="12" t="s">
        <v>1575</v>
      </c>
      <c r="C15" s="12" t="s">
        <v>781</v>
      </c>
      <c r="D15" s="13" t="s">
        <v>2925</v>
      </c>
      <c r="E15" s="12" t="s">
        <v>133</v>
      </c>
      <c r="F15" s="12" t="s">
        <v>158</v>
      </c>
      <c r="G15" s="13" t="s">
        <v>2926</v>
      </c>
      <c r="H15" s="12" t="s">
        <v>97</v>
      </c>
      <c r="I15" s="12" t="s">
        <v>112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1769</v>
      </c>
      <c r="B16" s="12" t="s">
        <v>1692</v>
      </c>
      <c r="C16" s="12" t="s">
        <v>781</v>
      </c>
      <c r="D16" s="13" t="s">
        <v>2927</v>
      </c>
      <c r="E16" s="12" t="s">
        <v>133</v>
      </c>
      <c r="F16" s="12" t="s">
        <v>168</v>
      </c>
      <c r="G16" s="13" t="s">
        <v>2928</v>
      </c>
      <c r="H16" s="12" t="s">
        <v>95</v>
      </c>
      <c r="I16" s="12" t="s">
        <v>111</v>
      </c>
      <c r="J16" s="14" t="n">
        <v>46231</v>
      </c>
      <c r="K16" s="13" t="s">
        <v>2929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1773</v>
      </c>
      <c r="B17" s="12" t="s">
        <v>1697</v>
      </c>
      <c r="C17" s="12" t="s">
        <v>2930</v>
      </c>
      <c r="D17" s="13" t="s">
        <v>2931</v>
      </c>
      <c r="E17" s="12" t="s">
        <v>133</v>
      </c>
      <c r="F17" s="12" t="s">
        <v>168</v>
      </c>
      <c r="G17" s="13" t="s">
        <v>2928</v>
      </c>
      <c r="H17" s="12" t="s">
        <v>95</v>
      </c>
      <c r="I17" s="12" t="s">
        <v>111</v>
      </c>
      <c r="J17" s="14" t="n">
        <v>46231</v>
      </c>
      <c r="K17" s="13" t="s">
        <v>2932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1778</v>
      </c>
      <c r="B18" s="12" t="s">
        <v>2933</v>
      </c>
      <c r="C18" s="12" t="s">
        <v>21</v>
      </c>
      <c r="D18" s="13" t="s">
        <v>2934</v>
      </c>
      <c r="E18" s="12" t="s">
        <v>133</v>
      </c>
      <c r="F18" s="12" t="s">
        <v>153</v>
      </c>
      <c r="G18" s="13" t="s">
        <v>2935</v>
      </c>
      <c r="H18" s="12" t="s">
        <v>97</v>
      </c>
      <c r="I18" s="12" t="s">
        <v>112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1781</v>
      </c>
      <c r="B19" s="12" t="s">
        <v>2936</v>
      </c>
      <c r="C19" s="12" t="s">
        <v>33</v>
      </c>
      <c r="D19" s="13" t="s">
        <v>2937</v>
      </c>
      <c r="E19" s="12" t="s">
        <v>133</v>
      </c>
      <c r="F19" s="12" t="s">
        <v>158</v>
      </c>
      <c r="G19" s="13" t="s">
        <v>2926</v>
      </c>
      <c r="H19" s="12" t="s">
        <v>97</v>
      </c>
      <c r="I19" s="12" t="s">
        <v>112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1784</v>
      </c>
      <c r="B20" s="12" t="s">
        <v>2938</v>
      </c>
      <c r="C20" s="12" t="s">
        <v>2939</v>
      </c>
      <c r="D20" s="13" t="s">
        <v>2940</v>
      </c>
      <c r="E20" s="12" t="s">
        <v>133</v>
      </c>
      <c r="F20" s="12" t="s">
        <v>153</v>
      </c>
      <c r="G20" s="13" t="s">
        <v>2919</v>
      </c>
      <c r="H20" s="12" t="s">
        <v>97</v>
      </c>
      <c r="I20" s="12" t="s">
        <v>112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1788</v>
      </c>
      <c r="B21" s="12" t="s">
        <v>2941</v>
      </c>
      <c r="C21" s="12" t="s">
        <v>2942</v>
      </c>
      <c r="D21" s="13" t="s">
        <v>2943</v>
      </c>
      <c r="E21" s="12" t="s">
        <v>133</v>
      </c>
      <c r="F21" s="12" t="s">
        <v>153</v>
      </c>
      <c r="G21" s="13" t="s">
        <v>2919</v>
      </c>
      <c r="H21" s="12" t="s">
        <v>97</v>
      </c>
      <c r="I21" s="12" t="s">
        <v>112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1792</v>
      </c>
      <c r="B22" s="12" t="s">
        <v>2944</v>
      </c>
      <c r="C22" s="12" t="s">
        <v>2942</v>
      </c>
      <c r="D22" s="13" t="s">
        <v>2945</v>
      </c>
      <c r="E22" s="12" t="s">
        <v>133</v>
      </c>
      <c r="F22" s="12" t="s">
        <v>158</v>
      </c>
      <c r="G22" s="13" t="s">
        <v>2926</v>
      </c>
      <c r="H22" s="12" t="s">
        <v>97</v>
      </c>
      <c r="I22" s="12" t="s">
        <v>112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1794</v>
      </c>
      <c r="B23" s="12" t="s">
        <v>1582</v>
      </c>
      <c r="C23" s="12" t="s">
        <v>2946</v>
      </c>
      <c r="D23" s="13" t="s">
        <v>2947</v>
      </c>
      <c r="E23" s="12" t="s">
        <v>133</v>
      </c>
      <c r="F23" s="12" t="s">
        <v>158</v>
      </c>
      <c r="G23" s="13" t="s">
        <v>2948</v>
      </c>
      <c r="H23" s="12" t="s">
        <v>97</v>
      </c>
      <c r="I23" s="12" t="s">
        <v>112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1796</v>
      </c>
      <c r="B24" s="12" t="s">
        <v>2028</v>
      </c>
      <c r="C24" s="12" t="s">
        <v>2949</v>
      </c>
      <c r="D24" s="13" t="s">
        <v>2950</v>
      </c>
      <c r="E24" s="12" t="s">
        <v>133</v>
      </c>
      <c r="F24" s="12" t="s">
        <v>158</v>
      </c>
      <c r="G24" s="13" t="s">
        <v>2926</v>
      </c>
      <c r="H24" s="12" t="s">
        <v>97</v>
      </c>
      <c r="I24" s="12" t="s">
        <v>112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1798</v>
      </c>
      <c r="B25" s="12" t="s">
        <v>181</v>
      </c>
      <c r="C25" s="12" t="s">
        <v>2930</v>
      </c>
      <c r="D25" s="13" t="s">
        <v>2951</v>
      </c>
      <c r="E25" s="12" t="s">
        <v>133</v>
      </c>
      <c r="F25" s="12" t="s">
        <v>153</v>
      </c>
      <c r="G25" s="13" t="s">
        <v>2952</v>
      </c>
      <c r="H25" s="12" t="s">
        <v>97</v>
      </c>
      <c r="I25" s="12" t="s">
        <v>112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1800</v>
      </c>
      <c r="B26" s="12" t="s">
        <v>172</v>
      </c>
      <c r="C26" s="12" t="s">
        <v>781</v>
      </c>
      <c r="D26" s="13" t="s">
        <v>2953</v>
      </c>
      <c r="E26" s="12" t="s">
        <v>133</v>
      </c>
      <c r="F26" s="12" t="s">
        <v>158</v>
      </c>
      <c r="G26" s="13" t="s">
        <v>2926</v>
      </c>
      <c r="H26" s="12" t="s">
        <v>97</v>
      </c>
      <c r="I26" s="12" t="s">
        <v>112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1803</v>
      </c>
      <c r="B27" s="12" t="s">
        <v>2521</v>
      </c>
      <c r="C27" s="12" t="s">
        <v>2930</v>
      </c>
      <c r="D27" s="13" t="s">
        <v>2954</v>
      </c>
      <c r="E27" s="12" t="s">
        <v>133</v>
      </c>
      <c r="F27" s="12" t="s">
        <v>168</v>
      </c>
      <c r="G27" s="13" t="s">
        <v>2955</v>
      </c>
      <c r="H27" s="12" t="s">
        <v>95</v>
      </c>
      <c r="I27" s="12" t="s">
        <v>111</v>
      </c>
      <c r="J27" s="14" t="n">
        <v>46231</v>
      </c>
      <c r="K27" s="13" t="s">
        <v>2956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1807</v>
      </c>
      <c r="B28" s="12" t="s">
        <v>161</v>
      </c>
      <c r="C28" s="12" t="s">
        <v>1183</v>
      </c>
      <c r="D28" s="13" t="s">
        <v>2957</v>
      </c>
      <c r="E28" s="12" t="s">
        <v>133</v>
      </c>
      <c r="F28" s="12" t="s">
        <v>163</v>
      </c>
      <c r="G28" s="13" t="s">
        <v>2926</v>
      </c>
      <c r="H28" s="12" t="s">
        <v>97</v>
      </c>
      <c r="I28" s="12" t="s">
        <v>112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1810</v>
      </c>
      <c r="B29" s="12" t="s">
        <v>1862</v>
      </c>
      <c r="C29" s="12" t="s">
        <v>1183</v>
      </c>
      <c r="D29" s="13" t="s">
        <v>2958</v>
      </c>
      <c r="E29" s="12" t="s">
        <v>133</v>
      </c>
      <c r="F29" s="12" t="s">
        <v>168</v>
      </c>
      <c r="G29" s="13" t="s">
        <v>2928</v>
      </c>
      <c r="H29" s="12" t="s">
        <v>95</v>
      </c>
      <c r="I29" s="12" t="s">
        <v>111</v>
      </c>
      <c r="J29" s="14" t="n">
        <v>46231</v>
      </c>
      <c r="K29" s="13" t="s">
        <v>2883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1813</v>
      </c>
      <c r="B30" s="12" t="s">
        <v>2470</v>
      </c>
      <c r="C30" s="12" t="s">
        <v>1183</v>
      </c>
      <c r="D30" s="13" t="s">
        <v>2959</v>
      </c>
      <c r="E30" s="12" t="s">
        <v>133</v>
      </c>
      <c r="F30" s="12" t="s">
        <v>168</v>
      </c>
      <c r="G30" s="13" t="s">
        <v>2960</v>
      </c>
      <c r="H30" s="12" t="s">
        <v>95</v>
      </c>
      <c r="I30" s="12" t="s">
        <v>111</v>
      </c>
      <c r="J30" s="14" t="n">
        <v>46231</v>
      </c>
      <c r="K30" s="13" t="s">
        <v>2961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1815</v>
      </c>
      <c r="B31" s="12" t="s">
        <v>1530</v>
      </c>
      <c r="C31" s="12" t="s">
        <v>1183</v>
      </c>
      <c r="D31" s="13" t="s">
        <v>2962</v>
      </c>
      <c r="E31" s="12" t="s">
        <v>133</v>
      </c>
      <c r="F31" s="12" t="s">
        <v>2603</v>
      </c>
      <c r="G31" s="13" t="s">
        <v>2963</v>
      </c>
      <c r="H31" s="12" t="s">
        <v>97</v>
      </c>
      <c r="I31" s="12" t="s">
        <v>112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2964</v>
      </c>
      <c r="B32" s="12" t="s">
        <v>621</v>
      </c>
      <c r="C32" s="12" t="s">
        <v>1183</v>
      </c>
      <c r="D32" s="13" t="s">
        <v>2965</v>
      </c>
      <c r="E32" s="12" t="s">
        <v>133</v>
      </c>
      <c r="F32" s="12" t="s">
        <v>623</v>
      </c>
      <c r="G32" s="13" t="s">
        <v>2966</v>
      </c>
      <c r="H32" s="12" t="s">
        <v>97</v>
      </c>
      <c r="I32" s="12" t="s">
        <v>112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2967</v>
      </c>
      <c r="B33" s="12" t="s">
        <v>2376</v>
      </c>
      <c r="C33" s="12" t="s">
        <v>2601</v>
      </c>
      <c r="D33" s="13" t="s">
        <v>2968</v>
      </c>
      <c r="E33" s="12" t="s">
        <v>133</v>
      </c>
      <c r="F33" s="12" t="s">
        <v>2603</v>
      </c>
      <c r="G33" s="13" t="s">
        <v>2969</v>
      </c>
      <c r="H33" s="12" t="s">
        <v>97</v>
      </c>
      <c r="I33" s="12" t="s">
        <v>112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2970</v>
      </c>
      <c r="B34" s="12" t="s">
        <v>195</v>
      </c>
      <c r="C34" s="12" t="s">
        <v>2606</v>
      </c>
      <c r="D34" s="13" t="s">
        <v>2971</v>
      </c>
      <c r="E34" s="12" t="s">
        <v>133</v>
      </c>
      <c r="F34" s="12" t="s">
        <v>2603</v>
      </c>
      <c r="G34" s="13" t="s">
        <v>2972</v>
      </c>
      <c r="H34" s="12" t="s">
        <v>97</v>
      </c>
      <c r="I34" s="12" t="s">
        <v>112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2973</v>
      </c>
      <c r="B35" s="12" t="s">
        <v>199</v>
      </c>
      <c r="C35" s="12" t="s">
        <v>1183</v>
      </c>
      <c r="D35" s="13" t="s">
        <v>2974</v>
      </c>
      <c r="E35" s="12" t="s">
        <v>201</v>
      </c>
      <c r="F35" s="12" t="s">
        <v>201</v>
      </c>
      <c r="G35" s="13" t="s">
        <v>202</v>
      </c>
      <c r="H35" s="12" t="s">
        <v>97</v>
      </c>
      <c r="I35" s="12" t="s">
        <v>112</v>
      </c>
      <c r="J35" s="14" t="n">
        <v>46231</v>
      </c>
      <c r="K35" s="13" t="s">
        <v>2975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2976</v>
      </c>
      <c r="B36" s="12" t="s">
        <v>166</v>
      </c>
      <c r="C36" s="12" t="s">
        <v>1183</v>
      </c>
      <c r="D36" s="13" t="s">
        <v>2977</v>
      </c>
      <c r="E36" s="12" t="s">
        <v>133</v>
      </c>
      <c r="F36" s="12" t="s">
        <v>168</v>
      </c>
      <c r="G36" s="13" t="s">
        <v>2928</v>
      </c>
      <c r="H36" s="12" t="s">
        <v>95</v>
      </c>
      <c r="I36" s="12" t="s">
        <v>111</v>
      </c>
      <c r="J36" s="14" t="n">
        <v>46231</v>
      </c>
      <c r="K36" s="13" t="s">
        <v>2906</v>
      </c>
      <c r="L36" s="12" t="n">
        <v>1</v>
      </c>
      <c r="M36" s="12" t="n">
        <f aca="false">IF(OR(AND(I36="yes",H36="verified"),AND(I36="no",OR(H36="tested",H36="verified")),AND(H36="not applicable",K36&lt;&gt;"")),1,0)</f>
        <v>0</v>
      </c>
    </row>
    <row r="37" customFormat="false" ht="54" hidden="false" customHeight="true" outlineLevel="0" collapsed="false">
      <c r="A37" s="12" t="s">
        <v>2978</v>
      </c>
      <c r="B37" s="12" t="s">
        <v>186</v>
      </c>
      <c r="C37" s="12" t="s">
        <v>1183</v>
      </c>
      <c r="D37" s="13" t="s">
        <v>2979</v>
      </c>
      <c r="E37" s="12" t="s">
        <v>133</v>
      </c>
      <c r="F37" s="12" t="s">
        <v>174</v>
      </c>
      <c r="G37" s="13" t="s">
        <v>2980</v>
      </c>
      <c r="H37" s="12" t="s">
        <v>91</v>
      </c>
      <c r="I37" s="12" t="s">
        <v>111</v>
      </c>
      <c r="J37" s="14"/>
      <c r="K37" s="13" t="s">
        <v>1806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2981</v>
      </c>
      <c r="B38" s="12" t="s">
        <v>204</v>
      </c>
      <c r="C38" s="12" t="s">
        <v>2619</v>
      </c>
      <c r="D38" s="13" t="s">
        <v>2982</v>
      </c>
      <c r="E38" s="12" t="s">
        <v>133</v>
      </c>
      <c r="F38" s="12" t="s">
        <v>133</v>
      </c>
      <c r="G38" s="13" t="s">
        <v>2543</v>
      </c>
      <c r="H38" s="12" t="s">
        <v>97</v>
      </c>
      <c r="I38" s="12" t="s">
        <v>112</v>
      </c>
      <c r="J38" s="14" t="n">
        <v>46231</v>
      </c>
      <c r="K38" s="13" t="s">
        <v>2983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/>
  </sheetData>
  <autoFilter ref="A8:M38"/>
  <mergeCells count="2">
    <mergeCell ref="A1:M1"/>
    <mergeCell ref="A2:M2"/>
  </mergeCells>
  <conditionalFormatting sqref="H9:H3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3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2984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2985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115</v>
      </c>
      <c r="E4" s="6" t="n">
        <f aca="false">SUM(M9:M39)</f>
        <v>20</v>
      </c>
      <c r="G4" s="5" t="s">
        <v>14</v>
      </c>
      <c r="H4" s="7" t="n">
        <f aca="false">IF(B4=0,0,E4/B4)</f>
        <v>0.645161290322581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116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2986</v>
      </c>
      <c r="B9" s="12" t="s">
        <v>89</v>
      </c>
      <c r="C9" s="12" t="s">
        <v>1183</v>
      </c>
      <c r="D9" s="13" t="s">
        <v>2987</v>
      </c>
      <c r="E9" s="12" t="s">
        <v>133</v>
      </c>
      <c r="F9" s="12" t="s">
        <v>134</v>
      </c>
      <c r="G9" s="13" t="s">
        <v>2988</v>
      </c>
      <c r="H9" s="12" t="s">
        <v>97</v>
      </c>
      <c r="I9" s="12" t="s">
        <v>112</v>
      </c>
      <c r="J9" s="14" t="n">
        <v>46231</v>
      </c>
      <c r="K9" s="13" t="s">
        <v>2917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2989</v>
      </c>
      <c r="B10" s="12" t="s">
        <v>2389</v>
      </c>
      <c r="C10" s="12" t="s">
        <v>2398</v>
      </c>
      <c r="D10" s="13" t="s">
        <v>2990</v>
      </c>
      <c r="E10" s="12" t="s">
        <v>133</v>
      </c>
      <c r="F10" s="12" t="s">
        <v>153</v>
      </c>
      <c r="G10" s="13" t="s">
        <v>2991</v>
      </c>
      <c r="H10" s="12" t="s">
        <v>97</v>
      </c>
      <c r="I10" s="12" t="s">
        <v>112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2992</v>
      </c>
      <c r="B11" s="12" t="s">
        <v>1342</v>
      </c>
      <c r="C11" s="12" t="s">
        <v>2993</v>
      </c>
      <c r="D11" s="13" t="s">
        <v>2994</v>
      </c>
      <c r="E11" s="12" t="s">
        <v>133</v>
      </c>
      <c r="F11" s="12" t="s">
        <v>153</v>
      </c>
      <c r="G11" s="13" t="s">
        <v>2991</v>
      </c>
      <c r="H11" s="12" t="s">
        <v>97</v>
      </c>
      <c r="I11" s="12" t="s">
        <v>112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2995</v>
      </c>
      <c r="B12" s="12" t="s">
        <v>141</v>
      </c>
      <c r="C12" s="12" t="s">
        <v>2398</v>
      </c>
      <c r="D12" s="13" t="s">
        <v>2996</v>
      </c>
      <c r="E12" s="12" t="s">
        <v>133</v>
      </c>
      <c r="F12" s="12" t="s">
        <v>143</v>
      </c>
      <c r="G12" s="13" t="s">
        <v>2997</v>
      </c>
      <c r="H12" s="12" t="s">
        <v>97</v>
      </c>
      <c r="I12" s="12" t="s">
        <v>112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2998</v>
      </c>
      <c r="B13" s="12" t="s">
        <v>137</v>
      </c>
      <c r="C13" s="12" t="s">
        <v>1183</v>
      </c>
      <c r="D13" s="13" t="s">
        <v>2999</v>
      </c>
      <c r="E13" s="12" t="s">
        <v>133</v>
      </c>
      <c r="F13" s="12" t="s">
        <v>133</v>
      </c>
      <c r="G13" s="13" t="s">
        <v>139</v>
      </c>
      <c r="H13" s="12" t="s">
        <v>97</v>
      </c>
      <c r="I13" s="12" t="s">
        <v>112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3000</v>
      </c>
      <c r="B14" s="12" t="s">
        <v>1309</v>
      </c>
      <c r="C14" s="12" t="s">
        <v>1183</v>
      </c>
      <c r="D14" s="13" t="s">
        <v>3001</v>
      </c>
      <c r="E14" s="12" t="s">
        <v>133</v>
      </c>
      <c r="F14" s="12" t="s">
        <v>133</v>
      </c>
      <c r="G14" s="13" t="s">
        <v>1311</v>
      </c>
      <c r="H14" s="12" t="s">
        <v>97</v>
      </c>
      <c r="I14" s="12" t="s">
        <v>112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3002</v>
      </c>
      <c r="B15" s="12" t="s">
        <v>1575</v>
      </c>
      <c r="C15" s="12" t="s">
        <v>781</v>
      </c>
      <c r="D15" s="13" t="s">
        <v>3003</v>
      </c>
      <c r="E15" s="12" t="s">
        <v>133</v>
      </c>
      <c r="F15" s="12" t="s">
        <v>158</v>
      </c>
      <c r="G15" s="13" t="s">
        <v>3004</v>
      </c>
      <c r="H15" s="12" t="s">
        <v>97</v>
      </c>
      <c r="I15" s="12" t="s">
        <v>112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3005</v>
      </c>
      <c r="B16" s="12" t="s">
        <v>1692</v>
      </c>
      <c r="C16" s="12" t="s">
        <v>781</v>
      </c>
      <c r="D16" s="13" t="s">
        <v>3006</v>
      </c>
      <c r="E16" s="12" t="s">
        <v>133</v>
      </c>
      <c r="F16" s="12" t="s">
        <v>168</v>
      </c>
      <c r="G16" s="13" t="s">
        <v>3007</v>
      </c>
      <c r="H16" s="12" t="s">
        <v>95</v>
      </c>
      <c r="I16" s="12" t="s">
        <v>111</v>
      </c>
      <c r="J16" s="14" t="n">
        <v>46231</v>
      </c>
      <c r="K16" s="13" t="s">
        <v>2929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3008</v>
      </c>
      <c r="B17" s="12" t="s">
        <v>3009</v>
      </c>
      <c r="C17" s="12" t="s">
        <v>781</v>
      </c>
      <c r="D17" s="13" t="s">
        <v>3010</v>
      </c>
      <c r="E17" s="12" t="s">
        <v>133</v>
      </c>
      <c r="F17" s="12" t="s">
        <v>168</v>
      </c>
      <c r="G17" s="13" t="s">
        <v>3007</v>
      </c>
      <c r="H17" s="12" t="s">
        <v>95</v>
      </c>
      <c r="I17" s="12" t="s">
        <v>111</v>
      </c>
      <c r="J17" s="14" t="n">
        <v>46231</v>
      </c>
      <c r="K17" s="13" t="s">
        <v>3011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3012</v>
      </c>
      <c r="B18" s="12" t="s">
        <v>1697</v>
      </c>
      <c r="C18" s="12" t="s">
        <v>3013</v>
      </c>
      <c r="D18" s="13" t="s">
        <v>3014</v>
      </c>
      <c r="E18" s="12" t="s">
        <v>133</v>
      </c>
      <c r="F18" s="12" t="s">
        <v>168</v>
      </c>
      <c r="G18" s="13" t="s">
        <v>3015</v>
      </c>
      <c r="H18" s="12" t="s">
        <v>95</v>
      </c>
      <c r="I18" s="12" t="s">
        <v>111</v>
      </c>
      <c r="J18" s="14" t="n">
        <v>46231</v>
      </c>
      <c r="K18" s="13" t="s">
        <v>3016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3017</v>
      </c>
      <c r="B19" s="12" t="s">
        <v>3018</v>
      </c>
      <c r="C19" s="12" t="s">
        <v>781</v>
      </c>
      <c r="D19" s="13" t="s">
        <v>3019</v>
      </c>
      <c r="E19" s="12" t="s">
        <v>133</v>
      </c>
      <c r="F19" s="12" t="s">
        <v>168</v>
      </c>
      <c r="G19" s="13" t="s">
        <v>3007</v>
      </c>
      <c r="H19" s="12" t="s">
        <v>95</v>
      </c>
      <c r="I19" s="12" t="s">
        <v>111</v>
      </c>
      <c r="J19" s="14" t="n">
        <v>46231</v>
      </c>
      <c r="K19" s="13" t="s">
        <v>3020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3021</v>
      </c>
      <c r="B20" s="12" t="s">
        <v>3022</v>
      </c>
      <c r="C20" s="12" t="s">
        <v>3022</v>
      </c>
      <c r="D20" s="13" t="s">
        <v>3023</v>
      </c>
      <c r="E20" s="12" t="s">
        <v>133</v>
      </c>
      <c r="F20" s="12" t="s">
        <v>158</v>
      </c>
      <c r="G20" s="13" t="s">
        <v>3004</v>
      </c>
      <c r="H20" s="12" t="s">
        <v>97</v>
      </c>
      <c r="I20" s="12" t="s">
        <v>112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3024</v>
      </c>
      <c r="B21" s="12" t="s">
        <v>3025</v>
      </c>
      <c r="C21" s="12" t="s">
        <v>3026</v>
      </c>
      <c r="D21" s="13" t="s">
        <v>3027</v>
      </c>
      <c r="E21" s="12" t="s">
        <v>133</v>
      </c>
      <c r="F21" s="12" t="s">
        <v>168</v>
      </c>
      <c r="G21" s="13" t="s">
        <v>3007</v>
      </c>
      <c r="H21" s="12" t="s">
        <v>95</v>
      </c>
      <c r="I21" s="12" t="s">
        <v>111</v>
      </c>
      <c r="J21" s="14" t="n">
        <v>46231</v>
      </c>
      <c r="K21" s="13" t="s">
        <v>3028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3029</v>
      </c>
      <c r="B22" s="12" t="s">
        <v>3030</v>
      </c>
      <c r="C22" s="12" t="s">
        <v>3031</v>
      </c>
      <c r="D22" s="13" t="s">
        <v>3032</v>
      </c>
      <c r="E22" s="12" t="s">
        <v>133</v>
      </c>
      <c r="F22" s="12" t="s">
        <v>158</v>
      </c>
      <c r="G22" s="13" t="s">
        <v>3004</v>
      </c>
      <c r="H22" s="12" t="s">
        <v>97</v>
      </c>
      <c r="I22" s="12" t="s">
        <v>112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3033</v>
      </c>
      <c r="B23" s="12" t="s">
        <v>2264</v>
      </c>
      <c r="C23" s="12" t="s">
        <v>3031</v>
      </c>
      <c r="D23" s="13" t="s">
        <v>3034</v>
      </c>
      <c r="E23" s="12" t="s">
        <v>133</v>
      </c>
      <c r="F23" s="12" t="s">
        <v>153</v>
      </c>
      <c r="G23" s="13" t="s">
        <v>3035</v>
      </c>
      <c r="H23" s="12" t="s">
        <v>97</v>
      </c>
      <c r="I23" s="12" t="s">
        <v>112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3036</v>
      </c>
      <c r="B24" s="12" t="s">
        <v>181</v>
      </c>
      <c r="C24" s="12" t="s">
        <v>1183</v>
      </c>
      <c r="D24" s="13" t="s">
        <v>3037</v>
      </c>
      <c r="E24" s="12" t="s">
        <v>133</v>
      </c>
      <c r="F24" s="12" t="s">
        <v>153</v>
      </c>
      <c r="G24" s="13" t="s">
        <v>2991</v>
      </c>
      <c r="H24" s="12" t="s">
        <v>97</v>
      </c>
      <c r="I24" s="12" t="s">
        <v>112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3038</v>
      </c>
      <c r="B25" s="12" t="s">
        <v>172</v>
      </c>
      <c r="C25" s="12" t="s">
        <v>3026</v>
      </c>
      <c r="D25" s="13" t="s">
        <v>3039</v>
      </c>
      <c r="E25" s="12" t="s">
        <v>133</v>
      </c>
      <c r="F25" s="12" t="s">
        <v>158</v>
      </c>
      <c r="G25" s="13" t="s">
        <v>3004</v>
      </c>
      <c r="H25" s="12" t="s">
        <v>97</v>
      </c>
      <c r="I25" s="12" t="s">
        <v>112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3040</v>
      </c>
      <c r="B26" s="12" t="s">
        <v>2575</v>
      </c>
      <c r="C26" s="12" t="s">
        <v>3026</v>
      </c>
      <c r="D26" s="13" t="s">
        <v>3041</v>
      </c>
      <c r="E26" s="12" t="s">
        <v>133</v>
      </c>
      <c r="F26" s="12" t="s">
        <v>168</v>
      </c>
      <c r="G26" s="13" t="s">
        <v>3015</v>
      </c>
      <c r="H26" s="12" t="s">
        <v>95</v>
      </c>
      <c r="I26" s="12" t="s">
        <v>111</v>
      </c>
      <c r="J26" s="14" t="n">
        <v>46231</v>
      </c>
      <c r="K26" s="13" t="s">
        <v>3042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3043</v>
      </c>
      <c r="B27" s="12" t="s">
        <v>2521</v>
      </c>
      <c r="C27" s="12" t="s">
        <v>1183</v>
      </c>
      <c r="D27" s="13" t="s">
        <v>3044</v>
      </c>
      <c r="E27" s="12" t="s">
        <v>133</v>
      </c>
      <c r="F27" s="12" t="s">
        <v>168</v>
      </c>
      <c r="G27" s="13" t="s">
        <v>3015</v>
      </c>
      <c r="H27" s="12" t="s">
        <v>95</v>
      </c>
      <c r="I27" s="12" t="s">
        <v>111</v>
      </c>
      <c r="J27" s="14" t="n">
        <v>46231</v>
      </c>
      <c r="K27" s="13" t="s">
        <v>3045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3046</v>
      </c>
      <c r="B28" s="12" t="s">
        <v>161</v>
      </c>
      <c r="C28" s="12" t="s">
        <v>1183</v>
      </c>
      <c r="D28" s="13" t="s">
        <v>3047</v>
      </c>
      <c r="E28" s="12" t="s">
        <v>133</v>
      </c>
      <c r="F28" s="12" t="s">
        <v>163</v>
      </c>
      <c r="G28" s="13" t="s">
        <v>3004</v>
      </c>
      <c r="H28" s="12" t="s">
        <v>97</v>
      </c>
      <c r="I28" s="12" t="s">
        <v>112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3048</v>
      </c>
      <c r="B29" s="12" t="s">
        <v>1862</v>
      </c>
      <c r="C29" s="12" t="s">
        <v>1183</v>
      </c>
      <c r="D29" s="13" t="s">
        <v>3049</v>
      </c>
      <c r="E29" s="12" t="s">
        <v>133</v>
      </c>
      <c r="F29" s="12" t="s">
        <v>168</v>
      </c>
      <c r="G29" s="13" t="s">
        <v>3007</v>
      </c>
      <c r="H29" s="12" t="s">
        <v>95</v>
      </c>
      <c r="I29" s="12" t="s">
        <v>111</v>
      </c>
      <c r="J29" s="14" t="n">
        <v>46231</v>
      </c>
      <c r="K29" s="13" t="s">
        <v>2883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3050</v>
      </c>
      <c r="B30" s="12" t="s">
        <v>2470</v>
      </c>
      <c r="C30" s="12" t="s">
        <v>1183</v>
      </c>
      <c r="D30" s="13" t="s">
        <v>3051</v>
      </c>
      <c r="E30" s="12" t="s">
        <v>133</v>
      </c>
      <c r="F30" s="12" t="s">
        <v>174</v>
      </c>
      <c r="G30" s="13" t="s">
        <v>3052</v>
      </c>
      <c r="H30" s="12" t="s">
        <v>95</v>
      </c>
      <c r="I30" s="12" t="s">
        <v>111</v>
      </c>
      <c r="J30" s="14" t="n">
        <v>46231</v>
      </c>
      <c r="K30" s="13" t="s">
        <v>3053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3054</v>
      </c>
      <c r="B31" s="12" t="s">
        <v>1530</v>
      </c>
      <c r="C31" s="12" t="s">
        <v>1183</v>
      </c>
      <c r="D31" s="13" t="s">
        <v>3055</v>
      </c>
      <c r="E31" s="12" t="s">
        <v>133</v>
      </c>
      <c r="F31" s="12" t="s">
        <v>2603</v>
      </c>
      <c r="G31" s="13" t="s">
        <v>3056</v>
      </c>
      <c r="H31" s="12" t="s">
        <v>97</v>
      </c>
      <c r="I31" s="12" t="s">
        <v>112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3057</v>
      </c>
      <c r="B32" s="12" t="s">
        <v>2697</v>
      </c>
      <c r="C32" s="12" t="s">
        <v>3058</v>
      </c>
      <c r="D32" s="13" t="s">
        <v>3059</v>
      </c>
      <c r="E32" s="12" t="s">
        <v>133</v>
      </c>
      <c r="F32" s="12" t="s">
        <v>2603</v>
      </c>
      <c r="G32" s="13" t="s">
        <v>3056</v>
      </c>
      <c r="H32" s="12" t="s">
        <v>97</v>
      </c>
      <c r="I32" s="12" t="s">
        <v>112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3060</v>
      </c>
      <c r="B33" s="12" t="s">
        <v>621</v>
      </c>
      <c r="C33" s="12" t="s">
        <v>1183</v>
      </c>
      <c r="D33" s="13" t="s">
        <v>3061</v>
      </c>
      <c r="E33" s="12" t="s">
        <v>133</v>
      </c>
      <c r="F33" s="12" t="s">
        <v>623</v>
      </c>
      <c r="G33" s="13" t="s">
        <v>3062</v>
      </c>
      <c r="H33" s="12" t="s">
        <v>97</v>
      </c>
      <c r="I33" s="12" t="s">
        <v>112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3063</v>
      </c>
      <c r="B34" s="12" t="s">
        <v>2376</v>
      </c>
      <c r="C34" s="12" t="s">
        <v>2601</v>
      </c>
      <c r="D34" s="13" t="s">
        <v>3064</v>
      </c>
      <c r="E34" s="12" t="s">
        <v>133</v>
      </c>
      <c r="F34" s="12" t="s">
        <v>2603</v>
      </c>
      <c r="G34" s="13" t="s">
        <v>3065</v>
      </c>
      <c r="H34" s="12" t="s">
        <v>97</v>
      </c>
      <c r="I34" s="12" t="s">
        <v>112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3066</v>
      </c>
      <c r="B35" s="12" t="s">
        <v>195</v>
      </c>
      <c r="C35" s="12" t="s">
        <v>2606</v>
      </c>
      <c r="D35" s="13" t="s">
        <v>3067</v>
      </c>
      <c r="E35" s="12" t="s">
        <v>133</v>
      </c>
      <c r="F35" s="12" t="s">
        <v>2603</v>
      </c>
      <c r="G35" s="13" t="s">
        <v>3068</v>
      </c>
      <c r="H35" s="12" t="s">
        <v>97</v>
      </c>
      <c r="I35" s="12" t="s">
        <v>112</v>
      </c>
      <c r="J35" s="14" t="n">
        <v>46231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3069</v>
      </c>
      <c r="B36" s="12" t="s">
        <v>199</v>
      </c>
      <c r="C36" s="12" t="s">
        <v>1183</v>
      </c>
      <c r="D36" s="13" t="s">
        <v>3070</v>
      </c>
      <c r="E36" s="12" t="s">
        <v>201</v>
      </c>
      <c r="F36" s="12" t="s">
        <v>201</v>
      </c>
      <c r="G36" s="13" t="s">
        <v>202</v>
      </c>
      <c r="H36" s="12" t="s">
        <v>97</v>
      </c>
      <c r="I36" s="12" t="s">
        <v>112</v>
      </c>
      <c r="J36" s="14" t="n">
        <v>46231</v>
      </c>
      <c r="K36" s="13" t="s">
        <v>2975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3071</v>
      </c>
      <c r="B37" s="12" t="s">
        <v>166</v>
      </c>
      <c r="C37" s="12" t="s">
        <v>1183</v>
      </c>
      <c r="D37" s="13" t="s">
        <v>3072</v>
      </c>
      <c r="E37" s="12" t="s">
        <v>133</v>
      </c>
      <c r="F37" s="12" t="s">
        <v>168</v>
      </c>
      <c r="G37" s="13" t="s">
        <v>3007</v>
      </c>
      <c r="H37" s="12" t="s">
        <v>95</v>
      </c>
      <c r="I37" s="12" t="s">
        <v>111</v>
      </c>
      <c r="J37" s="14" t="n">
        <v>46231</v>
      </c>
      <c r="K37" s="13" t="s">
        <v>2906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3073</v>
      </c>
      <c r="B38" s="12" t="s">
        <v>186</v>
      </c>
      <c r="C38" s="12" t="s">
        <v>1183</v>
      </c>
      <c r="D38" s="13" t="s">
        <v>3074</v>
      </c>
      <c r="E38" s="12" t="s">
        <v>133</v>
      </c>
      <c r="F38" s="12" t="s">
        <v>174</v>
      </c>
      <c r="G38" s="13" t="s">
        <v>3052</v>
      </c>
      <c r="H38" s="12" t="s">
        <v>91</v>
      </c>
      <c r="I38" s="12" t="s">
        <v>111</v>
      </c>
      <c r="J38" s="14"/>
      <c r="K38" s="13" t="s">
        <v>1806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3075</v>
      </c>
      <c r="B39" s="12" t="s">
        <v>204</v>
      </c>
      <c r="C39" s="12" t="s">
        <v>2619</v>
      </c>
      <c r="D39" s="13" t="s">
        <v>3076</v>
      </c>
      <c r="E39" s="12" t="s">
        <v>133</v>
      </c>
      <c r="F39" s="12" t="s">
        <v>133</v>
      </c>
      <c r="G39" s="13" t="s">
        <v>2543</v>
      </c>
      <c r="H39" s="12" t="s">
        <v>97</v>
      </c>
      <c r="I39" s="12" t="s">
        <v>112</v>
      </c>
      <c r="J39" s="14" t="n">
        <v>46231</v>
      </c>
      <c r="K39" s="13" t="s">
        <v>3077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3079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115</v>
      </c>
      <c r="E4" s="6" t="n">
        <f aca="false">SUM(M9:M30)</f>
        <v>14</v>
      </c>
      <c r="G4" s="5" t="s">
        <v>14</v>
      </c>
      <c r="H4" s="7" t="n">
        <f aca="false">IF(B4=0,0,E4/B4)</f>
        <v>0.636363636363636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116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1080</v>
      </c>
      <c r="B9" s="12" t="s">
        <v>130</v>
      </c>
      <c r="C9" s="12" t="s">
        <v>3080</v>
      </c>
      <c r="D9" s="13" t="s">
        <v>3081</v>
      </c>
      <c r="E9" s="12" t="s">
        <v>133</v>
      </c>
      <c r="F9" s="12" t="s">
        <v>134</v>
      </c>
      <c r="G9" s="13" t="s">
        <v>3082</v>
      </c>
      <c r="H9" s="12" t="s">
        <v>97</v>
      </c>
      <c r="I9" s="12" t="s">
        <v>112</v>
      </c>
      <c r="J9" s="14" t="s">
        <v>3083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1084</v>
      </c>
      <c r="B10" s="12" t="s">
        <v>1342</v>
      </c>
      <c r="C10" s="12" t="s">
        <v>1183</v>
      </c>
      <c r="D10" s="13" t="s">
        <v>3084</v>
      </c>
      <c r="E10" s="12" t="s">
        <v>133</v>
      </c>
      <c r="F10" s="12" t="s">
        <v>153</v>
      </c>
      <c r="G10" s="13" t="s">
        <v>3085</v>
      </c>
      <c r="H10" s="12" t="s">
        <v>97</v>
      </c>
      <c r="I10" s="12" t="s">
        <v>112</v>
      </c>
      <c r="J10" s="14" t="s">
        <v>3083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1088</v>
      </c>
      <c r="B11" s="12" t="s">
        <v>137</v>
      </c>
      <c r="C11" s="12" t="s">
        <v>77</v>
      </c>
      <c r="D11" s="13" t="s">
        <v>3086</v>
      </c>
      <c r="E11" s="12" t="s">
        <v>133</v>
      </c>
      <c r="F11" s="12" t="s">
        <v>133</v>
      </c>
      <c r="G11" s="13" t="s">
        <v>139</v>
      </c>
      <c r="H11" s="12" t="s">
        <v>97</v>
      </c>
      <c r="I11" s="12" t="s">
        <v>112</v>
      </c>
      <c r="J11" s="14" t="s">
        <v>3083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1092</v>
      </c>
      <c r="B12" s="12" t="s">
        <v>141</v>
      </c>
      <c r="C12" s="12" t="s">
        <v>1389</v>
      </c>
      <c r="D12" s="13" t="s">
        <v>3087</v>
      </c>
      <c r="E12" s="12" t="s">
        <v>133</v>
      </c>
      <c r="F12" s="12" t="s">
        <v>143</v>
      </c>
      <c r="G12" s="13" t="s">
        <v>3088</v>
      </c>
      <c r="H12" s="12" t="s">
        <v>97</v>
      </c>
      <c r="I12" s="12" t="s">
        <v>112</v>
      </c>
      <c r="J12" s="14" t="s">
        <v>3083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1094</v>
      </c>
      <c r="B13" s="12" t="s">
        <v>146</v>
      </c>
      <c r="C13" s="12" t="s">
        <v>3089</v>
      </c>
      <c r="D13" s="13" t="s">
        <v>1393</v>
      </c>
      <c r="E13" s="12" t="s">
        <v>133</v>
      </c>
      <c r="F13" s="12" t="s">
        <v>148</v>
      </c>
      <c r="G13" s="13" t="s">
        <v>3090</v>
      </c>
      <c r="H13" s="12" t="s">
        <v>97</v>
      </c>
      <c r="I13" s="12" t="s">
        <v>112</v>
      </c>
      <c r="J13" s="14" t="s">
        <v>3083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1097</v>
      </c>
      <c r="B14" s="12" t="s">
        <v>3091</v>
      </c>
      <c r="C14" s="12" t="s">
        <v>3092</v>
      </c>
      <c r="D14" s="13" t="s">
        <v>3093</v>
      </c>
      <c r="E14" s="12" t="s">
        <v>158</v>
      </c>
      <c r="F14" s="12" t="s">
        <v>158</v>
      </c>
      <c r="G14" s="13" t="s">
        <v>3094</v>
      </c>
      <c r="H14" s="12" t="s">
        <v>97</v>
      </c>
      <c r="I14" s="12" t="s">
        <v>112</v>
      </c>
      <c r="J14" s="14" t="s">
        <v>3083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1100</v>
      </c>
      <c r="B15" s="12" t="s">
        <v>1915</v>
      </c>
      <c r="C15" s="12" t="s">
        <v>3095</v>
      </c>
      <c r="D15" s="13" t="s">
        <v>3096</v>
      </c>
      <c r="E15" s="12" t="s">
        <v>158</v>
      </c>
      <c r="F15" s="12" t="s">
        <v>158</v>
      </c>
      <c r="G15" s="13" t="s">
        <v>3094</v>
      </c>
      <c r="H15" s="12" t="s">
        <v>97</v>
      </c>
      <c r="I15" s="12" t="s">
        <v>112</v>
      </c>
      <c r="J15" s="14" t="s">
        <v>3083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1103</v>
      </c>
      <c r="B16" s="12" t="s">
        <v>3097</v>
      </c>
      <c r="C16" s="12" t="s">
        <v>3098</v>
      </c>
      <c r="D16" s="13" t="s">
        <v>3099</v>
      </c>
      <c r="E16" s="12" t="s">
        <v>133</v>
      </c>
      <c r="F16" s="12" t="s">
        <v>153</v>
      </c>
      <c r="G16" s="13" t="s">
        <v>3085</v>
      </c>
      <c r="H16" s="12" t="s">
        <v>97</v>
      </c>
      <c r="I16" s="12" t="s">
        <v>112</v>
      </c>
      <c r="J16" s="14" t="s">
        <v>3083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1106</v>
      </c>
      <c r="B17" s="12" t="s">
        <v>1588</v>
      </c>
      <c r="C17" s="12" t="s">
        <v>3100</v>
      </c>
      <c r="D17" s="13" t="s">
        <v>3101</v>
      </c>
      <c r="E17" s="12" t="s">
        <v>3102</v>
      </c>
      <c r="F17" s="12" t="s">
        <v>168</v>
      </c>
      <c r="G17" s="13" t="s">
        <v>3103</v>
      </c>
      <c r="H17" s="12" t="s">
        <v>95</v>
      </c>
      <c r="I17" s="12" t="s">
        <v>111</v>
      </c>
      <c r="J17" s="14" t="s">
        <v>3104</v>
      </c>
      <c r="K17" s="13"/>
      <c r="L17" s="12"/>
      <c r="M17" s="12" t="n">
        <f aca="false">IF(OR(H17="tested",H17="verified",H17="not applicable"),1,0)</f>
        <v>0</v>
      </c>
    </row>
    <row r="18" customFormat="false" ht="54" hidden="false" customHeight="true" outlineLevel="0" collapsed="false">
      <c r="A18" s="12" t="s">
        <v>1109</v>
      </c>
      <c r="B18" s="12" t="s">
        <v>1132</v>
      </c>
      <c r="C18" s="12" t="s">
        <v>3105</v>
      </c>
      <c r="D18" s="13" t="s">
        <v>3106</v>
      </c>
      <c r="E18" s="12" t="s">
        <v>158</v>
      </c>
      <c r="F18" s="12" t="s">
        <v>158</v>
      </c>
      <c r="G18" s="13" t="s">
        <v>3094</v>
      </c>
      <c r="H18" s="12" t="s">
        <v>97</v>
      </c>
      <c r="I18" s="12" t="s">
        <v>112</v>
      </c>
      <c r="J18" s="14" t="s">
        <v>3083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1112</v>
      </c>
      <c r="B19" s="12" t="s">
        <v>3107</v>
      </c>
      <c r="C19" s="12" t="s">
        <v>1085</v>
      </c>
      <c r="D19" s="13" t="s">
        <v>3108</v>
      </c>
      <c r="E19" s="12" t="s">
        <v>158</v>
      </c>
      <c r="F19" s="12" t="s">
        <v>158</v>
      </c>
      <c r="G19" s="13" t="s">
        <v>3094</v>
      </c>
      <c r="H19" s="12" t="s">
        <v>97</v>
      </c>
      <c r="I19" s="12" t="s">
        <v>112</v>
      </c>
      <c r="J19" s="14" t="s">
        <v>3083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1114</v>
      </c>
      <c r="B20" s="12" t="s">
        <v>3109</v>
      </c>
      <c r="C20" s="12" t="s">
        <v>1085</v>
      </c>
      <c r="D20" s="13" t="s">
        <v>3110</v>
      </c>
      <c r="E20" s="12" t="s">
        <v>3102</v>
      </c>
      <c r="F20" s="12" t="s">
        <v>174</v>
      </c>
      <c r="G20" s="13" t="s">
        <v>3111</v>
      </c>
      <c r="H20" s="12" t="s">
        <v>95</v>
      </c>
      <c r="I20" s="12" t="s">
        <v>111</v>
      </c>
      <c r="J20" s="14" t="s">
        <v>3104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1117</v>
      </c>
      <c r="B21" s="12" t="s">
        <v>161</v>
      </c>
      <c r="C21" s="12" t="s">
        <v>1183</v>
      </c>
      <c r="D21" s="13" t="s">
        <v>3112</v>
      </c>
      <c r="E21" s="12" t="s">
        <v>158</v>
      </c>
      <c r="F21" s="12" t="s">
        <v>163</v>
      </c>
      <c r="G21" s="13" t="s">
        <v>3094</v>
      </c>
      <c r="H21" s="12" t="s">
        <v>97</v>
      </c>
      <c r="I21" s="12" t="s">
        <v>112</v>
      </c>
      <c r="J21" s="14" t="s">
        <v>3083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1120</v>
      </c>
      <c r="B22" s="12" t="s">
        <v>1862</v>
      </c>
      <c r="C22" s="12" t="s">
        <v>1183</v>
      </c>
      <c r="D22" s="13" t="s">
        <v>3113</v>
      </c>
      <c r="E22" s="12" t="s">
        <v>3102</v>
      </c>
      <c r="F22" s="12" t="s">
        <v>168</v>
      </c>
      <c r="G22" s="13" t="s">
        <v>3103</v>
      </c>
      <c r="H22" s="12" t="s">
        <v>95</v>
      </c>
      <c r="I22" s="12" t="s">
        <v>111</v>
      </c>
      <c r="J22" s="14" t="s">
        <v>3104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1122</v>
      </c>
      <c r="B23" s="12" t="s">
        <v>172</v>
      </c>
      <c r="C23" s="12" t="s">
        <v>3114</v>
      </c>
      <c r="D23" s="13" t="s">
        <v>3115</v>
      </c>
      <c r="E23" s="12" t="s">
        <v>3102</v>
      </c>
      <c r="F23" s="12" t="s">
        <v>174</v>
      </c>
      <c r="G23" s="13" t="s">
        <v>3111</v>
      </c>
      <c r="H23" s="12" t="s">
        <v>95</v>
      </c>
      <c r="I23" s="12" t="s">
        <v>111</v>
      </c>
      <c r="J23" s="14" t="s">
        <v>3104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1124</v>
      </c>
      <c r="B24" s="12" t="s">
        <v>2521</v>
      </c>
      <c r="C24" s="12" t="s">
        <v>3114</v>
      </c>
      <c r="D24" s="13" t="s">
        <v>3116</v>
      </c>
      <c r="E24" s="12" t="s">
        <v>3102</v>
      </c>
      <c r="F24" s="12" t="s">
        <v>168</v>
      </c>
      <c r="G24" s="13" t="s">
        <v>3103</v>
      </c>
      <c r="H24" s="12" t="s">
        <v>95</v>
      </c>
      <c r="I24" s="12" t="s">
        <v>111</v>
      </c>
      <c r="J24" s="14" t="s">
        <v>3104</v>
      </c>
      <c r="K24" s="13"/>
      <c r="L24" s="12"/>
      <c r="M24" s="12" t="n">
        <f aca="false">IF(OR(H24="tested",H24="verified",H24="not applicable"),1,0)</f>
        <v>0</v>
      </c>
    </row>
    <row r="25" customFormat="false" ht="23.25" hidden="false" customHeight="true" outlineLevel="0" collapsed="false">
      <c r="A25" s="12" t="s">
        <v>3117</v>
      </c>
      <c r="B25" s="12" t="s">
        <v>1530</v>
      </c>
      <c r="C25" s="12" t="s">
        <v>3105</v>
      </c>
      <c r="D25" s="13" t="s">
        <v>3118</v>
      </c>
      <c r="E25" s="12" t="s">
        <v>3102</v>
      </c>
      <c r="F25" s="12" t="s">
        <v>174</v>
      </c>
      <c r="G25" s="13" t="s">
        <v>3111</v>
      </c>
      <c r="H25" s="12" t="s">
        <v>95</v>
      </c>
      <c r="I25" s="12" t="s">
        <v>111</v>
      </c>
      <c r="J25" s="14" t="s">
        <v>3104</v>
      </c>
      <c r="K25" s="13"/>
      <c r="L25" s="12"/>
      <c r="M25" s="12" t="n">
        <f aca="false">IF(OR(H25="tested",H25="verified",H25="not applicable"),1,0)</f>
        <v>0</v>
      </c>
    </row>
    <row r="26" customFormat="false" ht="23.25" hidden="false" customHeight="true" outlineLevel="0" collapsed="false">
      <c r="A26" s="12" t="s">
        <v>3119</v>
      </c>
      <c r="B26" s="12" t="s">
        <v>2376</v>
      </c>
      <c r="C26" s="12" t="s">
        <v>77</v>
      </c>
      <c r="D26" s="13" t="s">
        <v>3120</v>
      </c>
      <c r="E26" s="12" t="s">
        <v>133</v>
      </c>
      <c r="F26" s="12" t="s">
        <v>192</v>
      </c>
      <c r="G26" s="13" t="s">
        <v>3121</v>
      </c>
      <c r="H26" s="12" t="s">
        <v>97</v>
      </c>
      <c r="I26" s="12" t="s">
        <v>112</v>
      </c>
      <c r="J26" s="14" t="s">
        <v>3083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3122</v>
      </c>
      <c r="B27" s="12" t="s">
        <v>199</v>
      </c>
      <c r="C27" s="12" t="s">
        <v>77</v>
      </c>
      <c r="D27" s="13" t="s">
        <v>3123</v>
      </c>
      <c r="E27" s="12" t="s">
        <v>201</v>
      </c>
      <c r="F27" s="12" t="s">
        <v>201</v>
      </c>
      <c r="G27" s="13" t="s">
        <v>3124</v>
      </c>
      <c r="H27" s="12" t="s">
        <v>97</v>
      </c>
      <c r="I27" s="12" t="s">
        <v>112</v>
      </c>
      <c r="J27" s="14" t="s">
        <v>3083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 t="s">
        <v>3125</v>
      </c>
      <c r="B28" s="12" t="s">
        <v>204</v>
      </c>
      <c r="C28" s="12" t="s">
        <v>77</v>
      </c>
      <c r="D28" s="13" t="s">
        <v>3126</v>
      </c>
      <c r="E28" s="12" t="s">
        <v>201</v>
      </c>
      <c r="F28" s="12" t="s">
        <v>133</v>
      </c>
      <c r="G28" s="13" t="s">
        <v>3127</v>
      </c>
      <c r="H28" s="12" t="s">
        <v>97</v>
      </c>
      <c r="I28" s="12" t="s">
        <v>112</v>
      </c>
      <c r="J28" s="14" t="s">
        <v>3083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 t="s">
        <v>3128</v>
      </c>
      <c r="B29" s="12" t="s">
        <v>186</v>
      </c>
      <c r="C29" s="12" t="s">
        <v>1183</v>
      </c>
      <c r="D29" s="13" t="s">
        <v>3129</v>
      </c>
      <c r="E29" s="12" t="s">
        <v>3102</v>
      </c>
      <c r="F29" s="12" t="s">
        <v>174</v>
      </c>
      <c r="G29" s="13" t="s">
        <v>3111</v>
      </c>
      <c r="H29" s="12" t="s">
        <v>95</v>
      </c>
      <c r="I29" s="12" t="s">
        <v>111</v>
      </c>
      <c r="J29" s="14" t="s">
        <v>3104</v>
      </c>
      <c r="K29" s="13"/>
      <c r="L29" s="12"/>
      <c r="M29" s="12" t="n">
        <f aca="false">IF(OR(H29="tested",H29="verified",H29="not applicable"),1,0)</f>
        <v>0</v>
      </c>
    </row>
    <row r="30" customFormat="false" ht="23.25" hidden="false" customHeight="true" outlineLevel="0" collapsed="false">
      <c r="A30" s="12" t="s">
        <v>3130</v>
      </c>
      <c r="B30" s="12" t="s">
        <v>166</v>
      </c>
      <c r="C30" s="12" t="s">
        <v>1183</v>
      </c>
      <c r="D30" s="13" t="s">
        <v>3131</v>
      </c>
      <c r="E30" s="12" t="s">
        <v>3102</v>
      </c>
      <c r="F30" s="12" t="s">
        <v>168</v>
      </c>
      <c r="G30" s="13" t="s">
        <v>3103</v>
      </c>
      <c r="H30" s="12" t="s">
        <v>95</v>
      </c>
      <c r="I30" s="12" t="s">
        <v>111</v>
      </c>
      <c r="J30" s="14" t="s">
        <v>3104</v>
      </c>
      <c r="K30" s="13"/>
      <c r="L30" s="12"/>
      <c r="M30" s="12" t="n">
        <f aca="false">IF(OR(H30="tested",H30="verified",H30="not applicable"),1,0)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3133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115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complete</v>
      </c>
    </row>
    <row r="5" customFormat="false" ht="17.25" hidden="false" customHeight="true" outlineLevel="0" collapsed="false">
      <c r="A5" s="5" t="s">
        <v>116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3134</v>
      </c>
      <c r="B9" s="12" t="s">
        <v>130</v>
      </c>
      <c r="C9" s="12" t="s">
        <v>781</v>
      </c>
      <c r="D9" s="13" t="s">
        <v>3135</v>
      </c>
      <c r="E9" s="12" t="s">
        <v>133</v>
      </c>
      <c r="F9" s="12" t="s">
        <v>134</v>
      </c>
      <c r="G9" s="13" t="s">
        <v>3136</v>
      </c>
      <c r="H9" s="12" t="s">
        <v>97</v>
      </c>
      <c r="I9" s="12" t="s">
        <v>112</v>
      </c>
      <c r="J9" s="14" t="s">
        <v>3083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3137</v>
      </c>
      <c r="B10" s="12" t="s">
        <v>1342</v>
      </c>
      <c r="C10" s="12" t="s">
        <v>1183</v>
      </c>
      <c r="D10" s="13" t="s">
        <v>3138</v>
      </c>
      <c r="E10" s="12" t="s">
        <v>133</v>
      </c>
      <c r="F10" s="12" t="s">
        <v>153</v>
      </c>
      <c r="G10" s="13" t="s">
        <v>3139</v>
      </c>
      <c r="H10" s="12" t="s">
        <v>97</v>
      </c>
      <c r="I10" s="12" t="s">
        <v>112</v>
      </c>
      <c r="J10" s="14" t="s">
        <v>3083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3140</v>
      </c>
      <c r="B11" s="12" t="s">
        <v>137</v>
      </c>
      <c r="C11" s="12" t="s">
        <v>3141</v>
      </c>
      <c r="D11" s="13" t="s">
        <v>3142</v>
      </c>
      <c r="E11" s="12" t="s">
        <v>133</v>
      </c>
      <c r="F11" s="12" t="s">
        <v>133</v>
      </c>
      <c r="G11" s="13" t="s">
        <v>139</v>
      </c>
      <c r="H11" s="12" t="s">
        <v>97</v>
      </c>
      <c r="I11" s="12" t="s">
        <v>112</v>
      </c>
      <c r="J11" s="14" t="s">
        <v>3083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3143</v>
      </c>
      <c r="B12" s="12" t="s">
        <v>141</v>
      </c>
      <c r="C12" s="12" t="s">
        <v>1389</v>
      </c>
      <c r="D12" s="13" t="s">
        <v>3087</v>
      </c>
      <c r="E12" s="12" t="s">
        <v>133</v>
      </c>
      <c r="F12" s="12" t="s">
        <v>143</v>
      </c>
      <c r="G12" s="13" t="s">
        <v>3144</v>
      </c>
      <c r="H12" s="12" t="s">
        <v>97</v>
      </c>
      <c r="I12" s="12" t="s">
        <v>112</v>
      </c>
      <c r="J12" s="14" t="s">
        <v>3083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3145</v>
      </c>
      <c r="B13" s="12" t="s">
        <v>146</v>
      </c>
      <c r="C13" s="12" t="s">
        <v>1183</v>
      </c>
      <c r="D13" s="13" t="s">
        <v>3146</v>
      </c>
      <c r="E13" s="12" t="s">
        <v>133</v>
      </c>
      <c r="F13" s="12" t="s">
        <v>148</v>
      </c>
      <c r="G13" s="13" t="s">
        <v>3147</v>
      </c>
      <c r="H13" s="12" t="s">
        <v>97</v>
      </c>
      <c r="I13" s="12" t="s">
        <v>112</v>
      </c>
      <c r="J13" s="14" t="s">
        <v>3083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3148</v>
      </c>
      <c r="B14" s="12" t="s">
        <v>3149</v>
      </c>
      <c r="C14" s="12" t="s">
        <v>3150</v>
      </c>
      <c r="D14" s="13" t="s">
        <v>3151</v>
      </c>
      <c r="E14" s="12" t="s">
        <v>158</v>
      </c>
      <c r="F14" s="12" t="s">
        <v>158</v>
      </c>
      <c r="G14" s="13" t="s">
        <v>3152</v>
      </c>
      <c r="H14" s="12" t="s">
        <v>97</v>
      </c>
      <c r="I14" s="12" t="s">
        <v>112</v>
      </c>
      <c r="J14" s="14" t="s">
        <v>3083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3153</v>
      </c>
      <c r="B15" s="12" t="s">
        <v>1408</v>
      </c>
      <c r="C15" s="12" t="s">
        <v>3098</v>
      </c>
      <c r="D15" s="13" t="s">
        <v>3154</v>
      </c>
      <c r="E15" s="12" t="s">
        <v>158</v>
      </c>
      <c r="F15" s="12" t="s">
        <v>158</v>
      </c>
      <c r="G15" s="13" t="s">
        <v>3152</v>
      </c>
      <c r="H15" s="12" t="s">
        <v>97</v>
      </c>
      <c r="I15" s="12" t="s">
        <v>112</v>
      </c>
      <c r="J15" s="14" t="s">
        <v>3083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3155</v>
      </c>
      <c r="B16" s="12" t="s">
        <v>1588</v>
      </c>
      <c r="C16" s="12" t="s">
        <v>1183</v>
      </c>
      <c r="D16" s="13" t="s">
        <v>3156</v>
      </c>
      <c r="E16" s="12" t="s">
        <v>3102</v>
      </c>
      <c r="F16" s="12" t="s">
        <v>168</v>
      </c>
      <c r="G16" s="13" t="s">
        <v>3157</v>
      </c>
      <c r="H16" s="12" t="s">
        <v>99</v>
      </c>
      <c r="I16" s="12" t="s">
        <v>111</v>
      </c>
      <c r="J16" s="14" t="s">
        <v>3158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3159</v>
      </c>
      <c r="B17" s="12" t="s">
        <v>1132</v>
      </c>
      <c r="C17" s="12" t="s">
        <v>781</v>
      </c>
      <c r="D17" s="13" t="s">
        <v>3160</v>
      </c>
      <c r="E17" s="12" t="s">
        <v>158</v>
      </c>
      <c r="F17" s="12" t="s">
        <v>158</v>
      </c>
      <c r="G17" s="13" t="s">
        <v>3152</v>
      </c>
      <c r="H17" s="12" t="s">
        <v>97</v>
      </c>
      <c r="I17" s="12" t="s">
        <v>112</v>
      </c>
      <c r="J17" s="14" t="s">
        <v>3083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3161</v>
      </c>
      <c r="B18" s="12" t="s">
        <v>161</v>
      </c>
      <c r="C18" s="12" t="s">
        <v>1183</v>
      </c>
      <c r="D18" s="13" t="s">
        <v>3162</v>
      </c>
      <c r="E18" s="12" t="s">
        <v>158</v>
      </c>
      <c r="F18" s="12" t="s">
        <v>163</v>
      </c>
      <c r="G18" s="13" t="s">
        <v>3152</v>
      </c>
      <c r="H18" s="12" t="s">
        <v>97</v>
      </c>
      <c r="I18" s="12" t="s">
        <v>112</v>
      </c>
      <c r="J18" s="14" t="s">
        <v>3083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3163</v>
      </c>
      <c r="B19" s="12" t="s">
        <v>1862</v>
      </c>
      <c r="C19" s="12" t="s">
        <v>1183</v>
      </c>
      <c r="D19" s="13" t="s">
        <v>3164</v>
      </c>
      <c r="E19" s="12" t="s">
        <v>3102</v>
      </c>
      <c r="F19" s="12" t="s">
        <v>168</v>
      </c>
      <c r="G19" s="13" t="s">
        <v>3157</v>
      </c>
      <c r="H19" s="12" t="s">
        <v>99</v>
      </c>
      <c r="I19" s="12" t="s">
        <v>111</v>
      </c>
      <c r="J19" s="14" t="s">
        <v>3158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3165</v>
      </c>
      <c r="B20" s="12" t="s">
        <v>172</v>
      </c>
      <c r="C20" s="12" t="s">
        <v>781</v>
      </c>
      <c r="D20" s="13" t="s">
        <v>3166</v>
      </c>
      <c r="E20" s="12" t="s">
        <v>3102</v>
      </c>
      <c r="F20" s="12" t="s">
        <v>174</v>
      </c>
      <c r="G20" s="13" t="s">
        <v>3167</v>
      </c>
      <c r="H20" s="12" t="s">
        <v>95</v>
      </c>
      <c r="I20" s="12" t="s">
        <v>111</v>
      </c>
      <c r="J20" s="14" t="s">
        <v>3168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3169</v>
      </c>
      <c r="B21" s="12" t="s">
        <v>2521</v>
      </c>
      <c r="C21" s="12" t="s">
        <v>3170</v>
      </c>
      <c r="D21" s="13" t="s">
        <v>3171</v>
      </c>
      <c r="E21" s="12" t="s">
        <v>3102</v>
      </c>
      <c r="F21" s="12" t="s">
        <v>168</v>
      </c>
      <c r="G21" s="13" t="s">
        <v>3157</v>
      </c>
      <c r="H21" s="12" t="s">
        <v>99</v>
      </c>
      <c r="I21" s="12" t="s">
        <v>111</v>
      </c>
      <c r="J21" s="14" t="s">
        <v>3158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3172</v>
      </c>
      <c r="B22" s="12" t="s">
        <v>1530</v>
      </c>
      <c r="C22" s="12" t="s">
        <v>781</v>
      </c>
      <c r="D22" s="13" t="s">
        <v>3118</v>
      </c>
      <c r="E22" s="12" t="s">
        <v>3102</v>
      </c>
      <c r="F22" s="12" t="s">
        <v>174</v>
      </c>
      <c r="G22" s="13" t="s">
        <v>3167</v>
      </c>
      <c r="H22" s="12" t="s">
        <v>99</v>
      </c>
      <c r="I22" s="12" t="s">
        <v>111</v>
      </c>
      <c r="J22" s="14" t="s">
        <v>3158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3173</v>
      </c>
      <c r="B23" s="12" t="s">
        <v>2376</v>
      </c>
      <c r="C23" s="12" t="s">
        <v>3141</v>
      </c>
      <c r="D23" s="13" t="s">
        <v>3174</v>
      </c>
      <c r="E23" s="12" t="s">
        <v>133</v>
      </c>
      <c r="F23" s="12" t="s">
        <v>192</v>
      </c>
      <c r="G23" s="13" t="s">
        <v>3175</v>
      </c>
      <c r="H23" s="12" t="s">
        <v>97</v>
      </c>
      <c r="I23" s="12" t="s">
        <v>112</v>
      </c>
      <c r="J23" s="14" t="s">
        <v>3083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3176</v>
      </c>
      <c r="B24" s="12" t="s">
        <v>199</v>
      </c>
      <c r="C24" s="12" t="s">
        <v>3141</v>
      </c>
      <c r="D24" s="13" t="s">
        <v>3177</v>
      </c>
      <c r="E24" s="12" t="s">
        <v>201</v>
      </c>
      <c r="F24" s="12" t="s">
        <v>201</v>
      </c>
      <c r="G24" s="13" t="s">
        <v>3124</v>
      </c>
      <c r="H24" s="12" t="s">
        <v>97</v>
      </c>
      <c r="I24" s="12" t="s">
        <v>112</v>
      </c>
      <c r="J24" s="14" t="s">
        <v>3178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3179</v>
      </c>
      <c r="B25" s="12" t="s">
        <v>204</v>
      </c>
      <c r="C25" s="12" t="s">
        <v>3141</v>
      </c>
      <c r="D25" s="13" t="s">
        <v>3180</v>
      </c>
      <c r="E25" s="12" t="s">
        <v>201</v>
      </c>
      <c r="F25" s="12" t="s">
        <v>133</v>
      </c>
      <c r="G25" s="13" t="s">
        <v>3127</v>
      </c>
      <c r="H25" s="12" t="s">
        <v>97</v>
      </c>
      <c r="I25" s="12" t="s">
        <v>112</v>
      </c>
      <c r="J25" s="14" t="s">
        <v>3178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3181</v>
      </c>
      <c r="B26" s="12" t="s">
        <v>186</v>
      </c>
      <c r="C26" s="12" t="s">
        <v>1183</v>
      </c>
      <c r="D26" s="13" t="s">
        <v>3182</v>
      </c>
      <c r="E26" s="12" t="s">
        <v>3102</v>
      </c>
      <c r="F26" s="12" t="s">
        <v>174</v>
      </c>
      <c r="G26" s="13" t="s">
        <v>3167</v>
      </c>
      <c r="H26" s="12" t="s">
        <v>95</v>
      </c>
      <c r="I26" s="12" t="s">
        <v>111</v>
      </c>
      <c r="J26" s="14" t="s">
        <v>3168</v>
      </c>
      <c r="K26" s="13"/>
      <c r="L26" s="12"/>
      <c r="M26" s="12" t="n">
        <f aca="false">IF(OR(H26="tested",H26="verified",H26="not applicable"),1,0)</f>
        <v>0</v>
      </c>
    </row>
    <row r="27" customFormat="false" ht="23.25" hidden="false" customHeight="true" outlineLevel="0" collapsed="false">
      <c r="A27" s="12" t="s">
        <v>3183</v>
      </c>
      <c r="B27" s="12" t="s">
        <v>166</v>
      </c>
      <c r="C27" s="12" t="s">
        <v>1183</v>
      </c>
      <c r="D27" s="13" t="s">
        <v>3184</v>
      </c>
      <c r="E27" s="12" t="s">
        <v>3102</v>
      </c>
      <c r="F27" s="12" t="s">
        <v>168</v>
      </c>
      <c r="G27" s="13" t="s">
        <v>3157</v>
      </c>
      <c r="H27" s="12" t="s">
        <v>99</v>
      </c>
      <c r="I27" s="12" t="s">
        <v>111</v>
      </c>
      <c r="J27" s="14" t="s">
        <v>3158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3185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3186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115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116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3187</v>
      </c>
      <c r="B9" s="12" t="s">
        <v>130</v>
      </c>
      <c r="C9" s="12" t="s">
        <v>781</v>
      </c>
      <c r="D9" s="13" t="s">
        <v>3188</v>
      </c>
      <c r="E9" s="12" t="s">
        <v>133</v>
      </c>
      <c r="F9" s="12" t="s">
        <v>134</v>
      </c>
      <c r="G9" s="13" t="s">
        <v>3189</v>
      </c>
      <c r="H9" s="12" t="s">
        <v>97</v>
      </c>
      <c r="I9" s="12" t="s">
        <v>112</v>
      </c>
      <c r="J9" s="14" t="s">
        <v>3083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3190</v>
      </c>
      <c r="B10" s="12" t="s">
        <v>1342</v>
      </c>
      <c r="C10" s="12" t="s">
        <v>1183</v>
      </c>
      <c r="D10" s="13" t="s">
        <v>3191</v>
      </c>
      <c r="E10" s="12" t="s">
        <v>133</v>
      </c>
      <c r="F10" s="12" t="s">
        <v>153</v>
      </c>
      <c r="G10" s="13" t="s">
        <v>3192</v>
      </c>
      <c r="H10" s="12" t="s">
        <v>97</v>
      </c>
      <c r="I10" s="12" t="s">
        <v>112</v>
      </c>
      <c r="J10" s="14" t="s">
        <v>3083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3193</v>
      </c>
      <c r="B11" s="12" t="s">
        <v>137</v>
      </c>
      <c r="C11" s="12" t="s">
        <v>3194</v>
      </c>
      <c r="D11" s="13" t="s">
        <v>3195</v>
      </c>
      <c r="E11" s="12" t="s">
        <v>133</v>
      </c>
      <c r="F11" s="12" t="s">
        <v>133</v>
      </c>
      <c r="G11" s="13" t="s">
        <v>139</v>
      </c>
      <c r="H11" s="12" t="s">
        <v>97</v>
      </c>
      <c r="I11" s="12" t="s">
        <v>112</v>
      </c>
      <c r="J11" s="14" t="s">
        <v>3083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3196</v>
      </c>
      <c r="B12" s="12" t="s">
        <v>141</v>
      </c>
      <c r="C12" s="12" t="s">
        <v>1389</v>
      </c>
      <c r="D12" s="13" t="s">
        <v>3197</v>
      </c>
      <c r="E12" s="12" t="s">
        <v>133</v>
      </c>
      <c r="F12" s="12" t="s">
        <v>143</v>
      </c>
      <c r="G12" s="13" t="s">
        <v>3198</v>
      </c>
      <c r="H12" s="12" t="s">
        <v>97</v>
      </c>
      <c r="I12" s="12" t="s">
        <v>112</v>
      </c>
      <c r="J12" s="14" t="s">
        <v>3083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3199</v>
      </c>
      <c r="B13" s="12" t="s">
        <v>146</v>
      </c>
      <c r="C13" s="12" t="s">
        <v>3200</v>
      </c>
      <c r="D13" s="13" t="s">
        <v>3201</v>
      </c>
      <c r="E13" s="12" t="s">
        <v>133</v>
      </c>
      <c r="F13" s="12" t="s">
        <v>148</v>
      </c>
      <c r="G13" s="13" t="s">
        <v>3202</v>
      </c>
      <c r="H13" s="12" t="s">
        <v>97</v>
      </c>
      <c r="I13" s="12" t="s">
        <v>112</v>
      </c>
      <c r="J13" s="14" t="s">
        <v>3083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3203</v>
      </c>
      <c r="B14" s="12" t="s">
        <v>3204</v>
      </c>
      <c r="C14" s="12" t="s">
        <v>3205</v>
      </c>
      <c r="D14" s="13" t="s">
        <v>3206</v>
      </c>
      <c r="E14" s="12" t="s">
        <v>158</v>
      </c>
      <c r="F14" s="12" t="s">
        <v>158</v>
      </c>
      <c r="G14" s="13" t="s">
        <v>3207</v>
      </c>
      <c r="H14" s="12" t="s">
        <v>97</v>
      </c>
      <c r="I14" s="12" t="s">
        <v>112</v>
      </c>
      <c r="J14" s="14" t="s">
        <v>3083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3208</v>
      </c>
      <c r="B15" s="12" t="s">
        <v>1408</v>
      </c>
      <c r="C15" s="12" t="s">
        <v>3098</v>
      </c>
      <c r="D15" s="13" t="s">
        <v>3209</v>
      </c>
      <c r="E15" s="12" t="s">
        <v>158</v>
      </c>
      <c r="F15" s="12" t="s">
        <v>158</v>
      </c>
      <c r="G15" s="13" t="s">
        <v>3207</v>
      </c>
      <c r="H15" s="12" t="s">
        <v>97</v>
      </c>
      <c r="I15" s="12" t="s">
        <v>112</v>
      </c>
      <c r="J15" s="14" t="s">
        <v>3083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3210</v>
      </c>
      <c r="B16" s="12" t="s">
        <v>2575</v>
      </c>
      <c r="C16" s="12" t="s">
        <v>32</v>
      </c>
      <c r="D16" s="13" t="s">
        <v>3211</v>
      </c>
      <c r="E16" s="12" t="s">
        <v>158</v>
      </c>
      <c r="F16" s="12" t="s">
        <v>158</v>
      </c>
      <c r="G16" s="13" t="s">
        <v>3207</v>
      </c>
      <c r="H16" s="12" t="s">
        <v>97</v>
      </c>
      <c r="I16" s="12" t="s">
        <v>112</v>
      </c>
      <c r="J16" s="14" t="s">
        <v>3083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3212</v>
      </c>
      <c r="B17" s="12" t="s">
        <v>1588</v>
      </c>
      <c r="C17" s="12" t="s">
        <v>1183</v>
      </c>
      <c r="D17" s="13" t="s">
        <v>3213</v>
      </c>
      <c r="E17" s="12" t="s">
        <v>3102</v>
      </c>
      <c r="F17" s="12" t="s">
        <v>168</v>
      </c>
      <c r="G17" s="13" t="s">
        <v>3214</v>
      </c>
      <c r="H17" s="12" t="s">
        <v>99</v>
      </c>
      <c r="I17" s="12" t="s">
        <v>111</v>
      </c>
      <c r="J17" s="14" t="s">
        <v>3158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3215</v>
      </c>
      <c r="B18" s="12" t="s">
        <v>1132</v>
      </c>
      <c r="C18" s="12" t="s">
        <v>3216</v>
      </c>
      <c r="D18" s="13" t="s">
        <v>3217</v>
      </c>
      <c r="E18" s="12" t="s">
        <v>158</v>
      </c>
      <c r="F18" s="12" t="s">
        <v>158</v>
      </c>
      <c r="G18" s="13" t="s">
        <v>3207</v>
      </c>
      <c r="H18" s="12" t="s">
        <v>97</v>
      </c>
      <c r="I18" s="12" t="s">
        <v>112</v>
      </c>
      <c r="J18" s="14" t="s">
        <v>3083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3218</v>
      </c>
      <c r="B19" s="12" t="s">
        <v>161</v>
      </c>
      <c r="C19" s="12" t="s">
        <v>3098</v>
      </c>
      <c r="D19" s="13" t="s">
        <v>3219</v>
      </c>
      <c r="E19" s="12" t="s">
        <v>158</v>
      </c>
      <c r="F19" s="12" t="s">
        <v>163</v>
      </c>
      <c r="G19" s="13" t="s">
        <v>3207</v>
      </c>
      <c r="H19" s="12" t="s">
        <v>97</v>
      </c>
      <c r="I19" s="12" t="s">
        <v>112</v>
      </c>
      <c r="J19" s="14" t="s">
        <v>3083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3220</v>
      </c>
      <c r="B20" s="12" t="s">
        <v>1862</v>
      </c>
      <c r="C20" s="12" t="s">
        <v>1183</v>
      </c>
      <c r="D20" s="13" t="s">
        <v>3164</v>
      </c>
      <c r="E20" s="12" t="s">
        <v>3102</v>
      </c>
      <c r="F20" s="12" t="s">
        <v>168</v>
      </c>
      <c r="G20" s="13" t="s">
        <v>3214</v>
      </c>
      <c r="H20" s="12" t="s">
        <v>99</v>
      </c>
      <c r="I20" s="12" t="s">
        <v>111</v>
      </c>
      <c r="J20" s="14" t="s">
        <v>3158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3221</v>
      </c>
      <c r="B21" s="12" t="s">
        <v>172</v>
      </c>
      <c r="C21" s="12" t="s">
        <v>3222</v>
      </c>
      <c r="D21" s="13" t="s">
        <v>3223</v>
      </c>
      <c r="E21" s="12" t="s">
        <v>3102</v>
      </c>
      <c r="F21" s="12" t="s">
        <v>174</v>
      </c>
      <c r="G21" s="13" t="s">
        <v>3224</v>
      </c>
      <c r="H21" s="12" t="s">
        <v>95</v>
      </c>
      <c r="I21" s="12" t="s">
        <v>111</v>
      </c>
      <c r="J21" s="14" t="s">
        <v>3168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3225</v>
      </c>
      <c r="B22" s="12" t="s">
        <v>2521</v>
      </c>
      <c r="C22" s="12" t="s">
        <v>3222</v>
      </c>
      <c r="D22" s="13" t="s">
        <v>3226</v>
      </c>
      <c r="E22" s="12" t="s">
        <v>3102</v>
      </c>
      <c r="F22" s="12" t="s">
        <v>168</v>
      </c>
      <c r="G22" s="13" t="s">
        <v>3214</v>
      </c>
      <c r="H22" s="12" t="s">
        <v>99</v>
      </c>
      <c r="I22" s="12" t="s">
        <v>111</v>
      </c>
      <c r="J22" s="14" t="s">
        <v>3158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3227</v>
      </c>
      <c r="B23" s="12" t="s">
        <v>1530</v>
      </c>
      <c r="C23" s="12" t="s">
        <v>32</v>
      </c>
      <c r="D23" s="13" t="s">
        <v>3228</v>
      </c>
      <c r="E23" s="12" t="s">
        <v>3102</v>
      </c>
      <c r="F23" s="12" t="s">
        <v>174</v>
      </c>
      <c r="G23" s="13" t="s">
        <v>3224</v>
      </c>
      <c r="H23" s="12" t="s">
        <v>99</v>
      </c>
      <c r="I23" s="12" t="s">
        <v>111</v>
      </c>
      <c r="J23" s="14" t="s">
        <v>3158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3229</v>
      </c>
      <c r="B24" s="12" t="s">
        <v>2376</v>
      </c>
      <c r="C24" s="12" t="s">
        <v>3194</v>
      </c>
      <c r="D24" s="13" t="s">
        <v>3174</v>
      </c>
      <c r="E24" s="12" t="s">
        <v>133</v>
      </c>
      <c r="F24" s="12" t="s">
        <v>192</v>
      </c>
      <c r="G24" s="13" t="s">
        <v>3230</v>
      </c>
      <c r="H24" s="12" t="s">
        <v>97</v>
      </c>
      <c r="I24" s="12" t="s">
        <v>112</v>
      </c>
      <c r="J24" s="14" t="s">
        <v>3083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3231</v>
      </c>
      <c r="B25" s="12" t="s">
        <v>199</v>
      </c>
      <c r="C25" s="12" t="s">
        <v>3194</v>
      </c>
      <c r="D25" s="13" t="s">
        <v>3232</v>
      </c>
      <c r="E25" s="12" t="s">
        <v>201</v>
      </c>
      <c r="F25" s="12" t="s">
        <v>201</v>
      </c>
      <c r="G25" s="13" t="s">
        <v>3124</v>
      </c>
      <c r="H25" s="12" t="s">
        <v>97</v>
      </c>
      <c r="I25" s="12" t="s">
        <v>112</v>
      </c>
      <c r="J25" s="14" t="s">
        <v>3178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3233</v>
      </c>
      <c r="B26" s="12" t="s">
        <v>204</v>
      </c>
      <c r="C26" s="12" t="s">
        <v>3194</v>
      </c>
      <c r="D26" s="13" t="s">
        <v>3180</v>
      </c>
      <c r="E26" s="12" t="s">
        <v>201</v>
      </c>
      <c r="F26" s="12" t="s">
        <v>133</v>
      </c>
      <c r="G26" s="13" t="s">
        <v>3127</v>
      </c>
      <c r="H26" s="12" t="s">
        <v>97</v>
      </c>
      <c r="I26" s="12" t="s">
        <v>112</v>
      </c>
      <c r="J26" s="14" t="s">
        <v>3178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3234</v>
      </c>
      <c r="B27" s="12" t="s">
        <v>186</v>
      </c>
      <c r="C27" s="12" t="s">
        <v>1183</v>
      </c>
      <c r="D27" s="13" t="s">
        <v>3235</v>
      </c>
      <c r="E27" s="12" t="s">
        <v>3102</v>
      </c>
      <c r="F27" s="12" t="s">
        <v>174</v>
      </c>
      <c r="G27" s="13" t="s">
        <v>3224</v>
      </c>
      <c r="H27" s="12" t="s">
        <v>95</v>
      </c>
      <c r="I27" s="12" t="s">
        <v>111</v>
      </c>
      <c r="J27" s="14" t="s">
        <v>3168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3236</v>
      </c>
      <c r="B28" s="12" t="s">
        <v>166</v>
      </c>
      <c r="C28" s="12" t="s">
        <v>1183</v>
      </c>
      <c r="D28" s="13" t="s">
        <v>3184</v>
      </c>
      <c r="E28" s="12" t="s">
        <v>3102</v>
      </c>
      <c r="F28" s="12" t="s">
        <v>168</v>
      </c>
      <c r="G28" s="13" t="s">
        <v>3214</v>
      </c>
      <c r="H28" s="12" t="s">
        <v>99</v>
      </c>
      <c r="I28" s="12" t="s">
        <v>111</v>
      </c>
      <c r="J28" s="14" t="s">
        <v>3158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3237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3238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115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116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117</v>
      </c>
      <c r="B8" s="1" t="s">
        <v>118</v>
      </c>
      <c r="C8" s="1" t="s">
        <v>119</v>
      </c>
      <c r="D8" s="1" t="s">
        <v>120</v>
      </c>
      <c r="E8" s="1" t="s">
        <v>121</v>
      </c>
      <c r="F8" s="1" t="s">
        <v>122</v>
      </c>
      <c r="G8" s="1" t="s">
        <v>123</v>
      </c>
      <c r="H8" s="1" t="s">
        <v>124</v>
      </c>
      <c r="I8" s="1" t="s">
        <v>125</v>
      </c>
      <c r="J8" s="10" t="s">
        <v>126</v>
      </c>
      <c r="K8" s="1" t="s">
        <v>127</v>
      </c>
      <c r="L8" s="1" t="s">
        <v>128</v>
      </c>
      <c r="M8" s="1" t="s">
        <v>115</v>
      </c>
    </row>
    <row r="9" customFormat="false" ht="54" hidden="false" customHeight="true" outlineLevel="0" collapsed="false">
      <c r="A9" s="12" t="s">
        <v>3239</v>
      </c>
      <c r="B9" s="12" t="s">
        <v>130</v>
      </c>
      <c r="C9" s="12" t="s">
        <v>781</v>
      </c>
      <c r="D9" s="13" t="s">
        <v>3240</v>
      </c>
      <c r="E9" s="12" t="s">
        <v>133</v>
      </c>
      <c r="F9" s="12" t="s">
        <v>134</v>
      </c>
      <c r="G9" s="13" t="s">
        <v>3241</v>
      </c>
      <c r="H9" s="12" t="s">
        <v>97</v>
      </c>
      <c r="I9" s="12" t="s">
        <v>112</v>
      </c>
      <c r="J9" s="14" t="s">
        <v>3083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3242</v>
      </c>
      <c r="B10" s="12" t="s">
        <v>1342</v>
      </c>
      <c r="C10" s="12" t="s">
        <v>1183</v>
      </c>
      <c r="D10" s="13" t="s">
        <v>3243</v>
      </c>
      <c r="E10" s="12" t="s">
        <v>133</v>
      </c>
      <c r="F10" s="12" t="s">
        <v>153</v>
      </c>
      <c r="G10" s="13" t="s">
        <v>3244</v>
      </c>
      <c r="H10" s="12" t="s">
        <v>97</v>
      </c>
      <c r="I10" s="12" t="s">
        <v>112</v>
      </c>
      <c r="J10" s="14" t="s">
        <v>3083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3245</v>
      </c>
      <c r="B11" s="12" t="s">
        <v>137</v>
      </c>
      <c r="C11" s="12" t="s">
        <v>3246</v>
      </c>
      <c r="D11" s="13" t="s">
        <v>3247</v>
      </c>
      <c r="E11" s="12" t="s">
        <v>133</v>
      </c>
      <c r="F11" s="12" t="s">
        <v>133</v>
      </c>
      <c r="G11" s="13" t="s">
        <v>139</v>
      </c>
      <c r="H11" s="12" t="s">
        <v>97</v>
      </c>
      <c r="I11" s="12" t="s">
        <v>112</v>
      </c>
      <c r="J11" s="14" t="s">
        <v>3083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3248</v>
      </c>
      <c r="B12" s="12" t="s">
        <v>141</v>
      </c>
      <c r="C12" s="12" t="s">
        <v>1389</v>
      </c>
      <c r="D12" s="13" t="s">
        <v>3249</v>
      </c>
      <c r="E12" s="12" t="s">
        <v>133</v>
      </c>
      <c r="F12" s="12" t="s">
        <v>143</v>
      </c>
      <c r="G12" s="13" t="s">
        <v>3250</v>
      </c>
      <c r="H12" s="12" t="s">
        <v>97</v>
      </c>
      <c r="I12" s="12" t="s">
        <v>112</v>
      </c>
      <c r="J12" s="14" t="s">
        <v>3083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3251</v>
      </c>
      <c r="B13" s="12" t="s">
        <v>146</v>
      </c>
      <c r="C13" s="12" t="s">
        <v>1183</v>
      </c>
      <c r="D13" s="13" t="s">
        <v>3252</v>
      </c>
      <c r="E13" s="12" t="s">
        <v>133</v>
      </c>
      <c r="F13" s="12" t="s">
        <v>148</v>
      </c>
      <c r="G13" s="13" t="s">
        <v>3253</v>
      </c>
      <c r="H13" s="12" t="s">
        <v>97</v>
      </c>
      <c r="I13" s="12" t="s">
        <v>112</v>
      </c>
      <c r="J13" s="14" t="s">
        <v>3083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3254</v>
      </c>
      <c r="B14" s="12" t="s">
        <v>3255</v>
      </c>
      <c r="C14" s="12" t="s">
        <v>3256</v>
      </c>
      <c r="D14" s="13" t="s">
        <v>3257</v>
      </c>
      <c r="E14" s="12" t="s">
        <v>158</v>
      </c>
      <c r="F14" s="12" t="s">
        <v>158</v>
      </c>
      <c r="G14" s="13" t="s">
        <v>3258</v>
      </c>
      <c r="H14" s="12" t="s">
        <v>97</v>
      </c>
      <c r="I14" s="12" t="s">
        <v>112</v>
      </c>
      <c r="J14" s="14" t="s">
        <v>3083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3259</v>
      </c>
      <c r="B15" s="12" t="s">
        <v>1408</v>
      </c>
      <c r="C15" s="12" t="s">
        <v>3098</v>
      </c>
      <c r="D15" s="13" t="s">
        <v>3260</v>
      </c>
      <c r="E15" s="12" t="s">
        <v>158</v>
      </c>
      <c r="F15" s="12" t="s">
        <v>158</v>
      </c>
      <c r="G15" s="13" t="s">
        <v>3258</v>
      </c>
      <c r="H15" s="12" t="s">
        <v>97</v>
      </c>
      <c r="I15" s="12" t="s">
        <v>112</v>
      </c>
      <c r="J15" s="14" t="s">
        <v>3083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3261</v>
      </c>
      <c r="B16" s="12" t="s">
        <v>2575</v>
      </c>
      <c r="C16" s="12" t="s">
        <v>36</v>
      </c>
      <c r="D16" s="13" t="s">
        <v>3262</v>
      </c>
      <c r="E16" s="12" t="s">
        <v>158</v>
      </c>
      <c r="F16" s="12" t="s">
        <v>158</v>
      </c>
      <c r="G16" s="13" t="s">
        <v>3258</v>
      </c>
      <c r="H16" s="12" t="s">
        <v>97</v>
      </c>
      <c r="I16" s="12" t="s">
        <v>112</v>
      </c>
      <c r="J16" s="14" t="s">
        <v>3083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3263</v>
      </c>
      <c r="B17" s="12" t="s">
        <v>1588</v>
      </c>
      <c r="C17" s="12" t="s">
        <v>1183</v>
      </c>
      <c r="D17" s="13" t="s">
        <v>3264</v>
      </c>
      <c r="E17" s="12" t="s">
        <v>3102</v>
      </c>
      <c r="F17" s="12" t="s">
        <v>168</v>
      </c>
      <c r="G17" s="13" t="s">
        <v>3265</v>
      </c>
      <c r="H17" s="12" t="s">
        <v>99</v>
      </c>
      <c r="I17" s="12" t="s">
        <v>111</v>
      </c>
      <c r="J17" s="14" t="s">
        <v>3158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3266</v>
      </c>
      <c r="B18" s="12" t="s">
        <v>1132</v>
      </c>
      <c r="C18" s="12" t="s">
        <v>781</v>
      </c>
      <c r="D18" s="13" t="s">
        <v>3160</v>
      </c>
      <c r="E18" s="12" t="s">
        <v>158</v>
      </c>
      <c r="F18" s="12" t="s">
        <v>158</v>
      </c>
      <c r="G18" s="13" t="s">
        <v>3258</v>
      </c>
      <c r="H18" s="12" t="s">
        <v>97</v>
      </c>
      <c r="I18" s="12" t="s">
        <v>112</v>
      </c>
      <c r="J18" s="14" t="s">
        <v>3083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3267</v>
      </c>
      <c r="B19" s="12" t="s">
        <v>161</v>
      </c>
      <c r="C19" s="12" t="s">
        <v>3268</v>
      </c>
      <c r="D19" s="13" t="s">
        <v>3269</v>
      </c>
      <c r="E19" s="12" t="s">
        <v>158</v>
      </c>
      <c r="F19" s="12" t="s">
        <v>163</v>
      </c>
      <c r="G19" s="13" t="s">
        <v>3258</v>
      </c>
      <c r="H19" s="12" t="s">
        <v>97</v>
      </c>
      <c r="I19" s="12" t="s">
        <v>112</v>
      </c>
      <c r="J19" s="14" t="s">
        <v>3083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3270</v>
      </c>
      <c r="B20" s="12" t="s">
        <v>1862</v>
      </c>
      <c r="C20" s="12" t="s">
        <v>1183</v>
      </c>
      <c r="D20" s="13" t="s">
        <v>3164</v>
      </c>
      <c r="E20" s="12" t="s">
        <v>3102</v>
      </c>
      <c r="F20" s="12" t="s">
        <v>168</v>
      </c>
      <c r="G20" s="13" t="s">
        <v>3265</v>
      </c>
      <c r="H20" s="12" t="s">
        <v>99</v>
      </c>
      <c r="I20" s="12" t="s">
        <v>111</v>
      </c>
      <c r="J20" s="14" t="s">
        <v>3158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3271</v>
      </c>
      <c r="B21" s="12" t="s">
        <v>172</v>
      </c>
      <c r="C21" s="12" t="s">
        <v>781</v>
      </c>
      <c r="D21" s="13" t="s">
        <v>3272</v>
      </c>
      <c r="E21" s="12" t="s">
        <v>3102</v>
      </c>
      <c r="F21" s="12" t="s">
        <v>174</v>
      </c>
      <c r="G21" s="13" t="s">
        <v>3273</v>
      </c>
      <c r="H21" s="12" t="s">
        <v>95</v>
      </c>
      <c r="I21" s="12" t="s">
        <v>111</v>
      </c>
      <c r="J21" s="14" t="s">
        <v>3168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3274</v>
      </c>
      <c r="B22" s="12" t="s">
        <v>2521</v>
      </c>
      <c r="C22" s="12" t="s">
        <v>3275</v>
      </c>
      <c r="D22" s="13" t="s">
        <v>3276</v>
      </c>
      <c r="E22" s="12" t="s">
        <v>3102</v>
      </c>
      <c r="F22" s="12" t="s">
        <v>168</v>
      </c>
      <c r="G22" s="13" t="s">
        <v>3265</v>
      </c>
      <c r="H22" s="12" t="s">
        <v>99</v>
      </c>
      <c r="I22" s="12" t="s">
        <v>111</v>
      </c>
      <c r="J22" s="14" t="s">
        <v>3158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3277</v>
      </c>
      <c r="B23" s="12" t="s">
        <v>1530</v>
      </c>
      <c r="C23" s="12" t="s">
        <v>781</v>
      </c>
      <c r="D23" s="13" t="s">
        <v>3278</v>
      </c>
      <c r="E23" s="12" t="s">
        <v>3102</v>
      </c>
      <c r="F23" s="12" t="s">
        <v>174</v>
      </c>
      <c r="G23" s="13" t="s">
        <v>3273</v>
      </c>
      <c r="H23" s="12" t="s">
        <v>99</v>
      </c>
      <c r="I23" s="12" t="s">
        <v>111</v>
      </c>
      <c r="J23" s="14" t="s">
        <v>3158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3279</v>
      </c>
      <c r="B24" s="12" t="s">
        <v>2376</v>
      </c>
      <c r="C24" s="12" t="s">
        <v>3246</v>
      </c>
      <c r="D24" s="13" t="s">
        <v>3174</v>
      </c>
      <c r="E24" s="12" t="s">
        <v>133</v>
      </c>
      <c r="F24" s="12" t="s">
        <v>192</v>
      </c>
      <c r="G24" s="13" t="s">
        <v>3280</v>
      </c>
      <c r="H24" s="12" t="s">
        <v>97</v>
      </c>
      <c r="I24" s="12" t="s">
        <v>112</v>
      </c>
      <c r="J24" s="14" t="s">
        <v>3083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3281</v>
      </c>
      <c r="B25" s="12" t="s">
        <v>199</v>
      </c>
      <c r="C25" s="12" t="s">
        <v>3246</v>
      </c>
      <c r="D25" s="13" t="s">
        <v>3282</v>
      </c>
      <c r="E25" s="12" t="s">
        <v>201</v>
      </c>
      <c r="F25" s="12" t="s">
        <v>201</v>
      </c>
      <c r="G25" s="13" t="s">
        <v>3124</v>
      </c>
      <c r="H25" s="12" t="s">
        <v>97</v>
      </c>
      <c r="I25" s="12" t="s">
        <v>112</v>
      </c>
      <c r="J25" s="14" t="s">
        <v>3178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3283</v>
      </c>
      <c r="B26" s="12" t="s">
        <v>204</v>
      </c>
      <c r="C26" s="12" t="s">
        <v>3246</v>
      </c>
      <c r="D26" s="13" t="s">
        <v>3180</v>
      </c>
      <c r="E26" s="12" t="s">
        <v>201</v>
      </c>
      <c r="F26" s="12" t="s">
        <v>133</v>
      </c>
      <c r="G26" s="13" t="s">
        <v>3127</v>
      </c>
      <c r="H26" s="12" t="s">
        <v>97</v>
      </c>
      <c r="I26" s="12" t="s">
        <v>112</v>
      </c>
      <c r="J26" s="14" t="s">
        <v>3178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3284</v>
      </c>
      <c r="B27" s="12" t="s">
        <v>186</v>
      </c>
      <c r="C27" s="12" t="s">
        <v>1183</v>
      </c>
      <c r="D27" s="13" t="s">
        <v>3285</v>
      </c>
      <c r="E27" s="12" t="s">
        <v>3102</v>
      </c>
      <c r="F27" s="12" t="s">
        <v>174</v>
      </c>
      <c r="G27" s="13" t="s">
        <v>3273</v>
      </c>
      <c r="H27" s="12" t="s">
        <v>95</v>
      </c>
      <c r="I27" s="12" t="s">
        <v>111</v>
      </c>
      <c r="J27" s="14" t="s">
        <v>3168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3286</v>
      </c>
      <c r="B28" s="12" t="s">
        <v>166</v>
      </c>
      <c r="C28" s="12" t="s">
        <v>1183</v>
      </c>
      <c r="D28" s="13" t="s">
        <v>3184</v>
      </c>
      <c r="E28" s="12" t="s">
        <v>3102</v>
      </c>
      <c r="F28" s="12" t="s">
        <v>168</v>
      </c>
      <c r="G28" s="13" t="s">
        <v>3265</v>
      </c>
      <c r="H28" s="12" t="s">
        <v>99</v>
      </c>
      <c r="I28" s="12" t="s">
        <v>111</v>
      </c>
      <c r="J28" s="14" t="s">
        <v>3158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3288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115</v>
      </c>
      <c r="E4" s="6" t="n">
        <f aca="false">SUM(M9:M24)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116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3289</v>
      </c>
      <c r="B9" s="12" t="s">
        <v>130</v>
      </c>
      <c r="C9" s="12" t="s">
        <v>1389</v>
      </c>
      <c r="D9" s="13" t="s">
        <v>3290</v>
      </c>
      <c r="E9" s="12" t="s">
        <v>133</v>
      </c>
      <c r="F9" s="12" t="s">
        <v>134</v>
      </c>
      <c r="G9" s="13" t="s">
        <v>3291</v>
      </c>
      <c r="H9" s="12" t="s">
        <v>97</v>
      </c>
      <c r="I9" s="12" t="s">
        <v>112</v>
      </c>
      <c r="J9" s="14" t="s">
        <v>3292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3293</v>
      </c>
      <c r="B10" s="12" t="s">
        <v>1342</v>
      </c>
      <c r="C10" s="12" t="s">
        <v>1183</v>
      </c>
      <c r="D10" s="13" t="s">
        <v>3294</v>
      </c>
      <c r="E10" s="12" t="s">
        <v>133</v>
      </c>
      <c r="F10" s="12" t="s">
        <v>153</v>
      </c>
      <c r="G10" s="13" t="s">
        <v>3295</v>
      </c>
      <c r="H10" s="12" t="s">
        <v>97</v>
      </c>
      <c r="I10" s="12" t="s">
        <v>112</v>
      </c>
      <c r="J10" s="14" t="s">
        <v>3296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3297</v>
      </c>
      <c r="B11" s="12" t="s">
        <v>137</v>
      </c>
      <c r="C11" s="12" t="s">
        <v>81</v>
      </c>
      <c r="D11" s="13" t="s">
        <v>3298</v>
      </c>
      <c r="E11" s="12" t="s">
        <v>133</v>
      </c>
      <c r="F11" s="12" t="s">
        <v>133</v>
      </c>
      <c r="G11" s="13" t="s">
        <v>3299</v>
      </c>
      <c r="H11" s="12" t="s">
        <v>97</v>
      </c>
      <c r="I11" s="12" t="s">
        <v>112</v>
      </c>
      <c r="J11" s="14" t="s">
        <v>3300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3301</v>
      </c>
      <c r="B12" s="12" t="s">
        <v>141</v>
      </c>
      <c r="C12" s="12" t="s">
        <v>1389</v>
      </c>
      <c r="D12" s="13" t="s">
        <v>3302</v>
      </c>
      <c r="E12" s="12" t="s">
        <v>133</v>
      </c>
      <c r="F12" s="12" t="s">
        <v>143</v>
      </c>
      <c r="G12" s="13" t="s">
        <v>3303</v>
      </c>
      <c r="H12" s="12" t="s">
        <v>97</v>
      </c>
      <c r="I12" s="12" t="s">
        <v>112</v>
      </c>
      <c r="J12" s="14" t="s">
        <v>3304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3305</v>
      </c>
      <c r="B13" s="12" t="s">
        <v>146</v>
      </c>
      <c r="C13" s="12" t="s">
        <v>1183</v>
      </c>
      <c r="D13" s="13" t="s">
        <v>3306</v>
      </c>
      <c r="E13" s="12" t="s">
        <v>133</v>
      </c>
      <c r="F13" s="12" t="s">
        <v>148</v>
      </c>
      <c r="G13" s="13" t="s">
        <v>3307</v>
      </c>
      <c r="H13" s="12" t="s">
        <v>97</v>
      </c>
      <c r="I13" s="12" t="s">
        <v>112</v>
      </c>
      <c r="J13" s="14" t="s">
        <v>3308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3309</v>
      </c>
      <c r="B14" s="12" t="s">
        <v>3310</v>
      </c>
      <c r="C14" s="12" t="s">
        <v>1620</v>
      </c>
      <c r="D14" s="13" t="s">
        <v>3311</v>
      </c>
      <c r="E14" s="12" t="s">
        <v>158</v>
      </c>
      <c r="F14" s="12" t="s">
        <v>158</v>
      </c>
      <c r="G14" s="13" t="s">
        <v>3312</v>
      </c>
      <c r="H14" s="12" t="s">
        <v>97</v>
      </c>
      <c r="I14" s="12" t="s">
        <v>112</v>
      </c>
      <c r="J14" s="14" t="s">
        <v>3313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3314</v>
      </c>
      <c r="B15" s="12" t="s">
        <v>32</v>
      </c>
      <c r="C15" s="12" t="s">
        <v>3315</v>
      </c>
      <c r="D15" s="13" t="s">
        <v>3316</v>
      </c>
      <c r="E15" s="12" t="s">
        <v>158</v>
      </c>
      <c r="F15" s="12" t="s">
        <v>158</v>
      </c>
      <c r="G15" s="13" t="s">
        <v>3312</v>
      </c>
      <c r="H15" s="12" t="s">
        <v>97</v>
      </c>
      <c r="I15" s="12" t="s">
        <v>112</v>
      </c>
      <c r="J15" s="14" t="s">
        <v>3317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3318</v>
      </c>
      <c r="B16" s="12" t="s">
        <v>3319</v>
      </c>
      <c r="C16" s="12" t="s">
        <v>781</v>
      </c>
      <c r="D16" s="13" t="s">
        <v>3320</v>
      </c>
      <c r="E16" s="12" t="s">
        <v>133</v>
      </c>
      <c r="F16" s="12" t="s">
        <v>153</v>
      </c>
      <c r="G16" s="13" t="s">
        <v>3295</v>
      </c>
      <c r="H16" s="12" t="s">
        <v>97</v>
      </c>
      <c r="I16" s="12" t="s">
        <v>112</v>
      </c>
      <c r="J16" s="14" t="s">
        <v>3321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3322</v>
      </c>
      <c r="B17" s="12" t="s">
        <v>1132</v>
      </c>
      <c r="C17" s="12" t="s">
        <v>781</v>
      </c>
      <c r="D17" s="13" t="s">
        <v>3323</v>
      </c>
      <c r="E17" s="12" t="s">
        <v>158</v>
      </c>
      <c r="F17" s="12" t="s">
        <v>158</v>
      </c>
      <c r="G17" s="13" t="s">
        <v>3312</v>
      </c>
      <c r="H17" s="12" t="s">
        <v>97</v>
      </c>
      <c r="I17" s="12" t="s">
        <v>112</v>
      </c>
      <c r="J17" s="14" t="s">
        <v>3324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3325</v>
      </c>
      <c r="B18" s="12" t="s">
        <v>1085</v>
      </c>
      <c r="C18" s="12" t="s">
        <v>3326</v>
      </c>
      <c r="D18" s="13" t="s">
        <v>3327</v>
      </c>
      <c r="E18" s="12" t="s">
        <v>133</v>
      </c>
      <c r="F18" s="12" t="s">
        <v>153</v>
      </c>
      <c r="G18" s="13" t="s">
        <v>3295</v>
      </c>
      <c r="H18" s="12" t="s">
        <v>97</v>
      </c>
      <c r="I18" s="12" t="s">
        <v>112</v>
      </c>
      <c r="J18" s="14" t="s">
        <v>3328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3329</v>
      </c>
      <c r="B19" s="12" t="s">
        <v>1862</v>
      </c>
      <c r="C19" s="12" t="s">
        <v>1183</v>
      </c>
      <c r="D19" s="13" t="s">
        <v>3330</v>
      </c>
      <c r="E19" s="12" t="s">
        <v>3102</v>
      </c>
      <c r="F19" s="12" t="s">
        <v>168</v>
      </c>
      <c r="G19" s="13" t="s">
        <v>3331</v>
      </c>
      <c r="H19" s="12" t="s">
        <v>95</v>
      </c>
      <c r="I19" s="12" t="s">
        <v>111</v>
      </c>
      <c r="J19" s="14" t="s">
        <v>3332</v>
      </c>
      <c r="K19" s="13"/>
      <c r="L19" s="12"/>
      <c r="M19" s="12" t="n">
        <f aca="false">IF(OR(H19="tested",H19="verified",H19="not applicable"),1,0)</f>
        <v>0</v>
      </c>
    </row>
    <row r="20" customFormat="false" ht="54" hidden="false" customHeight="true" outlineLevel="0" collapsed="false">
      <c r="A20" s="12" t="s">
        <v>3333</v>
      </c>
      <c r="B20" s="12" t="s">
        <v>172</v>
      </c>
      <c r="C20" s="12" t="s">
        <v>3334</v>
      </c>
      <c r="D20" s="13" t="s">
        <v>3335</v>
      </c>
      <c r="E20" s="12" t="s">
        <v>3102</v>
      </c>
      <c r="F20" s="12" t="s">
        <v>168</v>
      </c>
      <c r="G20" s="13" t="s">
        <v>3331</v>
      </c>
      <c r="H20" s="12" t="s">
        <v>95</v>
      </c>
      <c r="I20" s="12" t="s">
        <v>111</v>
      </c>
      <c r="J20" s="14" t="s">
        <v>3336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3337</v>
      </c>
      <c r="B21" s="12" t="s">
        <v>161</v>
      </c>
      <c r="C21" s="12" t="s">
        <v>3315</v>
      </c>
      <c r="D21" s="13" t="s">
        <v>3338</v>
      </c>
      <c r="E21" s="12" t="s">
        <v>158</v>
      </c>
      <c r="F21" s="12" t="s">
        <v>163</v>
      </c>
      <c r="G21" s="13" t="s">
        <v>3312</v>
      </c>
      <c r="H21" s="12" t="s">
        <v>97</v>
      </c>
      <c r="I21" s="12" t="s">
        <v>112</v>
      </c>
      <c r="J21" s="14" t="s">
        <v>3339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3340</v>
      </c>
      <c r="B22" s="12" t="s">
        <v>186</v>
      </c>
      <c r="C22" s="12" t="s">
        <v>81</v>
      </c>
      <c r="D22" s="13" t="s">
        <v>3341</v>
      </c>
      <c r="E22" s="12" t="s">
        <v>3102</v>
      </c>
      <c r="F22" s="12" t="s">
        <v>174</v>
      </c>
      <c r="G22" s="13" t="s">
        <v>3342</v>
      </c>
      <c r="H22" s="12" t="s">
        <v>95</v>
      </c>
      <c r="I22" s="12" t="s">
        <v>111</v>
      </c>
      <c r="J22" s="14" t="s">
        <v>3343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3344</v>
      </c>
      <c r="B23" s="12" t="s">
        <v>2376</v>
      </c>
      <c r="C23" s="12" t="s">
        <v>81</v>
      </c>
      <c r="D23" s="13" t="s">
        <v>3345</v>
      </c>
      <c r="E23" s="12" t="s">
        <v>133</v>
      </c>
      <c r="F23" s="12" t="s">
        <v>192</v>
      </c>
      <c r="G23" s="13" t="s">
        <v>3346</v>
      </c>
      <c r="H23" s="12" t="s">
        <v>97</v>
      </c>
      <c r="I23" s="12" t="s">
        <v>112</v>
      </c>
      <c r="J23" s="14" t="s">
        <v>3347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3348</v>
      </c>
      <c r="B24" s="12" t="s">
        <v>199</v>
      </c>
      <c r="C24" s="12" t="s">
        <v>1389</v>
      </c>
      <c r="D24" s="13" t="s">
        <v>3349</v>
      </c>
      <c r="E24" s="12" t="s">
        <v>201</v>
      </c>
      <c r="F24" s="12" t="s">
        <v>201</v>
      </c>
      <c r="G24" s="13" t="s">
        <v>2538</v>
      </c>
      <c r="H24" s="12" t="s">
        <v>97</v>
      </c>
      <c r="I24" s="12" t="s">
        <v>112</v>
      </c>
      <c r="J24" s="14" t="s">
        <v>3350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3352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115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116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117</v>
      </c>
      <c r="B8" s="8" t="s">
        <v>118</v>
      </c>
      <c r="C8" s="8" t="s">
        <v>119</v>
      </c>
      <c r="D8" s="8" t="s">
        <v>120</v>
      </c>
      <c r="E8" s="8" t="s">
        <v>121</v>
      </c>
      <c r="F8" s="8" t="s">
        <v>122</v>
      </c>
      <c r="G8" s="8" t="s">
        <v>123</v>
      </c>
      <c r="H8" s="8" t="s">
        <v>124</v>
      </c>
      <c r="I8" s="8" t="s">
        <v>125</v>
      </c>
      <c r="J8" s="11" t="s">
        <v>126</v>
      </c>
      <c r="K8" s="8" t="s">
        <v>127</v>
      </c>
      <c r="L8" s="8" t="s">
        <v>128</v>
      </c>
      <c r="M8" s="8" t="s">
        <v>115</v>
      </c>
    </row>
    <row r="9" customFormat="false" ht="54" hidden="false" customHeight="true" outlineLevel="0" collapsed="false">
      <c r="A9" s="12" t="s">
        <v>3353</v>
      </c>
      <c r="B9" s="12" t="s">
        <v>130</v>
      </c>
      <c r="C9" s="12" t="s">
        <v>1559</v>
      </c>
      <c r="D9" s="13" t="s">
        <v>3354</v>
      </c>
      <c r="E9" s="12" t="s">
        <v>133</v>
      </c>
      <c r="F9" s="12" t="s">
        <v>134</v>
      </c>
      <c r="G9" s="13" t="s">
        <v>3355</v>
      </c>
      <c r="H9" s="12" t="s">
        <v>97</v>
      </c>
      <c r="I9" s="12" t="s">
        <v>112</v>
      </c>
      <c r="J9" s="14" t="s">
        <v>3292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3356</v>
      </c>
      <c r="B10" s="12" t="s">
        <v>1342</v>
      </c>
      <c r="C10" s="12" t="s">
        <v>1559</v>
      </c>
      <c r="D10" s="13" t="s">
        <v>3357</v>
      </c>
      <c r="E10" s="12" t="s">
        <v>133</v>
      </c>
      <c r="F10" s="12" t="s">
        <v>153</v>
      </c>
      <c r="G10" s="13" t="s">
        <v>3358</v>
      </c>
      <c r="H10" s="12" t="s">
        <v>97</v>
      </c>
      <c r="I10" s="12" t="s">
        <v>112</v>
      </c>
      <c r="J10" s="14" t="s">
        <v>3296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3359</v>
      </c>
      <c r="B11" s="12" t="s">
        <v>137</v>
      </c>
      <c r="C11" s="12" t="s">
        <v>82</v>
      </c>
      <c r="D11" s="13" t="s">
        <v>3360</v>
      </c>
      <c r="E11" s="12" t="s">
        <v>133</v>
      </c>
      <c r="F11" s="12" t="s">
        <v>133</v>
      </c>
      <c r="G11" s="13" t="s">
        <v>3299</v>
      </c>
      <c r="H11" s="12" t="s">
        <v>97</v>
      </c>
      <c r="I11" s="12" t="s">
        <v>112</v>
      </c>
      <c r="J11" s="14" t="s">
        <v>3300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3361</v>
      </c>
      <c r="B12" s="12" t="s">
        <v>141</v>
      </c>
      <c r="C12" s="12" t="s">
        <v>1559</v>
      </c>
      <c r="D12" s="13" t="s">
        <v>3362</v>
      </c>
      <c r="E12" s="12" t="s">
        <v>133</v>
      </c>
      <c r="F12" s="12" t="s">
        <v>143</v>
      </c>
      <c r="G12" s="13" t="s">
        <v>3363</v>
      </c>
      <c r="H12" s="12" t="s">
        <v>97</v>
      </c>
      <c r="I12" s="12" t="s">
        <v>112</v>
      </c>
      <c r="J12" s="14" t="s">
        <v>3304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3364</v>
      </c>
      <c r="B13" s="12" t="s">
        <v>146</v>
      </c>
      <c r="C13" s="12" t="s">
        <v>1559</v>
      </c>
      <c r="D13" s="13" t="s">
        <v>3365</v>
      </c>
      <c r="E13" s="12" t="s">
        <v>133</v>
      </c>
      <c r="F13" s="12" t="s">
        <v>148</v>
      </c>
      <c r="G13" s="13" t="s">
        <v>3366</v>
      </c>
      <c r="H13" s="12" t="s">
        <v>97</v>
      </c>
      <c r="I13" s="12" t="s">
        <v>112</v>
      </c>
      <c r="J13" s="14" t="s">
        <v>3308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3367</v>
      </c>
      <c r="B14" s="12" t="s">
        <v>661</v>
      </c>
      <c r="C14" s="12" t="s">
        <v>781</v>
      </c>
      <c r="D14" s="13" t="s">
        <v>3368</v>
      </c>
      <c r="E14" s="12" t="s">
        <v>158</v>
      </c>
      <c r="F14" s="12" t="s">
        <v>158</v>
      </c>
      <c r="G14" s="13" t="s">
        <v>3369</v>
      </c>
      <c r="H14" s="12" t="s">
        <v>97</v>
      </c>
      <c r="I14" s="12" t="s">
        <v>112</v>
      </c>
      <c r="J14" s="14" t="s">
        <v>3370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3371</v>
      </c>
      <c r="B15" s="12" t="s">
        <v>3372</v>
      </c>
      <c r="C15" s="12" t="s">
        <v>1559</v>
      </c>
      <c r="D15" s="13" t="s">
        <v>3373</v>
      </c>
      <c r="E15" s="12" t="s">
        <v>158</v>
      </c>
      <c r="F15" s="12" t="s">
        <v>158</v>
      </c>
      <c r="G15" s="13" t="s">
        <v>3369</v>
      </c>
      <c r="H15" s="12" t="s">
        <v>97</v>
      </c>
      <c r="I15" s="12" t="s">
        <v>112</v>
      </c>
      <c r="J15" s="14" t="s">
        <v>3374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3375</v>
      </c>
      <c r="B16" s="12" t="s">
        <v>32</v>
      </c>
      <c r="C16" s="12" t="s">
        <v>781</v>
      </c>
      <c r="D16" s="13" t="s">
        <v>3376</v>
      </c>
      <c r="E16" s="12" t="s">
        <v>158</v>
      </c>
      <c r="F16" s="12" t="s">
        <v>158</v>
      </c>
      <c r="G16" s="13" t="s">
        <v>3369</v>
      </c>
      <c r="H16" s="12" t="s">
        <v>97</v>
      </c>
      <c r="I16" s="12" t="s">
        <v>112</v>
      </c>
      <c r="J16" s="14" t="s">
        <v>3317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3377</v>
      </c>
      <c r="B17" s="12" t="s">
        <v>3319</v>
      </c>
      <c r="C17" s="12" t="s">
        <v>781</v>
      </c>
      <c r="D17" s="13" t="s">
        <v>3378</v>
      </c>
      <c r="E17" s="12" t="s">
        <v>133</v>
      </c>
      <c r="F17" s="12" t="s">
        <v>153</v>
      </c>
      <c r="G17" s="13" t="s">
        <v>3358</v>
      </c>
      <c r="H17" s="12" t="s">
        <v>97</v>
      </c>
      <c r="I17" s="12" t="s">
        <v>112</v>
      </c>
      <c r="J17" s="14" t="s">
        <v>3321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3379</v>
      </c>
      <c r="B18" s="12" t="s">
        <v>1132</v>
      </c>
      <c r="C18" s="12" t="s">
        <v>781</v>
      </c>
      <c r="D18" s="13" t="s">
        <v>3380</v>
      </c>
      <c r="E18" s="12" t="s">
        <v>158</v>
      </c>
      <c r="F18" s="12" t="s">
        <v>158</v>
      </c>
      <c r="G18" s="13" t="s">
        <v>3369</v>
      </c>
      <c r="H18" s="12" t="s">
        <v>97</v>
      </c>
      <c r="I18" s="12" t="s">
        <v>112</v>
      </c>
      <c r="J18" s="14" t="s">
        <v>3324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3381</v>
      </c>
      <c r="B19" s="12" t="s">
        <v>3382</v>
      </c>
      <c r="C19" s="12" t="s">
        <v>854</v>
      </c>
      <c r="D19" s="13" t="s">
        <v>3383</v>
      </c>
      <c r="E19" s="12" t="s">
        <v>133</v>
      </c>
      <c r="F19" s="12" t="s">
        <v>153</v>
      </c>
      <c r="G19" s="13" t="s">
        <v>3358</v>
      </c>
      <c r="H19" s="12" t="s">
        <v>97</v>
      </c>
      <c r="I19" s="12" t="s">
        <v>112</v>
      </c>
      <c r="J19" s="14" t="s">
        <v>3384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3385</v>
      </c>
      <c r="B20" s="12" t="s">
        <v>1862</v>
      </c>
      <c r="C20" s="12" t="s">
        <v>1559</v>
      </c>
      <c r="D20" s="13" t="s">
        <v>3330</v>
      </c>
      <c r="E20" s="12" t="s">
        <v>3102</v>
      </c>
      <c r="F20" s="12" t="s">
        <v>168</v>
      </c>
      <c r="G20" s="13" t="s">
        <v>3386</v>
      </c>
      <c r="H20" s="12" t="s">
        <v>95</v>
      </c>
      <c r="I20" s="12" t="s">
        <v>111</v>
      </c>
      <c r="J20" s="14" t="s">
        <v>3332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3387</v>
      </c>
      <c r="B21" s="12" t="s">
        <v>172</v>
      </c>
      <c r="C21" s="12" t="s">
        <v>1559</v>
      </c>
      <c r="D21" s="13" t="s">
        <v>3388</v>
      </c>
      <c r="E21" s="12" t="s">
        <v>3102</v>
      </c>
      <c r="F21" s="12" t="s">
        <v>168</v>
      </c>
      <c r="G21" s="13" t="s">
        <v>3386</v>
      </c>
      <c r="H21" s="12" t="s">
        <v>95</v>
      </c>
      <c r="I21" s="12" t="s">
        <v>111</v>
      </c>
      <c r="J21" s="14" t="s">
        <v>3336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3389</v>
      </c>
      <c r="B22" s="12" t="s">
        <v>161</v>
      </c>
      <c r="C22" s="12" t="s">
        <v>1559</v>
      </c>
      <c r="D22" s="13" t="s">
        <v>3390</v>
      </c>
      <c r="E22" s="12" t="s">
        <v>158</v>
      </c>
      <c r="F22" s="12" t="s">
        <v>163</v>
      </c>
      <c r="G22" s="13" t="s">
        <v>3369</v>
      </c>
      <c r="H22" s="12" t="s">
        <v>97</v>
      </c>
      <c r="I22" s="12" t="s">
        <v>112</v>
      </c>
      <c r="J22" s="14" t="s">
        <v>3339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3391</v>
      </c>
      <c r="B23" s="12" t="s">
        <v>186</v>
      </c>
      <c r="C23" s="12" t="s">
        <v>82</v>
      </c>
      <c r="D23" s="13" t="s">
        <v>3392</v>
      </c>
      <c r="E23" s="12" t="s">
        <v>3102</v>
      </c>
      <c r="F23" s="12" t="s">
        <v>174</v>
      </c>
      <c r="G23" s="13" t="s">
        <v>3393</v>
      </c>
      <c r="H23" s="12" t="s">
        <v>95</v>
      </c>
      <c r="I23" s="12" t="s">
        <v>111</v>
      </c>
      <c r="J23" s="14" t="s">
        <v>3343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3394</v>
      </c>
      <c r="B24" s="12" t="s">
        <v>2376</v>
      </c>
      <c r="C24" s="12" t="s">
        <v>82</v>
      </c>
      <c r="D24" s="13" t="s">
        <v>3395</v>
      </c>
      <c r="E24" s="12" t="s">
        <v>133</v>
      </c>
      <c r="F24" s="12" t="s">
        <v>192</v>
      </c>
      <c r="G24" s="13" t="s">
        <v>3396</v>
      </c>
      <c r="H24" s="12" t="s">
        <v>97</v>
      </c>
      <c r="I24" s="12" t="s">
        <v>112</v>
      </c>
      <c r="J24" s="14" t="s">
        <v>3347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3397</v>
      </c>
      <c r="B25" s="12" t="s">
        <v>199</v>
      </c>
      <c r="C25" s="12" t="s">
        <v>1559</v>
      </c>
      <c r="D25" s="13" t="s">
        <v>3398</v>
      </c>
      <c r="E25" s="12" t="s">
        <v>201</v>
      </c>
      <c r="F25" s="12" t="s">
        <v>201</v>
      </c>
      <c r="G25" s="13" t="s">
        <v>2538</v>
      </c>
      <c r="H25" s="12" t="s">
        <v>97</v>
      </c>
      <c r="I25" s="12" t="s">
        <v>112</v>
      </c>
      <c r="J25" s="14" t="s">
        <v>3350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2026-07-29T15:00:33Z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