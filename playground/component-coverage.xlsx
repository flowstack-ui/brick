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tables/table9.xml" ContentType="application/vnd.openxmlformats-officedocument.spreadsheetml.table+xml"/>
  <Override PartName="/xl/worksheets/sheet11.xml" ContentType="application/vnd.openxmlformats-officedocument.spreadsheetml.worksheet+xml"/>
  <Override PartName="/xl/tables/table10.xml" ContentType="application/vnd.openxmlformats-officedocument.spreadsheetml.table+xml"/>
  <Override PartName="/xl/worksheets/sheet12.xml" ContentType="application/vnd.openxmlformats-officedocument.spreadsheetml.worksheet+xml"/>
  <Override PartName="/xl/tables/table11.xml" ContentType="application/vnd.openxmlformats-officedocument.spreadsheetml.table+xml"/>
  <Override PartName="/xl/worksheets/sheet13.xml" ContentType="application/vnd.openxmlformats-officedocument.spreadsheetml.worksheet+xml"/>
  <Override PartName="/xl/tables/table12.xml" ContentType="application/vnd.openxmlformats-officedocument.spreadsheetml.table+xml"/>
  <Override PartName="/xl/worksheets/sheet14.xml" ContentType="application/vnd.openxmlformats-officedocument.spreadsheetml.worksheet+xml"/>
  <Override PartName="/xl/tables/table13.xml" ContentType="application/vnd.openxmlformats-officedocument.spreadsheetml.table+xml"/>
  <Override PartName="/xl/worksheets/sheet15.xml" ContentType="application/vnd.openxmlformats-officedocument.spreadsheetml.worksheet+xml"/>
  <Override PartName="/xl/tables/table14.xml" ContentType="application/vnd.openxmlformats-officedocument.spreadsheetml.table+xml"/>
  <Override PartName="/xl/worksheets/sheet16.xml" ContentType="application/vnd.openxmlformats-officedocument.spreadsheetml.worksheet+xml"/>
  <Override PartName="/xl/tables/table15.xml" ContentType="application/vnd.openxmlformats-officedocument.spreadsheetml.table+xml"/>
  <Override PartName="/xl/worksheets/sheet17.xml" ContentType="application/vnd.openxmlformats-officedocument.spreadsheetml.worksheet+xml"/>
  <Override PartName="/xl/tables/table16.xml" ContentType="application/vnd.openxmlformats-officedocument.spreadsheetml.table+xml"/>
  <Override PartName="/xl/worksheets/sheet18.xml" ContentType="application/vnd.openxmlformats-officedocument.spreadsheetml.worksheet+xml"/>
  <Override PartName="/xl/tables/table17.xml" ContentType="application/vnd.openxmlformats-officedocument.spreadsheetml.table+xml"/>
  <Override PartName="/xl/worksheets/sheet19.xml" ContentType="application/vnd.openxmlformats-officedocument.spreadsheetml.worksheet+xml"/>
  <Override PartName="/xl/tables/table18.xml" ContentType="application/vnd.openxmlformats-officedocument.spreadsheetml.table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ables/table19.xml" ContentType="application/vnd.openxmlformats-officedocument.spreadsheetml.table+xml"/>
  <Override PartName="/xl/worksheets/sheet22.xml" ContentType="application/vnd.openxmlformats-officedocument.spreadsheetml.worksheet+xml"/>
  <Override PartName="/xl/tables/table20.xml" ContentType="application/vnd.openxmlformats-officedocument.spreadsheetml.table+xml"/>
  <Override PartName="/xl/worksheets/sheet23.xml" ContentType="application/vnd.openxmlformats-officedocument.spreadsheetml.worksheet+xml"/>
  <Override PartName="/xl/tables/table21.xml" ContentType="application/vnd.openxmlformats-officedocument.spreadsheetml.table+xml"/>
  <Override PartName="/xl/worksheets/sheet24.xml" ContentType="application/vnd.openxmlformats-officedocument.spreadsheetml.worksheet+xml"/>
  <Override PartName="/xl/tables/table22.xml" ContentType="application/vnd.openxmlformats-officedocument.spreadsheetml.table+xml"/>
  <Override PartName="/xl/worksheets/sheet25.xml" ContentType="application/vnd.openxmlformats-officedocument.spreadsheetml.worksheet+xml"/>
  <Override PartName="/xl/tables/table23.xml" ContentType="application/vnd.openxmlformats-officedocument.spreadsheetml.table+xml"/>
  <Override PartName="/xl/worksheets/sheet26.xml" ContentType="application/vnd.openxmlformats-officedocument.spreadsheetml.worksheet+xml"/>
  <Override PartName="/xl/tables/table24.xml" ContentType="application/vnd.openxmlformats-officedocument.spreadsheetml.table+xml"/>
  <Override PartName="/xl/worksheets/sheet27.xml" ContentType="application/vnd.openxmlformats-officedocument.spreadsheetml.worksheet+xml"/>
  <Override PartName="/xl/tables/table25.xml" ContentType="application/vnd.openxmlformats-officedocument.spreadsheetml.table+xml"/>
  <Override PartName="/xl/worksheets/sheet28.xml" ContentType="application/vnd.openxmlformats-officedocument.spreadsheetml.worksheet+xml"/>
  <Override PartName="/xl/tables/table26.xml" ContentType="application/vnd.openxmlformats-officedocument.spreadsheetml.table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600" firstSheet="0" activeTab="24" autoFilterDateGrouping="1"/>
  </bookViews>
  <sheets>
    <sheet xmlns:r="http://schemas.openxmlformats.org/officeDocument/2006/relationships" name="Index" sheetId="1" state="visible" r:id="rId1"/>
    <sheet xmlns:r="http://schemas.openxmlformats.org/officeDocument/2006/relationships" name="Instructions" sheetId="2" state="visible" r:id="rId2"/>
    <sheet xmlns:r="http://schemas.openxmlformats.org/officeDocument/2006/relationships" name="_Lists" sheetId="3" state="hidden" r:id="rId3"/>
    <sheet xmlns:r="http://schemas.openxmlformats.org/officeDocument/2006/relationships" name="Alert Dialog" sheetId="4" state="visible" r:id="rId4"/>
    <sheet xmlns:r="http://schemas.openxmlformats.org/officeDocument/2006/relationships" name="App Bar" sheetId="5" state="visible" r:id="rId5"/>
    <sheet xmlns:r="http://schemas.openxmlformats.org/officeDocument/2006/relationships" name="Avatar" sheetId="6" state="visible" r:id="rId6"/>
    <sheet xmlns:r="http://schemas.openxmlformats.org/officeDocument/2006/relationships" name="Badge" sheetId="7" state="visible" r:id="rId7"/>
    <sheet xmlns:r="http://schemas.openxmlformats.org/officeDocument/2006/relationships" name="Button" sheetId="8" state="visible" r:id="rId8"/>
    <sheet xmlns:r="http://schemas.openxmlformats.org/officeDocument/2006/relationships" name="Card" sheetId="9" state="visible" r:id="rId9"/>
    <sheet xmlns:r="http://schemas.openxmlformats.org/officeDocument/2006/relationships" name="Checkbox" sheetId="10" state="visible" r:id="rId10"/>
    <sheet xmlns:r="http://schemas.openxmlformats.org/officeDocument/2006/relationships" name="Checkbox Group" sheetId="11" state="visible" r:id="rId11"/>
    <sheet xmlns:r="http://schemas.openxmlformats.org/officeDocument/2006/relationships" name="Dialog" sheetId="12" state="visible" r:id="rId12"/>
    <sheet xmlns:r="http://schemas.openxmlformats.org/officeDocument/2006/relationships" name="Drawer" sheetId="13" state="visible" r:id="rId13"/>
    <sheet xmlns:r="http://schemas.openxmlformats.org/officeDocument/2006/relationships" name="Field" sheetId="14" state="visible" r:id="rId14"/>
    <sheet xmlns:r="http://schemas.openxmlformats.org/officeDocument/2006/relationships" name="Fieldset" sheetId="15" state="visible" r:id="rId15"/>
    <sheet xmlns:r="http://schemas.openxmlformats.org/officeDocument/2006/relationships" name="Form" sheetId="16" state="visible" r:id="rId16"/>
    <sheet xmlns:r="http://schemas.openxmlformats.org/officeDocument/2006/relationships" name="Hover Card" sheetId="17" state="visible" r:id="rId17"/>
    <sheet xmlns:r="http://schemas.openxmlformats.org/officeDocument/2006/relationships" name="Icon Button" sheetId="18" state="visible" r:id="rId18"/>
    <sheet xmlns:r="http://schemas.openxmlformats.org/officeDocument/2006/relationships" name="Input" sheetId="19" state="visible" r:id="rId19"/>
    <sheet xmlns:r="http://schemas.openxmlformats.org/officeDocument/2006/relationships" name="Link" sheetId="20" state="visible" r:id="rId20"/>
    <sheet xmlns:r="http://schemas.openxmlformats.org/officeDocument/2006/relationships" name="Text" sheetId="21" state="visible" r:id="rId21"/>
    <sheet xmlns:r="http://schemas.openxmlformats.org/officeDocument/2006/relationships" name="Notification Badge" sheetId="22" state="visible" r:id="rId22"/>
    <sheet xmlns:r="http://schemas.openxmlformats.org/officeDocument/2006/relationships" name="Popover" sheetId="23" state="visible" r:id="rId23"/>
    <sheet xmlns:r="http://schemas.openxmlformats.org/officeDocument/2006/relationships" name="Toggle" sheetId="24" state="visible" r:id="rId24"/>
    <sheet xmlns:r="http://schemas.openxmlformats.org/officeDocument/2006/relationships" name="Toggle Group" sheetId="25" state="visible" r:id="rId25"/>
    <sheet xmlns:r="http://schemas.openxmlformats.org/officeDocument/2006/relationships" name="Stack" sheetId="26" state="visible" r:id="rId26"/>
    <sheet xmlns:r="http://schemas.openxmlformats.org/officeDocument/2006/relationships" name="Tooltip" sheetId="27" state="visible" r:id="rId27"/>
    <sheet xmlns:r="http://schemas.openxmlformats.org/officeDocument/2006/relationships" name="Grid" sheetId="28" state="visible" r:id="rId28"/>
    <sheet xmlns:r="http://schemas.openxmlformats.org/officeDocument/2006/relationships" name="Container" sheetId="29" state="visible" r:id="rId29"/>
    <sheet xmlns:r="http://schemas.openxmlformats.org/officeDocument/2006/relationships" name="Surface" sheetId="30" state="visible" r:id="rId30"/>
    <sheet xmlns:r="http://schemas.openxmlformats.org/officeDocument/2006/relationships" name="Divider" sheetId="31" state="visible" r:id="rId31"/>
    <sheet xmlns:r="http://schemas.openxmlformats.org/officeDocument/2006/relationships" name="Scroll Area" sheetId="32" state="visible" r:id="rId32"/>
    <sheet xmlns:r="http://schemas.openxmlformats.org/officeDocument/2006/relationships" name="Code" sheetId="33" state="visible" r:id="rId33"/>
    <sheet xmlns:r="http://schemas.openxmlformats.org/officeDocument/2006/relationships" name="Code Block" sheetId="34" state="visible" r:id="rId34"/>
    <sheet xmlns:r="http://schemas.openxmlformats.org/officeDocument/2006/relationships" name="Nav List" sheetId="35" state="visible" r:id="rId35"/>
    <sheet xmlns:r="http://schemas.openxmlformats.org/officeDocument/2006/relationships" name="Sidebar" sheetId="36" state="visible" r:id="rId36"/>
    <sheet xmlns:r="http://schemas.openxmlformats.org/officeDocument/2006/relationships" name="Icon" sheetId="37" state="visible" r:id="rId37"/>
  </sheets>
  <definedNames>
    <definedName name="_xlnm._FilterDatabase" localSheetId="0" hidden="1">'Index'!$A$8:$M$41</definedName>
    <definedName name="_xlnm.Print_Area" localSheetId="0">'Index'!$A$1:$M$35</definedName>
  </definedNames>
  <calcPr calcId="124519" calcMode="auto" fullCalcOnLoad="1" refMode="A1" iterate="0" iterateCount="100" iterateDelta="0.0001" forceFullCalc="1"/>
</workbook>
</file>

<file path=xl/styles.xml><?xml version="1.0" encoding="utf-8"?>
<styleSheet xmlns="http://schemas.openxmlformats.org/spreadsheetml/2006/main">
  <numFmts count="1">
    <numFmt numFmtId="164" formatCode="yyyy\-mm\-dd"/>
  </numFmts>
  <fonts count="8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ptos Display"/>
      <charset val="1"/>
      <family val="2"/>
      <b val="1"/>
      <color rgb="FFFFFFFF"/>
      <sz val="22"/>
    </font>
    <font>
      <name val="Aptos"/>
      <charset val="1"/>
      <family val="2"/>
      <color rgb="FF5E6B7C"/>
      <sz val="10"/>
    </font>
    <font>
      <name val="Aptos"/>
      <charset val="1"/>
      <family val="2"/>
      <b val="1"/>
      <color rgb="FF5E6B7C"/>
      <sz val="9"/>
    </font>
    <font>
      <name val="Aptos Display"/>
      <charset val="1"/>
      <family val="2"/>
      <b val="1"/>
      <color rgb="FF172033"/>
      <sz val="14"/>
    </font>
  </fonts>
  <fills count="3">
    <fill>
      <patternFill/>
    </fill>
    <fill>
      <patternFill patternType="gray125"/>
    </fill>
    <fill>
      <patternFill patternType="solid">
        <fgColor rgb="FF172033"/>
        <bgColor rgb="FF003366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9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9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general" vertical="center"/>
    </xf>
    <xf numFmtId="0" fontId="5" fillId="0" borderId="0" applyAlignment="1" pivotButton="0" quotePrefix="0" xfId="0">
      <alignment horizontal="general" vertical="center" wrapText="1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9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9" fontId="0" fillId="0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 wrapText="1"/>
    </xf>
    <xf numFmtId="164" fontId="0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bottom"/>
    </xf>
    <xf numFmtId="9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general" vertical="center"/>
    </xf>
    <xf numFmtId="0" fontId="5" fillId="0" borderId="0" applyAlignment="1" pivotButton="0" quotePrefix="0" xfId="0">
      <alignment horizontal="general" vertical="center" wrapText="1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9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9" fontId="0" fillId="0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 wrapText="1"/>
    </xf>
    <xf numFmtId="164" fontId="0" fillId="0" borderId="0" applyAlignment="1" pivotButton="0" quotePrefix="0" xfId="0">
      <alignment horizontal="general" vertical="center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1"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E8F5EE"/>
          <bgColor rgb="FF000000"/>
        </patternFill>
      </fill>
    </dxf>
    <dxf>
      <fill>
        <patternFill>
          <bgColor rgb="FFE8F5EE"/>
        </patternFill>
      </fill>
    </dxf>
    <dxf>
      <fill>
        <patternFill patternType="solid">
          <fgColor rgb="FFDDEBFF"/>
          <bgColor rgb="FF000000"/>
        </patternFill>
      </fill>
    </dxf>
    <dxf>
      <fill>
        <patternFill>
          <bgColor rgb="FFF4F6F8"/>
        </patternFill>
      </fill>
    </dxf>
    <dxf>
      <fill>
        <patternFill>
          <bgColor rgb="FFFFF4D6"/>
        </patternFill>
      </fill>
    </dxf>
    <dxf>
      <fill>
        <patternFill>
          <bgColor rgb="FFEAF0FF"/>
        </patternFill>
      </fill>
    </dxf>
    <dxf>
      <fill>
        <patternFill>
          <bgColor rgb="FFDDEBFF"/>
        </patternFill>
      </fill>
    </dxf>
    <dxf>
      <fill>
        <patternFill>
          <bgColor rgb="FFFDEBEC"/>
        </patternFill>
      </fill>
    </dxf>
    <dxf>
      <fill>
        <patternFill patternType="solid">
          <fgColor rgb="FFEAF0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D6"/>
      <rgbColor rgb="FFDDEBFF"/>
      <rgbColor rgb="FF660066"/>
      <rgbColor rgb="FFFF8080"/>
      <rgbColor rgb="FF0066CC"/>
      <rgbColor rgb="FFF4F6F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8F5EE"/>
      <rgbColor rgb="FFEAF0FF"/>
      <rgbColor rgb="FFFDEBEC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E6B7C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720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styles" Target="styles.xml" Id="rId38"/><Relationship Type="http://schemas.openxmlformats.org/officeDocument/2006/relationships/theme" Target="theme/theme1.xml" Id="rId39"/></Relationships>
</file>

<file path=xl/tables/table1.xml><?xml version="1.0" encoding="utf-8"?>
<table xmlns="http://schemas.openxmlformats.org/spreadsheetml/2006/main" id="1" name="CoverageIndex" displayName="CoverageIndex" ref="A7:M31" headerRowCount="1" totalsRowCount="0" totalsRowShown="0">
  <autoFilter ref="A7:M31"/>
  <tableColumns count="13">
    <tableColumn id="1" name="Component"/>
    <tableColumn id="2" name="Requirements"/>
    <tableColumn id="3" name="Not started"/>
    <tableColumn id="4" name="Partial"/>
    <tableColumn id="5" name="Implemented"/>
    <tableColumn id="6" name="Tested"/>
    <tableColumn id="7" name="Verified"/>
    <tableColumn id="8" name="Blocked"/>
    <tableColumn id="9" name="N/A"/>
    <tableColumn id="10" name="Completion"/>
    <tableColumn id="11" name="Package gate"/>
    <tableColumn id="12" name="Consumer gate"/>
    <tableColumn id="13" name="Overall"/>
  </tableColumns>
</table>
</file>

<file path=xl/tables/table2.xml><?xml version="1.0" encoding="utf-8"?>
<table xmlns="http://schemas.openxmlformats.org/spreadsheetml/2006/main" id="2" name="InstructionsTable" displayName="InstructionsTable" ref="A3:B15" headerRowCount="1" totalsRowCount="0" totalsRowShown="0">
  <autoFilter ref="A3:B15"/>
  <tableColumns count="2">
    <tableColumn id="1" name="Topic"/>
    <tableColumn id="2" name="Rule"/>
  </tableColumns>
</table>
</file>

<file path=xl/tables/table3.xml><?xml version="1.0" encoding="utf-8"?>
<table xmlns="http://schemas.openxmlformats.org/spreadsheetml/2006/main" id="3" name="AlertDialogEvidence" displayName="AlertDialog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4.xml><?xml version="1.0" encoding="utf-8"?>
<table xmlns="http://schemas.openxmlformats.org/spreadsheetml/2006/main" id="4" name="AppBarEvidence" displayName="AppBar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5.xml><?xml version="1.0" encoding="utf-8"?>
<table xmlns="http://schemas.openxmlformats.org/spreadsheetml/2006/main" id="5" name="AvatarEvidence" displayName="Avatar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6.xml><?xml version="1.0" encoding="utf-8"?>
<table xmlns="http://schemas.openxmlformats.org/spreadsheetml/2006/main" id="6" name="BadgeEvidence" displayName="Badge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7.xml><?xml version="1.0" encoding="utf-8"?>
<table xmlns="http://schemas.openxmlformats.org/spreadsheetml/2006/main" id="7" name="ButtonEvidence" displayName="Button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8.xml><?xml version="1.0" encoding="utf-8"?>
<table xmlns="http://schemas.openxmlformats.org/spreadsheetml/2006/main" id="8" name="CardEvidence" displayName="Card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9.xml><?xml version="1.0" encoding="utf-8"?>
<table xmlns="http://schemas.openxmlformats.org/spreadsheetml/2006/main" id="9" name="CheckboxEvidence" displayName="Checkbox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10.xml><?xml version="1.0" encoding="utf-8"?>
<table xmlns="http://schemas.openxmlformats.org/spreadsheetml/2006/main" id="10" name="CheckboxGroupEvidence" displayName="CheckboxGroup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11.xml><?xml version="1.0" encoding="utf-8"?>
<table xmlns="http://schemas.openxmlformats.org/spreadsheetml/2006/main" id="11" name="DialogEvidence" displayName="Dialog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12.xml><?xml version="1.0" encoding="utf-8"?>
<table xmlns="http://schemas.openxmlformats.org/spreadsheetml/2006/main" id="12" name="DrawerEvidence" displayName="Drawer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13.xml><?xml version="1.0" encoding="utf-8"?>
<table xmlns="http://schemas.openxmlformats.org/spreadsheetml/2006/main" id="13" name="FieldEvidence" displayName="Field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14.xml><?xml version="1.0" encoding="utf-8"?>
<table xmlns="http://schemas.openxmlformats.org/spreadsheetml/2006/main" id="14" name="FieldsetEvidence" displayName="Fieldset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15.xml><?xml version="1.0" encoding="utf-8"?>
<table xmlns="http://schemas.openxmlformats.org/spreadsheetml/2006/main" id="15" name="FormEvidence" displayName="Form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16.xml><?xml version="1.0" encoding="utf-8"?>
<table xmlns="http://schemas.openxmlformats.org/spreadsheetml/2006/main" id="16" name="HoverCardEvidence" displayName="HoverCard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17.xml><?xml version="1.0" encoding="utf-8"?>
<table xmlns="http://schemas.openxmlformats.org/spreadsheetml/2006/main" id="17" name="IconButtonEvidence" displayName="IconButton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18.xml><?xml version="1.0" encoding="utf-8"?>
<table xmlns="http://schemas.openxmlformats.org/spreadsheetml/2006/main" id="18" name="InputEvidence" displayName="Input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19.xml><?xml version="1.0" encoding="utf-8"?>
<table xmlns="http://schemas.openxmlformats.org/spreadsheetml/2006/main" id="19" name="TextEvidence" displayName="Text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20.xml><?xml version="1.0" encoding="utf-8"?>
<table xmlns="http://schemas.openxmlformats.org/spreadsheetml/2006/main" id="20" name="NotificationBadgeEvidence" displayName="NotificationBadge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21.xml><?xml version="1.0" encoding="utf-8"?>
<table xmlns="http://schemas.openxmlformats.org/spreadsheetml/2006/main" id="21" name="PopoverEvidence" displayName="Popover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22.xml><?xml version="1.0" encoding="utf-8"?>
<table xmlns="http://schemas.openxmlformats.org/spreadsheetml/2006/main" id="22" name="ToggleEvidence" displayName="Toggle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23.xml><?xml version="1.0" encoding="utf-8"?>
<table xmlns="http://schemas.openxmlformats.org/spreadsheetml/2006/main" id="23" name="ToggleGroupEvidence" displayName="ToggleGroup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24.xml><?xml version="1.0" encoding="utf-8"?>
<table xmlns="http://schemas.openxmlformats.org/spreadsheetml/2006/main" id="24" name="StackEvidence" displayName="Stack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25.xml><?xml version="1.0" encoding="utf-8"?>
<table xmlns="http://schemas.openxmlformats.org/spreadsheetml/2006/main" id="25" name="TooltipEvidence" displayName="Tooltip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26.xml><?xml version="1.0" encoding="utf-8"?>
<table xmlns="http://schemas.openxmlformats.org/spreadsheetml/2006/main" id="26" name="GridEvidence" displayName="GridEvidence" ref="A8:M25" headerRowCount="1" totalsRowCount="0" totalsRowShown="0">
  <autoFilter ref="A8:M25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6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7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_rels/sheet8.xml.rels><Relationships xmlns="http://schemas.openxmlformats.org/package/2006/relationships"><Relationship Type="http://schemas.openxmlformats.org/officeDocument/2006/relationships/table" Target="/xl/tables/table7.xml" Id="rId1"/></Relationships>
</file>

<file path=xl/worksheets/_rels/sheet9.xml.rels><Relationships xmlns="http://schemas.openxmlformats.org/package/2006/relationships"><Relationship Type="http://schemas.openxmlformats.org/officeDocument/2006/relationships/table" Target="/xl/tables/table8.xml" Id="rId1"/></Relationships>
</file>

<file path=xl/worksheets/_rels/sheet10.xml.rels><Relationships xmlns="http://schemas.openxmlformats.org/package/2006/relationships"><Relationship Type="http://schemas.openxmlformats.org/officeDocument/2006/relationships/table" Target="/xl/tables/table9.xml" Id="rId1"/></Relationships>
</file>

<file path=xl/worksheets/_rels/sheet11.xml.rels><Relationships xmlns="http://schemas.openxmlformats.org/package/2006/relationships"><Relationship Type="http://schemas.openxmlformats.org/officeDocument/2006/relationships/table" Target="/xl/tables/table10.xml" Id="rId1"/></Relationships>
</file>

<file path=xl/worksheets/_rels/sheet12.xml.rels><Relationships xmlns="http://schemas.openxmlformats.org/package/2006/relationships"><Relationship Type="http://schemas.openxmlformats.org/officeDocument/2006/relationships/table" Target="/xl/tables/table11.xml" Id="rId1"/></Relationships>
</file>

<file path=xl/worksheets/_rels/sheet13.xml.rels><Relationships xmlns="http://schemas.openxmlformats.org/package/2006/relationships"><Relationship Type="http://schemas.openxmlformats.org/officeDocument/2006/relationships/table" Target="/xl/tables/table12.xml" Id="rId1"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3.xml" Id="rId1"/></Relationships>
</file>

<file path=xl/worksheets/_rels/sheet15.xml.rels><Relationships xmlns="http://schemas.openxmlformats.org/package/2006/relationships"><Relationship Type="http://schemas.openxmlformats.org/officeDocument/2006/relationships/table" Target="/xl/tables/table14.xml" Id="rId1"/></Relationships>
</file>

<file path=xl/worksheets/_rels/sheet16.xml.rels><Relationships xmlns="http://schemas.openxmlformats.org/package/2006/relationships"><Relationship Type="http://schemas.openxmlformats.org/officeDocument/2006/relationships/table" Target="/xl/tables/table15.xml" Id="rId1"/></Relationships>
</file>

<file path=xl/worksheets/_rels/sheet17.xml.rels><Relationships xmlns="http://schemas.openxmlformats.org/package/2006/relationships"><Relationship Type="http://schemas.openxmlformats.org/officeDocument/2006/relationships/table" Target="/xl/tables/table16.xml" Id="rId1"/></Relationships>
</file>

<file path=xl/worksheets/_rels/sheet18.xml.rels><Relationships xmlns="http://schemas.openxmlformats.org/package/2006/relationships"><Relationship Type="http://schemas.openxmlformats.org/officeDocument/2006/relationships/table" Target="/xl/tables/table17.xml" Id="rId1"/></Relationships>
</file>

<file path=xl/worksheets/_rels/sheet19.xml.rels><Relationships xmlns="http://schemas.openxmlformats.org/package/2006/relationships"><Relationship Type="http://schemas.openxmlformats.org/officeDocument/2006/relationships/table" Target="/xl/tables/table18.xml" Id="rId1"/></Relationships>
</file>

<file path=xl/worksheets/_rels/sheet21.xml.rels><Relationships xmlns="http://schemas.openxmlformats.org/package/2006/relationships"><Relationship Type="http://schemas.openxmlformats.org/officeDocument/2006/relationships/table" Target="/xl/tables/table19.xml" Id="rId1"/></Relationships>
</file>

<file path=xl/worksheets/_rels/sheet22.xml.rels><Relationships xmlns="http://schemas.openxmlformats.org/package/2006/relationships"><Relationship Type="http://schemas.openxmlformats.org/officeDocument/2006/relationships/table" Target="/xl/tables/table20.xml" Id="rId1"/></Relationships>
</file>

<file path=xl/worksheets/_rels/sheet23.xml.rels><Relationships xmlns="http://schemas.openxmlformats.org/package/2006/relationships"><Relationship Type="http://schemas.openxmlformats.org/officeDocument/2006/relationships/table" Target="/xl/tables/table21.xml" Id="rId1"/></Relationships>
</file>

<file path=xl/worksheets/_rels/sheet24.xml.rels><Relationships xmlns="http://schemas.openxmlformats.org/package/2006/relationships"><Relationship Type="http://schemas.openxmlformats.org/officeDocument/2006/relationships/table" Target="/xl/tables/table22.xml" Id="rId1"/></Relationships>
</file>

<file path=xl/worksheets/_rels/sheet25.xml.rels><Relationships xmlns="http://schemas.openxmlformats.org/package/2006/relationships"><Relationship Type="http://schemas.openxmlformats.org/officeDocument/2006/relationships/table" Target="/xl/tables/table23.xml" Id="rId1"/></Relationships>
</file>

<file path=xl/worksheets/_rels/sheet26.xml.rels><Relationships xmlns="http://schemas.openxmlformats.org/package/2006/relationships"><Relationship Type="http://schemas.openxmlformats.org/officeDocument/2006/relationships/table" Target="/xl/tables/table24.xml" Id="rId1"/></Relationships>
</file>

<file path=xl/worksheets/_rels/sheet27.xml.rels><Relationships xmlns="http://schemas.openxmlformats.org/package/2006/relationships"><Relationship Type="http://schemas.openxmlformats.org/officeDocument/2006/relationships/table" Target="/xl/tables/table25.xml" Id="rId1"/></Relationships>
</file>

<file path=xl/worksheets/_rels/sheet28.xml.rels><Relationships xmlns="http://schemas.openxmlformats.org/package/2006/relationships"><Relationship Type="http://schemas.openxmlformats.org/officeDocument/2006/relationships/table" Target="/xl/tables/table26.xml" Id="rId1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M41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pane xSplit="1" ySplit="7" topLeftCell="B8" activePane="bottomRight" state="frozen"/>
      <selection pane="topLeft" activeCell="A1" activeCellId="0" sqref="A1"/>
      <selection pane="topRight" activeCell="B1" activeCellId="0" sqref="B1"/>
      <selection pane="bottomLeft" activeCell="A8" activeCellId="0" sqref="A8"/>
      <selection pane="bottomRight" activeCell="A1" activeCellId="0" sqref="A1"/>
    </sheetView>
  </sheetViews>
  <sheetFormatPr baseColWidth="8" defaultColWidth="8.6796875" defaultRowHeight="15" customHeight="0" zeroHeight="0" outlineLevelRow="0"/>
  <cols>
    <col width="24.71" customWidth="1" style="23" min="1" max="1"/>
    <col width="12.71" customWidth="1" style="23" min="2" max="9"/>
    <col width="14.71" customWidth="1" style="24" min="10" max="10"/>
    <col width="16.71" customWidth="1" style="23" min="11" max="13"/>
  </cols>
  <sheetData>
    <row r="1" ht="37.5" customHeight="1" s="17">
      <c r="A1" s="18" t="inlineStr">
        <is>
          <t>Brick Component Coverage</t>
        </is>
      </c>
    </row>
    <row r="2" ht="27.75" customHeight="1" s="17">
      <c r="A2" s="19" t="inlineStr">
        <is>
          <t>Current package evidence across 31 independently exported components.</t>
        </is>
      </c>
    </row>
    <row r="4" ht="17.25" customHeight="1" s="17">
      <c r="A4" s="20" t="inlineStr">
        <is>
          <t>Components</t>
        </is>
      </c>
      <c r="B4" s="21">
        <f>COUNTA(A8:A36)</f>
        <v/>
      </c>
      <c r="D4" s="20" t="inlineStr">
        <is>
          <t>Complete</t>
        </is>
      </c>
      <c r="E4" s="21">
        <f>COUNTIF(M8:M36,"complete")</f>
        <v/>
      </c>
      <c r="G4" s="20" t="inlineStr">
        <is>
          <t>Blocked</t>
        </is>
      </c>
      <c r="H4" s="21">
        <f>COUNTIF(M8:M36,"blocked")</f>
        <v/>
      </c>
      <c r="J4" s="20" t="inlineStr">
        <is>
          <t>Overall</t>
        </is>
      </c>
      <c r="K4" s="22">
        <f>IF(B4=0,0,E4/B4)</f>
        <v/>
      </c>
    </row>
    <row r="7" ht="15" customHeight="1" s="17">
      <c r="A7" s="23" t="inlineStr">
        <is>
          <t>Component</t>
        </is>
      </c>
      <c r="B7" s="23" t="inlineStr">
        <is>
          <t>Requirements</t>
        </is>
      </c>
      <c r="C7" s="23" t="inlineStr">
        <is>
          <t>Not started</t>
        </is>
      </c>
      <c r="D7" s="23" t="inlineStr">
        <is>
          <t>Partial</t>
        </is>
      </c>
      <c r="E7" s="23" t="inlineStr">
        <is>
          <t>Implemented</t>
        </is>
      </c>
      <c r="F7" s="23" t="inlineStr">
        <is>
          <t>Tested</t>
        </is>
      </c>
      <c r="G7" s="23" t="inlineStr">
        <is>
          <t>Verified</t>
        </is>
      </c>
      <c r="H7" s="23" t="inlineStr">
        <is>
          <t>Blocked</t>
        </is>
      </c>
      <c r="I7" s="23" t="inlineStr">
        <is>
          <t>N/A</t>
        </is>
      </c>
      <c r="J7" s="24" t="inlineStr">
        <is>
          <t>Completion</t>
        </is>
      </c>
      <c r="K7" s="23" t="inlineStr">
        <is>
          <t>Package gate</t>
        </is>
      </c>
      <c r="L7" s="23" t="inlineStr">
        <is>
          <t>Consumer gate</t>
        </is>
      </c>
      <c r="M7" s="23" t="inlineStr">
        <is>
          <t>Overall</t>
        </is>
      </c>
    </row>
    <row r="8" ht="24" customHeight="1" s="17">
      <c r="A8" s="23" t="inlineStr">
        <is>
          <t>Alert Dialog</t>
        </is>
      </c>
      <c r="B8" s="23">
        <f>INDIRECT("'"&amp;A8&amp;"'!B4")</f>
        <v/>
      </c>
      <c r="C8" s="23">
        <f>COUNTIF(INDIRECT("'"&amp;A8&amp;"'!H9:H200"),"not started")</f>
        <v/>
      </c>
      <c r="D8" s="23">
        <f>COUNTIF(INDIRECT("'"&amp;A8&amp;"'!H9:H200"),"partial")</f>
        <v/>
      </c>
      <c r="E8" s="23">
        <f>COUNTIF(INDIRECT("'"&amp;A8&amp;"'!H9:H200"),"implemented")</f>
        <v/>
      </c>
      <c r="F8" s="23">
        <f>COUNTIF(INDIRECT("'"&amp;A8&amp;"'!H9:H200"),"tested")</f>
        <v/>
      </c>
      <c r="G8" s="23">
        <f>COUNTIF(INDIRECT("'"&amp;A8&amp;"'!H9:H200"),"verified")</f>
        <v/>
      </c>
      <c r="H8" s="23">
        <f>COUNTIF(INDIRECT("'"&amp;A8&amp;"'!H9:H200"),"blocked")</f>
        <v/>
      </c>
      <c r="I8" s="23">
        <f>COUNTIF(INDIRECT("'"&amp;A8&amp;"'!H9:H200"),"not applicable")</f>
        <v/>
      </c>
      <c r="J8" s="24">
        <f>INDIRECT("'"&amp;A8&amp;"'!H4")</f>
        <v/>
      </c>
      <c r="K8" s="23">
        <f>INDIRECT("'"&amp;A8&amp;"'!K4")</f>
        <v/>
      </c>
      <c r="L8" s="23">
        <f>INDIRECT("'"&amp;A8&amp;"'!E5")</f>
        <v/>
      </c>
      <c r="M8" s="23">
        <f>IF(AND(J8=1,K8="complete",L8="complete"),"complete",IF(H8&gt;0,"blocked","open"))</f>
        <v/>
      </c>
    </row>
    <row r="9" ht="24" customHeight="1" s="17">
      <c r="A9" s="23" t="inlineStr">
        <is>
          <t>App Bar</t>
        </is>
      </c>
      <c r="B9" s="23">
        <f>INDIRECT("'"&amp;A9&amp;"'!B4")</f>
        <v/>
      </c>
      <c r="C9" s="23">
        <f>COUNTIF(INDIRECT("'"&amp;A9&amp;"'!H9:H200"),"not started")</f>
        <v/>
      </c>
      <c r="D9" s="23">
        <f>COUNTIF(INDIRECT("'"&amp;A9&amp;"'!H9:H200"),"partial")</f>
        <v/>
      </c>
      <c r="E9" s="23">
        <f>COUNTIF(INDIRECT("'"&amp;A9&amp;"'!H9:H200"),"implemented")</f>
        <v/>
      </c>
      <c r="F9" s="23">
        <f>COUNTIF(INDIRECT("'"&amp;A9&amp;"'!H9:H200"),"tested")</f>
        <v/>
      </c>
      <c r="G9" s="23">
        <f>COUNTIF(INDIRECT("'"&amp;A9&amp;"'!H9:H200"),"verified")</f>
        <v/>
      </c>
      <c r="H9" s="23">
        <f>COUNTIF(INDIRECT("'"&amp;A9&amp;"'!H9:H200"),"blocked")</f>
        <v/>
      </c>
      <c r="I9" s="23">
        <f>COUNTIF(INDIRECT("'"&amp;A9&amp;"'!H9:H200"),"not applicable")</f>
        <v/>
      </c>
      <c r="J9" s="24">
        <f>INDIRECT("'"&amp;A9&amp;"'!H4")</f>
        <v/>
      </c>
      <c r="K9" s="23">
        <f>INDIRECT("'"&amp;A9&amp;"'!K4")</f>
        <v/>
      </c>
      <c r="L9" s="23">
        <f>INDIRECT("'"&amp;A9&amp;"'!E5")</f>
        <v/>
      </c>
      <c r="M9" s="23">
        <f>IF(AND(J9=1,K9="complete",L9="complete"),"complete",IF(H9&gt;0,"blocked","open"))</f>
        <v/>
      </c>
    </row>
    <row r="10" ht="24" customHeight="1" s="17">
      <c r="A10" s="23" t="inlineStr">
        <is>
          <t>Avatar</t>
        </is>
      </c>
      <c r="B10" s="23">
        <f>INDIRECT("'"&amp;A10&amp;"'!B4")</f>
        <v/>
      </c>
      <c r="C10" s="23">
        <f>COUNTIF(INDIRECT("'"&amp;A10&amp;"'!H9:H200"),"not started")</f>
        <v/>
      </c>
      <c r="D10" s="23">
        <f>COUNTIF(INDIRECT("'"&amp;A10&amp;"'!H9:H200"),"partial")</f>
        <v/>
      </c>
      <c r="E10" s="23">
        <f>COUNTIF(INDIRECT("'"&amp;A10&amp;"'!H9:H200"),"implemented")</f>
        <v/>
      </c>
      <c r="F10" s="23">
        <f>COUNTIF(INDIRECT("'"&amp;A10&amp;"'!H9:H200"),"tested")</f>
        <v/>
      </c>
      <c r="G10" s="23">
        <f>COUNTIF(INDIRECT("'"&amp;A10&amp;"'!H9:H200"),"verified")</f>
        <v/>
      </c>
      <c r="H10" s="23">
        <f>COUNTIF(INDIRECT("'"&amp;A10&amp;"'!H9:H200"),"blocked")</f>
        <v/>
      </c>
      <c r="I10" s="23">
        <f>COUNTIF(INDIRECT("'"&amp;A10&amp;"'!H9:H200"),"not applicable")</f>
        <v/>
      </c>
      <c r="J10" s="24">
        <f>INDIRECT("'"&amp;A10&amp;"'!H4")</f>
        <v/>
      </c>
      <c r="K10" s="23">
        <f>INDIRECT("'"&amp;A10&amp;"'!K4")</f>
        <v/>
      </c>
      <c r="L10" s="23">
        <f>INDIRECT("'"&amp;A10&amp;"'!E5")</f>
        <v/>
      </c>
      <c r="M10" s="23">
        <f>IF(AND(J10=1,K10="complete",L10="complete"),"complete",IF(H10&gt;0,"blocked","open"))</f>
        <v/>
      </c>
    </row>
    <row r="11" ht="24" customHeight="1" s="17">
      <c r="A11" s="23" t="inlineStr">
        <is>
          <t>Badge</t>
        </is>
      </c>
      <c r="B11" s="23">
        <f>INDIRECT("'"&amp;A11&amp;"'!B4")</f>
        <v/>
      </c>
      <c r="C11" s="23">
        <f>COUNTIF(INDIRECT("'"&amp;A11&amp;"'!H9:H200"),"not started")</f>
        <v/>
      </c>
      <c r="D11" s="23">
        <f>COUNTIF(INDIRECT("'"&amp;A11&amp;"'!H9:H200"),"partial")</f>
        <v/>
      </c>
      <c r="E11" s="23">
        <f>COUNTIF(INDIRECT("'"&amp;A11&amp;"'!H9:H200"),"implemented")</f>
        <v/>
      </c>
      <c r="F11" s="23">
        <f>COUNTIF(INDIRECT("'"&amp;A11&amp;"'!H9:H200"),"tested")</f>
        <v/>
      </c>
      <c r="G11" s="23">
        <f>COUNTIF(INDIRECT("'"&amp;A11&amp;"'!H9:H200"),"verified")</f>
        <v/>
      </c>
      <c r="H11" s="23">
        <f>COUNTIF(INDIRECT("'"&amp;A11&amp;"'!H9:H200"),"blocked")</f>
        <v/>
      </c>
      <c r="I11" s="23">
        <f>COUNTIF(INDIRECT("'"&amp;A11&amp;"'!H9:H200"),"not applicable")</f>
        <v/>
      </c>
      <c r="J11" s="24">
        <f>INDIRECT("'"&amp;A11&amp;"'!H4")</f>
        <v/>
      </c>
      <c r="K11" s="23">
        <f>INDIRECT("'"&amp;A11&amp;"'!K4")</f>
        <v/>
      </c>
      <c r="L11" s="23">
        <f>INDIRECT("'"&amp;A11&amp;"'!E5")</f>
        <v/>
      </c>
      <c r="M11" s="23">
        <f>IF(AND(J11=1,K11="complete",L11="complete"),"complete",IF(H11&gt;0,"blocked","open"))</f>
        <v/>
      </c>
    </row>
    <row r="12" ht="24" customHeight="1" s="17">
      <c r="A12" s="23" t="inlineStr">
        <is>
          <t>Button</t>
        </is>
      </c>
      <c r="B12" s="23">
        <f>INDIRECT("'"&amp;A12&amp;"'!B4")</f>
        <v/>
      </c>
      <c r="C12" s="23">
        <f>COUNTIF(INDIRECT("'"&amp;A12&amp;"'!H9:H200"),"not started")</f>
        <v/>
      </c>
      <c r="D12" s="23">
        <f>COUNTIF(INDIRECT("'"&amp;A12&amp;"'!H9:H200"),"partial")</f>
        <v/>
      </c>
      <c r="E12" s="23">
        <f>COUNTIF(INDIRECT("'"&amp;A12&amp;"'!H9:H200"),"implemented")</f>
        <v/>
      </c>
      <c r="F12" s="23">
        <f>COUNTIF(INDIRECT("'"&amp;A12&amp;"'!H9:H200"),"tested")</f>
        <v/>
      </c>
      <c r="G12" s="23">
        <f>COUNTIF(INDIRECT("'"&amp;A12&amp;"'!H9:H200"),"verified")</f>
        <v/>
      </c>
      <c r="H12" s="23">
        <f>COUNTIF(INDIRECT("'"&amp;A12&amp;"'!H9:H200"),"blocked")</f>
        <v/>
      </c>
      <c r="I12" s="23">
        <f>COUNTIF(INDIRECT("'"&amp;A12&amp;"'!H9:H200"),"not applicable")</f>
        <v/>
      </c>
      <c r="J12" s="24">
        <f>INDIRECT("'"&amp;A12&amp;"'!H4")</f>
        <v/>
      </c>
      <c r="K12" s="23">
        <f>INDIRECT("'"&amp;A12&amp;"'!K4")</f>
        <v/>
      </c>
      <c r="L12" s="23">
        <f>INDIRECT("'"&amp;A12&amp;"'!E5")</f>
        <v/>
      </c>
      <c r="M12" s="23">
        <f>IF(AND(J12=1,K12="complete",L12="complete"),"complete",IF(H12&gt;0,"blocked","open"))</f>
        <v/>
      </c>
    </row>
    <row r="13" ht="24" customHeight="1" s="17">
      <c r="A13" s="23" t="inlineStr">
        <is>
          <t>Card</t>
        </is>
      </c>
      <c r="B13" s="23">
        <f>INDIRECT("'"&amp;A13&amp;"'!B4")</f>
        <v/>
      </c>
      <c r="C13" s="23">
        <f>COUNTIF(INDIRECT("'"&amp;A13&amp;"'!H9:H200"),"not started")</f>
        <v/>
      </c>
      <c r="D13" s="23">
        <f>COUNTIF(INDIRECT("'"&amp;A13&amp;"'!H9:H200"),"partial")</f>
        <v/>
      </c>
      <c r="E13" s="23">
        <f>COUNTIF(INDIRECT("'"&amp;A13&amp;"'!H9:H200"),"implemented")</f>
        <v/>
      </c>
      <c r="F13" s="23">
        <f>COUNTIF(INDIRECT("'"&amp;A13&amp;"'!H9:H200"),"tested")</f>
        <v/>
      </c>
      <c r="G13" s="23">
        <f>COUNTIF(INDIRECT("'"&amp;A13&amp;"'!H9:H200"),"verified")</f>
        <v/>
      </c>
      <c r="H13" s="23">
        <f>COUNTIF(INDIRECT("'"&amp;A13&amp;"'!H9:H200"),"blocked")</f>
        <v/>
      </c>
      <c r="I13" s="23">
        <f>COUNTIF(INDIRECT("'"&amp;A13&amp;"'!H9:H200"),"not applicable")</f>
        <v/>
      </c>
      <c r="J13" s="24">
        <f>INDIRECT("'"&amp;A13&amp;"'!H4")</f>
        <v/>
      </c>
      <c r="K13" s="23">
        <f>INDIRECT("'"&amp;A13&amp;"'!K4")</f>
        <v/>
      </c>
      <c r="L13" s="23">
        <f>INDIRECT("'"&amp;A13&amp;"'!E5")</f>
        <v/>
      </c>
      <c r="M13" s="23">
        <f>IF(AND(J13=1,K13="complete",L13="complete"),"complete",IF(H13&gt;0,"blocked","open"))</f>
        <v/>
      </c>
    </row>
    <row r="14" ht="24" customHeight="1" s="17">
      <c r="A14" s="23" t="inlineStr">
        <is>
          <t>Checkbox</t>
        </is>
      </c>
      <c r="B14" s="23">
        <f>INDIRECT("'"&amp;A14&amp;"'!B4")</f>
        <v/>
      </c>
      <c r="C14" s="23">
        <f>COUNTIF(INDIRECT("'"&amp;A14&amp;"'!H9:H200"),"not started")</f>
        <v/>
      </c>
      <c r="D14" s="23">
        <f>COUNTIF(INDIRECT("'"&amp;A14&amp;"'!H9:H200"),"partial")</f>
        <v/>
      </c>
      <c r="E14" s="23">
        <f>COUNTIF(INDIRECT("'"&amp;A14&amp;"'!H9:H200"),"implemented")</f>
        <v/>
      </c>
      <c r="F14" s="23">
        <f>COUNTIF(INDIRECT("'"&amp;A14&amp;"'!H9:H200"),"tested")</f>
        <v/>
      </c>
      <c r="G14" s="23">
        <f>COUNTIF(INDIRECT("'"&amp;A14&amp;"'!H9:H200"),"verified")</f>
        <v/>
      </c>
      <c r="H14" s="23">
        <f>COUNTIF(INDIRECT("'"&amp;A14&amp;"'!H9:H200"),"blocked")</f>
        <v/>
      </c>
      <c r="I14" s="23">
        <f>COUNTIF(INDIRECT("'"&amp;A14&amp;"'!H9:H200"),"not applicable")</f>
        <v/>
      </c>
      <c r="J14" s="24">
        <f>INDIRECT("'"&amp;A14&amp;"'!H4")</f>
        <v/>
      </c>
      <c r="K14" s="23">
        <f>INDIRECT("'"&amp;A14&amp;"'!K4")</f>
        <v/>
      </c>
      <c r="L14" s="23">
        <f>INDIRECT("'"&amp;A14&amp;"'!E5")</f>
        <v/>
      </c>
      <c r="M14" s="23">
        <f>IF(AND(J14=1,K14="complete",L14="complete"),"complete",IF(H14&gt;0,"blocked","open"))</f>
        <v/>
      </c>
    </row>
    <row r="15" ht="24" customHeight="1" s="17">
      <c r="A15" s="23" t="inlineStr">
        <is>
          <t>Checkbox Group</t>
        </is>
      </c>
      <c r="B15" s="23">
        <f>INDIRECT("'"&amp;A15&amp;"'!B4")</f>
        <v/>
      </c>
      <c r="C15" s="23">
        <f>COUNTIF(INDIRECT("'"&amp;A15&amp;"'!H9:H200"),"not started")</f>
        <v/>
      </c>
      <c r="D15" s="23">
        <f>COUNTIF(INDIRECT("'"&amp;A15&amp;"'!H9:H200"),"partial")</f>
        <v/>
      </c>
      <c r="E15" s="23">
        <f>COUNTIF(INDIRECT("'"&amp;A15&amp;"'!H9:H200"),"implemented")</f>
        <v/>
      </c>
      <c r="F15" s="23">
        <f>COUNTIF(INDIRECT("'"&amp;A15&amp;"'!H9:H200"),"tested")</f>
        <v/>
      </c>
      <c r="G15" s="23">
        <f>COUNTIF(INDIRECT("'"&amp;A15&amp;"'!H9:H200"),"verified")</f>
        <v/>
      </c>
      <c r="H15" s="23">
        <f>COUNTIF(INDIRECT("'"&amp;A15&amp;"'!H9:H200"),"blocked")</f>
        <v/>
      </c>
      <c r="I15" s="23">
        <f>COUNTIF(INDIRECT("'"&amp;A15&amp;"'!H9:H200"),"not applicable")</f>
        <v/>
      </c>
      <c r="J15" s="24">
        <f>INDIRECT("'"&amp;A15&amp;"'!H4")</f>
        <v/>
      </c>
      <c r="K15" s="23">
        <f>INDIRECT("'"&amp;A15&amp;"'!K4")</f>
        <v/>
      </c>
      <c r="L15" s="23">
        <f>INDIRECT("'"&amp;A15&amp;"'!E5")</f>
        <v/>
      </c>
      <c r="M15" s="23">
        <f>IF(AND(J15=1,K15="complete",L15="complete"),"complete",IF(H15&gt;0,"blocked","open"))</f>
        <v/>
      </c>
    </row>
    <row r="16" ht="24" customHeight="1" s="17">
      <c r="A16" s="23" t="inlineStr">
        <is>
          <t>Dialog</t>
        </is>
      </c>
      <c r="B16" s="23">
        <f>INDIRECT("'"&amp;A16&amp;"'!B4")</f>
        <v/>
      </c>
      <c r="C16" s="23">
        <f>COUNTIF(INDIRECT("'"&amp;A16&amp;"'!H9:H200"),"not started")</f>
        <v/>
      </c>
      <c r="D16" s="23">
        <f>COUNTIF(INDIRECT("'"&amp;A16&amp;"'!H9:H200"),"partial")</f>
        <v/>
      </c>
      <c r="E16" s="23">
        <f>COUNTIF(INDIRECT("'"&amp;A16&amp;"'!H9:H200"),"implemented")</f>
        <v/>
      </c>
      <c r="F16" s="23">
        <f>COUNTIF(INDIRECT("'"&amp;A16&amp;"'!H9:H200"),"tested")</f>
        <v/>
      </c>
      <c r="G16" s="23">
        <f>COUNTIF(INDIRECT("'"&amp;A16&amp;"'!H9:H200"),"verified")</f>
        <v/>
      </c>
      <c r="H16" s="23">
        <f>COUNTIF(INDIRECT("'"&amp;A16&amp;"'!H9:H200"),"blocked")</f>
        <v/>
      </c>
      <c r="I16" s="23">
        <f>COUNTIF(INDIRECT("'"&amp;A16&amp;"'!H9:H200"),"not applicable")</f>
        <v/>
      </c>
      <c r="J16" s="24">
        <f>INDIRECT("'"&amp;A16&amp;"'!H4")</f>
        <v/>
      </c>
      <c r="K16" s="23">
        <f>INDIRECT("'"&amp;A16&amp;"'!K4")</f>
        <v/>
      </c>
      <c r="L16" s="23">
        <f>INDIRECT("'"&amp;A16&amp;"'!E5")</f>
        <v/>
      </c>
      <c r="M16" s="23">
        <f>IF(AND(J16=1,K16="complete",L16="complete"),"complete",IF(H16&gt;0,"blocked","open"))</f>
        <v/>
      </c>
    </row>
    <row r="17" ht="24" customHeight="1" s="17">
      <c r="A17" s="23" t="inlineStr">
        <is>
          <t>Drawer</t>
        </is>
      </c>
      <c r="B17" s="23">
        <f>INDIRECT("'"&amp;A17&amp;"'!B4")</f>
        <v/>
      </c>
      <c r="C17" s="23">
        <f>COUNTIF(INDIRECT("'"&amp;A17&amp;"'!H9:H200"),"not started")</f>
        <v/>
      </c>
      <c r="D17" s="23">
        <f>COUNTIF(INDIRECT("'"&amp;A17&amp;"'!H9:H200"),"partial")</f>
        <v/>
      </c>
      <c r="E17" s="23">
        <f>COUNTIF(INDIRECT("'"&amp;A17&amp;"'!H9:H200"),"implemented")</f>
        <v/>
      </c>
      <c r="F17" s="23">
        <f>COUNTIF(INDIRECT("'"&amp;A17&amp;"'!H9:H200"),"tested")</f>
        <v/>
      </c>
      <c r="G17" s="23">
        <f>COUNTIF(INDIRECT("'"&amp;A17&amp;"'!H9:H200"),"verified")</f>
        <v/>
      </c>
      <c r="H17" s="23">
        <f>COUNTIF(INDIRECT("'"&amp;A17&amp;"'!H9:H200"),"blocked")</f>
        <v/>
      </c>
      <c r="I17" s="23">
        <f>COUNTIF(INDIRECT("'"&amp;A17&amp;"'!H9:H200"),"not applicable")</f>
        <v/>
      </c>
      <c r="J17" s="24">
        <f>INDIRECT("'"&amp;A17&amp;"'!H4")</f>
        <v/>
      </c>
      <c r="K17" s="23">
        <f>INDIRECT("'"&amp;A17&amp;"'!K4")</f>
        <v/>
      </c>
      <c r="L17" s="23">
        <f>INDIRECT("'"&amp;A17&amp;"'!E5")</f>
        <v/>
      </c>
      <c r="M17" s="23">
        <f>IF(AND(J17=1,K17="complete",L17="complete"),"complete",IF(H17&gt;0,"blocked","open"))</f>
        <v/>
      </c>
    </row>
    <row r="18" ht="24" customHeight="1" s="17">
      <c r="A18" s="23" t="inlineStr">
        <is>
          <t>Field</t>
        </is>
      </c>
      <c r="B18" s="23">
        <f>INDIRECT("'"&amp;A18&amp;"'!B4")</f>
        <v/>
      </c>
      <c r="C18" s="23">
        <f>COUNTIF(INDIRECT("'"&amp;A18&amp;"'!H9:H200"),"not started")</f>
        <v/>
      </c>
      <c r="D18" s="23">
        <f>COUNTIF(INDIRECT("'"&amp;A18&amp;"'!H9:H200"),"partial")</f>
        <v/>
      </c>
      <c r="E18" s="23">
        <f>COUNTIF(INDIRECT("'"&amp;A18&amp;"'!H9:H200"),"implemented")</f>
        <v/>
      </c>
      <c r="F18" s="23">
        <f>COUNTIF(INDIRECT("'"&amp;A18&amp;"'!H9:H200"),"tested")</f>
        <v/>
      </c>
      <c r="G18" s="23">
        <f>COUNTIF(INDIRECT("'"&amp;A18&amp;"'!H9:H200"),"verified")</f>
        <v/>
      </c>
      <c r="H18" s="23">
        <f>COUNTIF(INDIRECT("'"&amp;A18&amp;"'!H9:H200"),"blocked")</f>
        <v/>
      </c>
      <c r="I18" s="23">
        <f>COUNTIF(INDIRECT("'"&amp;A18&amp;"'!H9:H200"),"not applicable")</f>
        <v/>
      </c>
      <c r="J18" s="24">
        <f>INDIRECT("'"&amp;A18&amp;"'!H4")</f>
        <v/>
      </c>
      <c r="K18" s="23">
        <f>INDIRECT("'"&amp;A18&amp;"'!K4")</f>
        <v/>
      </c>
      <c r="L18" s="23">
        <f>INDIRECT("'"&amp;A18&amp;"'!E5")</f>
        <v/>
      </c>
      <c r="M18" s="23">
        <f>IF(AND(J18=1,K18="complete",L18="complete"),"complete",IF(H18&gt;0,"blocked","open"))</f>
        <v/>
      </c>
    </row>
    <row r="19" ht="24" customHeight="1" s="17">
      <c r="A19" s="23" t="inlineStr">
        <is>
          <t>Fieldset</t>
        </is>
      </c>
      <c r="B19" s="23">
        <f>INDIRECT("'"&amp;A19&amp;"'!B4")</f>
        <v/>
      </c>
      <c r="C19" s="23">
        <f>COUNTIF(INDIRECT("'"&amp;A19&amp;"'!H9:H200"),"not started")</f>
        <v/>
      </c>
      <c r="D19" s="23">
        <f>COUNTIF(INDIRECT("'"&amp;A19&amp;"'!H9:H200"),"partial")</f>
        <v/>
      </c>
      <c r="E19" s="23">
        <f>COUNTIF(INDIRECT("'"&amp;A19&amp;"'!H9:H200"),"implemented")</f>
        <v/>
      </c>
      <c r="F19" s="23">
        <f>COUNTIF(INDIRECT("'"&amp;A19&amp;"'!H9:H200"),"tested")</f>
        <v/>
      </c>
      <c r="G19" s="23">
        <f>COUNTIF(INDIRECT("'"&amp;A19&amp;"'!H9:H200"),"verified")</f>
        <v/>
      </c>
      <c r="H19" s="23">
        <f>COUNTIF(INDIRECT("'"&amp;A19&amp;"'!H9:H200"),"blocked")</f>
        <v/>
      </c>
      <c r="I19" s="23">
        <f>COUNTIF(INDIRECT("'"&amp;A19&amp;"'!H9:H200"),"not applicable")</f>
        <v/>
      </c>
      <c r="J19" s="24">
        <f>INDIRECT("'"&amp;A19&amp;"'!H4")</f>
        <v/>
      </c>
      <c r="K19" s="23">
        <f>INDIRECT("'"&amp;A19&amp;"'!K4")</f>
        <v/>
      </c>
      <c r="L19" s="23">
        <f>INDIRECT("'"&amp;A19&amp;"'!E5")</f>
        <v/>
      </c>
      <c r="M19" s="23">
        <f>IF(AND(J19=1,K19="complete",L19="complete"),"complete",IF(H19&gt;0,"blocked","open"))</f>
        <v/>
      </c>
    </row>
    <row r="20" ht="24" customHeight="1" s="17">
      <c r="A20" s="23" t="inlineStr">
        <is>
          <t>Form</t>
        </is>
      </c>
      <c r="B20" s="23">
        <f>INDIRECT("'"&amp;A20&amp;"'!B4")</f>
        <v/>
      </c>
      <c r="C20" s="23">
        <f>COUNTIF(INDIRECT("'"&amp;A20&amp;"'!H9:H200"),"not started")</f>
        <v/>
      </c>
      <c r="D20" s="23">
        <f>COUNTIF(INDIRECT("'"&amp;A20&amp;"'!H9:H200"),"partial")</f>
        <v/>
      </c>
      <c r="E20" s="23">
        <f>COUNTIF(INDIRECT("'"&amp;A20&amp;"'!H9:H200"),"implemented")</f>
        <v/>
      </c>
      <c r="F20" s="23">
        <f>COUNTIF(INDIRECT("'"&amp;A20&amp;"'!H9:H200"),"tested")</f>
        <v/>
      </c>
      <c r="G20" s="23">
        <f>COUNTIF(INDIRECT("'"&amp;A20&amp;"'!H9:H200"),"verified")</f>
        <v/>
      </c>
      <c r="H20" s="23">
        <f>COUNTIF(INDIRECT("'"&amp;A20&amp;"'!H9:H200"),"blocked")</f>
        <v/>
      </c>
      <c r="I20" s="23">
        <f>COUNTIF(INDIRECT("'"&amp;A20&amp;"'!H9:H200"),"not applicable")</f>
        <v/>
      </c>
      <c r="J20" s="24">
        <f>INDIRECT("'"&amp;A20&amp;"'!H4")</f>
        <v/>
      </c>
      <c r="K20" s="23">
        <f>INDIRECT("'"&amp;A20&amp;"'!K4")</f>
        <v/>
      </c>
      <c r="L20" s="23">
        <f>INDIRECT("'"&amp;A20&amp;"'!E5")</f>
        <v/>
      </c>
      <c r="M20" s="23">
        <f>IF(AND(J20=1,K20="complete",L20="complete"),"complete",IF(H20&gt;0,"blocked","open"))</f>
        <v/>
      </c>
    </row>
    <row r="21" ht="24" customHeight="1" s="17">
      <c r="A21" s="23" t="inlineStr">
        <is>
          <t>Hover Card</t>
        </is>
      </c>
      <c r="B21" s="23">
        <f>INDIRECT("'"&amp;A21&amp;"'!B4")</f>
        <v/>
      </c>
      <c r="C21" s="23">
        <f>COUNTIF(INDIRECT("'"&amp;A21&amp;"'!H9:H200"),"not started")</f>
        <v/>
      </c>
      <c r="D21" s="23">
        <f>COUNTIF(INDIRECT("'"&amp;A21&amp;"'!H9:H200"),"partial")</f>
        <v/>
      </c>
      <c r="E21" s="23">
        <f>COUNTIF(INDIRECT("'"&amp;A21&amp;"'!H9:H200"),"implemented")</f>
        <v/>
      </c>
      <c r="F21" s="23">
        <f>COUNTIF(INDIRECT("'"&amp;A21&amp;"'!H9:H200"),"tested")</f>
        <v/>
      </c>
      <c r="G21" s="23">
        <f>COUNTIF(INDIRECT("'"&amp;A21&amp;"'!H9:H200"),"verified")</f>
        <v/>
      </c>
      <c r="H21" s="23">
        <f>COUNTIF(INDIRECT("'"&amp;A21&amp;"'!H9:H200"),"blocked")</f>
        <v/>
      </c>
      <c r="I21" s="23">
        <f>COUNTIF(INDIRECT("'"&amp;A21&amp;"'!H9:H200"),"not applicable")</f>
        <v/>
      </c>
      <c r="J21" s="24">
        <f>INDIRECT("'"&amp;A21&amp;"'!H4")</f>
        <v/>
      </c>
      <c r="K21" s="23">
        <f>INDIRECT("'"&amp;A21&amp;"'!K4")</f>
        <v/>
      </c>
      <c r="L21" s="23">
        <f>INDIRECT("'"&amp;A21&amp;"'!E5")</f>
        <v/>
      </c>
      <c r="M21" s="23">
        <f>IF(AND(J21=1,K21="complete",L21="complete"),"complete",IF(H21&gt;0,"blocked","open"))</f>
        <v/>
      </c>
    </row>
    <row r="22" ht="24" customHeight="1" s="17">
      <c r="A22" s="23" t="inlineStr">
        <is>
          <t>Icon Button</t>
        </is>
      </c>
      <c r="B22" s="23">
        <f>INDIRECT("'"&amp;A22&amp;"'!B4")</f>
        <v/>
      </c>
      <c r="C22" s="23">
        <f>COUNTIF(INDIRECT("'"&amp;A22&amp;"'!H9:H200"),"not started")</f>
        <v/>
      </c>
      <c r="D22" s="23">
        <f>COUNTIF(INDIRECT("'"&amp;A22&amp;"'!H9:H200"),"partial")</f>
        <v/>
      </c>
      <c r="E22" s="23">
        <f>COUNTIF(INDIRECT("'"&amp;A22&amp;"'!H9:H200"),"implemented")</f>
        <v/>
      </c>
      <c r="F22" s="23">
        <f>COUNTIF(INDIRECT("'"&amp;A22&amp;"'!H9:H200"),"tested")</f>
        <v/>
      </c>
      <c r="G22" s="23">
        <f>COUNTIF(INDIRECT("'"&amp;A22&amp;"'!H9:H200"),"verified")</f>
        <v/>
      </c>
      <c r="H22" s="23">
        <f>COUNTIF(INDIRECT("'"&amp;A22&amp;"'!H9:H200"),"blocked")</f>
        <v/>
      </c>
      <c r="I22" s="23">
        <f>COUNTIF(INDIRECT("'"&amp;A22&amp;"'!H9:H200"),"not applicable")</f>
        <v/>
      </c>
      <c r="J22" s="24">
        <f>INDIRECT("'"&amp;A22&amp;"'!H4")</f>
        <v/>
      </c>
      <c r="K22" s="23">
        <f>INDIRECT("'"&amp;A22&amp;"'!K4")</f>
        <v/>
      </c>
      <c r="L22" s="23">
        <f>INDIRECT("'"&amp;A22&amp;"'!E5")</f>
        <v/>
      </c>
      <c r="M22" s="23">
        <f>IF(AND(J22=1,K22="complete",L22="complete"),"complete",IF(H22&gt;0,"blocked","open"))</f>
        <v/>
      </c>
    </row>
    <row r="23" ht="24" customHeight="1" s="17">
      <c r="A23" s="23" t="inlineStr">
        <is>
          <t>Input</t>
        </is>
      </c>
      <c r="B23" s="23">
        <f>INDIRECT("'"&amp;A23&amp;"'!B4")</f>
        <v/>
      </c>
      <c r="C23" s="23">
        <f>COUNTIF(INDIRECT("'"&amp;A23&amp;"'!H9:H200"),"not started")</f>
        <v/>
      </c>
      <c r="D23" s="23">
        <f>COUNTIF(INDIRECT("'"&amp;A23&amp;"'!H9:H200"),"partial")</f>
        <v/>
      </c>
      <c r="E23" s="23">
        <f>COUNTIF(INDIRECT("'"&amp;A23&amp;"'!H9:H200"),"implemented")</f>
        <v/>
      </c>
      <c r="F23" s="23">
        <f>COUNTIF(INDIRECT("'"&amp;A23&amp;"'!H9:H200"),"tested")</f>
        <v/>
      </c>
      <c r="G23" s="23">
        <f>COUNTIF(INDIRECT("'"&amp;A23&amp;"'!H9:H200"),"verified")</f>
        <v/>
      </c>
      <c r="H23" s="23">
        <f>COUNTIF(INDIRECT("'"&amp;A23&amp;"'!H9:H200"),"blocked")</f>
        <v/>
      </c>
      <c r="I23" s="23">
        <f>COUNTIF(INDIRECT("'"&amp;A23&amp;"'!H9:H200"),"not applicable")</f>
        <v/>
      </c>
      <c r="J23" s="24">
        <f>INDIRECT("'"&amp;A23&amp;"'!H4")</f>
        <v/>
      </c>
      <c r="K23" s="23">
        <f>INDIRECT("'"&amp;A23&amp;"'!K4")</f>
        <v/>
      </c>
      <c r="L23" s="23">
        <f>INDIRECT("'"&amp;A23&amp;"'!E5")</f>
        <v/>
      </c>
      <c r="M23" s="23">
        <f>IF(AND(J23=1,K23="complete",L23="complete"),"complete",IF(H23&gt;0,"blocked","open"))</f>
        <v/>
      </c>
    </row>
    <row r="24" ht="24" customHeight="1" s="17">
      <c r="A24" s="23" t="inlineStr">
        <is>
          <t>Link</t>
        </is>
      </c>
      <c r="B24" s="23">
        <f>INDIRECT("'"&amp;A24&amp;"'!B4")</f>
        <v/>
      </c>
      <c r="C24" s="23">
        <f>COUNTIF(INDIRECT("'"&amp;A24&amp;"'!H9:H200"),"not started")</f>
        <v/>
      </c>
      <c r="D24" s="23">
        <f>COUNTIF(INDIRECT("'"&amp;A24&amp;"'!H9:H200"),"partial")</f>
        <v/>
      </c>
      <c r="E24" s="23">
        <f>COUNTIF(INDIRECT("'"&amp;A24&amp;"'!H9:H200"),"implemented")</f>
        <v/>
      </c>
      <c r="F24" s="23">
        <f>COUNTIF(INDIRECT("'"&amp;A24&amp;"'!H9:H200"),"tested")</f>
        <v/>
      </c>
      <c r="G24" s="23">
        <f>COUNTIF(INDIRECT("'"&amp;A24&amp;"'!H9:H200"),"verified")</f>
        <v/>
      </c>
      <c r="H24" s="23">
        <f>COUNTIF(INDIRECT("'"&amp;A24&amp;"'!H9:H200"),"blocked")</f>
        <v/>
      </c>
      <c r="I24" s="23">
        <f>COUNTIF(INDIRECT("'"&amp;A24&amp;"'!H9:H200"),"not applicable")</f>
        <v/>
      </c>
      <c r="J24" s="24">
        <f>INDIRECT("'"&amp;A24&amp;"'!H4")</f>
        <v/>
      </c>
      <c r="K24" s="23">
        <f>INDIRECT("'"&amp;A24&amp;"'!K4")</f>
        <v/>
      </c>
      <c r="L24" s="23">
        <f>INDIRECT("'"&amp;A24&amp;"'!E5")</f>
        <v/>
      </c>
      <c r="M24" s="23">
        <f>IF(AND(J24=1,K24="complete",L24="complete"),"complete",IF(H24&gt;0,"blocked","open"))</f>
        <v/>
      </c>
    </row>
    <row r="25" ht="24" customHeight="1" s="17">
      <c r="A25" s="23" t="inlineStr">
        <is>
          <t>Notification Badge</t>
        </is>
      </c>
      <c r="B25" s="23">
        <f>INDIRECT("'"&amp;A25&amp;"'!B4")</f>
        <v/>
      </c>
      <c r="C25" s="23">
        <f>COUNTIF(INDIRECT("'"&amp;A25&amp;"'!H9:H200"),"not started")</f>
        <v/>
      </c>
      <c r="D25" s="23">
        <f>COUNTIF(INDIRECT("'"&amp;A25&amp;"'!H9:H200"),"partial")</f>
        <v/>
      </c>
      <c r="E25" s="23">
        <f>COUNTIF(INDIRECT("'"&amp;A25&amp;"'!H9:H200"),"implemented")</f>
        <v/>
      </c>
      <c r="F25" s="23">
        <f>COUNTIF(INDIRECT("'"&amp;A25&amp;"'!H9:H200"),"tested")</f>
        <v/>
      </c>
      <c r="G25" s="23">
        <f>COUNTIF(INDIRECT("'"&amp;A25&amp;"'!H9:H200"),"verified")</f>
        <v/>
      </c>
      <c r="H25" s="23">
        <f>COUNTIF(INDIRECT("'"&amp;A25&amp;"'!H9:H200"),"blocked")</f>
        <v/>
      </c>
      <c r="I25" s="23">
        <f>COUNTIF(INDIRECT("'"&amp;A25&amp;"'!H9:H200"),"not applicable")</f>
        <v/>
      </c>
      <c r="J25" s="24">
        <f>INDIRECT("'"&amp;A25&amp;"'!H4")</f>
        <v/>
      </c>
      <c r="K25" s="23">
        <f>INDIRECT("'"&amp;A25&amp;"'!K4")</f>
        <v/>
      </c>
      <c r="L25" s="23">
        <f>INDIRECT("'"&amp;A25&amp;"'!E5")</f>
        <v/>
      </c>
      <c r="M25" s="23">
        <f>IF(AND(J25=1,K25="complete",L25="complete"),"complete",IF(H25&gt;0,"blocked","open"))</f>
        <v/>
      </c>
    </row>
    <row r="26" ht="24" customHeight="1" s="17">
      <c r="A26" s="23" t="inlineStr">
        <is>
          <t>Popover</t>
        </is>
      </c>
      <c r="B26" s="23">
        <f>INDIRECT("'"&amp;A26&amp;"'!B4")</f>
        <v/>
      </c>
      <c r="C26" s="23">
        <f>COUNTIF(INDIRECT("'"&amp;A26&amp;"'!H9:H200"),"not started")</f>
        <v/>
      </c>
      <c r="D26" s="23">
        <f>COUNTIF(INDIRECT("'"&amp;A26&amp;"'!H9:H200"),"partial")</f>
        <v/>
      </c>
      <c r="E26" s="23">
        <f>COUNTIF(INDIRECT("'"&amp;A26&amp;"'!H9:H200"),"implemented")</f>
        <v/>
      </c>
      <c r="F26" s="23">
        <f>COUNTIF(INDIRECT("'"&amp;A26&amp;"'!H9:H200"),"tested")</f>
        <v/>
      </c>
      <c r="G26" s="23">
        <f>COUNTIF(INDIRECT("'"&amp;A26&amp;"'!H9:H200"),"verified")</f>
        <v/>
      </c>
      <c r="H26" s="23">
        <f>COUNTIF(INDIRECT("'"&amp;A26&amp;"'!H9:H200"),"blocked")</f>
        <v/>
      </c>
      <c r="I26" s="23">
        <f>COUNTIF(INDIRECT("'"&amp;A26&amp;"'!H9:H200"),"not applicable")</f>
        <v/>
      </c>
      <c r="J26" s="24">
        <f>INDIRECT("'"&amp;A26&amp;"'!H4")</f>
        <v/>
      </c>
      <c r="K26" s="23">
        <f>INDIRECT("'"&amp;A26&amp;"'!K4")</f>
        <v/>
      </c>
      <c r="L26" s="23">
        <f>INDIRECT("'"&amp;A26&amp;"'!E5")</f>
        <v/>
      </c>
      <c r="M26" s="23">
        <f>IF(AND(J26=1,K26="complete",L26="complete"),"complete",IF(H26&gt;0,"blocked","open"))</f>
        <v/>
      </c>
    </row>
    <row r="27" ht="24" customHeight="1" s="17">
      <c r="A27" s="23" t="inlineStr">
        <is>
          <t>Toggle</t>
        </is>
      </c>
      <c r="B27" s="23">
        <f>INDIRECT("'"&amp;A27&amp;"'!B4")</f>
        <v/>
      </c>
      <c r="C27" s="23">
        <f>COUNTIF(INDIRECT("'"&amp;A27&amp;"'!H9:H200"),"not started")</f>
        <v/>
      </c>
      <c r="D27" s="23">
        <f>COUNTIF(INDIRECT("'"&amp;A27&amp;"'!H9:H200"),"partial")</f>
        <v/>
      </c>
      <c r="E27" s="23">
        <f>COUNTIF(INDIRECT("'"&amp;A27&amp;"'!H9:H200"),"implemented")</f>
        <v/>
      </c>
      <c r="F27" s="23">
        <f>COUNTIF(INDIRECT("'"&amp;A27&amp;"'!H9:H200"),"tested")</f>
        <v/>
      </c>
      <c r="G27" s="23">
        <f>COUNTIF(INDIRECT("'"&amp;A27&amp;"'!H9:H200"),"verified")</f>
        <v/>
      </c>
      <c r="H27" s="23">
        <f>COUNTIF(INDIRECT("'"&amp;A27&amp;"'!H9:H200"),"blocked")</f>
        <v/>
      </c>
      <c r="I27" s="23">
        <f>COUNTIF(INDIRECT("'"&amp;A27&amp;"'!H9:H200"),"not applicable")</f>
        <v/>
      </c>
      <c r="J27" s="24">
        <f>INDIRECT("'"&amp;A27&amp;"'!H4")</f>
        <v/>
      </c>
      <c r="K27" s="23">
        <f>INDIRECT("'"&amp;A27&amp;"'!K4")</f>
        <v/>
      </c>
      <c r="L27" s="23">
        <f>INDIRECT("'"&amp;A27&amp;"'!E5")</f>
        <v/>
      </c>
      <c r="M27" s="23">
        <f>IF(AND(J27=1,K27="complete",L27="complete"),"complete",IF(H27&gt;0,"blocked","open"))</f>
        <v/>
      </c>
    </row>
    <row r="28" ht="15" customHeight="1" s="17">
      <c r="A28" s="23" t="inlineStr">
        <is>
          <t>Toggle Group</t>
        </is>
      </c>
      <c r="B28" s="23">
        <f>INDIRECT("'"&amp;A28&amp;"'!B4")</f>
        <v/>
      </c>
      <c r="C28" s="23">
        <f>COUNTIF(INDIRECT("'"&amp;A28&amp;"'!H9:H200"),"not started")</f>
        <v/>
      </c>
      <c r="D28" s="23">
        <f>COUNTIF(INDIRECT("'"&amp;A28&amp;"'!H9:H200"),"partial")</f>
        <v/>
      </c>
      <c r="E28" s="23">
        <f>COUNTIF(INDIRECT("'"&amp;A28&amp;"'!H9:H200"),"implemented")</f>
        <v/>
      </c>
      <c r="F28" s="23">
        <f>COUNTIF(INDIRECT("'"&amp;A28&amp;"'!H9:H200"),"tested")</f>
        <v/>
      </c>
      <c r="G28" s="23">
        <f>COUNTIF(INDIRECT("'"&amp;A28&amp;"'!H9:H200"),"verified")</f>
        <v/>
      </c>
      <c r="H28" s="23">
        <f>COUNTIF(INDIRECT("'"&amp;A28&amp;"'!H9:H200"),"blocked")</f>
        <v/>
      </c>
      <c r="I28" s="23">
        <f>COUNTIF(INDIRECT("'"&amp;A28&amp;"'!H9:H200"),"not applicable")</f>
        <v/>
      </c>
      <c r="J28" s="24">
        <f>INDIRECT("'"&amp;A28&amp;"'!H4")</f>
        <v/>
      </c>
      <c r="K28" s="23">
        <f>INDIRECT("'"&amp;A28&amp;"'!K4")</f>
        <v/>
      </c>
      <c r="L28" s="23">
        <f>INDIRECT("'"&amp;A28&amp;"'!E5")</f>
        <v/>
      </c>
      <c r="M28" s="23">
        <f>IF(AND(J28=1,K28="complete",L28="complete"),"complete",IF(H28&gt;0,"blocked","open"))</f>
        <v/>
      </c>
    </row>
    <row r="29" ht="15" customHeight="1" s="17">
      <c r="A29" s="23" t="inlineStr">
        <is>
          <t>Tooltip</t>
        </is>
      </c>
      <c r="B29" s="23">
        <f>INDIRECT("'"&amp;A29&amp;"'!B4")</f>
        <v/>
      </c>
      <c r="C29" s="23">
        <f>COUNTIF(INDIRECT("'"&amp;A29&amp;"'!H9:H200"),"not started")</f>
        <v/>
      </c>
      <c r="D29" s="23">
        <f>COUNTIF(INDIRECT("'"&amp;A29&amp;"'!H9:H200"),"partial")</f>
        <v/>
      </c>
      <c r="E29" s="23">
        <f>COUNTIF(INDIRECT("'"&amp;A29&amp;"'!H9:H200"),"implemented")</f>
        <v/>
      </c>
      <c r="F29" s="23">
        <f>COUNTIF(INDIRECT("'"&amp;A29&amp;"'!H9:H200"),"tested")</f>
        <v/>
      </c>
      <c r="G29" s="23">
        <f>COUNTIF(INDIRECT("'"&amp;A29&amp;"'!H9:H200"),"verified")</f>
        <v/>
      </c>
      <c r="H29" s="23">
        <f>COUNTIF(INDIRECT("'"&amp;A29&amp;"'!H9:H200"),"blocked")</f>
        <v/>
      </c>
      <c r="I29" s="23">
        <f>COUNTIF(INDIRECT("'"&amp;A29&amp;"'!H9:H200"),"not applicable")</f>
        <v/>
      </c>
      <c r="J29" s="24">
        <f>INDIRECT("'"&amp;A29&amp;"'!H4")</f>
        <v/>
      </c>
      <c r="K29" s="23">
        <f>INDIRECT("'"&amp;A29&amp;"'!K4")</f>
        <v/>
      </c>
      <c r="L29" s="23">
        <f>INDIRECT("'"&amp;A29&amp;"'!E5")</f>
        <v/>
      </c>
      <c r="M29" s="23">
        <f>IF(AND(J29=1,K29="complete",L29="complete"),"complete",IF(H29&gt;0,"blocked","open"))</f>
        <v/>
      </c>
    </row>
    <row r="30" ht="15" customHeight="1" s="17">
      <c r="A30" s="23" t="inlineStr">
        <is>
          <t>Stack</t>
        </is>
      </c>
      <c r="B30" s="23">
        <f>INDIRECT("'"&amp;A30&amp;"'!B4")</f>
        <v/>
      </c>
      <c r="C30" s="23">
        <f>COUNTIF(INDIRECT("'"&amp;A30&amp;"'!H9:H200"),"not started")</f>
        <v/>
      </c>
      <c r="D30" s="23">
        <f>COUNTIF(INDIRECT("'"&amp;A30&amp;"'!H9:H200"),"partial")</f>
        <v/>
      </c>
      <c r="E30" s="23">
        <f>COUNTIF(INDIRECT("'"&amp;A30&amp;"'!H9:H200"),"implemented")</f>
        <v/>
      </c>
      <c r="F30" s="23">
        <f>COUNTIF(INDIRECT("'"&amp;A30&amp;"'!H9:H200"),"tested")</f>
        <v/>
      </c>
      <c r="G30" s="23">
        <f>COUNTIF(INDIRECT("'"&amp;A30&amp;"'!H9:H200"),"verified")</f>
        <v/>
      </c>
      <c r="H30" s="23">
        <f>COUNTIF(INDIRECT("'"&amp;A30&amp;"'!H9:H200"),"blocked")</f>
        <v/>
      </c>
      <c r="I30" s="23">
        <f>COUNTIF(INDIRECT("'"&amp;A30&amp;"'!H9:H200"),"not applicable")</f>
        <v/>
      </c>
      <c r="J30" s="24">
        <f>INDIRECT("'"&amp;A30&amp;"'!H4")</f>
        <v/>
      </c>
      <c r="K30" s="23">
        <f>INDIRECT("'"&amp;A30&amp;"'!K4")</f>
        <v/>
      </c>
      <c r="L30" s="23">
        <f>INDIRECT("'"&amp;A30&amp;"'!E5")</f>
        <v/>
      </c>
      <c r="M30" s="23">
        <f>IF(AND(J30=1,K30="complete",L30="complete"),"complete",IF(H30&gt;0,"blocked","open"))</f>
        <v/>
      </c>
    </row>
    <row r="31" ht="15" customHeight="1" s="17">
      <c r="A31" s="23" t="inlineStr">
        <is>
          <t>Text</t>
        </is>
      </c>
      <c r="B31" s="23">
        <f>INDIRECT("'"&amp;A31&amp;"'!B4")</f>
        <v/>
      </c>
      <c r="C31" s="23">
        <f>COUNTIF(INDIRECT("'"&amp;A31&amp;"'!H9:H200"),"not started")</f>
        <v/>
      </c>
      <c r="D31" s="23">
        <f>COUNTIF(INDIRECT("'"&amp;A31&amp;"'!H9:H200"),"partial")</f>
        <v/>
      </c>
      <c r="E31" s="23">
        <f>COUNTIF(INDIRECT("'"&amp;A31&amp;"'!H9:H200"),"implemented")</f>
        <v/>
      </c>
      <c r="F31" s="23">
        <f>COUNTIF(INDIRECT("'"&amp;A31&amp;"'!H9:H200"),"tested")</f>
        <v/>
      </c>
      <c r="G31" s="23">
        <f>COUNTIF(INDIRECT("'"&amp;A31&amp;"'!H9:H200"),"verified")</f>
        <v/>
      </c>
      <c r="H31" s="23">
        <f>COUNTIF(INDIRECT("'"&amp;A31&amp;"'!H9:H200"),"blocked")</f>
        <v/>
      </c>
      <c r="I31" s="23">
        <f>COUNTIF(INDIRECT("'"&amp;A31&amp;"'!H9:H200"),"not applicable")</f>
        <v/>
      </c>
      <c r="J31" s="24">
        <f>INDIRECT("'"&amp;A31&amp;"'!H4")</f>
        <v/>
      </c>
      <c r="K31" s="23">
        <f>INDIRECT("'"&amp;A31&amp;"'!K4")</f>
        <v/>
      </c>
      <c r="L31" s="23">
        <f>INDIRECT("'"&amp;A31&amp;"'!E5")</f>
        <v/>
      </c>
      <c r="M31" s="23">
        <f>IF(AND(J31=1,K31="complete",L31="complete"),"complete",IF(H31&gt;0,"blocked","open"))</f>
        <v/>
      </c>
    </row>
    <row r="32" ht="15" customHeight="1" s="17">
      <c r="A32" s="23" t="inlineStr">
        <is>
          <t>Grid</t>
        </is>
      </c>
      <c r="B32" s="23">
        <f>INDIRECT("'"&amp;A32&amp;"'!B4")</f>
        <v/>
      </c>
      <c r="C32" s="23">
        <f>COUNTIF(INDIRECT("'"&amp;A32&amp;"'!H9:H200"),"not started")</f>
        <v/>
      </c>
      <c r="D32" s="23">
        <f>COUNTIF(INDIRECT("'"&amp;A32&amp;"'!H9:H200"),"partial")</f>
        <v/>
      </c>
      <c r="E32" s="23">
        <f>COUNTIF(INDIRECT("'"&amp;A32&amp;"'!H9:H200"),"implemented")</f>
        <v/>
      </c>
      <c r="F32" s="23">
        <f>COUNTIF(INDIRECT("'"&amp;A32&amp;"'!H9:H200"),"tested")</f>
        <v/>
      </c>
      <c r="G32" s="23">
        <f>COUNTIF(INDIRECT("'"&amp;A32&amp;"'!H9:H200"),"verified")</f>
        <v/>
      </c>
      <c r="H32" s="23">
        <f>COUNTIF(INDIRECT("'"&amp;A32&amp;"'!H9:H200"),"blocked")</f>
        <v/>
      </c>
      <c r="I32" s="23">
        <f>COUNTIF(INDIRECT("'"&amp;A32&amp;"'!H9:H200"),"not applicable")</f>
        <v/>
      </c>
      <c r="J32" s="24">
        <f>INDIRECT("'"&amp;A32&amp;"'!H4")</f>
        <v/>
      </c>
      <c r="K32" s="23">
        <f>INDIRECT("'"&amp;A32&amp;"'!K4")</f>
        <v/>
      </c>
      <c r="L32" s="23">
        <f>INDIRECT("'"&amp;A32&amp;"'!E5")</f>
        <v/>
      </c>
      <c r="M32" s="23">
        <f>IF(AND(J32=1,K32="complete",L32="complete"),"complete",IF(H32&gt;0,"blocked","open"))</f>
        <v/>
      </c>
    </row>
    <row r="33" ht="15" customHeight="1" s="17">
      <c r="A33" s="23" t="inlineStr">
        <is>
          <t>Container</t>
        </is>
      </c>
      <c r="B33" s="23">
        <f>INDIRECT("'"&amp;A33&amp;"'!B4")</f>
        <v/>
      </c>
      <c r="C33" s="23">
        <f>COUNTIF(INDIRECT("'"&amp;A33&amp;"'!H9:H200"),"not started")</f>
        <v/>
      </c>
      <c r="D33" s="23">
        <f>COUNTIF(INDIRECT("'"&amp;A33&amp;"'!H9:H200"),"partial")</f>
        <v/>
      </c>
      <c r="E33" s="23">
        <f>COUNTIF(INDIRECT("'"&amp;A33&amp;"'!H9:H200"),"implemented")</f>
        <v/>
      </c>
      <c r="F33" s="23">
        <f>COUNTIF(INDIRECT("'"&amp;A33&amp;"'!H9:H200"),"tested")</f>
        <v/>
      </c>
      <c r="G33" s="23">
        <f>COUNTIF(INDIRECT("'"&amp;A33&amp;"'!H9:H200"),"verified")</f>
        <v/>
      </c>
      <c r="H33" s="23">
        <f>COUNTIF(INDIRECT("'"&amp;A33&amp;"'!H9:H200"),"blocked")</f>
        <v/>
      </c>
      <c r="I33" s="23">
        <f>COUNTIF(INDIRECT("'"&amp;A33&amp;"'!H9:H200"),"not applicable")</f>
        <v/>
      </c>
      <c r="J33" s="24">
        <f>INDIRECT("'"&amp;A33&amp;"'!H4")</f>
        <v/>
      </c>
      <c r="K33" s="23">
        <f>INDIRECT("'"&amp;A33&amp;"'!K4")</f>
        <v/>
      </c>
      <c r="L33" s="23">
        <f>INDIRECT("'"&amp;A33&amp;"'!E5")</f>
        <v/>
      </c>
      <c r="M33" s="23">
        <f>IF(AND(J33=1,K33="complete",L33="complete"),"complete",IF(H33&gt;0,"blocked","open"))</f>
        <v/>
      </c>
    </row>
    <row r="34" ht="15" customHeight="1" s="17">
      <c r="A34" s="23" t="inlineStr">
        <is>
          <t>Surface</t>
        </is>
      </c>
      <c r="B34" s="23">
        <f>INDIRECT("'"&amp;A34&amp;"'!B4")</f>
        <v/>
      </c>
      <c r="C34" s="23">
        <f>COUNTIF(INDIRECT("'"&amp;A34&amp;"'!H9:H200"),"not started")</f>
        <v/>
      </c>
      <c r="D34" s="23">
        <f>COUNTIF(INDIRECT("'"&amp;A34&amp;"'!H9:H200"),"partial")</f>
        <v/>
      </c>
      <c r="E34" s="23">
        <f>COUNTIF(INDIRECT("'"&amp;A34&amp;"'!H9:H200"),"implemented")</f>
        <v/>
      </c>
      <c r="F34" s="23">
        <f>COUNTIF(INDIRECT("'"&amp;A34&amp;"'!H9:H200"),"tested")</f>
        <v/>
      </c>
      <c r="G34" s="23">
        <f>COUNTIF(INDIRECT("'"&amp;A34&amp;"'!H9:H200"),"verified")</f>
        <v/>
      </c>
      <c r="H34" s="23">
        <f>COUNTIF(INDIRECT("'"&amp;A34&amp;"'!H9:H200"),"blocked")</f>
        <v/>
      </c>
      <c r="I34" s="23">
        <f>COUNTIF(INDIRECT("'"&amp;A34&amp;"'!H9:H200"),"not applicable")</f>
        <v/>
      </c>
      <c r="J34" s="24">
        <f>INDIRECT("'"&amp;A34&amp;"'!H4")</f>
        <v/>
      </c>
      <c r="K34" s="23">
        <f>INDIRECT("'"&amp;A34&amp;"'!K4")</f>
        <v/>
      </c>
      <c r="L34" s="23">
        <f>INDIRECT("'"&amp;A34&amp;"'!E5")</f>
        <v/>
      </c>
      <c r="M34" s="23">
        <f>IF(AND(J34=1,K34="complete",L34="complete"),"complete",IF(H34&gt;0,"blocked","open"))</f>
        <v/>
      </c>
    </row>
    <row r="35" ht="15" customHeight="1" s="17">
      <c r="A35" s="23" t="inlineStr">
        <is>
          <t>Divider</t>
        </is>
      </c>
      <c r="B35" s="23">
        <f>INDIRECT("'"&amp;A35&amp;"'!B4")</f>
        <v/>
      </c>
      <c r="C35" s="23">
        <f>COUNTIF(INDIRECT("'"&amp;A35&amp;"'!H9:H200"),"not started")</f>
        <v/>
      </c>
      <c r="D35" s="23">
        <f>COUNTIF(INDIRECT("'"&amp;A35&amp;"'!H9:H200"),"partial")</f>
        <v/>
      </c>
      <c r="E35" s="23">
        <f>COUNTIF(INDIRECT("'"&amp;A35&amp;"'!H9:H200"),"implemented")</f>
        <v/>
      </c>
      <c r="F35" s="23">
        <f>COUNTIF(INDIRECT("'"&amp;A35&amp;"'!H9:H200"),"tested")</f>
        <v/>
      </c>
      <c r="G35" s="23">
        <f>COUNTIF(INDIRECT("'"&amp;A35&amp;"'!H9:H200"),"verified")</f>
        <v/>
      </c>
      <c r="H35" s="23">
        <f>COUNTIF(INDIRECT("'"&amp;A35&amp;"'!H9:H200"),"blocked")</f>
        <v/>
      </c>
      <c r="I35" s="23">
        <f>COUNTIF(INDIRECT("'"&amp;A35&amp;"'!H9:H200"),"not applicable")</f>
        <v/>
      </c>
      <c r="J35" s="24">
        <f>INDIRECT("'"&amp;A35&amp;"'!H4")</f>
        <v/>
      </c>
      <c r="K35" s="23">
        <f>INDIRECT("'"&amp;A35&amp;"'!K4")</f>
        <v/>
      </c>
      <c r="L35" s="23">
        <f>INDIRECT("'"&amp;A35&amp;"'!E5")</f>
        <v/>
      </c>
      <c r="M35" s="23">
        <f>IF(AND(J35=1,K35="complete",L35="complete"),"complete",IF(H35&gt;0,"blocked","open"))</f>
        <v/>
      </c>
    </row>
    <row r="36" s="17">
      <c r="A36" s="23" t="inlineStr">
        <is>
          <t>Scroll Area</t>
        </is>
      </c>
      <c r="B36" s="23">
        <f>INDIRECT("'"&amp;A36&amp;"'!B4")</f>
        <v/>
      </c>
      <c r="C36" s="23">
        <f>COUNTIF(INDIRECT("'"&amp;A36&amp;"'!H9:H200"),"not started")</f>
        <v/>
      </c>
      <c r="D36" s="23">
        <f>COUNTIF(INDIRECT("'"&amp;A36&amp;"'!H9:H200"),"partial")</f>
        <v/>
      </c>
      <c r="E36" s="23">
        <f>COUNTIF(INDIRECT("'"&amp;A36&amp;"'!H9:H200"),"implemented")</f>
        <v/>
      </c>
      <c r="F36" s="23">
        <f>COUNTIF(INDIRECT("'"&amp;A36&amp;"'!H9:H200"),"tested")</f>
        <v/>
      </c>
      <c r="G36" s="23">
        <f>COUNTIF(INDIRECT("'"&amp;A36&amp;"'!H9:H200"),"verified")</f>
        <v/>
      </c>
      <c r="H36" s="23">
        <f>COUNTIF(INDIRECT("'"&amp;A36&amp;"'!H9:H200"),"blocked")</f>
        <v/>
      </c>
      <c r="I36" s="23">
        <f>COUNTIF(INDIRECT("'"&amp;A36&amp;"'!H9:H200"),"not applicable")</f>
        <v/>
      </c>
      <c r="J36" s="24">
        <f>INDIRECT("'"&amp;A36&amp;"'!H4")</f>
        <v/>
      </c>
      <c r="K36" s="23">
        <f>INDIRECT("'"&amp;A36&amp;"'!K4")</f>
        <v/>
      </c>
      <c r="L36" s="23">
        <f>INDIRECT("'"&amp;A36&amp;"'!E5")</f>
        <v/>
      </c>
      <c r="M36" s="23">
        <f>IF(AND(J36=1,K36="complete",L36="complete"),"complete",IF(H36&gt;0,"blocked","open"))</f>
        <v/>
      </c>
    </row>
    <row r="37" s="17">
      <c r="A37" s="23" t="inlineStr">
        <is>
          <t>Code</t>
        </is>
      </c>
      <c r="B37" s="23">
        <f>INDIRECT("'"&amp;A37&amp;"'!B4")</f>
        <v/>
      </c>
      <c r="C37" s="23">
        <f>COUNTIF(INDIRECT("'"&amp;A37&amp;"'!H9:H200"),"not started")</f>
        <v/>
      </c>
      <c r="D37" s="23">
        <f>COUNTIF(INDIRECT("'"&amp;A37&amp;"'!H9:H200"),"partial")</f>
        <v/>
      </c>
      <c r="E37" s="23">
        <f>COUNTIF(INDIRECT("'"&amp;A37&amp;"'!H9:H200"),"implemented")</f>
        <v/>
      </c>
      <c r="F37" s="23">
        <f>COUNTIF(INDIRECT("'"&amp;A37&amp;"'!H9:H200"),"tested")</f>
        <v/>
      </c>
      <c r="G37" s="23">
        <f>COUNTIF(INDIRECT("'"&amp;A37&amp;"'!H9:H200"),"verified")</f>
        <v/>
      </c>
      <c r="H37" s="23">
        <f>COUNTIF(INDIRECT("'"&amp;A37&amp;"'!H9:H200"),"blocked")</f>
        <v/>
      </c>
      <c r="I37" s="23">
        <f>COUNTIF(INDIRECT("'"&amp;A37&amp;"'!H9:H200"),"not applicable")</f>
        <v/>
      </c>
      <c r="J37" s="24">
        <f>INDIRECT("'"&amp;A37&amp;"'!H4")</f>
        <v/>
      </c>
      <c r="K37" s="23">
        <f>INDIRECT("'"&amp;A37&amp;"'!K4")</f>
        <v/>
      </c>
      <c r="L37" s="23">
        <f>INDIRECT("'"&amp;A37&amp;"'!E5")</f>
        <v/>
      </c>
      <c r="M37" s="23">
        <f>IF(AND(J37=1,K37="complete",L37="complete"),"complete",IF(H37&gt;0,"blocked","open"))</f>
        <v/>
      </c>
    </row>
    <row r="38" s="17">
      <c r="A38" s="23" t="inlineStr">
        <is>
          <t>Code Block</t>
        </is>
      </c>
      <c r="B38" s="23">
        <f>INDIRECT("'"&amp;A38&amp;"'!B4")</f>
        <v/>
      </c>
      <c r="C38" s="23">
        <f>COUNTIF(INDIRECT("'"&amp;A38&amp;"'!H9:H200"),"not started")</f>
        <v/>
      </c>
      <c r="D38" s="23">
        <f>COUNTIF(INDIRECT("'"&amp;A38&amp;"'!H9:H200"),"partial")</f>
        <v/>
      </c>
      <c r="E38" s="23">
        <f>COUNTIF(INDIRECT("'"&amp;A38&amp;"'!H9:H200"),"implemented")</f>
        <v/>
      </c>
      <c r="F38" s="23">
        <f>COUNTIF(INDIRECT("'"&amp;A38&amp;"'!H9:H200"),"tested")</f>
        <v/>
      </c>
      <c r="G38" s="23">
        <f>COUNTIF(INDIRECT("'"&amp;A38&amp;"'!H9:H200"),"verified")</f>
        <v/>
      </c>
      <c r="H38" s="23">
        <f>COUNTIF(INDIRECT("'"&amp;A38&amp;"'!H9:H200"),"blocked")</f>
        <v/>
      </c>
      <c r="I38" s="23">
        <f>COUNTIF(INDIRECT("'"&amp;A38&amp;"'!H9:H200"),"not applicable")</f>
        <v/>
      </c>
      <c r="J38" s="24">
        <f>INDIRECT("'"&amp;A38&amp;"'!H4")</f>
        <v/>
      </c>
      <c r="K38" s="23">
        <f>INDIRECT("'"&amp;A38&amp;"'!K4")</f>
        <v/>
      </c>
      <c r="L38" s="23">
        <f>INDIRECT("'"&amp;A38&amp;"'!E5")</f>
        <v/>
      </c>
      <c r="M38" s="23">
        <f>IF(AND(J38=1,K38="complete",L38="complete"),"complete",IF(H38&gt;0,"blocked","open"))</f>
        <v/>
      </c>
    </row>
    <row r="39">
      <c r="A39" s="23" t="inlineStr">
        <is>
          <t>Nav List</t>
        </is>
      </c>
      <c r="B39" s="23">
        <f>INDIRECT("'"&amp;A39&amp;"'!B4")</f>
        <v/>
      </c>
      <c r="C39" s="23">
        <f>COUNTIF(INDIRECT("'"&amp;A39&amp;"'!H9:H200"),"not started")</f>
        <v/>
      </c>
      <c r="D39" s="23">
        <f>COUNTIF(INDIRECT("'"&amp;A39&amp;"'!H9:H200"),"partial")</f>
        <v/>
      </c>
      <c r="E39" s="23">
        <f>COUNTIF(INDIRECT("'"&amp;A39&amp;"'!H9:H200"),"implemented")</f>
        <v/>
      </c>
      <c r="F39" s="23">
        <f>COUNTIF(INDIRECT("'"&amp;A39&amp;"'!H9:H200"),"tested")</f>
        <v/>
      </c>
      <c r="G39" s="23">
        <f>COUNTIF(INDIRECT("'"&amp;A39&amp;"'!H9:H200"),"verified")</f>
        <v/>
      </c>
      <c r="H39" s="23">
        <f>COUNTIF(INDIRECT("'"&amp;A39&amp;"'!H9:H200"),"blocked")</f>
        <v/>
      </c>
      <c r="I39" s="23">
        <f>COUNTIF(INDIRECT("'"&amp;A39&amp;"'!H9:H200"),"not applicable")</f>
        <v/>
      </c>
      <c r="J39" s="24">
        <f>INDIRECT("'"&amp;A39&amp;"'!H4")</f>
        <v/>
      </c>
      <c r="K39" s="23">
        <f>INDIRECT("'"&amp;A39&amp;"'!K4")</f>
        <v/>
      </c>
      <c r="L39" s="23">
        <f>INDIRECT("'"&amp;A39&amp;"'!E5")</f>
        <v/>
      </c>
      <c r="M39" s="23">
        <f>IF(AND(J39=1,K39="complete",L39="complete"),"complete",IF(H39&gt;0,"blocked","open"))</f>
        <v/>
      </c>
    </row>
    <row r="40">
      <c r="A40" s="23" t="inlineStr">
        <is>
          <t>Sidebar</t>
        </is>
      </c>
      <c r="B40" s="23">
        <f>INDIRECT("'"&amp;A40&amp;"'!B4")</f>
        <v/>
      </c>
      <c r="C40" s="23">
        <f>COUNTIF(INDIRECT("'"&amp;A40&amp;"'!H9:H200"),"not started")</f>
        <v/>
      </c>
      <c r="D40" s="23">
        <f>COUNTIF(INDIRECT("'"&amp;A40&amp;"'!H9:H200"),"partial")</f>
        <v/>
      </c>
      <c r="E40" s="23">
        <f>COUNTIF(INDIRECT("'"&amp;A40&amp;"'!H9:H200"),"implemented")</f>
        <v/>
      </c>
      <c r="F40" s="23">
        <f>COUNTIF(INDIRECT("'"&amp;A40&amp;"'!H9:H200"),"tested")</f>
        <v/>
      </c>
      <c r="G40" s="23">
        <f>COUNTIF(INDIRECT("'"&amp;A40&amp;"'!H9:H200"),"verified")</f>
        <v/>
      </c>
      <c r="H40" s="23">
        <f>COUNTIF(INDIRECT("'"&amp;A40&amp;"'!H9:H200"),"blocked")</f>
        <v/>
      </c>
      <c r="I40" s="23">
        <f>COUNTIF(INDIRECT("'"&amp;A40&amp;"'!H9:H200"),"not applicable")</f>
        <v/>
      </c>
      <c r="J40" s="24">
        <f>INDIRECT("'"&amp;A40&amp;"'!H4")</f>
        <v/>
      </c>
      <c r="K40" s="23">
        <f>INDIRECT("'"&amp;A40&amp;"'!K4")</f>
        <v/>
      </c>
      <c r="L40" s="23">
        <f>INDIRECT("'"&amp;A40&amp;"'!E5")</f>
        <v/>
      </c>
      <c r="M40" s="23">
        <f>IF(AND(J40=1,K40="complete",L40="complete"),"complete",IF(H40&gt;0,"blocked","open"))</f>
        <v/>
      </c>
    </row>
    <row r="41">
      <c r="A41" s="23" t="inlineStr">
        <is>
          <t>Icon</t>
        </is>
      </c>
      <c r="B41" s="23">
        <f>INDIRECT("'"&amp;A41&amp;"'!B4")</f>
        <v/>
      </c>
      <c r="C41" s="23">
        <f>COUNTIF(INDIRECT("'"&amp;A41&amp;"'!H9:H200"),"not started")</f>
        <v/>
      </c>
      <c r="D41" s="23">
        <f>COUNTIF(INDIRECT("'"&amp;A41&amp;"'!H9:H200"),"partial")</f>
        <v/>
      </c>
      <c r="E41" s="23">
        <f>COUNTIF(INDIRECT("'"&amp;A41&amp;"'!H9:H200"),"implemented")</f>
        <v/>
      </c>
      <c r="F41" s="23">
        <f>COUNTIF(INDIRECT("'"&amp;A41&amp;"'!H9:H200"),"tested")</f>
        <v/>
      </c>
      <c r="G41" s="23">
        <f>COUNTIF(INDIRECT("'"&amp;A41&amp;"'!H9:H200"),"verified")</f>
        <v/>
      </c>
      <c r="H41" s="23">
        <f>COUNTIF(INDIRECT("'"&amp;A41&amp;"'!H9:H200"),"blocked")</f>
        <v/>
      </c>
      <c r="I41" s="23">
        <f>COUNTIF(INDIRECT("'"&amp;A41&amp;"'!H9:H200"),"not applicable")</f>
        <v/>
      </c>
      <c r="J41" s="24">
        <f>INDIRECT("'"&amp;A41&amp;"'!H4")</f>
        <v/>
      </c>
      <c r="K41" s="23">
        <f>INDIRECT("'"&amp;A41&amp;"'!K4")</f>
        <v/>
      </c>
      <c r="L41" s="23">
        <f>INDIRECT("'"&amp;A41&amp;"'!E5")</f>
        <v/>
      </c>
      <c r="M41" s="23">
        <f>IF(AND(J41=1,K41="complete",L41="complete"),"complete",IF(H41&gt;0,"blocked","open"))</f>
        <v/>
      </c>
    </row>
  </sheetData>
  <autoFilter ref="A8:M41"/>
  <mergeCells count="2">
    <mergeCell ref="A2:M2"/>
    <mergeCell ref="A1:M1"/>
  </mergeCells>
  <conditionalFormatting sqref="M8:M27">
    <cfRule type="containsText" rank="0" priority="2" equalAverage="0" operator="containsText" aboveAverage="0" dxfId="3" text="complete" percent="0" bottom="0">
      <formula>NOT(ISERROR(SEARCH("complete",M8)))</formula>
    </cfRule>
  </conditionalFormatting>
  <conditionalFormatting sqref="M28">
    <cfRule type="containsText" rank="0" priority="3" equalAverage="0" operator="containsText" aboveAverage="0" dxfId="3" text="complete" percent="0" bottom="0">
      <formula>NOT(ISERROR(SEARCH("complete",M28)))</formula>
    </cfRule>
  </conditionalFormatting>
  <conditionalFormatting sqref="M29">
    <cfRule type="containsText" rank="0" priority="4" equalAverage="0" operator="containsText" aboveAverage="0" dxfId="3" text="complete" percent="0" bottom="0">
      <formula>NOT(ISERROR(SEARCH("complete",M29)))</formula>
    </cfRule>
  </conditionalFormatting>
  <printOptions horizontalCentered="0" verticalCentered="0" headings="0" gridLines="0" gridLinesSet="1"/>
  <pageMargins left="0.7" right="0.7" top="0.75" bottom="0.75" header="0.511811023622047" footer="0.511811023622047"/>
  <pageSetup orientation="landscape" paperSize="1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D1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24.71" customWidth="1" style="23" min="1" max="1"/>
    <col width="105.71" customWidth="1" style="23" min="2" max="2"/>
  </cols>
  <sheetData>
    <row r="1" ht="37.5" customHeight="1" s="17">
      <c r="A1" s="18" t="inlineStr">
        <is>
          <t>Coverage Workbook Guide</t>
        </is>
      </c>
    </row>
    <row r="2" ht="27.75" customHeight="1" s="17">
      <c r="A2" s="19" t="inlineStr">
        <is>
          <t>How to interpret, maintain, and verify this evidence tracker.</t>
        </is>
      </c>
    </row>
    <row r="3" ht="15" customHeight="1" s="17">
      <c r="A3" s="23" t="inlineStr">
        <is>
          <t>Topic</t>
        </is>
      </c>
      <c r="B3" s="23" t="inlineStr">
        <is>
          <t>Rule</t>
        </is>
      </c>
    </row>
    <row r="4" ht="30" customHeight="1" s="17">
      <c r="A4" s="23" t="inlineStr">
        <is>
          <t>Purpose</t>
        </is>
      </c>
      <c r="B4" s="23" t="inlineStr">
        <is>
          <t>This workbook summarizes evidence; source, tests, protocols, and public documentation remain authoritative.</t>
        </is>
      </c>
    </row>
    <row r="5" ht="30" customHeight="1" s="17">
      <c r="A5" s="23" t="inlineStr">
        <is>
          <t>Ownership</t>
        </is>
      </c>
      <c r="B5" s="23" t="inlineStr">
        <is>
          <t>Every independently exported public component owns one sheet. Family integration never replaces component ownership.</t>
        </is>
      </c>
    </row>
    <row r="6" ht="30" customHeight="1" s="17">
      <c r="A6" s="23" t="inlineStr">
        <is>
          <t>not started</t>
        </is>
      </c>
      <c r="B6" s="23" t="inlineStr">
        <is>
          <t>Required implementation or evidence does not exist.</t>
        </is>
      </c>
    </row>
    <row r="7" ht="30" customHeight="1" s="17">
      <c r="A7" s="23" t="inlineStr">
        <is>
          <t>partial</t>
        </is>
      </c>
      <c r="B7" s="23" t="inlineStr">
        <is>
          <t>Some evidence exists, but the assertion is incomplete.</t>
        </is>
      </c>
    </row>
    <row r="8" ht="30" customHeight="1" s="17">
      <c r="A8" s="23" t="inlineStr">
        <is>
          <t>implemented</t>
        </is>
      </c>
      <c r="B8" s="23" t="inlineStr">
        <is>
          <t>The implementation or evidence exists but has not passed its repeatable check.</t>
        </is>
      </c>
    </row>
    <row r="9" ht="30" customHeight="1" s="17">
      <c r="A9" s="23" t="inlineStr">
        <is>
          <t>tested</t>
        </is>
      </c>
      <c r="B9" s="23" t="inlineStr">
        <is>
          <t>The automated or repeatable check passes.</t>
        </is>
      </c>
    </row>
    <row r="10" ht="30" customHeight="1" s="17">
      <c r="A10" s="23" t="inlineStr">
        <is>
          <t>verified</t>
        </is>
      </c>
      <c r="B10" s="23" t="inlineStr">
        <is>
          <t>Required human review passed.</t>
        </is>
      </c>
    </row>
    <row r="11" ht="30" customHeight="1" s="17">
      <c r="A11" s="23" t="inlineStr">
        <is>
          <t>blocked</t>
        </is>
      </c>
      <c r="B11" s="23" t="inlineStr">
        <is>
          <t>A blocker or follow-up is recorded.</t>
        </is>
      </c>
    </row>
    <row r="12" ht="30" customHeight="1" s="17">
      <c r="A12" s="23" t="inlineStr">
        <is>
          <t>not applicable</t>
        </is>
      </c>
      <c r="B12" s="23" t="inlineStr">
        <is>
          <t>The reason is recorded in Blocker / N/A reason.</t>
        </is>
      </c>
    </row>
    <row r="13" ht="30" customHeight="1" s="17">
      <c r="A13" s="23" t="inlineStr">
        <is>
          <t>Manual completion</t>
        </is>
      </c>
      <c r="B13" s="23" t="inlineStr">
        <is>
          <t>The owner confirmed every current component protocol completed on 2026-07-24.</t>
        </is>
      </c>
    </row>
    <row r="14" ht="30" customHeight="1" s="17">
      <c r="A14" s="23" t="inlineStr">
        <is>
          <t>Maintenance</t>
        </is>
      </c>
      <c r="B14" s="23" t="inlineStr">
        <is>
          <t>Update exact evidence paths and statuses in the same workstream as component changes.</t>
        </is>
      </c>
    </row>
    <row r="15" ht="30" customHeight="1" s="17">
      <c r="A15" s="23" t="inlineStr">
        <is>
          <t>Release</t>
        </is>
      </c>
      <c r="B15" s="23" t="inlineStr">
        <is>
          <t>Recalculate formulas, scan errors, and visually inspect changed sheets before release.</t>
        </is>
      </c>
    </row>
  </sheetData>
  <mergeCells count="2">
    <mergeCell ref="A1:D1"/>
    <mergeCell ref="A2:D2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B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sheetData>
    <row r="1" ht="15" customHeight="1" s="17">
      <c r="A1" s="23" t="inlineStr">
        <is>
          <t>not started</t>
        </is>
      </c>
      <c r="B1" s="23" t="inlineStr">
        <is>
          <t>yes</t>
        </is>
      </c>
    </row>
    <row r="2" ht="15" customHeight="1" s="17">
      <c r="A2" s="23" t="inlineStr">
        <is>
          <t>partial</t>
        </is>
      </c>
      <c r="B2" s="23" t="inlineStr">
        <is>
          <t>no</t>
        </is>
      </c>
    </row>
    <row r="3" ht="15" customHeight="1" s="17">
      <c r="A3" s="23" t="inlineStr">
        <is>
          <t>implemented</t>
        </is>
      </c>
    </row>
    <row r="4" ht="15" customHeight="1" s="17">
      <c r="A4" s="23" t="inlineStr">
        <is>
          <t>tested</t>
        </is>
      </c>
    </row>
    <row r="5" ht="15" customHeight="1" s="17">
      <c r="A5" s="23" t="inlineStr">
        <is>
          <t>verified</t>
        </is>
      </c>
    </row>
    <row r="6" ht="15" customHeight="1" s="17">
      <c r="A6" s="23" t="inlineStr">
        <is>
          <t>blocked</t>
        </is>
      </c>
    </row>
    <row r="7" ht="15" customHeight="1" s="17">
      <c r="A7" s="23" t="inlineStr">
        <is>
          <t>not applicable</t>
        </is>
      </c>
    </row>
  </sheetData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M2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baseColWidth="8" defaultColWidth="8.6796875" defaultRowHeight="15" customHeight="0" zeroHeight="0" outlineLevelRow="0"/>
  <cols>
    <col width="13.71" customWidth="1" style="23" min="1" max="1"/>
    <col width="15.71" customWidth="1" style="23" min="2" max="2"/>
    <col width="18.71" customWidth="1" style="23" min="3" max="3"/>
    <col width="58.71" customWidth="1" style="23" min="4" max="4"/>
    <col width="14.71" customWidth="1" style="23" min="5" max="6"/>
    <col width="50.71" customWidth="1" style="23" min="7" max="7"/>
    <col width="17.71" customWidth="1" style="23" min="8" max="8"/>
    <col width="14.71" customWidth="1" style="23" min="9" max="9"/>
    <col width="14.71" customWidth="1" style="25" min="10" max="10"/>
    <col width="42.71" customWidth="1" style="23" min="11" max="11"/>
    <col width="10.71" customWidth="1" style="23" min="12" max="13"/>
  </cols>
  <sheetData>
    <row r="1" ht="37.5" customHeight="1" s="17">
      <c r="A1" s="18" t="inlineStr">
        <is>
          <t>Alert Dialog Evidence</t>
        </is>
      </c>
    </row>
    <row r="2" ht="27.75" customHeight="1" s="17">
      <c r="A2" s="19" t="inlineStr">
        <is>
          <t>Assertion-level package, browser, human-review, documentation, and consumer evidence.</t>
        </is>
      </c>
    </row>
    <row r="4" ht="17.25" customHeight="1" s="17">
      <c r="A4" s="20" t="inlineStr">
        <is>
          <t>Requirements</t>
        </is>
      </c>
      <c r="B4" s="21" t="n">
        <v>16</v>
      </c>
      <c r="D4" s="20" t="inlineStr">
        <is>
          <t>Resolved</t>
        </is>
      </c>
      <c r="E4" s="21" t="n">
        <v>16</v>
      </c>
      <c r="G4" s="20" t="inlineStr">
        <is>
          <t>Completion</t>
        </is>
      </c>
      <c r="H4" s="22" t="n">
        <v>1</v>
      </c>
      <c r="J4" s="20" t="inlineStr">
        <is>
          <t>Package gate</t>
        </is>
      </c>
      <c r="K4" s="21" t="inlineStr">
        <is>
          <t>complete</t>
        </is>
      </c>
    </row>
    <row r="5" ht="17.25" customHeight="1" s="17">
      <c r="A5" s="20" t="inlineStr">
        <is>
          <t>Manual review</t>
        </is>
      </c>
      <c r="B5" s="21" t="inlineStr">
        <is>
          <t>complete</t>
        </is>
      </c>
      <c r="D5" s="20" t="inlineStr">
        <is>
          <t>Consumer gate</t>
        </is>
      </c>
      <c r="E5" s="21" t="inlineStr">
        <is>
          <t>complete</t>
        </is>
      </c>
    </row>
    <row r="8" ht="15" customHeight="1" s="17">
      <c r="A8" s="23" t="inlineStr">
        <is>
          <t>ID</t>
        </is>
      </c>
      <c r="B8" s="23" t="inlineStr">
        <is>
          <t>Area</t>
        </is>
      </c>
      <c r="C8" s="23" t="inlineStr">
        <is>
          <t>Part</t>
        </is>
      </c>
      <c r="D8" s="23" t="inlineStr">
        <is>
          <t>Requirement</t>
        </is>
      </c>
      <c r="E8" s="23" t="inlineStr">
        <is>
          <t>Gate</t>
        </is>
      </c>
      <c r="F8" s="23" t="inlineStr">
        <is>
          <t>Evidence type</t>
        </is>
      </c>
      <c r="G8" s="23" t="inlineStr">
        <is>
          <t>Evidence / link</t>
        </is>
      </c>
      <c r="H8" s="23" t="inlineStr">
        <is>
          <t>Status</t>
        </is>
      </c>
      <c r="I8" s="23" t="inlineStr">
        <is>
          <t>Human review?</t>
        </is>
      </c>
      <c r="J8" s="25" t="inlineStr">
        <is>
          <t>Last verified</t>
        </is>
      </c>
      <c r="K8" s="23" t="inlineStr">
        <is>
          <t>Blocker / N/A reason</t>
        </is>
      </c>
      <c r="L8" s="23" t="inlineStr">
        <is>
          <t>Weight</t>
        </is>
      </c>
      <c r="M8" s="23" t="inlineStr">
        <is>
          <t>Resolved</t>
        </is>
      </c>
    </row>
    <row r="9" ht="42" customHeight="1" s="17">
      <c r="A9" s="23" t="inlineStr">
        <is>
          <t>AD-01</t>
        </is>
      </c>
      <c r="B9" s="23" t="inlineStr">
        <is>
          <t>Implementation</t>
        </is>
      </c>
      <c r="C9" s="23" t="inlineStr">
        <is>
          <t>AlertDialog</t>
        </is>
      </c>
      <c r="D9" s="23" t="inlineStr">
        <is>
          <t>Public component implementation and Atom adapter exist.</t>
        </is>
      </c>
      <c r="E9" s="23" t="inlineStr">
        <is>
          <t>package</t>
        </is>
      </c>
      <c r="F9" s="23" t="inlineStr">
        <is>
          <t>source</t>
        </is>
      </c>
      <c r="G9" s="23" t="inlineStr">
        <is>
          <t>../src/components/alert-dialog</t>
        </is>
      </c>
      <c r="H9" s="23" t="inlineStr">
        <is>
          <t>tested</t>
        </is>
      </c>
      <c r="I9" s="23" t="inlineStr">
        <is>
          <t>no</t>
        </is>
      </c>
      <c r="J9" s="25" t="n">
        <v>46227</v>
      </c>
      <c r="L9" s="23" t="n">
        <v>1</v>
      </c>
      <c r="M9" s="23" t="n">
        <v>1</v>
      </c>
    </row>
    <row r="10" ht="42" customHeight="1" s="17">
      <c r="A10" s="23" t="inlineStr">
        <is>
          <t>AD-02</t>
        </is>
      </c>
      <c r="B10" s="23" t="inlineStr">
        <is>
          <t>Exports</t>
        </is>
      </c>
      <c r="C10" s="23" t="inlineStr">
        <is>
          <t>AlertDialog</t>
        </is>
      </c>
      <c r="D10" s="23" t="inlineStr">
        <is>
          <t>Root and public subpath exports expose the component.</t>
        </is>
      </c>
      <c r="E10" s="23" t="inlineStr">
        <is>
          <t>package</t>
        </is>
      </c>
      <c r="F10" s="23" t="inlineStr">
        <is>
          <t>package</t>
        </is>
      </c>
      <c r="G10" s="23" t="inlineStr">
        <is>
          <t>../test/package/package.test.mjs</t>
        </is>
      </c>
      <c r="H10" s="23" t="inlineStr">
        <is>
          <t>tested</t>
        </is>
      </c>
      <c r="I10" s="23" t="inlineStr">
        <is>
          <t>no</t>
        </is>
      </c>
      <c r="J10" s="25" t="n">
        <v>46227</v>
      </c>
      <c r="L10" s="23" t="n">
        <v>1</v>
      </c>
      <c r="M10" s="23" t="n">
        <v>1</v>
      </c>
    </row>
    <row r="11" ht="42" customHeight="1" s="17">
      <c r="A11" s="23" t="inlineStr">
        <is>
          <t>AD-03</t>
        </is>
      </c>
      <c r="B11" s="23" t="inlineStr">
        <is>
          <t>Types</t>
        </is>
      </c>
      <c r="C11" s="23" t="inlineStr">
        <is>
          <t>AlertDialog</t>
        </is>
      </c>
      <c r="D11" s="23" t="inlineStr">
        <is>
          <t>Public props, refs, composition branches, and invalid cases type-check.</t>
        </is>
      </c>
      <c r="E11" s="23" t="inlineStr">
        <is>
          <t>package</t>
        </is>
      </c>
      <c r="F11" s="23" t="inlineStr">
        <is>
          <t>types</t>
        </is>
      </c>
      <c r="G11" s="23" t="inlineStr">
        <is>
          <t>../test/types/components/alert-dialog.test.ts</t>
        </is>
      </c>
      <c r="H11" s="23" t="inlineStr">
        <is>
          <t>tested</t>
        </is>
      </c>
      <c r="I11" s="23" t="inlineStr">
        <is>
          <t>no</t>
        </is>
      </c>
      <c r="J11" s="25" t="n">
        <v>46227</v>
      </c>
      <c r="L11" s="23" t="n">
        <v>1</v>
      </c>
      <c r="M11" s="23" t="n">
        <v>1</v>
      </c>
    </row>
    <row r="12" ht="42" customHeight="1" s="17">
      <c r="A12" s="23" t="inlineStr">
        <is>
          <t>AD-04</t>
        </is>
      </c>
      <c r="B12" s="23" t="inlineStr">
        <is>
          <t>CSS</t>
        </is>
      </c>
      <c r="C12" s="23" t="inlineStr">
        <is>
          <t>AlertDialog</t>
        </is>
      </c>
      <c r="D12" s="23" t="inlineStr">
        <is>
          <t>Static public CSS, classes, slots, recipes, states, and tokens are present.</t>
        </is>
      </c>
      <c r="E12" s="23" t="inlineStr">
        <is>
          <t>package</t>
        </is>
      </c>
      <c r="F12" s="23" t="inlineStr">
        <is>
          <t>css</t>
        </is>
      </c>
      <c r="G12" s="23" t="inlineStr">
        <is>
          <t>../src/components/alert-dialog/alert-dialog.css</t>
        </is>
      </c>
      <c r="H12" s="23" t="inlineStr">
        <is>
          <t>tested</t>
        </is>
      </c>
      <c r="I12" s="23" t="inlineStr">
        <is>
          <t>no</t>
        </is>
      </c>
      <c r="J12" s="25" t="n">
        <v>46227</v>
      </c>
      <c r="L12" s="23" t="n">
        <v>1</v>
      </c>
      <c r="M12" s="23" t="n">
        <v>1</v>
      </c>
    </row>
    <row r="13" ht="42" customHeight="1" s="17">
      <c r="A13" s="23" t="inlineStr">
        <is>
          <t>AD-05</t>
        </is>
      </c>
      <c r="B13" s="23" t="inlineStr">
        <is>
          <t>Unit</t>
        </is>
      </c>
      <c r="C13" s="23" t="inlineStr">
        <is>
          <t>AlertDialog</t>
        </is>
      </c>
      <c r="D13" s="23" t="inlineStr">
        <is>
          <t>Brick-owned DOM, recipes, adapters, and public hooks pass focused tests.</t>
        </is>
      </c>
      <c r="E13" s="23" t="inlineStr">
        <is>
          <t>package</t>
        </is>
      </c>
      <c r="F13" s="23" t="inlineStr">
        <is>
          <t>component</t>
        </is>
      </c>
      <c r="G13" s="23" t="inlineStr">
        <is>
          <t>../test/components/alert-dialog/alert-dialog.test.tsx</t>
        </is>
      </c>
      <c r="H13" s="23" t="inlineStr">
        <is>
          <t>tested</t>
        </is>
      </c>
      <c r="I13" s="23" t="inlineStr">
        <is>
          <t>no</t>
        </is>
      </c>
      <c r="J13" s="25" t="n">
        <v>46227</v>
      </c>
      <c r="L13" s="23" t="n">
        <v>1</v>
      </c>
      <c r="M13" s="23" t="n">
        <v>1</v>
      </c>
    </row>
    <row r="14" ht="42" customHeight="1" s="17">
      <c r="A14" s="23" t="inlineStr">
        <is>
          <t>AD-06</t>
        </is>
      </c>
      <c r="B14" s="23" t="inlineStr">
        <is>
          <t>Browser</t>
        </is>
      </c>
      <c r="C14" s="23" t="inlineStr">
        <is>
          <t>AlertDialog</t>
        </is>
      </c>
      <c r="D14" s="23" t="inlineStr">
        <is>
          <t>Real-browser behavior and component contract checks pass.</t>
        </is>
      </c>
      <c r="E14" s="23" t="inlineStr">
        <is>
          <t>package</t>
        </is>
      </c>
      <c r="F14" s="23" t="inlineStr">
        <is>
          <t>browser</t>
        </is>
      </c>
      <c r="G14" s="23" t="inlineStr">
        <is>
          <t>tests/components/alert-dialog/behavior.spec.ts</t>
        </is>
      </c>
      <c r="H14" s="23" t="inlineStr">
        <is>
          <t>tested</t>
        </is>
      </c>
      <c r="I14" s="23" t="inlineStr">
        <is>
          <t>no</t>
        </is>
      </c>
      <c r="J14" s="25" t="n">
        <v>46227</v>
      </c>
      <c r="L14" s="23" t="n">
        <v>1</v>
      </c>
      <c r="M14" s="23" t="n">
        <v>1</v>
      </c>
    </row>
    <row r="15" ht="42" customHeight="1" s="17">
      <c r="A15" s="23" t="inlineStr">
        <is>
          <t>AD-07</t>
        </is>
      </c>
      <c r="B15" s="23" t="inlineStr">
        <is>
          <t>Accessibility</t>
        </is>
      </c>
      <c r="C15" s="23" t="inlineStr">
        <is>
          <t>AlertDialog</t>
        </is>
      </c>
      <c r="D15" s="23" t="inlineStr">
        <is>
          <t>Automated semantics and accessibility checks pass in the browser evidence suite.</t>
        </is>
      </c>
      <c r="E15" s="23" t="inlineStr">
        <is>
          <t>package</t>
        </is>
      </c>
      <c r="F15" s="23" t="inlineStr">
        <is>
          <t>axe</t>
        </is>
      </c>
      <c r="G15" s="23" t="inlineStr">
        <is>
          <t>tests/components/alert-dialog/behavior.spec.ts; tests/integration</t>
        </is>
      </c>
      <c r="H15" s="23" t="inlineStr">
        <is>
          <t>tested</t>
        </is>
      </c>
      <c r="I15" s="23" t="inlineStr">
        <is>
          <t>no</t>
        </is>
      </c>
      <c r="J15" s="25" t="n">
        <v>46227</v>
      </c>
      <c r="L15" s="23" t="n">
        <v>1</v>
      </c>
      <c r="M15" s="23" t="n">
        <v>1</v>
      </c>
    </row>
    <row r="16" ht="42" customHeight="1" s="17">
      <c r="A16" s="23" t="inlineStr">
        <is>
          <t>AD-08</t>
        </is>
      </c>
      <c r="B16" s="23" t="inlineStr">
        <is>
          <t>Visual</t>
        </is>
      </c>
      <c r="C16" s="23" t="inlineStr">
        <is>
          <t>AlertDialog</t>
        </is>
      </c>
      <c r="D16" s="23" t="inlineStr">
        <is>
          <t>Reviewed baselines cover the component's risk-selected recipes and states.</t>
        </is>
      </c>
      <c r="E16" s="23" t="inlineStr">
        <is>
          <t>package</t>
        </is>
      </c>
      <c r="F16" s="23" t="inlineStr">
        <is>
          <t>visual</t>
        </is>
      </c>
      <c r="G16" s="23" t="inlineStr">
        <is>
          <t>tests/components/alert-dialog/visual.spec.ts</t>
        </is>
      </c>
      <c r="H16" s="23" t="inlineStr">
        <is>
          <t>verified</t>
        </is>
      </c>
      <c r="I16" s="23" t="inlineStr">
        <is>
          <t>yes</t>
        </is>
      </c>
      <c r="J16" s="25" t="n">
        <v>46227</v>
      </c>
      <c r="K16" s="23" t="inlineStr">
        <is>
          <t>Owner reviewed the current playground evidence.</t>
        </is>
      </c>
      <c r="L16" s="23" t="n">
        <v>1</v>
      </c>
      <c r="M16" s="23" t="n">
        <v>1</v>
      </c>
    </row>
    <row r="17" ht="42" customHeight="1" s="17">
      <c r="A17" s="23" t="inlineStr">
        <is>
          <t>AD-09</t>
        </is>
      </c>
      <c r="B17" s="23" t="inlineStr">
        <is>
          <t>Responsive</t>
        </is>
      </c>
      <c r="C17" s="23" t="inlineStr">
        <is>
          <t>AlertDialog</t>
        </is>
      </c>
      <c r="D17" s="23" t="inlineStr">
        <is>
          <t>Mobile, zoom/reflow, content stress, and RTL remain usable and contained.</t>
        </is>
      </c>
      <c r="E17" s="23" t="inlineStr">
        <is>
          <t>package</t>
        </is>
      </c>
      <c r="F17" s="23" t="inlineStr">
        <is>
          <t>manual</t>
        </is>
      </c>
      <c r="G17" s="23" t="inlineStr">
        <is>
          <t>manual-tests/alert-dialog.md</t>
        </is>
      </c>
      <c r="H17" s="23" t="inlineStr">
        <is>
          <t>verified</t>
        </is>
      </c>
      <c r="I17" s="23" t="inlineStr">
        <is>
          <t>yes</t>
        </is>
      </c>
      <c r="J17" s="25" t="n">
        <v>46227</v>
      </c>
      <c r="K17" s="23" t="inlineStr">
        <is>
          <t>Owner completed the current manual protocol.</t>
        </is>
      </c>
      <c r="L17" s="23" t="n">
        <v>1</v>
      </c>
      <c r="M17" s="23" t="n">
        <v>1</v>
      </c>
    </row>
    <row r="18" ht="42" customHeight="1" s="17">
      <c r="A18" s="23" t="inlineStr">
        <is>
          <t>AD-10</t>
        </is>
      </c>
      <c r="B18" s="23" t="inlineStr">
        <is>
          <t>Theme</t>
        </is>
      </c>
      <c r="C18" s="23" t="inlineStr">
        <is>
          <t>AlertDialog</t>
        </is>
      </c>
      <c r="D18" s="23" t="inlineStr">
        <is>
          <t>Light, dark, focus, forced-colors, and relevant motion behavior remain perceivable.</t>
        </is>
      </c>
      <c r="E18" s="23" t="inlineStr">
        <is>
          <t>package</t>
        </is>
      </c>
      <c r="F18" s="23" t="inlineStr">
        <is>
          <t>manual</t>
        </is>
      </c>
      <c r="G18" s="23" t="inlineStr">
        <is>
          <t>manual-tests/alert-dialog.md</t>
        </is>
      </c>
      <c r="H18" s="23" t="inlineStr">
        <is>
          <t>verified</t>
        </is>
      </c>
      <c r="I18" s="23" t="inlineStr">
        <is>
          <t>yes</t>
        </is>
      </c>
      <c r="J18" s="25" t="n">
        <v>46227</v>
      </c>
      <c r="K18" s="23" t="inlineStr">
        <is>
          <t>Owner completed the current manual protocol.</t>
        </is>
      </c>
      <c r="L18" s="23" t="n">
        <v>1</v>
      </c>
      <c r="M18" s="23" t="n">
        <v>1</v>
      </c>
    </row>
    <row r="19" ht="42" customHeight="1" s="17">
      <c r="A19" s="23" t="inlineStr">
        <is>
          <t>AD-11</t>
        </is>
      </c>
      <c r="B19" s="23" t="inlineStr">
        <is>
          <t>Composition</t>
        </is>
      </c>
      <c r="C19" s="23" t="inlineStr">
        <is>
          <t>AlertDialog</t>
        </is>
      </c>
      <c r="D19" s="23" t="inlineStr">
        <is>
          <t>Default, render, and asChild output preserve the intended element, slots, state, and relationships.</t>
        </is>
      </c>
      <c r="E19" s="23" t="inlineStr">
        <is>
          <t>package</t>
        </is>
      </c>
      <c r="F19" s="23" t="inlineStr">
        <is>
          <t>manual</t>
        </is>
      </c>
      <c r="G19" s="23" t="inlineStr">
        <is>
          <t>manual-tests/alert-dialog.md; tests/components/alert-dialog/behavior.spec.ts</t>
        </is>
      </c>
      <c r="H19" s="23" t="inlineStr">
        <is>
          <t>verified</t>
        </is>
      </c>
      <c r="I19" s="23" t="inlineStr">
        <is>
          <t>yes</t>
        </is>
      </c>
      <c r="J19" s="25" t="n">
        <v>46227</v>
      </c>
      <c r="K19" s="23" t="inlineStr">
        <is>
          <t>Owner reviewed the live and rendered output evidence.</t>
        </is>
      </c>
      <c r="L19" s="23" t="n">
        <v>1</v>
      </c>
      <c r="M19" s="23" t="n">
        <v>1</v>
      </c>
    </row>
    <row r="20" ht="42" customHeight="1" s="17">
      <c r="A20" s="23" t="inlineStr">
        <is>
          <t>AD-12</t>
        </is>
      </c>
      <c r="B20" s="23" t="inlineStr">
        <is>
          <t>Manual</t>
        </is>
      </c>
      <c r="C20" s="23" t="inlineStr">
        <is>
          <t>AlertDialog</t>
        </is>
      </c>
      <c r="D20" s="23" t="inlineStr">
        <is>
          <t>The complete component-owned manual protocol passed against every playground scenario.</t>
        </is>
      </c>
      <c r="E20" s="23" t="inlineStr">
        <is>
          <t>package</t>
        </is>
      </c>
      <c r="F20" s="23" t="inlineStr">
        <is>
          <t>manual</t>
        </is>
      </c>
      <c r="G20" s="23" t="inlineStr">
        <is>
          <t>manual-tests/alert-dialog.md</t>
        </is>
      </c>
      <c r="H20" s="23" t="inlineStr">
        <is>
          <t>verified</t>
        </is>
      </c>
      <c r="I20" s="23" t="inlineStr">
        <is>
          <t>yes</t>
        </is>
      </c>
      <c r="J20" s="25" t="n">
        <v>46227</v>
      </c>
      <c r="K20" s="23" t="inlineStr">
        <is>
          <t>Owner confirmed completion on 2026-07-24.</t>
        </is>
      </c>
      <c r="L20" s="23" t="n">
        <v>1</v>
      </c>
      <c r="M20" s="23" t="n">
        <v>1</v>
      </c>
    </row>
    <row r="21" ht="42" customHeight="1" s="17">
      <c r="A21" s="23" t="inlineStr">
        <is>
          <t>AD-13</t>
        </is>
      </c>
      <c r="B21" s="23" t="inlineStr">
        <is>
          <t>Docs</t>
        </is>
      </c>
      <c r="C21" s="23" t="inlineStr">
        <is>
          <t>AlertDialog</t>
        </is>
      </c>
      <c r="D21" s="23" t="inlineStr">
        <is>
          <t>Public usage documentation exists at the component-owned path.</t>
        </is>
      </c>
      <c r="E21" s="23" t="inlineStr">
        <is>
          <t>package</t>
        </is>
      </c>
      <c r="F21" s="23" t="inlineStr">
        <is>
          <t>docs</t>
        </is>
      </c>
      <c r="G21" s="23" t="inlineStr">
        <is>
          <t>../docs/components/alert-dialog/README.md</t>
        </is>
      </c>
      <c r="H21" s="23" t="inlineStr">
        <is>
          <t>tested</t>
        </is>
      </c>
      <c r="I21" s="23" t="inlineStr">
        <is>
          <t>no</t>
        </is>
      </c>
      <c r="J21" s="25" t="n">
        <v>46227</v>
      </c>
      <c r="L21" s="23" t="n">
        <v>1</v>
      </c>
      <c r="M21" s="23" t="n">
        <v>1</v>
      </c>
    </row>
    <row r="22" ht="42" customHeight="1" s="17">
      <c r="A22" s="23" t="inlineStr">
        <is>
          <t>AD-14</t>
        </is>
      </c>
      <c r="B22" s="23" t="inlineStr">
        <is>
          <t>Changelog</t>
        </is>
      </c>
      <c r="C22" s="23" t="inlineStr">
        <is>
          <t>AlertDialog</t>
        </is>
      </c>
      <c r="D22" s="23" t="inlineStr">
        <is>
          <t>The component owns a public changelog.</t>
        </is>
      </c>
      <c r="E22" s="23" t="inlineStr">
        <is>
          <t>package</t>
        </is>
      </c>
      <c r="F22" s="23" t="inlineStr">
        <is>
          <t>docs</t>
        </is>
      </c>
      <c r="G22" s="23" t="inlineStr">
        <is>
          <t>../docs/components/alert-dialog/CHANGELOG.md</t>
        </is>
      </c>
      <c r="H22" s="23" t="inlineStr">
        <is>
          <t>tested</t>
        </is>
      </c>
      <c r="I22" s="23" t="inlineStr">
        <is>
          <t>no</t>
        </is>
      </c>
      <c r="J22" s="25" t="n">
        <v>46227</v>
      </c>
      <c r="L22" s="23" t="n">
        <v>1</v>
      </c>
      <c r="M22" s="23" t="n">
        <v>1</v>
      </c>
    </row>
    <row r="23" ht="42" customHeight="1" s="17">
      <c r="A23" s="23" t="inlineStr">
        <is>
          <t>AD-15</t>
        </is>
      </c>
      <c r="B23" s="23" t="inlineStr">
        <is>
          <t>Consumer</t>
        </is>
      </c>
      <c r="C23" s="23" t="inlineStr">
        <is>
          <t>AlertDialog</t>
        </is>
      </c>
      <c r="D23" s="23" t="inlineStr">
        <is>
          <t>The standalone consumer imports and exercises the public package component.</t>
        </is>
      </c>
      <c r="E23" s="23" t="inlineStr">
        <is>
          <t>consumer</t>
        </is>
      </c>
      <c r="F23" s="23" t="inlineStr">
        <is>
          <t>consumer</t>
        </is>
      </c>
      <c r="G23" s="23" t="inlineStr">
        <is>
          <t>../apps/consumer/src/App.tsx; ../apps/consumer/tests/consumer.spec.ts</t>
        </is>
      </c>
      <c r="H23" s="23" t="inlineStr">
        <is>
          <t>tested</t>
        </is>
      </c>
      <c r="I23" s="23" t="inlineStr">
        <is>
          <t>no</t>
        </is>
      </c>
      <c r="J23" s="25" t="n">
        <v>46227</v>
      </c>
      <c r="L23" s="23" t="n">
        <v>1</v>
      </c>
      <c r="M23" s="23" t="n">
        <v>1</v>
      </c>
    </row>
    <row r="24" ht="42" customHeight="1" s="17">
      <c r="A24" s="23" t="inlineStr">
        <is>
          <t>AD-16</t>
        </is>
      </c>
      <c r="B24" s="23" t="inlineStr">
        <is>
          <t>Package</t>
        </is>
      </c>
      <c r="C24" s="23" t="inlineStr">
        <is>
          <t>AlertDialog</t>
        </is>
      </c>
      <c r="D24" s="23" t="inlineStr">
        <is>
          <t>Build, exports, tarball, CSS, and consumer boundary verification pass.</t>
        </is>
      </c>
      <c r="E24" s="23" t="inlineStr">
        <is>
          <t>package</t>
        </is>
      </c>
      <c r="F24" s="23" t="inlineStr">
        <is>
          <t>package</t>
        </is>
      </c>
      <c r="G24" s="23" t="inlineStr">
        <is>
          <t>../scripts/verify-package.mjs; ../scripts/verify-consumers.mjs</t>
        </is>
      </c>
      <c r="H24" s="23" t="inlineStr">
        <is>
          <t>tested</t>
        </is>
      </c>
      <c r="I24" s="23" t="inlineStr">
        <is>
          <t>no</t>
        </is>
      </c>
      <c r="J24" s="25" t="n">
        <v>46227</v>
      </c>
      <c r="L24" s="23" t="n">
        <v>1</v>
      </c>
      <c r="M24" s="23" t="n">
        <v>1</v>
      </c>
    </row>
  </sheetData>
  <mergeCells count="2">
    <mergeCell ref="A2:M2"/>
    <mergeCell ref="A1:M1"/>
  </mergeCells>
  <conditionalFormatting sqref="H9:H24">
    <cfRule type="containsText" rank="0" priority="2" equalAverage="0" operator="containsText" aboveAverage="0" dxfId="5" text="not started" percent="0" bottom="0">
      <formula>NOT(ISERROR(SEARCH("not started",H9)))</formula>
    </cfRule>
    <cfRule type="containsText" rank="0" priority="3" equalAverage="0" operator="containsText" aboveAverage="0" dxfId="6" text="partial" percent="0" bottom="0">
      <formula>NOT(ISERROR(SEARCH("partial",H9)))</formula>
    </cfRule>
    <cfRule type="containsText" rank="0" priority="4" equalAverage="0" operator="containsText" aboveAverage="0" dxfId="7" text="implemented" percent="0" bottom="0">
      <formula>NOT(ISERROR(SEARCH("implemented",H9)))</formula>
    </cfRule>
    <cfRule type="containsText" rank="0" priority="5" equalAverage="0" operator="containsText" aboveAverage="0" dxfId="8" text="tested" percent="0" bottom="0">
      <formula>NOT(ISERROR(SEARCH("tested",H9)))</formula>
    </cfRule>
    <cfRule type="containsText" rank="0" priority="6" equalAverage="0" operator="containsText" aboveAverage="0" dxfId="3" text="verified" percent="0" bottom="0">
      <formula>NOT(ISERROR(SEARCH("verified",H9)))</formula>
    </cfRule>
    <cfRule type="containsText" rank="0" priority="7" equalAverage="0" operator="containsText" aboveAverage="0" dxfId="9" text="blocked" percent="0" bottom="0">
      <formula>NOT(ISERROR(SEARCH("blocked",H9)))</formula>
    </cfRule>
    <cfRule type="containsText" rank="0" priority="8" equalAverage="0" operator="containsText" aboveAverage="0" dxfId="5" text="not applicable" percent="0" bottom="0">
      <formula>NOT(ISERROR(SEARCH("not applicable",H9)))</formula>
    </cfRule>
  </conditionalFormatting>
  <dataValidations count="2">
    <dataValidation sqref="H9:H24" showDropDown="0" showInputMessage="1" showErrorMessage="1" allowBlank="1" type="list" errorStyle="stop" operator="between">
      <formula1>"not started,partial,implemented,tested,verified,blocked,not applicable"</formula1>
      <formula2>0</formula2>
    </dataValidation>
    <dataValidation sqref="I9:I24" showDropDown="0" showInputMessage="1" showErrorMessage="1" allowBlank="1" type="list" errorStyle="stop" operator="between">
      <formula1>"yes,no"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M2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baseColWidth="8" defaultColWidth="8.6796875" defaultRowHeight="15" customHeight="0" zeroHeight="0" outlineLevelRow="0"/>
  <cols>
    <col width="13.71" customWidth="1" style="23" min="1" max="1"/>
    <col width="15.71" customWidth="1" style="23" min="2" max="2"/>
    <col width="18.71" customWidth="1" style="23" min="3" max="3"/>
    <col width="58.71" customWidth="1" style="23" min="4" max="4"/>
    <col width="14.71" customWidth="1" style="23" min="5" max="6"/>
    <col width="50.71" customWidth="1" style="23" min="7" max="7"/>
    <col width="17.71" customWidth="1" style="23" min="8" max="8"/>
    <col width="14.71" customWidth="1" style="23" min="9" max="9"/>
    <col width="14.71" customWidth="1" style="25" min="10" max="10"/>
    <col width="42.71" customWidth="1" style="23" min="11" max="11"/>
    <col width="10.71" customWidth="1" style="23" min="12" max="13"/>
  </cols>
  <sheetData>
    <row r="1" ht="37.5" customHeight="1" s="17">
      <c r="A1" s="18" t="inlineStr">
        <is>
          <t>App Bar Evidence</t>
        </is>
      </c>
    </row>
    <row r="2" ht="27.75" customHeight="1" s="17">
      <c r="A2" s="19" t="inlineStr">
        <is>
          <t>Assertion-level package, browser, human-review, documentation, and consumer evidence.</t>
        </is>
      </c>
    </row>
    <row r="4" ht="17.25" customHeight="1" s="17">
      <c r="A4" s="20" t="inlineStr">
        <is>
          <t>Requirements</t>
        </is>
      </c>
      <c r="B4" s="21" t="n">
        <v>16</v>
      </c>
      <c r="D4" s="20" t="inlineStr">
        <is>
          <t>Resolved</t>
        </is>
      </c>
      <c r="E4" s="21" t="n">
        <v>16</v>
      </c>
      <c r="G4" s="20" t="inlineStr">
        <is>
          <t>Completion</t>
        </is>
      </c>
      <c r="H4" s="22" t="n">
        <v>1</v>
      </c>
      <c r="J4" s="20" t="inlineStr">
        <is>
          <t>Package gate</t>
        </is>
      </c>
      <c r="K4" s="21" t="inlineStr">
        <is>
          <t>complete</t>
        </is>
      </c>
    </row>
    <row r="5" ht="17.25" customHeight="1" s="17">
      <c r="A5" s="20" t="inlineStr">
        <is>
          <t>Manual review</t>
        </is>
      </c>
      <c r="B5" s="21" t="inlineStr">
        <is>
          <t>complete</t>
        </is>
      </c>
      <c r="D5" s="20" t="inlineStr">
        <is>
          <t>Consumer gate</t>
        </is>
      </c>
      <c r="E5" s="21" t="inlineStr">
        <is>
          <t>complete</t>
        </is>
      </c>
    </row>
    <row r="8" ht="15" customHeight="1" s="17">
      <c r="A8" s="23" t="inlineStr">
        <is>
          <t>ID</t>
        </is>
      </c>
      <c r="B8" s="23" t="inlineStr">
        <is>
          <t>Area</t>
        </is>
      </c>
      <c r="C8" s="23" t="inlineStr">
        <is>
          <t>Part</t>
        </is>
      </c>
      <c r="D8" s="23" t="inlineStr">
        <is>
          <t>Requirement</t>
        </is>
      </c>
      <c r="E8" s="23" t="inlineStr">
        <is>
          <t>Gate</t>
        </is>
      </c>
      <c r="F8" s="23" t="inlineStr">
        <is>
          <t>Evidence type</t>
        </is>
      </c>
      <c r="G8" s="23" t="inlineStr">
        <is>
          <t>Evidence / link</t>
        </is>
      </c>
      <c r="H8" s="23" t="inlineStr">
        <is>
          <t>Status</t>
        </is>
      </c>
      <c r="I8" s="23" t="inlineStr">
        <is>
          <t>Human review?</t>
        </is>
      </c>
      <c r="J8" s="25" t="inlineStr">
        <is>
          <t>Last verified</t>
        </is>
      </c>
      <c r="K8" s="23" t="inlineStr">
        <is>
          <t>Blocker / N/A reason</t>
        </is>
      </c>
      <c r="L8" s="23" t="inlineStr">
        <is>
          <t>Weight</t>
        </is>
      </c>
      <c r="M8" s="23" t="inlineStr">
        <is>
          <t>Resolved</t>
        </is>
      </c>
    </row>
    <row r="9" ht="42" customHeight="1" s="17">
      <c r="A9" s="23" t="inlineStr">
        <is>
          <t>AB-01</t>
        </is>
      </c>
      <c r="B9" s="23" t="inlineStr">
        <is>
          <t>Implementation</t>
        </is>
      </c>
      <c r="C9" s="23" t="inlineStr">
        <is>
          <t>AppBar</t>
        </is>
      </c>
      <c r="D9" s="23" t="inlineStr">
        <is>
          <t>Public component implementation and Atom adapter exist.</t>
        </is>
      </c>
      <c r="E9" s="23" t="inlineStr">
        <is>
          <t>package</t>
        </is>
      </c>
      <c r="F9" s="23" t="inlineStr">
        <is>
          <t>source</t>
        </is>
      </c>
      <c r="G9" s="23" t="inlineStr">
        <is>
          <t>../src/components/app-bar</t>
        </is>
      </c>
      <c r="H9" s="23" t="inlineStr">
        <is>
          <t>tested</t>
        </is>
      </c>
      <c r="I9" s="23" t="inlineStr">
        <is>
          <t>no</t>
        </is>
      </c>
      <c r="J9" s="25" t="n">
        <v>46227</v>
      </c>
      <c r="L9" s="23" t="n">
        <v>1</v>
      </c>
      <c r="M9" s="23" t="n">
        <v>1</v>
      </c>
    </row>
    <row r="10" ht="42" customHeight="1" s="17">
      <c r="A10" s="23" t="inlineStr">
        <is>
          <t>AB-02</t>
        </is>
      </c>
      <c r="B10" s="23" t="inlineStr">
        <is>
          <t>Exports</t>
        </is>
      </c>
      <c r="C10" s="23" t="inlineStr">
        <is>
          <t>AppBar</t>
        </is>
      </c>
      <c r="D10" s="23" t="inlineStr">
        <is>
          <t>Root and public subpath exports expose the component.</t>
        </is>
      </c>
      <c r="E10" s="23" t="inlineStr">
        <is>
          <t>package</t>
        </is>
      </c>
      <c r="F10" s="23" t="inlineStr">
        <is>
          <t>package</t>
        </is>
      </c>
      <c r="G10" s="23" t="inlineStr">
        <is>
          <t>../test/package/package.test.mjs</t>
        </is>
      </c>
      <c r="H10" s="23" t="inlineStr">
        <is>
          <t>tested</t>
        </is>
      </c>
      <c r="I10" s="23" t="inlineStr">
        <is>
          <t>no</t>
        </is>
      </c>
      <c r="J10" s="25" t="n">
        <v>46227</v>
      </c>
      <c r="L10" s="23" t="n">
        <v>1</v>
      </c>
      <c r="M10" s="23" t="n">
        <v>1</v>
      </c>
    </row>
    <row r="11" ht="42" customHeight="1" s="17">
      <c r="A11" s="23" t="inlineStr">
        <is>
          <t>AB-03</t>
        </is>
      </c>
      <c r="B11" s="23" t="inlineStr">
        <is>
          <t>Types</t>
        </is>
      </c>
      <c r="C11" s="23" t="inlineStr">
        <is>
          <t>AppBar</t>
        </is>
      </c>
      <c r="D11" s="23" t="inlineStr">
        <is>
          <t>Public props, refs, composition branches, and invalid cases type-check.</t>
        </is>
      </c>
      <c r="E11" s="23" t="inlineStr">
        <is>
          <t>package</t>
        </is>
      </c>
      <c r="F11" s="23" t="inlineStr">
        <is>
          <t>types</t>
        </is>
      </c>
      <c r="G11" s="23" t="inlineStr">
        <is>
          <t>../test/types/components/app-bar.test.ts</t>
        </is>
      </c>
      <c r="H11" s="23" t="inlineStr">
        <is>
          <t>tested</t>
        </is>
      </c>
      <c r="I11" s="23" t="inlineStr">
        <is>
          <t>no</t>
        </is>
      </c>
      <c r="J11" s="25" t="n">
        <v>46227</v>
      </c>
      <c r="L11" s="23" t="n">
        <v>1</v>
      </c>
      <c r="M11" s="23" t="n">
        <v>1</v>
      </c>
    </row>
    <row r="12" ht="42" customHeight="1" s="17">
      <c r="A12" s="23" t="inlineStr">
        <is>
          <t>AB-04</t>
        </is>
      </c>
      <c r="B12" s="23" t="inlineStr">
        <is>
          <t>CSS</t>
        </is>
      </c>
      <c r="C12" s="23" t="inlineStr">
        <is>
          <t>AppBar</t>
        </is>
      </c>
      <c r="D12" s="23" t="inlineStr">
        <is>
          <t>Static public CSS, classes, slots, recipes, states, and tokens are present.</t>
        </is>
      </c>
      <c r="E12" s="23" t="inlineStr">
        <is>
          <t>package</t>
        </is>
      </c>
      <c r="F12" s="23" t="inlineStr">
        <is>
          <t>css</t>
        </is>
      </c>
      <c r="G12" s="23" t="inlineStr">
        <is>
          <t>../src/components/app-bar/app-bar.css</t>
        </is>
      </c>
      <c r="H12" s="23" t="inlineStr">
        <is>
          <t>tested</t>
        </is>
      </c>
      <c r="I12" s="23" t="inlineStr">
        <is>
          <t>no</t>
        </is>
      </c>
      <c r="J12" s="25" t="n">
        <v>46227</v>
      </c>
      <c r="L12" s="23" t="n">
        <v>1</v>
      </c>
      <c r="M12" s="23" t="n">
        <v>1</v>
      </c>
    </row>
    <row r="13" ht="42" customHeight="1" s="17">
      <c r="A13" s="23" t="inlineStr">
        <is>
          <t>AB-05</t>
        </is>
      </c>
      <c r="B13" s="23" t="inlineStr">
        <is>
          <t>Unit</t>
        </is>
      </c>
      <c r="C13" s="23" t="inlineStr">
        <is>
          <t>AppBar</t>
        </is>
      </c>
      <c r="D13" s="23" t="inlineStr">
        <is>
          <t>Brick-owned DOM, recipes, adapters, and public hooks pass focused tests.</t>
        </is>
      </c>
      <c r="E13" s="23" t="inlineStr">
        <is>
          <t>package</t>
        </is>
      </c>
      <c r="F13" s="23" t="inlineStr">
        <is>
          <t>component</t>
        </is>
      </c>
      <c r="G13" s="23" t="inlineStr">
        <is>
          <t>../test/components/app-bar/app-bar.test.tsx</t>
        </is>
      </c>
      <c r="H13" s="23" t="inlineStr">
        <is>
          <t>tested</t>
        </is>
      </c>
      <c r="I13" s="23" t="inlineStr">
        <is>
          <t>no</t>
        </is>
      </c>
      <c r="J13" s="25" t="n">
        <v>46227</v>
      </c>
      <c r="L13" s="23" t="n">
        <v>1</v>
      </c>
      <c r="M13" s="23" t="n">
        <v>1</v>
      </c>
    </row>
    <row r="14" ht="42" customHeight="1" s="17">
      <c r="A14" s="23" t="inlineStr">
        <is>
          <t>AB-06</t>
        </is>
      </c>
      <c r="B14" s="23" t="inlineStr">
        <is>
          <t>Browser</t>
        </is>
      </c>
      <c r="C14" s="23" t="inlineStr">
        <is>
          <t>AppBar</t>
        </is>
      </c>
      <c r="D14" s="23" t="inlineStr">
        <is>
          <t>Real-browser behavior and component contract checks pass.</t>
        </is>
      </c>
      <c r="E14" s="23" t="inlineStr">
        <is>
          <t>package</t>
        </is>
      </c>
      <c r="F14" s="23" t="inlineStr">
        <is>
          <t>browser</t>
        </is>
      </c>
      <c r="G14" s="23" t="inlineStr">
        <is>
          <t>tests/components/app-bar/behavior.spec.ts</t>
        </is>
      </c>
      <c r="H14" s="23" t="inlineStr">
        <is>
          <t>tested</t>
        </is>
      </c>
      <c r="I14" s="23" t="inlineStr">
        <is>
          <t>no</t>
        </is>
      </c>
      <c r="J14" s="25" t="n">
        <v>46227</v>
      </c>
      <c r="L14" s="23" t="n">
        <v>1</v>
      </c>
      <c r="M14" s="23" t="n">
        <v>1</v>
      </c>
    </row>
    <row r="15" ht="42" customHeight="1" s="17">
      <c r="A15" s="23" t="inlineStr">
        <is>
          <t>AB-07</t>
        </is>
      </c>
      <c r="B15" s="23" t="inlineStr">
        <is>
          <t>Accessibility</t>
        </is>
      </c>
      <c r="C15" s="23" t="inlineStr">
        <is>
          <t>AppBar</t>
        </is>
      </c>
      <c r="D15" s="23" t="inlineStr">
        <is>
          <t>Automated semantics and accessibility checks pass in the browser evidence suite.</t>
        </is>
      </c>
      <c r="E15" s="23" t="inlineStr">
        <is>
          <t>package</t>
        </is>
      </c>
      <c r="F15" s="23" t="inlineStr">
        <is>
          <t>axe</t>
        </is>
      </c>
      <c r="G15" s="23" t="inlineStr">
        <is>
          <t>tests/components/app-bar/behavior.spec.ts; tests/integration</t>
        </is>
      </c>
      <c r="H15" s="23" t="inlineStr">
        <is>
          <t>tested</t>
        </is>
      </c>
      <c r="I15" s="23" t="inlineStr">
        <is>
          <t>no</t>
        </is>
      </c>
      <c r="J15" s="25" t="n">
        <v>46227</v>
      </c>
      <c r="L15" s="23" t="n">
        <v>1</v>
      </c>
      <c r="M15" s="23" t="n">
        <v>1</v>
      </c>
    </row>
    <row r="16" ht="42" customHeight="1" s="17">
      <c r="A16" s="23" t="inlineStr">
        <is>
          <t>AB-08</t>
        </is>
      </c>
      <c r="B16" s="23" t="inlineStr">
        <is>
          <t>Visual</t>
        </is>
      </c>
      <c r="C16" s="23" t="inlineStr">
        <is>
          <t>AppBar</t>
        </is>
      </c>
      <c r="D16" s="23" t="inlineStr">
        <is>
          <t>Reviewed baselines cover the component's risk-selected recipes and states.</t>
        </is>
      </c>
      <c r="E16" s="23" t="inlineStr">
        <is>
          <t>package</t>
        </is>
      </c>
      <c r="F16" s="23" t="inlineStr">
        <is>
          <t>visual</t>
        </is>
      </c>
      <c r="G16" s="23" t="inlineStr">
        <is>
          <t>tests/components/app-bar/visual.spec.ts</t>
        </is>
      </c>
      <c r="H16" s="23" t="inlineStr">
        <is>
          <t>verified</t>
        </is>
      </c>
      <c r="I16" s="23" t="inlineStr">
        <is>
          <t>yes</t>
        </is>
      </c>
      <c r="J16" s="25" t="n">
        <v>46227</v>
      </c>
      <c r="K16" s="23" t="inlineStr">
        <is>
          <t>Owner reviewed the current playground evidence.</t>
        </is>
      </c>
      <c r="L16" s="23" t="n">
        <v>1</v>
      </c>
      <c r="M16" s="23" t="n">
        <v>1</v>
      </c>
    </row>
    <row r="17" ht="42" customHeight="1" s="17">
      <c r="A17" s="23" t="inlineStr">
        <is>
          <t>AB-09</t>
        </is>
      </c>
      <c r="B17" s="23" t="inlineStr">
        <is>
          <t>Responsive</t>
        </is>
      </c>
      <c r="C17" s="23" t="inlineStr">
        <is>
          <t>AppBar</t>
        </is>
      </c>
      <c r="D17" s="23" t="inlineStr">
        <is>
          <t>Mobile, zoom/reflow, content stress, and RTL remain usable and contained.</t>
        </is>
      </c>
      <c r="E17" s="23" t="inlineStr">
        <is>
          <t>package</t>
        </is>
      </c>
      <c r="F17" s="23" t="inlineStr">
        <is>
          <t>manual</t>
        </is>
      </c>
      <c r="G17" s="23" t="inlineStr">
        <is>
          <t>manual-tests/app-bar.md</t>
        </is>
      </c>
      <c r="H17" s="23" t="inlineStr">
        <is>
          <t>verified</t>
        </is>
      </c>
      <c r="I17" s="23" t="inlineStr">
        <is>
          <t>yes</t>
        </is>
      </c>
      <c r="J17" s="25" t="n">
        <v>46227</v>
      </c>
      <c r="K17" s="23" t="inlineStr">
        <is>
          <t>Owner completed the current manual protocol.</t>
        </is>
      </c>
      <c r="L17" s="23" t="n">
        <v>1</v>
      </c>
      <c r="M17" s="23" t="n">
        <v>1</v>
      </c>
    </row>
    <row r="18" ht="42" customHeight="1" s="17">
      <c r="A18" s="23" t="inlineStr">
        <is>
          <t>AB-10</t>
        </is>
      </c>
      <c r="B18" s="23" t="inlineStr">
        <is>
          <t>Theme</t>
        </is>
      </c>
      <c r="C18" s="23" t="inlineStr">
        <is>
          <t>AppBar</t>
        </is>
      </c>
      <c r="D18" s="23" t="inlineStr">
        <is>
          <t>Light, dark, focus, forced-colors, and relevant motion behavior remain perceivable.</t>
        </is>
      </c>
      <c r="E18" s="23" t="inlineStr">
        <is>
          <t>package</t>
        </is>
      </c>
      <c r="F18" s="23" t="inlineStr">
        <is>
          <t>manual</t>
        </is>
      </c>
      <c r="G18" s="23" t="inlineStr">
        <is>
          <t>manual-tests/app-bar.md</t>
        </is>
      </c>
      <c r="H18" s="23" t="inlineStr">
        <is>
          <t>verified</t>
        </is>
      </c>
      <c r="I18" s="23" t="inlineStr">
        <is>
          <t>yes</t>
        </is>
      </c>
      <c r="J18" s="25" t="n">
        <v>46227</v>
      </c>
      <c r="K18" s="23" t="inlineStr">
        <is>
          <t>Owner completed the current manual protocol.</t>
        </is>
      </c>
      <c r="L18" s="23" t="n">
        <v>1</v>
      </c>
      <c r="M18" s="23" t="n">
        <v>1</v>
      </c>
    </row>
    <row r="19" ht="42" customHeight="1" s="17">
      <c r="A19" s="23" t="inlineStr">
        <is>
          <t>AB-11</t>
        </is>
      </c>
      <c r="B19" s="23" t="inlineStr">
        <is>
          <t>Composition</t>
        </is>
      </c>
      <c r="C19" s="23" t="inlineStr">
        <is>
          <t>AppBar</t>
        </is>
      </c>
      <c r="D19" s="23" t="inlineStr">
        <is>
          <t>Default, render, and asChild output preserve the intended element, slots, state, and relationships.</t>
        </is>
      </c>
      <c r="E19" s="23" t="inlineStr">
        <is>
          <t>package</t>
        </is>
      </c>
      <c r="F19" s="23" t="inlineStr">
        <is>
          <t>manual</t>
        </is>
      </c>
      <c r="G19" s="23" t="inlineStr">
        <is>
          <t>manual-tests/app-bar.md; tests/components/app-bar/behavior.spec.ts</t>
        </is>
      </c>
      <c r="H19" s="23" t="inlineStr">
        <is>
          <t>verified</t>
        </is>
      </c>
      <c r="I19" s="23" t="inlineStr">
        <is>
          <t>yes</t>
        </is>
      </c>
      <c r="J19" s="25" t="n">
        <v>46227</v>
      </c>
      <c r="K19" s="23" t="inlineStr">
        <is>
          <t>Owner reviewed the live and rendered output evidence.</t>
        </is>
      </c>
      <c r="L19" s="23" t="n">
        <v>1</v>
      </c>
      <c r="M19" s="23" t="n">
        <v>1</v>
      </c>
    </row>
    <row r="20" ht="42" customHeight="1" s="17">
      <c r="A20" s="23" t="inlineStr">
        <is>
          <t>AB-12</t>
        </is>
      </c>
      <c r="B20" s="23" t="inlineStr">
        <is>
          <t>Manual</t>
        </is>
      </c>
      <c r="C20" s="23" t="inlineStr">
        <is>
          <t>AppBar</t>
        </is>
      </c>
      <c r="D20" s="23" t="inlineStr">
        <is>
          <t>The complete component-owned manual protocol passed against every playground scenario.</t>
        </is>
      </c>
      <c r="E20" s="23" t="inlineStr">
        <is>
          <t>package</t>
        </is>
      </c>
      <c r="F20" s="23" t="inlineStr">
        <is>
          <t>manual</t>
        </is>
      </c>
      <c r="G20" s="23" t="inlineStr">
        <is>
          <t>manual-tests/app-bar.md</t>
        </is>
      </c>
      <c r="H20" s="23" t="inlineStr">
        <is>
          <t>verified</t>
        </is>
      </c>
      <c r="I20" s="23" t="inlineStr">
        <is>
          <t>yes</t>
        </is>
      </c>
      <c r="J20" s="25" t="n">
        <v>46227</v>
      </c>
      <c r="K20" s="23" t="inlineStr">
        <is>
          <t>Owner confirmed completion on 2026-07-24.</t>
        </is>
      </c>
      <c r="L20" s="23" t="n">
        <v>1</v>
      </c>
      <c r="M20" s="23" t="n">
        <v>1</v>
      </c>
    </row>
    <row r="21" ht="42" customHeight="1" s="17">
      <c r="A21" s="23" t="inlineStr">
        <is>
          <t>AB-13</t>
        </is>
      </c>
      <c r="B21" s="23" t="inlineStr">
        <is>
          <t>Docs</t>
        </is>
      </c>
      <c r="C21" s="23" t="inlineStr">
        <is>
          <t>AppBar</t>
        </is>
      </c>
      <c r="D21" s="23" t="inlineStr">
        <is>
          <t>Public usage documentation exists at the component-owned path.</t>
        </is>
      </c>
      <c r="E21" s="23" t="inlineStr">
        <is>
          <t>package</t>
        </is>
      </c>
      <c r="F21" s="23" t="inlineStr">
        <is>
          <t>docs</t>
        </is>
      </c>
      <c r="G21" s="23" t="inlineStr">
        <is>
          <t>../docs/components/app-bar/README.md</t>
        </is>
      </c>
      <c r="H21" s="23" t="inlineStr">
        <is>
          <t>tested</t>
        </is>
      </c>
      <c r="I21" s="23" t="inlineStr">
        <is>
          <t>no</t>
        </is>
      </c>
      <c r="J21" s="25" t="n">
        <v>46227</v>
      </c>
      <c r="L21" s="23" t="n">
        <v>1</v>
      </c>
      <c r="M21" s="23" t="n">
        <v>1</v>
      </c>
    </row>
    <row r="22" ht="42" customHeight="1" s="17">
      <c r="A22" s="23" t="inlineStr">
        <is>
          <t>AB-14</t>
        </is>
      </c>
      <c r="B22" s="23" t="inlineStr">
        <is>
          <t>Changelog</t>
        </is>
      </c>
      <c r="C22" s="23" t="inlineStr">
        <is>
          <t>AppBar</t>
        </is>
      </c>
      <c r="D22" s="23" t="inlineStr">
        <is>
          <t>The component owns a public changelog.</t>
        </is>
      </c>
      <c r="E22" s="23" t="inlineStr">
        <is>
          <t>package</t>
        </is>
      </c>
      <c r="F22" s="23" t="inlineStr">
        <is>
          <t>docs</t>
        </is>
      </c>
      <c r="G22" s="23" t="inlineStr">
        <is>
          <t>../docs/components/app-bar/CHANGELOG.md</t>
        </is>
      </c>
      <c r="H22" s="23" t="inlineStr">
        <is>
          <t>tested</t>
        </is>
      </c>
      <c r="I22" s="23" t="inlineStr">
        <is>
          <t>no</t>
        </is>
      </c>
      <c r="J22" s="25" t="n">
        <v>46227</v>
      </c>
      <c r="L22" s="23" t="n">
        <v>1</v>
      </c>
      <c r="M22" s="23" t="n">
        <v>1</v>
      </c>
    </row>
    <row r="23" ht="42" customHeight="1" s="17">
      <c r="A23" s="23" t="inlineStr">
        <is>
          <t>AB-15</t>
        </is>
      </c>
      <c r="B23" s="23" t="inlineStr">
        <is>
          <t>Consumer</t>
        </is>
      </c>
      <c r="C23" s="23" t="inlineStr">
        <is>
          <t>AppBar</t>
        </is>
      </c>
      <c r="D23" s="23" t="inlineStr">
        <is>
          <t>The standalone consumer imports and exercises the public package component.</t>
        </is>
      </c>
      <c r="E23" s="23" t="inlineStr">
        <is>
          <t>consumer</t>
        </is>
      </c>
      <c r="F23" s="23" t="inlineStr">
        <is>
          <t>consumer</t>
        </is>
      </c>
      <c r="G23" s="23" t="inlineStr">
        <is>
          <t>../apps/consumer/src/App.tsx; ../apps/consumer/tests/consumer.spec.ts</t>
        </is>
      </c>
      <c r="H23" s="23" t="inlineStr">
        <is>
          <t>tested</t>
        </is>
      </c>
      <c r="I23" s="23" t="inlineStr">
        <is>
          <t>no</t>
        </is>
      </c>
      <c r="J23" s="25" t="n">
        <v>46227</v>
      </c>
      <c r="L23" s="23" t="n">
        <v>1</v>
      </c>
      <c r="M23" s="23" t="n">
        <v>1</v>
      </c>
    </row>
    <row r="24" ht="42" customHeight="1" s="17">
      <c r="A24" s="23" t="inlineStr">
        <is>
          <t>AB-16</t>
        </is>
      </c>
      <c r="B24" s="23" t="inlineStr">
        <is>
          <t>Package</t>
        </is>
      </c>
      <c r="C24" s="23" t="inlineStr">
        <is>
          <t>AppBar</t>
        </is>
      </c>
      <c r="D24" s="23" t="inlineStr">
        <is>
          <t>Build, exports, tarball, CSS, and consumer boundary verification pass.</t>
        </is>
      </c>
      <c r="E24" s="23" t="inlineStr">
        <is>
          <t>package</t>
        </is>
      </c>
      <c r="F24" s="23" t="inlineStr">
        <is>
          <t>package</t>
        </is>
      </c>
      <c r="G24" s="23" t="inlineStr">
        <is>
          <t>../scripts/verify-package.mjs; ../scripts/verify-consumers.mjs</t>
        </is>
      </c>
      <c r="H24" s="23" t="inlineStr">
        <is>
          <t>tested</t>
        </is>
      </c>
      <c r="I24" s="23" t="inlineStr">
        <is>
          <t>no</t>
        </is>
      </c>
      <c r="J24" s="25" t="n">
        <v>46227</v>
      </c>
      <c r="L24" s="23" t="n">
        <v>1</v>
      </c>
      <c r="M24" s="23" t="n">
        <v>1</v>
      </c>
    </row>
  </sheetData>
  <mergeCells count="2">
    <mergeCell ref="A2:M2"/>
    <mergeCell ref="A1:M1"/>
  </mergeCells>
  <conditionalFormatting sqref="H9:H24">
    <cfRule type="containsText" rank="0" priority="2" equalAverage="0" operator="containsText" aboveAverage="0" dxfId="5" text="not started" percent="0" bottom="0">
      <formula>NOT(ISERROR(SEARCH("not started",H9)))</formula>
    </cfRule>
    <cfRule type="containsText" rank="0" priority="3" equalAverage="0" operator="containsText" aboveAverage="0" dxfId="6" text="partial" percent="0" bottom="0">
      <formula>NOT(ISERROR(SEARCH("partial",H9)))</formula>
    </cfRule>
    <cfRule type="containsText" rank="0" priority="4" equalAverage="0" operator="containsText" aboveAverage="0" dxfId="7" text="implemented" percent="0" bottom="0">
      <formula>NOT(ISERROR(SEARCH("implemented",H9)))</formula>
    </cfRule>
    <cfRule type="containsText" rank="0" priority="5" equalAverage="0" operator="containsText" aboveAverage="0" dxfId="8" text="tested" percent="0" bottom="0">
      <formula>NOT(ISERROR(SEARCH("tested",H9)))</formula>
    </cfRule>
    <cfRule type="containsText" rank="0" priority="6" equalAverage="0" operator="containsText" aboveAverage="0" dxfId="3" text="verified" percent="0" bottom="0">
      <formula>NOT(ISERROR(SEARCH("verified",H9)))</formula>
    </cfRule>
    <cfRule type="containsText" rank="0" priority="7" equalAverage="0" operator="containsText" aboveAverage="0" dxfId="9" text="blocked" percent="0" bottom="0">
      <formula>NOT(ISERROR(SEARCH("blocked",H9)))</formula>
    </cfRule>
    <cfRule type="containsText" rank="0" priority="8" equalAverage="0" operator="containsText" aboveAverage="0" dxfId="5" text="not applicable" percent="0" bottom="0">
      <formula>NOT(ISERROR(SEARCH("not applicable",H9)))</formula>
    </cfRule>
  </conditionalFormatting>
  <dataValidations count="2">
    <dataValidation sqref="H9:H24" showDropDown="0" showInputMessage="1" showErrorMessage="1" allowBlank="1" type="list" errorStyle="stop" operator="between">
      <formula1>"not started,partial,implemented,tested,verified,blocked,not applicable"</formula1>
      <formula2>0</formula2>
    </dataValidation>
    <dataValidation sqref="I9:I24" showDropDown="0" showInputMessage="1" showErrorMessage="1" allowBlank="1" type="list" errorStyle="stop" operator="between">
      <formula1>"yes,no"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M2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baseColWidth="8" defaultColWidth="8.6796875" defaultRowHeight="15" customHeight="0" zeroHeight="0" outlineLevelRow="0"/>
  <cols>
    <col width="13.71" customWidth="1" style="23" min="1" max="1"/>
    <col width="15.71" customWidth="1" style="23" min="2" max="2"/>
    <col width="18.71" customWidth="1" style="23" min="3" max="3"/>
    <col width="58.71" customWidth="1" style="23" min="4" max="4"/>
    <col width="14.71" customWidth="1" style="23" min="5" max="6"/>
    <col width="50.71" customWidth="1" style="23" min="7" max="7"/>
    <col width="17.71" customWidth="1" style="23" min="8" max="8"/>
    <col width="14.71" customWidth="1" style="23" min="9" max="9"/>
    <col width="14.71" customWidth="1" style="25" min="10" max="10"/>
    <col width="42.71" customWidth="1" style="23" min="11" max="11"/>
    <col width="10.71" customWidth="1" style="23" min="12" max="13"/>
  </cols>
  <sheetData>
    <row r="1" ht="37.5" customHeight="1" s="17">
      <c r="A1" s="18" t="inlineStr">
        <is>
          <t>Avatar Evidence</t>
        </is>
      </c>
    </row>
    <row r="2" ht="27.75" customHeight="1" s="17">
      <c r="A2" s="19" t="inlineStr">
        <is>
          <t>Assertion-level package, browser, human-review, documentation, and consumer evidence.</t>
        </is>
      </c>
    </row>
    <row r="4" ht="17.25" customHeight="1" s="17">
      <c r="A4" s="20" t="inlineStr">
        <is>
          <t>Requirements</t>
        </is>
      </c>
      <c r="B4" s="21" t="n">
        <v>16</v>
      </c>
      <c r="D4" s="20" t="inlineStr">
        <is>
          <t>Resolved</t>
        </is>
      </c>
      <c r="E4" s="21" t="n">
        <v>16</v>
      </c>
      <c r="G4" s="20" t="inlineStr">
        <is>
          <t>Completion</t>
        </is>
      </c>
      <c r="H4" s="22" t="n">
        <v>1</v>
      </c>
      <c r="J4" s="20" t="inlineStr">
        <is>
          <t>Package gate</t>
        </is>
      </c>
      <c r="K4" s="21" t="inlineStr">
        <is>
          <t>complete</t>
        </is>
      </c>
    </row>
    <row r="5" ht="17.25" customHeight="1" s="17">
      <c r="A5" s="20" t="inlineStr">
        <is>
          <t>Manual review</t>
        </is>
      </c>
      <c r="B5" s="21" t="inlineStr">
        <is>
          <t>complete</t>
        </is>
      </c>
      <c r="D5" s="20" t="inlineStr">
        <is>
          <t>Consumer gate</t>
        </is>
      </c>
      <c r="E5" s="21" t="inlineStr">
        <is>
          <t>complete</t>
        </is>
      </c>
    </row>
    <row r="8" ht="15" customHeight="1" s="17">
      <c r="A8" s="23" t="inlineStr">
        <is>
          <t>ID</t>
        </is>
      </c>
      <c r="B8" s="23" t="inlineStr">
        <is>
          <t>Area</t>
        </is>
      </c>
      <c r="C8" s="23" t="inlineStr">
        <is>
          <t>Part</t>
        </is>
      </c>
      <c r="D8" s="23" t="inlineStr">
        <is>
          <t>Requirement</t>
        </is>
      </c>
      <c r="E8" s="23" t="inlineStr">
        <is>
          <t>Gate</t>
        </is>
      </c>
      <c r="F8" s="23" t="inlineStr">
        <is>
          <t>Evidence type</t>
        </is>
      </c>
      <c r="G8" s="23" t="inlineStr">
        <is>
          <t>Evidence / link</t>
        </is>
      </c>
      <c r="H8" s="23" t="inlineStr">
        <is>
          <t>Status</t>
        </is>
      </c>
      <c r="I8" s="23" t="inlineStr">
        <is>
          <t>Human review?</t>
        </is>
      </c>
      <c r="J8" s="25" t="inlineStr">
        <is>
          <t>Last verified</t>
        </is>
      </c>
      <c r="K8" s="23" t="inlineStr">
        <is>
          <t>Blocker / N/A reason</t>
        </is>
      </c>
      <c r="L8" s="23" t="inlineStr">
        <is>
          <t>Weight</t>
        </is>
      </c>
      <c r="M8" s="23" t="inlineStr">
        <is>
          <t>Resolved</t>
        </is>
      </c>
    </row>
    <row r="9" ht="42" customHeight="1" s="17">
      <c r="A9" s="23" t="inlineStr">
        <is>
          <t>A-01</t>
        </is>
      </c>
      <c r="B9" s="23" t="inlineStr">
        <is>
          <t>Implementation</t>
        </is>
      </c>
      <c r="C9" s="23" t="inlineStr">
        <is>
          <t>Avatar</t>
        </is>
      </c>
      <c r="D9" s="23" t="inlineStr">
        <is>
          <t>Public component implementation and Atom adapter exist.</t>
        </is>
      </c>
      <c r="E9" s="23" t="inlineStr">
        <is>
          <t>package</t>
        </is>
      </c>
      <c r="F9" s="23" t="inlineStr">
        <is>
          <t>source</t>
        </is>
      </c>
      <c r="G9" s="23" t="inlineStr">
        <is>
          <t>../src/components/avatar</t>
        </is>
      </c>
      <c r="H9" s="23" t="inlineStr">
        <is>
          <t>tested</t>
        </is>
      </c>
      <c r="I9" s="23" t="inlineStr">
        <is>
          <t>no</t>
        </is>
      </c>
      <c r="J9" s="25" t="n">
        <v>46227</v>
      </c>
      <c r="L9" s="23" t="n">
        <v>1</v>
      </c>
      <c r="M9" s="23" t="n">
        <v>1</v>
      </c>
    </row>
    <row r="10" ht="42" customHeight="1" s="17">
      <c r="A10" s="23" t="inlineStr">
        <is>
          <t>A-02</t>
        </is>
      </c>
      <c r="B10" s="23" t="inlineStr">
        <is>
          <t>Exports</t>
        </is>
      </c>
      <c r="C10" s="23" t="inlineStr">
        <is>
          <t>Avatar</t>
        </is>
      </c>
      <c r="D10" s="23" t="inlineStr">
        <is>
          <t>Root and public subpath exports expose the component.</t>
        </is>
      </c>
      <c r="E10" s="23" t="inlineStr">
        <is>
          <t>package</t>
        </is>
      </c>
      <c r="F10" s="23" t="inlineStr">
        <is>
          <t>package</t>
        </is>
      </c>
      <c r="G10" s="23" t="inlineStr">
        <is>
          <t>../test/package/package.test.mjs</t>
        </is>
      </c>
      <c r="H10" s="23" t="inlineStr">
        <is>
          <t>tested</t>
        </is>
      </c>
      <c r="I10" s="23" t="inlineStr">
        <is>
          <t>no</t>
        </is>
      </c>
      <c r="J10" s="25" t="n">
        <v>46227</v>
      </c>
      <c r="L10" s="23" t="n">
        <v>1</v>
      </c>
      <c r="M10" s="23" t="n">
        <v>1</v>
      </c>
    </row>
    <row r="11" ht="42" customHeight="1" s="17">
      <c r="A11" s="23" t="inlineStr">
        <is>
          <t>A-03</t>
        </is>
      </c>
      <c r="B11" s="23" t="inlineStr">
        <is>
          <t>Types</t>
        </is>
      </c>
      <c r="C11" s="23" t="inlineStr">
        <is>
          <t>Avatar</t>
        </is>
      </c>
      <c r="D11" s="23" t="inlineStr">
        <is>
          <t>Public props, refs, composition branches, and invalid cases type-check.</t>
        </is>
      </c>
      <c r="E11" s="23" t="inlineStr">
        <is>
          <t>package</t>
        </is>
      </c>
      <c r="F11" s="23" t="inlineStr">
        <is>
          <t>types</t>
        </is>
      </c>
      <c r="G11" s="23" t="inlineStr">
        <is>
          <t>../test/types/components/avatar.test.ts</t>
        </is>
      </c>
      <c r="H11" s="23" t="inlineStr">
        <is>
          <t>tested</t>
        </is>
      </c>
      <c r="I11" s="23" t="inlineStr">
        <is>
          <t>no</t>
        </is>
      </c>
      <c r="J11" s="25" t="n">
        <v>46227</v>
      </c>
      <c r="L11" s="23" t="n">
        <v>1</v>
      </c>
      <c r="M11" s="23" t="n">
        <v>1</v>
      </c>
    </row>
    <row r="12" ht="42" customHeight="1" s="17">
      <c r="A12" s="23" t="inlineStr">
        <is>
          <t>A-04</t>
        </is>
      </c>
      <c r="B12" s="23" t="inlineStr">
        <is>
          <t>CSS</t>
        </is>
      </c>
      <c r="C12" s="23" t="inlineStr">
        <is>
          <t>Avatar</t>
        </is>
      </c>
      <c r="D12" s="23" t="inlineStr">
        <is>
          <t>Static public CSS, classes, slots, recipes, states, and tokens are present.</t>
        </is>
      </c>
      <c r="E12" s="23" t="inlineStr">
        <is>
          <t>package</t>
        </is>
      </c>
      <c r="F12" s="23" t="inlineStr">
        <is>
          <t>css</t>
        </is>
      </c>
      <c r="G12" s="23" t="inlineStr">
        <is>
          <t>../src/components/avatar/avatar.css</t>
        </is>
      </c>
      <c r="H12" s="23" t="inlineStr">
        <is>
          <t>tested</t>
        </is>
      </c>
      <c r="I12" s="23" t="inlineStr">
        <is>
          <t>no</t>
        </is>
      </c>
      <c r="J12" s="25" t="n">
        <v>46227</v>
      </c>
      <c r="L12" s="23" t="n">
        <v>1</v>
      </c>
      <c r="M12" s="23" t="n">
        <v>1</v>
      </c>
    </row>
    <row r="13" ht="42" customHeight="1" s="17">
      <c r="A13" s="23" t="inlineStr">
        <is>
          <t>A-05</t>
        </is>
      </c>
      <c r="B13" s="23" t="inlineStr">
        <is>
          <t>Unit</t>
        </is>
      </c>
      <c r="C13" s="23" t="inlineStr">
        <is>
          <t>Avatar</t>
        </is>
      </c>
      <c r="D13" s="23" t="inlineStr">
        <is>
          <t>Brick-owned DOM, recipes, adapters, and public hooks pass focused tests.</t>
        </is>
      </c>
      <c r="E13" s="23" t="inlineStr">
        <is>
          <t>package</t>
        </is>
      </c>
      <c r="F13" s="23" t="inlineStr">
        <is>
          <t>component</t>
        </is>
      </c>
      <c r="G13" s="23" t="inlineStr">
        <is>
          <t>../test/components/avatar/avatar.test.tsx</t>
        </is>
      </c>
      <c r="H13" s="23" t="inlineStr">
        <is>
          <t>tested</t>
        </is>
      </c>
      <c r="I13" s="23" t="inlineStr">
        <is>
          <t>no</t>
        </is>
      </c>
      <c r="J13" s="25" t="n">
        <v>46227</v>
      </c>
      <c r="L13" s="23" t="n">
        <v>1</v>
      </c>
      <c r="M13" s="23" t="n">
        <v>1</v>
      </c>
    </row>
    <row r="14" ht="42" customHeight="1" s="17">
      <c r="A14" s="23" t="inlineStr">
        <is>
          <t>A-06</t>
        </is>
      </c>
      <c r="B14" s="23" t="inlineStr">
        <is>
          <t>Browser</t>
        </is>
      </c>
      <c r="C14" s="23" t="inlineStr">
        <is>
          <t>Avatar</t>
        </is>
      </c>
      <c r="D14" s="23" t="inlineStr">
        <is>
          <t>Real-browser behavior and component contract checks pass.</t>
        </is>
      </c>
      <c r="E14" s="23" t="inlineStr">
        <is>
          <t>package</t>
        </is>
      </c>
      <c r="F14" s="23" t="inlineStr">
        <is>
          <t>browser</t>
        </is>
      </c>
      <c r="G14" s="23" t="inlineStr">
        <is>
          <t>tests/components/avatar/behavior.spec.ts</t>
        </is>
      </c>
      <c r="H14" s="23" t="inlineStr">
        <is>
          <t>tested</t>
        </is>
      </c>
      <c r="I14" s="23" t="inlineStr">
        <is>
          <t>no</t>
        </is>
      </c>
      <c r="J14" s="25" t="n">
        <v>46227</v>
      </c>
      <c r="L14" s="23" t="n">
        <v>1</v>
      </c>
      <c r="M14" s="23" t="n">
        <v>1</v>
      </c>
    </row>
    <row r="15" ht="42" customHeight="1" s="17">
      <c r="A15" s="23" t="inlineStr">
        <is>
          <t>A-07</t>
        </is>
      </c>
      <c r="B15" s="23" t="inlineStr">
        <is>
          <t>Accessibility</t>
        </is>
      </c>
      <c r="C15" s="23" t="inlineStr">
        <is>
          <t>Avatar</t>
        </is>
      </c>
      <c r="D15" s="23" t="inlineStr">
        <is>
          <t>Automated semantics and accessibility checks pass in the browser evidence suite.</t>
        </is>
      </c>
      <c r="E15" s="23" t="inlineStr">
        <is>
          <t>package</t>
        </is>
      </c>
      <c r="F15" s="23" t="inlineStr">
        <is>
          <t>axe</t>
        </is>
      </c>
      <c r="G15" s="23" t="inlineStr">
        <is>
          <t>tests/components/avatar/behavior.spec.ts; tests/integration</t>
        </is>
      </c>
      <c r="H15" s="23" t="inlineStr">
        <is>
          <t>tested</t>
        </is>
      </c>
      <c r="I15" s="23" t="inlineStr">
        <is>
          <t>no</t>
        </is>
      </c>
      <c r="J15" s="25" t="n">
        <v>46227</v>
      </c>
      <c r="L15" s="23" t="n">
        <v>1</v>
      </c>
      <c r="M15" s="23" t="n">
        <v>1</v>
      </c>
    </row>
    <row r="16" ht="42" customHeight="1" s="17">
      <c r="A16" s="23" t="inlineStr">
        <is>
          <t>A-08</t>
        </is>
      </c>
      <c r="B16" s="23" t="inlineStr">
        <is>
          <t>Visual</t>
        </is>
      </c>
      <c r="C16" s="23" t="inlineStr">
        <is>
          <t>Avatar</t>
        </is>
      </c>
      <c r="D16" s="23" t="inlineStr">
        <is>
          <t>Reviewed baselines cover the component's risk-selected recipes and states.</t>
        </is>
      </c>
      <c r="E16" s="23" t="inlineStr">
        <is>
          <t>package</t>
        </is>
      </c>
      <c r="F16" s="23" t="inlineStr">
        <is>
          <t>visual</t>
        </is>
      </c>
      <c r="G16" s="23" t="inlineStr">
        <is>
          <t>tests/components/avatar/visual.spec.ts</t>
        </is>
      </c>
      <c r="H16" s="23" t="inlineStr">
        <is>
          <t>verified</t>
        </is>
      </c>
      <c r="I16" s="23" t="inlineStr">
        <is>
          <t>yes</t>
        </is>
      </c>
      <c r="J16" s="25" t="n">
        <v>46227</v>
      </c>
      <c r="K16" s="23" t="inlineStr">
        <is>
          <t>Owner reviewed the current playground evidence.</t>
        </is>
      </c>
      <c r="L16" s="23" t="n">
        <v>1</v>
      </c>
      <c r="M16" s="23" t="n">
        <v>1</v>
      </c>
    </row>
    <row r="17" ht="42" customHeight="1" s="17">
      <c r="A17" s="23" t="inlineStr">
        <is>
          <t>A-09</t>
        </is>
      </c>
      <c r="B17" s="23" t="inlineStr">
        <is>
          <t>Responsive</t>
        </is>
      </c>
      <c r="C17" s="23" t="inlineStr">
        <is>
          <t>Avatar</t>
        </is>
      </c>
      <c r="D17" s="23" t="inlineStr">
        <is>
          <t>Mobile, zoom/reflow, content stress, and RTL remain usable and contained.</t>
        </is>
      </c>
      <c r="E17" s="23" t="inlineStr">
        <is>
          <t>package</t>
        </is>
      </c>
      <c r="F17" s="23" t="inlineStr">
        <is>
          <t>manual</t>
        </is>
      </c>
      <c r="G17" s="23" t="inlineStr">
        <is>
          <t>manual-tests/avatar.md</t>
        </is>
      </c>
      <c r="H17" s="23" t="inlineStr">
        <is>
          <t>verified</t>
        </is>
      </c>
      <c r="I17" s="23" t="inlineStr">
        <is>
          <t>yes</t>
        </is>
      </c>
      <c r="J17" s="25" t="n">
        <v>46227</v>
      </c>
      <c r="K17" s="23" t="inlineStr">
        <is>
          <t>Owner completed the current manual protocol.</t>
        </is>
      </c>
      <c r="L17" s="23" t="n">
        <v>1</v>
      </c>
      <c r="M17" s="23" t="n">
        <v>1</v>
      </c>
    </row>
    <row r="18" ht="42" customHeight="1" s="17">
      <c r="A18" s="23" t="inlineStr">
        <is>
          <t>A-10</t>
        </is>
      </c>
      <c r="B18" s="23" t="inlineStr">
        <is>
          <t>Theme</t>
        </is>
      </c>
      <c r="C18" s="23" t="inlineStr">
        <is>
          <t>Avatar</t>
        </is>
      </c>
      <c r="D18" s="23" t="inlineStr">
        <is>
          <t>Light, dark, focus, forced-colors, and relevant motion behavior remain perceivable.</t>
        </is>
      </c>
      <c r="E18" s="23" t="inlineStr">
        <is>
          <t>package</t>
        </is>
      </c>
      <c r="F18" s="23" t="inlineStr">
        <is>
          <t>manual</t>
        </is>
      </c>
      <c r="G18" s="23" t="inlineStr">
        <is>
          <t>manual-tests/avatar.md</t>
        </is>
      </c>
      <c r="H18" s="23" t="inlineStr">
        <is>
          <t>verified</t>
        </is>
      </c>
      <c r="I18" s="23" t="inlineStr">
        <is>
          <t>yes</t>
        </is>
      </c>
      <c r="J18" s="25" t="n">
        <v>46227</v>
      </c>
      <c r="K18" s="23" t="inlineStr">
        <is>
          <t>Owner completed the current manual protocol.</t>
        </is>
      </c>
      <c r="L18" s="23" t="n">
        <v>1</v>
      </c>
      <c r="M18" s="23" t="n">
        <v>1</v>
      </c>
    </row>
    <row r="19" ht="42" customHeight="1" s="17">
      <c r="A19" s="23" t="inlineStr">
        <is>
          <t>A-11</t>
        </is>
      </c>
      <c r="B19" s="23" t="inlineStr">
        <is>
          <t>Composition</t>
        </is>
      </c>
      <c r="C19" s="23" t="inlineStr">
        <is>
          <t>Avatar</t>
        </is>
      </c>
      <c r="D19" s="23" t="inlineStr">
        <is>
          <t>Default, render, and asChild output preserve the intended element, slots, state, and relationships.</t>
        </is>
      </c>
      <c r="E19" s="23" t="inlineStr">
        <is>
          <t>package</t>
        </is>
      </c>
      <c r="F19" s="23" t="inlineStr">
        <is>
          <t>manual</t>
        </is>
      </c>
      <c r="G19" s="23" t="inlineStr">
        <is>
          <t>manual-tests/avatar.md; tests/components/avatar/behavior.spec.ts</t>
        </is>
      </c>
      <c r="H19" s="23" t="inlineStr">
        <is>
          <t>verified</t>
        </is>
      </c>
      <c r="I19" s="23" t="inlineStr">
        <is>
          <t>yes</t>
        </is>
      </c>
      <c r="J19" s="25" t="n">
        <v>46227</v>
      </c>
      <c r="K19" s="23" t="inlineStr">
        <is>
          <t>Owner reviewed the live and rendered output evidence.</t>
        </is>
      </c>
      <c r="L19" s="23" t="n">
        <v>1</v>
      </c>
      <c r="M19" s="23" t="n">
        <v>1</v>
      </c>
    </row>
    <row r="20" ht="42" customHeight="1" s="17">
      <c r="A20" s="23" t="inlineStr">
        <is>
          <t>A-12</t>
        </is>
      </c>
      <c r="B20" s="23" t="inlineStr">
        <is>
          <t>Manual</t>
        </is>
      </c>
      <c r="C20" s="23" t="inlineStr">
        <is>
          <t>Avatar</t>
        </is>
      </c>
      <c r="D20" s="23" t="inlineStr">
        <is>
          <t>The complete component-owned manual protocol passed against every playground scenario.</t>
        </is>
      </c>
      <c r="E20" s="23" t="inlineStr">
        <is>
          <t>package</t>
        </is>
      </c>
      <c r="F20" s="23" t="inlineStr">
        <is>
          <t>manual</t>
        </is>
      </c>
      <c r="G20" s="23" t="inlineStr">
        <is>
          <t>manual-tests/avatar.md</t>
        </is>
      </c>
      <c r="H20" s="23" t="inlineStr">
        <is>
          <t>verified</t>
        </is>
      </c>
      <c r="I20" s="23" t="inlineStr">
        <is>
          <t>yes</t>
        </is>
      </c>
      <c r="J20" s="25" t="n">
        <v>46227</v>
      </c>
      <c r="K20" s="23" t="inlineStr">
        <is>
          <t>Owner confirmed completion on 2026-07-24.</t>
        </is>
      </c>
      <c r="L20" s="23" t="n">
        <v>1</v>
      </c>
      <c r="M20" s="23" t="n">
        <v>1</v>
      </c>
    </row>
    <row r="21" ht="42" customHeight="1" s="17">
      <c r="A21" s="23" t="inlineStr">
        <is>
          <t>A-13</t>
        </is>
      </c>
      <c r="B21" s="23" t="inlineStr">
        <is>
          <t>Docs</t>
        </is>
      </c>
      <c r="C21" s="23" t="inlineStr">
        <is>
          <t>Avatar</t>
        </is>
      </c>
      <c r="D21" s="23" t="inlineStr">
        <is>
          <t>Public usage documentation exists at the component-owned path.</t>
        </is>
      </c>
      <c r="E21" s="23" t="inlineStr">
        <is>
          <t>package</t>
        </is>
      </c>
      <c r="F21" s="23" t="inlineStr">
        <is>
          <t>docs</t>
        </is>
      </c>
      <c r="G21" s="23" t="inlineStr">
        <is>
          <t>../docs/components/avatar/README.md</t>
        </is>
      </c>
      <c r="H21" s="23" t="inlineStr">
        <is>
          <t>tested</t>
        </is>
      </c>
      <c r="I21" s="23" t="inlineStr">
        <is>
          <t>no</t>
        </is>
      </c>
      <c r="J21" s="25" t="n">
        <v>46227</v>
      </c>
      <c r="L21" s="23" t="n">
        <v>1</v>
      </c>
      <c r="M21" s="23" t="n">
        <v>1</v>
      </c>
    </row>
    <row r="22" ht="42" customHeight="1" s="17">
      <c r="A22" s="23" t="inlineStr">
        <is>
          <t>A-14</t>
        </is>
      </c>
      <c r="B22" s="23" t="inlineStr">
        <is>
          <t>Changelog</t>
        </is>
      </c>
      <c r="C22" s="23" t="inlineStr">
        <is>
          <t>Avatar</t>
        </is>
      </c>
      <c r="D22" s="23" t="inlineStr">
        <is>
          <t>The component owns a public changelog.</t>
        </is>
      </c>
      <c r="E22" s="23" t="inlineStr">
        <is>
          <t>package</t>
        </is>
      </c>
      <c r="F22" s="23" t="inlineStr">
        <is>
          <t>docs</t>
        </is>
      </c>
      <c r="G22" s="23" t="inlineStr">
        <is>
          <t>../docs/components/avatar/CHANGELOG.md</t>
        </is>
      </c>
      <c r="H22" s="23" t="inlineStr">
        <is>
          <t>tested</t>
        </is>
      </c>
      <c r="I22" s="23" t="inlineStr">
        <is>
          <t>no</t>
        </is>
      </c>
      <c r="J22" s="25" t="n">
        <v>46227</v>
      </c>
      <c r="L22" s="23" t="n">
        <v>1</v>
      </c>
      <c r="M22" s="23" t="n">
        <v>1</v>
      </c>
    </row>
    <row r="23" ht="42" customHeight="1" s="17">
      <c r="A23" s="23" t="inlineStr">
        <is>
          <t>A-15</t>
        </is>
      </c>
      <c r="B23" s="23" t="inlineStr">
        <is>
          <t>Consumer</t>
        </is>
      </c>
      <c r="C23" s="23" t="inlineStr">
        <is>
          <t>Avatar</t>
        </is>
      </c>
      <c r="D23" s="23" t="inlineStr">
        <is>
          <t>The standalone consumer imports and exercises the public package component.</t>
        </is>
      </c>
      <c r="E23" s="23" t="inlineStr">
        <is>
          <t>consumer</t>
        </is>
      </c>
      <c r="F23" s="23" t="inlineStr">
        <is>
          <t>consumer</t>
        </is>
      </c>
      <c r="G23" s="23" t="inlineStr">
        <is>
          <t>../apps/consumer/src/App.tsx; ../apps/consumer/tests/consumer.spec.ts</t>
        </is>
      </c>
      <c r="H23" s="23" t="inlineStr">
        <is>
          <t>tested</t>
        </is>
      </c>
      <c r="I23" s="23" t="inlineStr">
        <is>
          <t>no</t>
        </is>
      </c>
      <c r="J23" s="25" t="n">
        <v>46227</v>
      </c>
      <c r="L23" s="23" t="n">
        <v>1</v>
      </c>
      <c r="M23" s="23" t="n">
        <v>1</v>
      </c>
    </row>
    <row r="24" ht="42" customHeight="1" s="17">
      <c r="A24" s="23" t="inlineStr">
        <is>
          <t>A-16</t>
        </is>
      </c>
      <c r="B24" s="23" t="inlineStr">
        <is>
          <t>Package</t>
        </is>
      </c>
      <c r="C24" s="23" t="inlineStr">
        <is>
          <t>Avatar</t>
        </is>
      </c>
      <c r="D24" s="23" t="inlineStr">
        <is>
          <t>Build, exports, tarball, CSS, and consumer boundary verification pass.</t>
        </is>
      </c>
      <c r="E24" s="23" t="inlineStr">
        <is>
          <t>package</t>
        </is>
      </c>
      <c r="F24" s="23" t="inlineStr">
        <is>
          <t>package</t>
        </is>
      </c>
      <c r="G24" s="23" t="inlineStr">
        <is>
          <t>../scripts/verify-package.mjs; ../scripts/verify-consumers.mjs</t>
        </is>
      </c>
      <c r="H24" s="23" t="inlineStr">
        <is>
          <t>tested</t>
        </is>
      </c>
      <c r="I24" s="23" t="inlineStr">
        <is>
          <t>no</t>
        </is>
      </c>
      <c r="J24" s="25" t="n">
        <v>46227</v>
      </c>
      <c r="L24" s="23" t="n">
        <v>1</v>
      </c>
      <c r="M24" s="23" t="n">
        <v>1</v>
      </c>
    </row>
  </sheetData>
  <mergeCells count="2">
    <mergeCell ref="A2:M2"/>
    <mergeCell ref="A1:M1"/>
  </mergeCells>
  <conditionalFormatting sqref="H9:H24">
    <cfRule type="containsText" rank="0" priority="2" equalAverage="0" operator="containsText" aboveAverage="0" dxfId="5" text="not started" percent="0" bottom="0">
      <formula>NOT(ISERROR(SEARCH("not started",H9)))</formula>
    </cfRule>
    <cfRule type="containsText" rank="0" priority="3" equalAverage="0" operator="containsText" aboveAverage="0" dxfId="6" text="partial" percent="0" bottom="0">
      <formula>NOT(ISERROR(SEARCH("partial",H9)))</formula>
    </cfRule>
    <cfRule type="containsText" rank="0" priority="4" equalAverage="0" operator="containsText" aboveAverage="0" dxfId="7" text="implemented" percent="0" bottom="0">
      <formula>NOT(ISERROR(SEARCH("implemented",H9)))</formula>
    </cfRule>
    <cfRule type="containsText" rank="0" priority="5" equalAverage="0" operator="containsText" aboveAverage="0" dxfId="8" text="tested" percent="0" bottom="0">
      <formula>NOT(ISERROR(SEARCH("tested",H9)))</formula>
    </cfRule>
    <cfRule type="containsText" rank="0" priority="6" equalAverage="0" operator="containsText" aboveAverage="0" dxfId="3" text="verified" percent="0" bottom="0">
      <formula>NOT(ISERROR(SEARCH("verified",H9)))</formula>
    </cfRule>
    <cfRule type="containsText" rank="0" priority="7" equalAverage="0" operator="containsText" aboveAverage="0" dxfId="9" text="blocked" percent="0" bottom="0">
      <formula>NOT(ISERROR(SEARCH("blocked",H9)))</formula>
    </cfRule>
    <cfRule type="containsText" rank="0" priority="8" equalAverage="0" operator="containsText" aboveAverage="0" dxfId="5" text="not applicable" percent="0" bottom="0">
      <formula>NOT(ISERROR(SEARCH("not applicable",H9)))</formula>
    </cfRule>
  </conditionalFormatting>
  <dataValidations count="2">
    <dataValidation sqref="H9:H24" showDropDown="0" showInputMessage="1" showErrorMessage="1" allowBlank="1" type="list" errorStyle="stop" operator="between">
      <formula1>"not started,partial,implemented,tested,verified,blocked,not applicable"</formula1>
      <formula2>0</formula2>
    </dataValidation>
    <dataValidation sqref="I9:I24" showDropDown="0" showInputMessage="1" showErrorMessage="1" allowBlank="1" type="list" errorStyle="stop" operator="between">
      <formula1>"yes,no"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M2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baseColWidth="8" defaultColWidth="8.6796875" defaultRowHeight="15" customHeight="0" zeroHeight="0" outlineLevelRow="0"/>
  <cols>
    <col width="13.71" customWidth="1" style="23" min="1" max="1"/>
    <col width="15.71" customWidth="1" style="23" min="2" max="2"/>
    <col width="18.71" customWidth="1" style="23" min="3" max="3"/>
    <col width="58.71" customWidth="1" style="23" min="4" max="4"/>
    <col width="14.71" customWidth="1" style="23" min="5" max="6"/>
    <col width="50.71" customWidth="1" style="23" min="7" max="7"/>
    <col width="17.71" customWidth="1" style="23" min="8" max="8"/>
    <col width="14.71" customWidth="1" style="23" min="9" max="9"/>
    <col width="14.71" customWidth="1" style="25" min="10" max="10"/>
    <col width="42.71" customWidth="1" style="23" min="11" max="11"/>
    <col width="10.71" customWidth="1" style="23" min="12" max="13"/>
  </cols>
  <sheetData>
    <row r="1" ht="37.5" customHeight="1" s="17">
      <c r="A1" s="18" t="inlineStr">
        <is>
          <t>Badge Evidence</t>
        </is>
      </c>
    </row>
    <row r="2" ht="27.75" customHeight="1" s="17">
      <c r="A2" s="19" t="inlineStr">
        <is>
          <t>Assertion-level package, browser, human-review, documentation, and consumer evidence.</t>
        </is>
      </c>
    </row>
    <row r="4" ht="17.25" customHeight="1" s="17">
      <c r="A4" s="20" t="inlineStr">
        <is>
          <t>Requirements</t>
        </is>
      </c>
      <c r="B4" s="21" t="n">
        <v>16</v>
      </c>
      <c r="D4" s="20" t="inlineStr">
        <is>
          <t>Resolved</t>
        </is>
      </c>
      <c r="E4" s="21" t="n">
        <v>16</v>
      </c>
      <c r="G4" s="20" t="inlineStr">
        <is>
          <t>Completion</t>
        </is>
      </c>
      <c r="H4" s="22" t="n">
        <v>1</v>
      </c>
      <c r="J4" s="20" t="inlineStr">
        <is>
          <t>Package gate</t>
        </is>
      </c>
      <c r="K4" s="21" t="inlineStr">
        <is>
          <t>complete</t>
        </is>
      </c>
    </row>
    <row r="5" ht="17.25" customHeight="1" s="17">
      <c r="A5" s="20" t="inlineStr">
        <is>
          <t>Manual review</t>
        </is>
      </c>
      <c r="B5" s="21" t="inlineStr">
        <is>
          <t>complete</t>
        </is>
      </c>
      <c r="D5" s="20" t="inlineStr">
        <is>
          <t>Consumer gate</t>
        </is>
      </c>
      <c r="E5" s="21" t="inlineStr">
        <is>
          <t>complete</t>
        </is>
      </c>
    </row>
    <row r="8" ht="15" customHeight="1" s="17">
      <c r="A8" s="23" t="inlineStr">
        <is>
          <t>ID</t>
        </is>
      </c>
      <c r="B8" s="23" t="inlineStr">
        <is>
          <t>Area</t>
        </is>
      </c>
      <c r="C8" s="23" t="inlineStr">
        <is>
          <t>Part</t>
        </is>
      </c>
      <c r="D8" s="23" t="inlineStr">
        <is>
          <t>Requirement</t>
        </is>
      </c>
      <c r="E8" s="23" t="inlineStr">
        <is>
          <t>Gate</t>
        </is>
      </c>
      <c r="F8" s="23" t="inlineStr">
        <is>
          <t>Evidence type</t>
        </is>
      </c>
      <c r="G8" s="23" t="inlineStr">
        <is>
          <t>Evidence / link</t>
        </is>
      </c>
      <c r="H8" s="23" t="inlineStr">
        <is>
          <t>Status</t>
        </is>
      </c>
      <c r="I8" s="23" t="inlineStr">
        <is>
          <t>Human review?</t>
        </is>
      </c>
      <c r="J8" s="25" t="inlineStr">
        <is>
          <t>Last verified</t>
        </is>
      </c>
      <c r="K8" s="23" t="inlineStr">
        <is>
          <t>Blocker / N/A reason</t>
        </is>
      </c>
      <c r="L8" s="23" t="inlineStr">
        <is>
          <t>Weight</t>
        </is>
      </c>
      <c r="M8" s="23" t="inlineStr">
        <is>
          <t>Resolved</t>
        </is>
      </c>
    </row>
    <row r="9" ht="42" customHeight="1" s="17">
      <c r="A9" s="23" t="inlineStr">
        <is>
          <t>B-01</t>
        </is>
      </c>
      <c r="B9" s="23" t="inlineStr">
        <is>
          <t>Implementation</t>
        </is>
      </c>
      <c r="C9" s="23" t="inlineStr">
        <is>
          <t>Badge</t>
        </is>
      </c>
      <c r="D9" s="23" t="inlineStr">
        <is>
          <t>Public component implementation and Atom adapter exist.</t>
        </is>
      </c>
      <c r="E9" s="23" t="inlineStr">
        <is>
          <t>package</t>
        </is>
      </c>
      <c r="F9" s="23" t="inlineStr">
        <is>
          <t>source</t>
        </is>
      </c>
      <c r="G9" s="23" t="inlineStr">
        <is>
          <t>../src/components/badge</t>
        </is>
      </c>
      <c r="H9" s="23" t="inlineStr">
        <is>
          <t>tested</t>
        </is>
      </c>
      <c r="I9" s="23" t="inlineStr">
        <is>
          <t>no</t>
        </is>
      </c>
      <c r="J9" s="25" t="n">
        <v>46227</v>
      </c>
      <c r="L9" s="23" t="n">
        <v>1</v>
      </c>
      <c r="M9" s="23" t="n">
        <v>1</v>
      </c>
    </row>
    <row r="10" ht="42" customHeight="1" s="17">
      <c r="A10" s="23" t="inlineStr">
        <is>
          <t>B-02</t>
        </is>
      </c>
      <c r="B10" s="23" t="inlineStr">
        <is>
          <t>Exports</t>
        </is>
      </c>
      <c r="C10" s="23" t="inlineStr">
        <is>
          <t>Badge</t>
        </is>
      </c>
      <c r="D10" s="23" t="inlineStr">
        <is>
          <t>Root and public subpath exports expose the component.</t>
        </is>
      </c>
      <c r="E10" s="23" t="inlineStr">
        <is>
          <t>package</t>
        </is>
      </c>
      <c r="F10" s="23" t="inlineStr">
        <is>
          <t>package</t>
        </is>
      </c>
      <c r="G10" s="23" t="inlineStr">
        <is>
          <t>../test/package/package.test.mjs</t>
        </is>
      </c>
      <c r="H10" s="23" t="inlineStr">
        <is>
          <t>tested</t>
        </is>
      </c>
      <c r="I10" s="23" t="inlineStr">
        <is>
          <t>no</t>
        </is>
      </c>
      <c r="J10" s="25" t="n">
        <v>46227</v>
      </c>
      <c r="L10" s="23" t="n">
        <v>1</v>
      </c>
      <c r="M10" s="23" t="n">
        <v>1</v>
      </c>
    </row>
    <row r="11" ht="42" customHeight="1" s="17">
      <c r="A11" s="23" t="inlineStr">
        <is>
          <t>B-03</t>
        </is>
      </c>
      <c r="B11" s="23" t="inlineStr">
        <is>
          <t>Types</t>
        </is>
      </c>
      <c r="C11" s="23" t="inlineStr">
        <is>
          <t>Badge</t>
        </is>
      </c>
      <c r="D11" s="23" t="inlineStr">
        <is>
          <t>Public props, refs, composition branches, and invalid cases type-check.</t>
        </is>
      </c>
      <c r="E11" s="23" t="inlineStr">
        <is>
          <t>package</t>
        </is>
      </c>
      <c r="F11" s="23" t="inlineStr">
        <is>
          <t>types</t>
        </is>
      </c>
      <c r="G11" s="23" t="inlineStr">
        <is>
          <t>../test/types/components/badge.test.ts</t>
        </is>
      </c>
      <c r="H11" s="23" t="inlineStr">
        <is>
          <t>tested</t>
        </is>
      </c>
      <c r="I11" s="23" t="inlineStr">
        <is>
          <t>no</t>
        </is>
      </c>
      <c r="J11" s="25" t="n">
        <v>46227</v>
      </c>
      <c r="L11" s="23" t="n">
        <v>1</v>
      </c>
      <c r="M11" s="23" t="n">
        <v>1</v>
      </c>
    </row>
    <row r="12" ht="42" customHeight="1" s="17">
      <c r="A12" s="23" t="inlineStr">
        <is>
          <t>B-04</t>
        </is>
      </c>
      <c r="B12" s="23" t="inlineStr">
        <is>
          <t>CSS</t>
        </is>
      </c>
      <c r="C12" s="23" t="inlineStr">
        <is>
          <t>Badge</t>
        </is>
      </c>
      <c r="D12" s="23" t="inlineStr">
        <is>
          <t>Static public CSS, classes, slots, recipes, states, and tokens are present.</t>
        </is>
      </c>
      <c r="E12" s="23" t="inlineStr">
        <is>
          <t>package</t>
        </is>
      </c>
      <c r="F12" s="23" t="inlineStr">
        <is>
          <t>css</t>
        </is>
      </c>
      <c r="G12" s="23" t="inlineStr">
        <is>
          <t>../src/components/badge/badge.css</t>
        </is>
      </c>
      <c r="H12" s="23" t="inlineStr">
        <is>
          <t>tested</t>
        </is>
      </c>
      <c r="I12" s="23" t="inlineStr">
        <is>
          <t>no</t>
        </is>
      </c>
      <c r="J12" s="25" t="n">
        <v>46227</v>
      </c>
      <c r="L12" s="23" t="n">
        <v>1</v>
      </c>
      <c r="M12" s="23" t="n">
        <v>1</v>
      </c>
    </row>
    <row r="13" ht="42" customHeight="1" s="17">
      <c r="A13" s="23" t="inlineStr">
        <is>
          <t>B-05</t>
        </is>
      </c>
      <c r="B13" s="23" t="inlineStr">
        <is>
          <t>Unit</t>
        </is>
      </c>
      <c r="C13" s="23" t="inlineStr">
        <is>
          <t>Badge</t>
        </is>
      </c>
      <c r="D13" s="23" t="inlineStr">
        <is>
          <t>Brick-owned DOM, recipes, adapters, and public hooks pass focused tests.</t>
        </is>
      </c>
      <c r="E13" s="23" t="inlineStr">
        <is>
          <t>package</t>
        </is>
      </c>
      <c r="F13" s="23" t="inlineStr">
        <is>
          <t>component</t>
        </is>
      </c>
      <c r="G13" s="23" t="inlineStr">
        <is>
          <t>../test/components/badge/badge.test.tsx</t>
        </is>
      </c>
      <c r="H13" s="23" t="inlineStr">
        <is>
          <t>tested</t>
        </is>
      </c>
      <c r="I13" s="23" t="inlineStr">
        <is>
          <t>no</t>
        </is>
      </c>
      <c r="J13" s="25" t="n">
        <v>46227</v>
      </c>
      <c r="L13" s="23" t="n">
        <v>1</v>
      </c>
      <c r="M13" s="23" t="n">
        <v>1</v>
      </c>
    </row>
    <row r="14" ht="42" customHeight="1" s="17">
      <c r="A14" s="23" t="inlineStr">
        <is>
          <t>B-06</t>
        </is>
      </c>
      <c r="B14" s="23" t="inlineStr">
        <is>
          <t>Browser</t>
        </is>
      </c>
      <c r="C14" s="23" t="inlineStr">
        <is>
          <t>Badge</t>
        </is>
      </c>
      <c r="D14" s="23" t="inlineStr">
        <is>
          <t>Real-browser behavior and component contract checks pass.</t>
        </is>
      </c>
      <c r="E14" s="23" t="inlineStr">
        <is>
          <t>package</t>
        </is>
      </c>
      <c r="F14" s="23" t="inlineStr">
        <is>
          <t>browser</t>
        </is>
      </c>
      <c r="G14" s="23" t="inlineStr">
        <is>
          <t>tests/components/badge/behavior.spec.ts</t>
        </is>
      </c>
      <c r="H14" s="23" t="inlineStr">
        <is>
          <t>tested</t>
        </is>
      </c>
      <c r="I14" s="23" t="inlineStr">
        <is>
          <t>no</t>
        </is>
      </c>
      <c r="J14" s="25" t="n">
        <v>46227</v>
      </c>
      <c r="L14" s="23" t="n">
        <v>1</v>
      </c>
      <c r="M14" s="23" t="n">
        <v>1</v>
      </c>
    </row>
    <row r="15" ht="42" customHeight="1" s="17">
      <c r="A15" s="23" t="inlineStr">
        <is>
          <t>B-07</t>
        </is>
      </c>
      <c r="B15" s="23" t="inlineStr">
        <is>
          <t>Accessibility</t>
        </is>
      </c>
      <c r="C15" s="23" t="inlineStr">
        <is>
          <t>Badge</t>
        </is>
      </c>
      <c r="D15" s="23" t="inlineStr">
        <is>
          <t>Automated semantics and accessibility checks pass in the browser evidence suite.</t>
        </is>
      </c>
      <c r="E15" s="23" t="inlineStr">
        <is>
          <t>package</t>
        </is>
      </c>
      <c r="F15" s="23" t="inlineStr">
        <is>
          <t>axe</t>
        </is>
      </c>
      <c r="G15" s="23" t="inlineStr">
        <is>
          <t>tests/components/badge/behavior.spec.ts; tests/integration</t>
        </is>
      </c>
      <c r="H15" s="23" t="inlineStr">
        <is>
          <t>tested</t>
        </is>
      </c>
      <c r="I15" s="23" t="inlineStr">
        <is>
          <t>no</t>
        </is>
      </c>
      <c r="J15" s="25" t="n">
        <v>46227</v>
      </c>
      <c r="L15" s="23" t="n">
        <v>1</v>
      </c>
      <c r="M15" s="23" t="n">
        <v>1</v>
      </c>
    </row>
    <row r="16" ht="42" customHeight="1" s="17">
      <c r="A16" s="23" t="inlineStr">
        <is>
          <t>B-08</t>
        </is>
      </c>
      <c r="B16" s="23" t="inlineStr">
        <is>
          <t>Visual</t>
        </is>
      </c>
      <c r="C16" s="23" t="inlineStr">
        <is>
          <t>Badge</t>
        </is>
      </c>
      <c r="D16" s="23" t="inlineStr">
        <is>
          <t>Reviewed baselines cover the component's risk-selected recipes and states.</t>
        </is>
      </c>
      <c r="E16" s="23" t="inlineStr">
        <is>
          <t>package</t>
        </is>
      </c>
      <c r="F16" s="23" t="inlineStr">
        <is>
          <t>visual</t>
        </is>
      </c>
      <c r="G16" s="23" t="inlineStr">
        <is>
          <t>tests/components/badge/visual.spec.ts</t>
        </is>
      </c>
      <c r="H16" s="23" t="inlineStr">
        <is>
          <t>verified</t>
        </is>
      </c>
      <c r="I16" s="23" t="inlineStr">
        <is>
          <t>yes</t>
        </is>
      </c>
      <c r="J16" s="25" t="n">
        <v>46227</v>
      </c>
      <c r="K16" s="23" t="inlineStr">
        <is>
          <t>Owner reviewed the current playground evidence.</t>
        </is>
      </c>
      <c r="L16" s="23" t="n">
        <v>1</v>
      </c>
      <c r="M16" s="23" t="n">
        <v>1</v>
      </c>
    </row>
    <row r="17" ht="42" customHeight="1" s="17">
      <c r="A17" s="23" t="inlineStr">
        <is>
          <t>B-09</t>
        </is>
      </c>
      <c r="B17" s="23" t="inlineStr">
        <is>
          <t>Responsive</t>
        </is>
      </c>
      <c r="C17" s="23" t="inlineStr">
        <is>
          <t>Badge</t>
        </is>
      </c>
      <c r="D17" s="23" t="inlineStr">
        <is>
          <t>Mobile, zoom/reflow, content stress, and RTL remain usable and contained.</t>
        </is>
      </c>
      <c r="E17" s="23" t="inlineStr">
        <is>
          <t>package</t>
        </is>
      </c>
      <c r="F17" s="23" t="inlineStr">
        <is>
          <t>manual</t>
        </is>
      </c>
      <c r="G17" s="23" t="inlineStr">
        <is>
          <t>manual-tests/badge.md</t>
        </is>
      </c>
      <c r="H17" s="23" t="inlineStr">
        <is>
          <t>verified</t>
        </is>
      </c>
      <c r="I17" s="23" t="inlineStr">
        <is>
          <t>yes</t>
        </is>
      </c>
      <c r="J17" s="25" t="n">
        <v>46227</v>
      </c>
      <c r="K17" s="23" t="inlineStr">
        <is>
          <t>Owner completed the current manual protocol.</t>
        </is>
      </c>
      <c r="L17" s="23" t="n">
        <v>1</v>
      </c>
      <c r="M17" s="23" t="n">
        <v>1</v>
      </c>
    </row>
    <row r="18" ht="42" customHeight="1" s="17">
      <c r="A18" s="23" t="inlineStr">
        <is>
          <t>B-10</t>
        </is>
      </c>
      <c r="B18" s="23" t="inlineStr">
        <is>
          <t>Theme</t>
        </is>
      </c>
      <c r="C18" s="23" t="inlineStr">
        <is>
          <t>Badge</t>
        </is>
      </c>
      <c r="D18" s="23" t="inlineStr">
        <is>
          <t>Light, dark, focus, forced-colors, and relevant motion behavior remain perceivable.</t>
        </is>
      </c>
      <c r="E18" s="23" t="inlineStr">
        <is>
          <t>package</t>
        </is>
      </c>
      <c r="F18" s="23" t="inlineStr">
        <is>
          <t>manual</t>
        </is>
      </c>
      <c r="G18" s="23" t="inlineStr">
        <is>
          <t>manual-tests/badge.md</t>
        </is>
      </c>
      <c r="H18" s="23" t="inlineStr">
        <is>
          <t>verified</t>
        </is>
      </c>
      <c r="I18" s="23" t="inlineStr">
        <is>
          <t>yes</t>
        </is>
      </c>
      <c r="J18" s="25" t="n">
        <v>46227</v>
      </c>
      <c r="K18" s="23" t="inlineStr">
        <is>
          <t>Owner completed the current manual protocol.</t>
        </is>
      </c>
      <c r="L18" s="23" t="n">
        <v>1</v>
      </c>
      <c r="M18" s="23" t="n">
        <v>1</v>
      </c>
    </row>
    <row r="19" ht="42" customHeight="1" s="17">
      <c r="A19" s="23" t="inlineStr">
        <is>
          <t>B-11</t>
        </is>
      </c>
      <c r="B19" s="23" t="inlineStr">
        <is>
          <t>Composition</t>
        </is>
      </c>
      <c r="C19" s="23" t="inlineStr">
        <is>
          <t>Badge</t>
        </is>
      </c>
      <c r="D19" s="23" t="inlineStr">
        <is>
          <t>Default, render, and asChild output preserve the intended element, slots, state, and relationships.</t>
        </is>
      </c>
      <c r="E19" s="23" t="inlineStr">
        <is>
          <t>package</t>
        </is>
      </c>
      <c r="F19" s="23" t="inlineStr">
        <is>
          <t>manual</t>
        </is>
      </c>
      <c r="G19" s="23" t="inlineStr">
        <is>
          <t>manual-tests/badge.md; tests/components/badge/behavior.spec.ts</t>
        </is>
      </c>
      <c r="H19" s="23" t="inlineStr">
        <is>
          <t>verified</t>
        </is>
      </c>
      <c r="I19" s="23" t="inlineStr">
        <is>
          <t>yes</t>
        </is>
      </c>
      <c r="J19" s="25" t="n">
        <v>46227</v>
      </c>
      <c r="K19" s="23" t="inlineStr">
        <is>
          <t>Owner reviewed the live and rendered output evidence.</t>
        </is>
      </c>
      <c r="L19" s="23" t="n">
        <v>1</v>
      </c>
      <c r="M19" s="23" t="n">
        <v>1</v>
      </c>
    </row>
    <row r="20" ht="42" customHeight="1" s="17">
      <c r="A20" s="23" t="inlineStr">
        <is>
          <t>B-12</t>
        </is>
      </c>
      <c r="B20" s="23" t="inlineStr">
        <is>
          <t>Manual</t>
        </is>
      </c>
      <c r="C20" s="23" t="inlineStr">
        <is>
          <t>Badge</t>
        </is>
      </c>
      <c r="D20" s="23" t="inlineStr">
        <is>
          <t>The complete component-owned manual protocol passed against every playground scenario.</t>
        </is>
      </c>
      <c r="E20" s="23" t="inlineStr">
        <is>
          <t>package</t>
        </is>
      </c>
      <c r="F20" s="23" t="inlineStr">
        <is>
          <t>manual</t>
        </is>
      </c>
      <c r="G20" s="23" t="inlineStr">
        <is>
          <t>manual-tests/badge.md</t>
        </is>
      </c>
      <c r="H20" s="23" t="inlineStr">
        <is>
          <t>verified</t>
        </is>
      </c>
      <c r="I20" s="23" t="inlineStr">
        <is>
          <t>yes</t>
        </is>
      </c>
      <c r="J20" s="25" t="n">
        <v>46227</v>
      </c>
      <c r="K20" s="23" t="inlineStr">
        <is>
          <t>Owner confirmed completion on 2026-07-24.</t>
        </is>
      </c>
      <c r="L20" s="23" t="n">
        <v>1</v>
      </c>
      <c r="M20" s="23" t="n">
        <v>1</v>
      </c>
    </row>
    <row r="21" ht="42" customHeight="1" s="17">
      <c r="A21" s="23" t="inlineStr">
        <is>
          <t>B-13</t>
        </is>
      </c>
      <c r="B21" s="23" t="inlineStr">
        <is>
          <t>Docs</t>
        </is>
      </c>
      <c r="C21" s="23" t="inlineStr">
        <is>
          <t>Badge</t>
        </is>
      </c>
      <c r="D21" s="23" t="inlineStr">
        <is>
          <t>Public usage documentation exists at the component-owned path.</t>
        </is>
      </c>
      <c r="E21" s="23" t="inlineStr">
        <is>
          <t>package</t>
        </is>
      </c>
      <c r="F21" s="23" t="inlineStr">
        <is>
          <t>docs</t>
        </is>
      </c>
      <c r="G21" s="23" t="inlineStr">
        <is>
          <t>../docs/components/badge/README.md</t>
        </is>
      </c>
      <c r="H21" s="23" t="inlineStr">
        <is>
          <t>tested</t>
        </is>
      </c>
      <c r="I21" s="23" t="inlineStr">
        <is>
          <t>no</t>
        </is>
      </c>
      <c r="J21" s="25" t="n">
        <v>46227</v>
      </c>
      <c r="L21" s="23" t="n">
        <v>1</v>
      </c>
      <c r="M21" s="23" t="n">
        <v>1</v>
      </c>
    </row>
    <row r="22" ht="42" customHeight="1" s="17">
      <c r="A22" s="23" t="inlineStr">
        <is>
          <t>B-14</t>
        </is>
      </c>
      <c r="B22" s="23" t="inlineStr">
        <is>
          <t>Changelog</t>
        </is>
      </c>
      <c r="C22" s="23" t="inlineStr">
        <is>
          <t>Badge</t>
        </is>
      </c>
      <c r="D22" s="23" t="inlineStr">
        <is>
          <t>The component owns a public changelog.</t>
        </is>
      </c>
      <c r="E22" s="23" t="inlineStr">
        <is>
          <t>package</t>
        </is>
      </c>
      <c r="F22" s="23" t="inlineStr">
        <is>
          <t>docs</t>
        </is>
      </c>
      <c r="G22" s="23" t="inlineStr">
        <is>
          <t>../docs/components/badge/CHANGELOG.md</t>
        </is>
      </c>
      <c r="H22" s="23" t="inlineStr">
        <is>
          <t>tested</t>
        </is>
      </c>
      <c r="I22" s="23" t="inlineStr">
        <is>
          <t>no</t>
        </is>
      </c>
      <c r="J22" s="25" t="n">
        <v>46227</v>
      </c>
      <c r="L22" s="23" t="n">
        <v>1</v>
      </c>
      <c r="M22" s="23" t="n">
        <v>1</v>
      </c>
    </row>
    <row r="23" ht="42" customHeight="1" s="17">
      <c r="A23" s="23" t="inlineStr">
        <is>
          <t>B-15</t>
        </is>
      </c>
      <c r="B23" s="23" t="inlineStr">
        <is>
          <t>Consumer</t>
        </is>
      </c>
      <c r="C23" s="23" t="inlineStr">
        <is>
          <t>Badge</t>
        </is>
      </c>
      <c r="D23" s="23" t="inlineStr">
        <is>
          <t>The standalone consumer imports and exercises the public package component.</t>
        </is>
      </c>
      <c r="E23" s="23" t="inlineStr">
        <is>
          <t>consumer</t>
        </is>
      </c>
      <c r="F23" s="23" t="inlineStr">
        <is>
          <t>consumer</t>
        </is>
      </c>
      <c r="G23" s="23" t="inlineStr">
        <is>
          <t>../apps/consumer/src/App.tsx; ../apps/consumer/tests/consumer.spec.ts</t>
        </is>
      </c>
      <c r="H23" s="23" t="inlineStr">
        <is>
          <t>tested</t>
        </is>
      </c>
      <c r="I23" s="23" t="inlineStr">
        <is>
          <t>no</t>
        </is>
      </c>
      <c r="J23" s="25" t="n">
        <v>46227</v>
      </c>
      <c r="L23" s="23" t="n">
        <v>1</v>
      </c>
      <c r="M23" s="23" t="n">
        <v>1</v>
      </c>
    </row>
    <row r="24" ht="42" customHeight="1" s="17">
      <c r="A24" s="23" t="inlineStr">
        <is>
          <t>B-16</t>
        </is>
      </c>
      <c r="B24" s="23" t="inlineStr">
        <is>
          <t>Package</t>
        </is>
      </c>
      <c r="C24" s="23" t="inlineStr">
        <is>
          <t>Badge</t>
        </is>
      </c>
      <c r="D24" s="23" t="inlineStr">
        <is>
          <t>Build, exports, tarball, CSS, and consumer boundary verification pass.</t>
        </is>
      </c>
      <c r="E24" s="23" t="inlineStr">
        <is>
          <t>package</t>
        </is>
      </c>
      <c r="F24" s="23" t="inlineStr">
        <is>
          <t>package</t>
        </is>
      </c>
      <c r="G24" s="23" t="inlineStr">
        <is>
          <t>../scripts/verify-package.mjs; ../scripts/verify-consumers.mjs</t>
        </is>
      </c>
      <c r="H24" s="23" t="inlineStr">
        <is>
          <t>tested</t>
        </is>
      </c>
      <c r="I24" s="23" t="inlineStr">
        <is>
          <t>no</t>
        </is>
      </c>
      <c r="J24" s="25" t="n">
        <v>46227</v>
      </c>
      <c r="L24" s="23" t="n">
        <v>1</v>
      </c>
      <c r="M24" s="23" t="n">
        <v>1</v>
      </c>
    </row>
  </sheetData>
  <mergeCells count="2">
    <mergeCell ref="A2:M2"/>
    <mergeCell ref="A1:M1"/>
  </mergeCells>
  <conditionalFormatting sqref="H9:H24">
    <cfRule type="containsText" rank="0" priority="2" equalAverage="0" operator="containsText" aboveAverage="0" dxfId="5" text="not started" percent="0" bottom="0">
      <formula>NOT(ISERROR(SEARCH("not started",H9)))</formula>
    </cfRule>
    <cfRule type="containsText" rank="0" priority="3" equalAverage="0" operator="containsText" aboveAverage="0" dxfId="6" text="partial" percent="0" bottom="0">
      <formula>NOT(ISERROR(SEARCH("partial",H9)))</formula>
    </cfRule>
    <cfRule type="containsText" rank="0" priority="4" equalAverage="0" operator="containsText" aboveAverage="0" dxfId="7" text="implemented" percent="0" bottom="0">
      <formula>NOT(ISERROR(SEARCH("implemented",H9)))</formula>
    </cfRule>
    <cfRule type="containsText" rank="0" priority="5" equalAverage="0" operator="containsText" aboveAverage="0" dxfId="8" text="tested" percent="0" bottom="0">
      <formula>NOT(ISERROR(SEARCH("tested",H9)))</formula>
    </cfRule>
    <cfRule type="containsText" rank="0" priority="6" equalAverage="0" operator="containsText" aboveAverage="0" dxfId="3" text="verified" percent="0" bottom="0">
      <formula>NOT(ISERROR(SEARCH("verified",H9)))</formula>
    </cfRule>
    <cfRule type="containsText" rank="0" priority="7" equalAverage="0" operator="containsText" aboveAverage="0" dxfId="9" text="blocked" percent="0" bottom="0">
      <formula>NOT(ISERROR(SEARCH("blocked",H9)))</formula>
    </cfRule>
    <cfRule type="containsText" rank="0" priority="8" equalAverage="0" operator="containsText" aboveAverage="0" dxfId="5" text="not applicable" percent="0" bottom="0">
      <formula>NOT(ISERROR(SEARCH("not applicable",H9)))</formula>
    </cfRule>
  </conditionalFormatting>
  <dataValidations count="2">
    <dataValidation sqref="H9:H24" showDropDown="0" showInputMessage="1" showErrorMessage="1" allowBlank="1" type="list" errorStyle="stop" operator="between">
      <formula1>"not started,partial,implemented,tested,verified,blocked,not applicable"</formula1>
      <formula2>0</formula2>
    </dataValidation>
    <dataValidation sqref="I9:I24" showDropDown="0" showInputMessage="1" showErrorMessage="1" allowBlank="1" type="list" errorStyle="stop" operator="between">
      <formula1>"yes,no"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M2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baseColWidth="8" defaultColWidth="8.6796875" defaultRowHeight="15" customHeight="0" zeroHeight="0" outlineLevelRow="0"/>
  <cols>
    <col width="13.71" customWidth="1" style="23" min="1" max="1"/>
    <col width="15.71" customWidth="1" style="23" min="2" max="2"/>
    <col width="18.71" customWidth="1" style="23" min="3" max="3"/>
    <col width="58.71" customWidth="1" style="23" min="4" max="4"/>
    <col width="14.71" customWidth="1" style="23" min="5" max="6"/>
    <col width="50.71" customWidth="1" style="23" min="7" max="7"/>
    <col width="17.71" customWidth="1" style="23" min="8" max="8"/>
    <col width="14.71" customWidth="1" style="23" min="9" max="9"/>
    <col width="14.71" customWidth="1" style="25" min="10" max="10"/>
    <col width="42.71" customWidth="1" style="23" min="11" max="11"/>
    <col width="10.71" customWidth="1" style="23" min="12" max="13"/>
  </cols>
  <sheetData>
    <row r="1" ht="37.5" customHeight="1" s="17">
      <c r="A1" s="18" t="inlineStr">
        <is>
          <t>Button Evidence</t>
        </is>
      </c>
    </row>
    <row r="2" ht="27.75" customHeight="1" s="17">
      <c r="A2" s="19" t="inlineStr">
        <is>
          <t>Assertion-level package, browser, human-review, documentation, and consumer evidence.</t>
        </is>
      </c>
    </row>
    <row r="4" ht="17.25" customHeight="1" s="17">
      <c r="A4" s="20" t="inlineStr">
        <is>
          <t>Requirements</t>
        </is>
      </c>
      <c r="B4" s="21" t="n">
        <v>16</v>
      </c>
      <c r="D4" s="20" t="inlineStr">
        <is>
          <t>Resolved</t>
        </is>
      </c>
      <c r="E4" s="21" t="n">
        <v>16</v>
      </c>
      <c r="G4" s="20" t="inlineStr">
        <is>
          <t>Completion</t>
        </is>
      </c>
      <c r="H4" s="22" t="n">
        <v>1</v>
      </c>
      <c r="J4" s="20" t="inlineStr">
        <is>
          <t>Package gate</t>
        </is>
      </c>
      <c r="K4" s="21" t="inlineStr">
        <is>
          <t>complete</t>
        </is>
      </c>
    </row>
    <row r="5" ht="17.25" customHeight="1" s="17">
      <c r="A5" s="20" t="inlineStr">
        <is>
          <t>Manual review</t>
        </is>
      </c>
      <c r="B5" s="21" t="inlineStr">
        <is>
          <t>complete</t>
        </is>
      </c>
      <c r="D5" s="20" t="inlineStr">
        <is>
          <t>Consumer gate</t>
        </is>
      </c>
      <c r="E5" s="21" t="inlineStr">
        <is>
          <t>complete</t>
        </is>
      </c>
    </row>
    <row r="8" ht="15" customHeight="1" s="17">
      <c r="A8" s="23" t="inlineStr">
        <is>
          <t>ID</t>
        </is>
      </c>
      <c r="B8" s="23" t="inlineStr">
        <is>
          <t>Area</t>
        </is>
      </c>
      <c r="C8" s="23" t="inlineStr">
        <is>
          <t>Part</t>
        </is>
      </c>
      <c r="D8" s="23" t="inlineStr">
        <is>
          <t>Requirement</t>
        </is>
      </c>
      <c r="E8" s="23" t="inlineStr">
        <is>
          <t>Gate</t>
        </is>
      </c>
      <c r="F8" s="23" t="inlineStr">
        <is>
          <t>Evidence type</t>
        </is>
      </c>
      <c r="G8" s="23" t="inlineStr">
        <is>
          <t>Evidence / link</t>
        </is>
      </c>
      <c r="H8" s="23" t="inlineStr">
        <is>
          <t>Status</t>
        </is>
      </c>
      <c r="I8" s="23" t="inlineStr">
        <is>
          <t>Human review?</t>
        </is>
      </c>
      <c r="J8" s="25" t="inlineStr">
        <is>
          <t>Last verified</t>
        </is>
      </c>
      <c r="K8" s="23" t="inlineStr">
        <is>
          <t>Blocker / N/A reason</t>
        </is>
      </c>
      <c r="L8" s="23" t="inlineStr">
        <is>
          <t>Weight</t>
        </is>
      </c>
      <c r="M8" s="23" t="inlineStr">
        <is>
          <t>Resolved</t>
        </is>
      </c>
    </row>
    <row r="9" ht="42" customHeight="1" s="17">
      <c r="A9" s="23" t="inlineStr">
        <is>
          <t>B-01</t>
        </is>
      </c>
      <c r="B9" s="23" t="inlineStr">
        <is>
          <t>Implementation</t>
        </is>
      </c>
      <c r="C9" s="23" t="inlineStr">
        <is>
          <t>Button</t>
        </is>
      </c>
      <c r="D9" s="23" t="inlineStr">
        <is>
          <t>Public component implementation and Atom adapter exist.</t>
        </is>
      </c>
      <c r="E9" s="23" t="inlineStr">
        <is>
          <t>package</t>
        </is>
      </c>
      <c r="F9" s="23" t="inlineStr">
        <is>
          <t>source</t>
        </is>
      </c>
      <c r="G9" s="23" t="inlineStr">
        <is>
          <t>../src/components/button</t>
        </is>
      </c>
      <c r="H9" s="23" t="inlineStr">
        <is>
          <t>tested</t>
        </is>
      </c>
      <c r="I9" s="23" t="inlineStr">
        <is>
          <t>no</t>
        </is>
      </c>
      <c r="J9" s="25" t="n">
        <v>46227</v>
      </c>
      <c r="L9" s="23" t="n">
        <v>1</v>
      </c>
      <c r="M9" s="23" t="n">
        <v>1</v>
      </c>
    </row>
    <row r="10" ht="42" customHeight="1" s="17">
      <c r="A10" s="23" t="inlineStr">
        <is>
          <t>B-02</t>
        </is>
      </c>
      <c r="B10" s="23" t="inlineStr">
        <is>
          <t>Exports</t>
        </is>
      </c>
      <c r="C10" s="23" t="inlineStr">
        <is>
          <t>Button</t>
        </is>
      </c>
      <c r="D10" s="23" t="inlineStr">
        <is>
          <t>Root and public subpath exports expose the component.</t>
        </is>
      </c>
      <c r="E10" s="23" t="inlineStr">
        <is>
          <t>package</t>
        </is>
      </c>
      <c r="F10" s="23" t="inlineStr">
        <is>
          <t>package</t>
        </is>
      </c>
      <c r="G10" s="23" t="inlineStr">
        <is>
          <t>../test/package/package.test.mjs</t>
        </is>
      </c>
      <c r="H10" s="23" t="inlineStr">
        <is>
          <t>tested</t>
        </is>
      </c>
      <c r="I10" s="23" t="inlineStr">
        <is>
          <t>no</t>
        </is>
      </c>
      <c r="J10" s="25" t="n">
        <v>46227</v>
      </c>
      <c r="L10" s="23" t="n">
        <v>1</v>
      </c>
      <c r="M10" s="23" t="n">
        <v>1</v>
      </c>
    </row>
    <row r="11" ht="42" customHeight="1" s="17">
      <c r="A11" s="23" t="inlineStr">
        <is>
          <t>B-03</t>
        </is>
      </c>
      <c r="B11" s="23" t="inlineStr">
        <is>
          <t>Types</t>
        </is>
      </c>
      <c r="C11" s="23" t="inlineStr">
        <is>
          <t>Button</t>
        </is>
      </c>
      <c r="D11" s="23" t="inlineStr">
        <is>
          <t>Public props, refs, composition branches, and invalid cases type-check.</t>
        </is>
      </c>
      <c r="E11" s="23" t="inlineStr">
        <is>
          <t>package</t>
        </is>
      </c>
      <c r="F11" s="23" t="inlineStr">
        <is>
          <t>types</t>
        </is>
      </c>
      <c r="G11" s="23" t="inlineStr">
        <is>
          <t>../test/types/components/button.test.ts</t>
        </is>
      </c>
      <c r="H11" s="23" t="inlineStr">
        <is>
          <t>tested</t>
        </is>
      </c>
      <c r="I11" s="23" t="inlineStr">
        <is>
          <t>no</t>
        </is>
      </c>
      <c r="J11" s="25" t="n">
        <v>46227</v>
      </c>
      <c r="L11" s="23" t="n">
        <v>1</v>
      </c>
      <c r="M11" s="23" t="n">
        <v>1</v>
      </c>
    </row>
    <row r="12" ht="42" customHeight="1" s="17">
      <c r="A12" s="23" t="inlineStr">
        <is>
          <t>B-04</t>
        </is>
      </c>
      <c r="B12" s="23" t="inlineStr">
        <is>
          <t>CSS</t>
        </is>
      </c>
      <c r="C12" s="23" t="inlineStr">
        <is>
          <t>Button</t>
        </is>
      </c>
      <c r="D12" s="23" t="inlineStr">
        <is>
          <t>Static public CSS, classes, slots, recipes, states, and tokens are present.</t>
        </is>
      </c>
      <c r="E12" s="23" t="inlineStr">
        <is>
          <t>package</t>
        </is>
      </c>
      <c r="F12" s="23" t="inlineStr">
        <is>
          <t>css</t>
        </is>
      </c>
      <c r="G12" s="23" t="inlineStr">
        <is>
          <t>../src/components/button/button.css</t>
        </is>
      </c>
      <c r="H12" s="23" t="inlineStr">
        <is>
          <t>tested</t>
        </is>
      </c>
      <c r="I12" s="23" t="inlineStr">
        <is>
          <t>no</t>
        </is>
      </c>
      <c r="J12" s="25" t="n">
        <v>46227</v>
      </c>
      <c r="L12" s="23" t="n">
        <v>1</v>
      </c>
      <c r="M12" s="23" t="n">
        <v>1</v>
      </c>
    </row>
    <row r="13" ht="42" customHeight="1" s="17">
      <c r="A13" s="23" t="inlineStr">
        <is>
          <t>B-05</t>
        </is>
      </c>
      <c r="B13" s="23" t="inlineStr">
        <is>
          <t>Unit</t>
        </is>
      </c>
      <c r="C13" s="23" t="inlineStr">
        <is>
          <t>Button</t>
        </is>
      </c>
      <c r="D13" s="23" t="inlineStr">
        <is>
          <t>Brick-owned DOM, recipes, adapters, and public hooks pass focused tests.</t>
        </is>
      </c>
      <c r="E13" s="23" t="inlineStr">
        <is>
          <t>package</t>
        </is>
      </c>
      <c r="F13" s="23" t="inlineStr">
        <is>
          <t>component</t>
        </is>
      </c>
      <c r="G13" s="23" t="inlineStr">
        <is>
          <t>../test/components/button/button.test.tsx</t>
        </is>
      </c>
      <c r="H13" s="23" t="inlineStr">
        <is>
          <t>tested</t>
        </is>
      </c>
      <c r="I13" s="23" t="inlineStr">
        <is>
          <t>no</t>
        </is>
      </c>
      <c r="J13" s="25" t="n">
        <v>46227</v>
      </c>
      <c r="L13" s="23" t="n">
        <v>1</v>
      </c>
      <c r="M13" s="23" t="n">
        <v>1</v>
      </c>
    </row>
    <row r="14" ht="42" customHeight="1" s="17">
      <c r="A14" s="23" t="inlineStr">
        <is>
          <t>B-06</t>
        </is>
      </c>
      <c r="B14" s="23" t="inlineStr">
        <is>
          <t>Browser</t>
        </is>
      </c>
      <c r="C14" s="23" t="inlineStr">
        <is>
          <t>Button</t>
        </is>
      </c>
      <c r="D14" s="23" t="inlineStr">
        <is>
          <t>Real-browser behavior and component contract checks pass.</t>
        </is>
      </c>
      <c r="E14" s="23" t="inlineStr">
        <is>
          <t>package</t>
        </is>
      </c>
      <c r="F14" s="23" t="inlineStr">
        <is>
          <t>browser</t>
        </is>
      </c>
      <c r="G14" s="23" t="inlineStr">
        <is>
          <t>tests/components/button/behavior.spec.ts</t>
        </is>
      </c>
      <c r="H14" s="23" t="inlineStr">
        <is>
          <t>tested</t>
        </is>
      </c>
      <c r="I14" s="23" t="inlineStr">
        <is>
          <t>no</t>
        </is>
      </c>
      <c r="J14" s="25" t="n">
        <v>46227</v>
      </c>
      <c r="L14" s="23" t="n">
        <v>1</v>
      </c>
      <c r="M14" s="23" t="n">
        <v>1</v>
      </c>
    </row>
    <row r="15" ht="42" customHeight="1" s="17">
      <c r="A15" s="23" t="inlineStr">
        <is>
          <t>B-07</t>
        </is>
      </c>
      <c r="B15" s="23" t="inlineStr">
        <is>
          <t>Accessibility</t>
        </is>
      </c>
      <c r="C15" s="23" t="inlineStr">
        <is>
          <t>Button</t>
        </is>
      </c>
      <c r="D15" s="23" t="inlineStr">
        <is>
          <t>Automated semantics and accessibility checks pass in the browser evidence suite.</t>
        </is>
      </c>
      <c r="E15" s="23" t="inlineStr">
        <is>
          <t>package</t>
        </is>
      </c>
      <c r="F15" s="23" t="inlineStr">
        <is>
          <t>axe</t>
        </is>
      </c>
      <c r="G15" s="23" t="inlineStr">
        <is>
          <t>tests/components/button/behavior.spec.ts; tests/integration</t>
        </is>
      </c>
      <c r="H15" s="23" t="inlineStr">
        <is>
          <t>tested</t>
        </is>
      </c>
      <c r="I15" s="23" t="inlineStr">
        <is>
          <t>no</t>
        </is>
      </c>
      <c r="J15" s="25" t="n">
        <v>46227</v>
      </c>
      <c r="L15" s="23" t="n">
        <v>1</v>
      </c>
      <c r="M15" s="23" t="n">
        <v>1</v>
      </c>
    </row>
    <row r="16" ht="42" customHeight="1" s="17">
      <c r="A16" s="23" t="inlineStr">
        <is>
          <t>B-08</t>
        </is>
      </c>
      <c r="B16" s="23" t="inlineStr">
        <is>
          <t>Visual</t>
        </is>
      </c>
      <c r="C16" s="23" t="inlineStr">
        <is>
          <t>Button</t>
        </is>
      </c>
      <c r="D16" s="23" t="inlineStr">
        <is>
          <t>Reviewed baselines cover the component's risk-selected recipes and states.</t>
        </is>
      </c>
      <c r="E16" s="23" t="inlineStr">
        <is>
          <t>package</t>
        </is>
      </c>
      <c r="F16" s="23" t="inlineStr">
        <is>
          <t>visual</t>
        </is>
      </c>
      <c r="G16" s="23" t="inlineStr">
        <is>
          <t>tests/components/button/visual.spec.ts</t>
        </is>
      </c>
      <c r="H16" s="23" t="inlineStr">
        <is>
          <t>verified</t>
        </is>
      </c>
      <c r="I16" s="23" t="inlineStr">
        <is>
          <t>yes</t>
        </is>
      </c>
      <c r="J16" s="25" t="n">
        <v>46227</v>
      </c>
      <c r="K16" s="23" t="inlineStr">
        <is>
          <t>Owner reviewed the current playground evidence.</t>
        </is>
      </c>
      <c r="L16" s="23" t="n">
        <v>1</v>
      </c>
      <c r="M16" s="23" t="n">
        <v>1</v>
      </c>
    </row>
    <row r="17" ht="42" customHeight="1" s="17">
      <c r="A17" s="23" t="inlineStr">
        <is>
          <t>B-09</t>
        </is>
      </c>
      <c r="B17" s="23" t="inlineStr">
        <is>
          <t>Responsive</t>
        </is>
      </c>
      <c r="C17" s="23" t="inlineStr">
        <is>
          <t>Button</t>
        </is>
      </c>
      <c r="D17" s="23" t="inlineStr">
        <is>
          <t>Mobile, zoom/reflow, content stress, and RTL remain usable and contained.</t>
        </is>
      </c>
      <c r="E17" s="23" t="inlineStr">
        <is>
          <t>package</t>
        </is>
      </c>
      <c r="F17" s="23" t="inlineStr">
        <is>
          <t>manual</t>
        </is>
      </c>
      <c r="G17" s="23" t="inlineStr">
        <is>
          <t>manual-tests/button.md</t>
        </is>
      </c>
      <c r="H17" s="23" t="inlineStr">
        <is>
          <t>verified</t>
        </is>
      </c>
      <c r="I17" s="23" t="inlineStr">
        <is>
          <t>yes</t>
        </is>
      </c>
      <c r="J17" s="25" t="n">
        <v>46227</v>
      </c>
      <c r="K17" s="23" t="inlineStr">
        <is>
          <t>Owner completed the current manual protocol.</t>
        </is>
      </c>
      <c r="L17" s="23" t="n">
        <v>1</v>
      </c>
      <c r="M17" s="23" t="n">
        <v>1</v>
      </c>
    </row>
    <row r="18" ht="42" customHeight="1" s="17">
      <c r="A18" s="23" t="inlineStr">
        <is>
          <t>B-10</t>
        </is>
      </c>
      <c r="B18" s="23" t="inlineStr">
        <is>
          <t>Theme</t>
        </is>
      </c>
      <c r="C18" s="23" t="inlineStr">
        <is>
          <t>Button</t>
        </is>
      </c>
      <c r="D18" s="23" t="inlineStr">
        <is>
          <t>Light, dark, focus, forced-colors, and relevant motion behavior remain perceivable.</t>
        </is>
      </c>
      <c r="E18" s="23" t="inlineStr">
        <is>
          <t>package</t>
        </is>
      </c>
      <c r="F18" s="23" t="inlineStr">
        <is>
          <t>manual</t>
        </is>
      </c>
      <c r="G18" s="23" t="inlineStr">
        <is>
          <t>manual-tests/button.md</t>
        </is>
      </c>
      <c r="H18" s="23" t="inlineStr">
        <is>
          <t>verified</t>
        </is>
      </c>
      <c r="I18" s="23" t="inlineStr">
        <is>
          <t>yes</t>
        </is>
      </c>
      <c r="J18" s="25" t="n">
        <v>46227</v>
      </c>
      <c r="K18" s="23" t="inlineStr">
        <is>
          <t>Owner completed the current manual protocol.</t>
        </is>
      </c>
      <c r="L18" s="23" t="n">
        <v>1</v>
      </c>
      <c r="M18" s="23" t="n">
        <v>1</v>
      </c>
    </row>
    <row r="19" ht="42" customHeight="1" s="17">
      <c r="A19" s="23" t="inlineStr">
        <is>
          <t>B-11</t>
        </is>
      </c>
      <c r="B19" s="23" t="inlineStr">
        <is>
          <t>Composition</t>
        </is>
      </c>
      <c r="C19" s="23" t="inlineStr">
        <is>
          <t>Button</t>
        </is>
      </c>
      <c r="D19" s="23" t="inlineStr">
        <is>
          <t>Default, render, and asChild output preserve the intended element, slots, state, and relationships.</t>
        </is>
      </c>
      <c r="E19" s="23" t="inlineStr">
        <is>
          <t>package</t>
        </is>
      </c>
      <c r="F19" s="23" t="inlineStr">
        <is>
          <t>manual</t>
        </is>
      </c>
      <c r="G19" s="23" t="inlineStr">
        <is>
          <t>manual-tests/button.md; tests/components/button/behavior.spec.ts</t>
        </is>
      </c>
      <c r="H19" s="23" t="inlineStr">
        <is>
          <t>verified</t>
        </is>
      </c>
      <c r="I19" s="23" t="inlineStr">
        <is>
          <t>yes</t>
        </is>
      </c>
      <c r="J19" s="25" t="n">
        <v>46227</v>
      </c>
      <c r="K19" s="23" t="inlineStr">
        <is>
          <t>Owner reviewed the live and rendered output evidence.</t>
        </is>
      </c>
      <c r="L19" s="23" t="n">
        <v>1</v>
      </c>
      <c r="M19" s="23" t="n">
        <v>1</v>
      </c>
    </row>
    <row r="20" ht="42" customHeight="1" s="17">
      <c r="A20" s="23" t="inlineStr">
        <is>
          <t>B-12</t>
        </is>
      </c>
      <c r="B20" s="23" t="inlineStr">
        <is>
          <t>Manual</t>
        </is>
      </c>
      <c r="C20" s="23" t="inlineStr">
        <is>
          <t>Button</t>
        </is>
      </c>
      <c r="D20" s="23" t="inlineStr">
        <is>
          <t>The complete component-owned manual protocol passed against every playground scenario.</t>
        </is>
      </c>
      <c r="E20" s="23" t="inlineStr">
        <is>
          <t>package</t>
        </is>
      </c>
      <c r="F20" s="23" t="inlineStr">
        <is>
          <t>manual</t>
        </is>
      </c>
      <c r="G20" s="23" t="inlineStr">
        <is>
          <t>manual-tests/button.md</t>
        </is>
      </c>
      <c r="H20" s="23" t="inlineStr">
        <is>
          <t>verified</t>
        </is>
      </c>
      <c r="I20" s="23" t="inlineStr">
        <is>
          <t>yes</t>
        </is>
      </c>
      <c r="J20" s="25" t="n">
        <v>46227</v>
      </c>
      <c r="K20" s="23" t="inlineStr">
        <is>
          <t>Owner confirmed completion on 2026-07-24.</t>
        </is>
      </c>
      <c r="L20" s="23" t="n">
        <v>1</v>
      </c>
      <c r="M20" s="23" t="n">
        <v>1</v>
      </c>
    </row>
    <row r="21" ht="42" customHeight="1" s="17">
      <c r="A21" s="23" t="inlineStr">
        <is>
          <t>B-13</t>
        </is>
      </c>
      <c r="B21" s="23" t="inlineStr">
        <is>
          <t>Docs</t>
        </is>
      </c>
      <c r="C21" s="23" t="inlineStr">
        <is>
          <t>Button</t>
        </is>
      </c>
      <c r="D21" s="23" t="inlineStr">
        <is>
          <t>Public usage documentation exists at the component-owned path.</t>
        </is>
      </c>
      <c r="E21" s="23" t="inlineStr">
        <is>
          <t>package</t>
        </is>
      </c>
      <c r="F21" s="23" t="inlineStr">
        <is>
          <t>docs</t>
        </is>
      </c>
      <c r="G21" s="23" t="inlineStr">
        <is>
          <t>../docs/components/button/README.md</t>
        </is>
      </c>
      <c r="H21" s="23" t="inlineStr">
        <is>
          <t>tested</t>
        </is>
      </c>
      <c r="I21" s="23" t="inlineStr">
        <is>
          <t>no</t>
        </is>
      </c>
      <c r="J21" s="25" t="n">
        <v>46227</v>
      </c>
      <c r="L21" s="23" t="n">
        <v>1</v>
      </c>
      <c r="M21" s="23" t="n">
        <v>1</v>
      </c>
    </row>
    <row r="22" ht="42" customHeight="1" s="17">
      <c r="A22" s="23" t="inlineStr">
        <is>
          <t>B-14</t>
        </is>
      </c>
      <c r="B22" s="23" t="inlineStr">
        <is>
          <t>Changelog</t>
        </is>
      </c>
      <c r="C22" s="23" t="inlineStr">
        <is>
          <t>Button</t>
        </is>
      </c>
      <c r="D22" s="23" t="inlineStr">
        <is>
          <t>The component owns a public changelog.</t>
        </is>
      </c>
      <c r="E22" s="23" t="inlineStr">
        <is>
          <t>package</t>
        </is>
      </c>
      <c r="F22" s="23" t="inlineStr">
        <is>
          <t>docs</t>
        </is>
      </c>
      <c r="G22" s="23" t="inlineStr">
        <is>
          <t>../docs/components/button/CHANGELOG.md</t>
        </is>
      </c>
      <c r="H22" s="23" t="inlineStr">
        <is>
          <t>tested</t>
        </is>
      </c>
      <c r="I22" s="23" t="inlineStr">
        <is>
          <t>no</t>
        </is>
      </c>
      <c r="J22" s="25" t="n">
        <v>46227</v>
      </c>
      <c r="L22" s="23" t="n">
        <v>1</v>
      </c>
      <c r="M22" s="23" t="n">
        <v>1</v>
      </c>
    </row>
    <row r="23" ht="42" customHeight="1" s="17">
      <c r="A23" s="23" t="inlineStr">
        <is>
          <t>B-15</t>
        </is>
      </c>
      <c r="B23" s="23" t="inlineStr">
        <is>
          <t>Consumer</t>
        </is>
      </c>
      <c r="C23" s="23" t="inlineStr">
        <is>
          <t>Button</t>
        </is>
      </c>
      <c r="D23" s="23" t="inlineStr">
        <is>
          <t>The standalone consumer imports and exercises the public package component.</t>
        </is>
      </c>
      <c r="E23" s="23" t="inlineStr">
        <is>
          <t>consumer</t>
        </is>
      </c>
      <c r="F23" s="23" t="inlineStr">
        <is>
          <t>consumer</t>
        </is>
      </c>
      <c r="G23" s="23" t="inlineStr">
        <is>
          <t>../apps/consumer/src/App.tsx; ../apps/consumer/tests/consumer.spec.ts</t>
        </is>
      </c>
      <c r="H23" s="23" t="inlineStr">
        <is>
          <t>tested</t>
        </is>
      </c>
      <c r="I23" s="23" t="inlineStr">
        <is>
          <t>no</t>
        </is>
      </c>
      <c r="J23" s="25" t="n">
        <v>46227</v>
      </c>
      <c r="L23" s="23" t="n">
        <v>1</v>
      </c>
      <c r="M23" s="23" t="n">
        <v>1</v>
      </c>
    </row>
    <row r="24" ht="42" customHeight="1" s="17">
      <c r="A24" s="23" t="inlineStr">
        <is>
          <t>B-16</t>
        </is>
      </c>
      <c r="B24" s="23" t="inlineStr">
        <is>
          <t>Package</t>
        </is>
      </c>
      <c r="C24" s="23" t="inlineStr">
        <is>
          <t>Button</t>
        </is>
      </c>
      <c r="D24" s="23" t="inlineStr">
        <is>
          <t>Build, exports, tarball, CSS, and consumer boundary verification pass.</t>
        </is>
      </c>
      <c r="E24" s="23" t="inlineStr">
        <is>
          <t>package</t>
        </is>
      </c>
      <c r="F24" s="23" t="inlineStr">
        <is>
          <t>package</t>
        </is>
      </c>
      <c r="G24" s="23" t="inlineStr">
        <is>
          <t>../scripts/verify-package.mjs; ../scripts/verify-consumers.mjs</t>
        </is>
      </c>
      <c r="H24" s="23" t="inlineStr">
        <is>
          <t>tested</t>
        </is>
      </c>
      <c r="I24" s="23" t="inlineStr">
        <is>
          <t>no</t>
        </is>
      </c>
      <c r="J24" s="25" t="n">
        <v>46227</v>
      </c>
      <c r="L24" s="23" t="n">
        <v>1</v>
      </c>
      <c r="M24" s="23" t="n">
        <v>1</v>
      </c>
    </row>
  </sheetData>
  <mergeCells count="2">
    <mergeCell ref="A2:M2"/>
    <mergeCell ref="A1:M1"/>
  </mergeCells>
  <conditionalFormatting sqref="H9:H24">
    <cfRule type="containsText" rank="0" priority="2" equalAverage="0" operator="containsText" aboveAverage="0" dxfId="5" text="not started" percent="0" bottom="0">
      <formula>NOT(ISERROR(SEARCH("not started",H9)))</formula>
    </cfRule>
    <cfRule type="containsText" rank="0" priority="3" equalAverage="0" operator="containsText" aboveAverage="0" dxfId="6" text="partial" percent="0" bottom="0">
      <formula>NOT(ISERROR(SEARCH("partial",H9)))</formula>
    </cfRule>
    <cfRule type="containsText" rank="0" priority="4" equalAverage="0" operator="containsText" aboveAverage="0" dxfId="7" text="implemented" percent="0" bottom="0">
      <formula>NOT(ISERROR(SEARCH("implemented",H9)))</formula>
    </cfRule>
    <cfRule type="containsText" rank="0" priority="5" equalAverage="0" operator="containsText" aboveAverage="0" dxfId="8" text="tested" percent="0" bottom="0">
      <formula>NOT(ISERROR(SEARCH("tested",H9)))</formula>
    </cfRule>
    <cfRule type="containsText" rank="0" priority="6" equalAverage="0" operator="containsText" aboveAverage="0" dxfId="3" text="verified" percent="0" bottom="0">
      <formula>NOT(ISERROR(SEARCH("verified",H9)))</formula>
    </cfRule>
    <cfRule type="containsText" rank="0" priority="7" equalAverage="0" operator="containsText" aboveAverage="0" dxfId="9" text="blocked" percent="0" bottom="0">
      <formula>NOT(ISERROR(SEARCH("blocked",H9)))</formula>
    </cfRule>
    <cfRule type="containsText" rank="0" priority="8" equalAverage="0" operator="containsText" aboveAverage="0" dxfId="5" text="not applicable" percent="0" bottom="0">
      <formula>NOT(ISERROR(SEARCH("not applicable",H9)))</formula>
    </cfRule>
  </conditionalFormatting>
  <dataValidations count="2">
    <dataValidation sqref="H9:H24" showDropDown="0" showInputMessage="1" showErrorMessage="1" allowBlank="1" type="list" errorStyle="stop" operator="between">
      <formula1>"not started,partial,implemented,tested,verified,blocked,not applicable"</formula1>
      <formula2>0</formula2>
    </dataValidation>
    <dataValidation sqref="I9:I24" showDropDown="0" showInputMessage="1" showErrorMessage="1" allowBlank="1" type="list" errorStyle="stop" operator="between">
      <formula1>"yes,no"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A1:M2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baseColWidth="8" defaultColWidth="8.6796875" defaultRowHeight="15" customHeight="0" zeroHeight="0" outlineLevelRow="0"/>
  <cols>
    <col width="13.71" customWidth="1" style="23" min="1" max="1"/>
    <col width="15.71" customWidth="1" style="23" min="2" max="2"/>
    <col width="18.71" customWidth="1" style="23" min="3" max="3"/>
    <col width="58.71" customWidth="1" style="23" min="4" max="4"/>
    <col width="14.71" customWidth="1" style="23" min="5" max="6"/>
    <col width="50.71" customWidth="1" style="23" min="7" max="7"/>
    <col width="17.71" customWidth="1" style="23" min="8" max="8"/>
    <col width="14.71" customWidth="1" style="23" min="9" max="9"/>
    <col width="14.71" customWidth="1" style="25" min="10" max="10"/>
    <col width="42.71" customWidth="1" style="23" min="11" max="11"/>
    <col width="10.71" customWidth="1" style="23" min="12" max="13"/>
  </cols>
  <sheetData>
    <row r="1" ht="37.5" customHeight="1" s="17">
      <c r="A1" s="18" t="inlineStr">
        <is>
          <t>Card Evidence</t>
        </is>
      </c>
    </row>
    <row r="2" ht="27.75" customHeight="1" s="17">
      <c r="A2" s="19" t="inlineStr">
        <is>
          <t>Assertion-level package, browser, human-review, documentation, and consumer evidence.</t>
        </is>
      </c>
    </row>
    <row r="4" ht="17.25" customHeight="1" s="17">
      <c r="A4" s="20" t="inlineStr">
        <is>
          <t>Requirements</t>
        </is>
      </c>
      <c r="B4" s="21" t="n">
        <v>16</v>
      </c>
      <c r="D4" s="20" t="inlineStr">
        <is>
          <t>Resolved</t>
        </is>
      </c>
      <c r="E4" s="21" t="n">
        <v>16</v>
      </c>
      <c r="G4" s="20" t="inlineStr">
        <is>
          <t>Completion</t>
        </is>
      </c>
      <c r="H4" s="22" t="n">
        <v>1</v>
      </c>
      <c r="J4" s="20" t="inlineStr">
        <is>
          <t>Package gate</t>
        </is>
      </c>
      <c r="K4" s="21" t="inlineStr">
        <is>
          <t>complete</t>
        </is>
      </c>
    </row>
    <row r="5" ht="17.25" customHeight="1" s="17">
      <c r="A5" s="20" t="inlineStr">
        <is>
          <t>Manual review</t>
        </is>
      </c>
      <c r="B5" s="21" t="inlineStr">
        <is>
          <t>complete</t>
        </is>
      </c>
      <c r="D5" s="20" t="inlineStr">
        <is>
          <t>Consumer gate</t>
        </is>
      </c>
      <c r="E5" s="21" t="inlineStr">
        <is>
          <t>complete</t>
        </is>
      </c>
    </row>
    <row r="8" ht="15" customHeight="1" s="17">
      <c r="A8" s="23" t="inlineStr">
        <is>
          <t>ID</t>
        </is>
      </c>
      <c r="B8" s="23" t="inlineStr">
        <is>
          <t>Area</t>
        </is>
      </c>
      <c r="C8" s="23" t="inlineStr">
        <is>
          <t>Part</t>
        </is>
      </c>
      <c r="D8" s="23" t="inlineStr">
        <is>
          <t>Requirement</t>
        </is>
      </c>
      <c r="E8" s="23" t="inlineStr">
        <is>
          <t>Gate</t>
        </is>
      </c>
      <c r="F8" s="23" t="inlineStr">
        <is>
          <t>Evidence type</t>
        </is>
      </c>
      <c r="G8" s="23" t="inlineStr">
        <is>
          <t>Evidence / link</t>
        </is>
      </c>
      <c r="H8" s="23" t="inlineStr">
        <is>
          <t>Status</t>
        </is>
      </c>
      <c r="I8" s="23" t="inlineStr">
        <is>
          <t>Human review?</t>
        </is>
      </c>
      <c r="J8" s="25" t="inlineStr">
        <is>
          <t>Last verified</t>
        </is>
      </c>
      <c r="K8" s="23" t="inlineStr">
        <is>
          <t>Blocker / N/A reason</t>
        </is>
      </c>
      <c r="L8" s="23" t="inlineStr">
        <is>
          <t>Weight</t>
        </is>
      </c>
      <c r="M8" s="23" t="inlineStr">
        <is>
          <t>Resolved</t>
        </is>
      </c>
    </row>
    <row r="9" ht="42" customHeight="1" s="17">
      <c r="A9" s="23" t="inlineStr">
        <is>
          <t>C-01</t>
        </is>
      </c>
      <c r="B9" s="23" t="inlineStr">
        <is>
          <t>Implementation</t>
        </is>
      </c>
      <c r="C9" s="23" t="inlineStr">
        <is>
          <t>Card</t>
        </is>
      </c>
      <c r="D9" s="23" t="inlineStr">
        <is>
          <t>Public component implementation and Atom adapter exist.</t>
        </is>
      </c>
      <c r="E9" s="23" t="inlineStr">
        <is>
          <t>package</t>
        </is>
      </c>
      <c r="F9" s="23" t="inlineStr">
        <is>
          <t>source</t>
        </is>
      </c>
      <c r="G9" s="23" t="inlineStr">
        <is>
          <t>../src/components/card</t>
        </is>
      </c>
      <c r="H9" s="23" t="inlineStr">
        <is>
          <t>tested</t>
        </is>
      </c>
      <c r="I9" s="23" t="inlineStr">
        <is>
          <t>no</t>
        </is>
      </c>
      <c r="J9" s="25" t="n">
        <v>46227</v>
      </c>
      <c r="L9" s="23" t="n">
        <v>1</v>
      </c>
      <c r="M9" s="23" t="n">
        <v>1</v>
      </c>
    </row>
    <row r="10" ht="42" customHeight="1" s="17">
      <c r="A10" s="23" t="inlineStr">
        <is>
          <t>C-02</t>
        </is>
      </c>
      <c r="B10" s="23" t="inlineStr">
        <is>
          <t>Exports</t>
        </is>
      </c>
      <c r="C10" s="23" t="inlineStr">
        <is>
          <t>Card</t>
        </is>
      </c>
      <c r="D10" s="23" t="inlineStr">
        <is>
          <t>Root and public subpath exports expose the component.</t>
        </is>
      </c>
      <c r="E10" s="23" t="inlineStr">
        <is>
          <t>package</t>
        </is>
      </c>
      <c r="F10" s="23" t="inlineStr">
        <is>
          <t>package</t>
        </is>
      </c>
      <c r="G10" s="23" t="inlineStr">
        <is>
          <t>../test/package/package.test.mjs</t>
        </is>
      </c>
      <c r="H10" s="23" t="inlineStr">
        <is>
          <t>tested</t>
        </is>
      </c>
      <c r="I10" s="23" t="inlineStr">
        <is>
          <t>no</t>
        </is>
      </c>
      <c r="J10" s="25" t="n">
        <v>46227</v>
      </c>
      <c r="L10" s="23" t="n">
        <v>1</v>
      </c>
      <c r="M10" s="23" t="n">
        <v>1</v>
      </c>
    </row>
    <row r="11" ht="42" customHeight="1" s="17">
      <c r="A11" s="23" t="inlineStr">
        <is>
          <t>C-03</t>
        </is>
      </c>
      <c r="B11" s="23" t="inlineStr">
        <is>
          <t>Types</t>
        </is>
      </c>
      <c r="C11" s="23" t="inlineStr">
        <is>
          <t>Card</t>
        </is>
      </c>
      <c r="D11" s="23" t="inlineStr">
        <is>
          <t>Public props, refs, composition branches, and invalid cases type-check.</t>
        </is>
      </c>
      <c r="E11" s="23" t="inlineStr">
        <is>
          <t>package</t>
        </is>
      </c>
      <c r="F11" s="23" t="inlineStr">
        <is>
          <t>types</t>
        </is>
      </c>
      <c r="G11" s="23" t="inlineStr">
        <is>
          <t>../test/types/components/card.test.ts</t>
        </is>
      </c>
      <c r="H11" s="23" t="inlineStr">
        <is>
          <t>tested</t>
        </is>
      </c>
      <c r="I11" s="23" t="inlineStr">
        <is>
          <t>no</t>
        </is>
      </c>
      <c r="J11" s="25" t="n">
        <v>46227</v>
      </c>
      <c r="L11" s="23" t="n">
        <v>1</v>
      </c>
      <c r="M11" s="23" t="n">
        <v>1</v>
      </c>
    </row>
    <row r="12" ht="42" customHeight="1" s="17">
      <c r="A12" s="23" t="inlineStr">
        <is>
          <t>C-04</t>
        </is>
      </c>
      <c r="B12" s="23" t="inlineStr">
        <is>
          <t>CSS</t>
        </is>
      </c>
      <c r="C12" s="23" t="inlineStr">
        <is>
          <t>Card</t>
        </is>
      </c>
      <c r="D12" s="23" t="inlineStr">
        <is>
          <t>Static public CSS, classes, slots, recipes, states, and tokens are present.</t>
        </is>
      </c>
      <c r="E12" s="23" t="inlineStr">
        <is>
          <t>package</t>
        </is>
      </c>
      <c r="F12" s="23" t="inlineStr">
        <is>
          <t>css</t>
        </is>
      </c>
      <c r="G12" s="23" t="inlineStr">
        <is>
          <t>../src/components/card/card.css</t>
        </is>
      </c>
      <c r="H12" s="23" t="inlineStr">
        <is>
          <t>tested</t>
        </is>
      </c>
      <c r="I12" s="23" t="inlineStr">
        <is>
          <t>no</t>
        </is>
      </c>
      <c r="J12" s="25" t="n">
        <v>46227</v>
      </c>
      <c r="L12" s="23" t="n">
        <v>1</v>
      </c>
      <c r="M12" s="23" t="n">
        <v>1</v>
      </c>
    </row>
    <row r="13" ht="42" customHeight="1" s="17">
      <c r="A13" s="23" t="inlineStr">
        <is>
          <t>C-05</t>
        </is>
      </c>
      <c r="B13" s="23" t="inlineStr">
        <is>
          <t>Unit</t>
        </is>
      </c>
      <c r="C13" s="23" t="inlineStr">
        <is>
          <t>Card</t>
        </is>
      </c>
      <c r="D13" s="23" t="inlineStr">
        <is>
          <t>Brick-owned DOM, recipes, adapters, and public hooks pass focused tests.</t>
        </is>
      </c>
      <c r="E13" s="23" t="inlineStr">
        <is>
          <t>package</t>
        </is>
      </c>
      <c r="F13" s="23" t="inlineStr">
        <is>
          <t>component</t>
        </is>
      </c>
      <c r="G13" s="23" t="inlineStr">
        <is>
          <t>../test/components/card/card.test.tsx</t>
        </is>
      </c>
      <c r="H13" s="23" t="inlineStr">
        <is>
          <t>tested</t>
        </is>
      </c>
      <c r="I13" s="23" t="inlineStr">
        <is>
          <t>no</t>
        </is>
      </c>
      <c r="J13" s="25" t="n">
        <v>46227</v>
      </c>
      <c r="L13" s="23" t="n">
        <v>1</v>
      </c>
      <c r="M13" s="23" t="n">
        <v>1</v>
      </c>
    </row>
    <row r="14" ht="42" customHeight="1" s="17">
      <c r="A14" s="23" t="inlineStr">
        <is>
          <t>C-06</t>
        </is>
      </c>
      <c r="B14" s="23" t="inlineStr">
        <is>
          <t>Browser</t>
        </is>
      </c>
      <c r="C14" s="23" t="inlineStr">
        <is>
          <t>Card</t>
        </is>
      </c>
      <c r="D14" s="23" t="inlineStr">
        <is>
          <t>Real-browser behavior and component contract checks pass.</t>
        </is>
      </c>
      <c r="E14" s="23" t="inlineStr">
        <is>
          <t>package</t>
        </is>
      </c>
      <c r="F14" s="23" t="inlineStr">
        <is>
          <t>browser</t>
        </is>
      </c>
      <c r="G14" s="23" t="inlineStr">
        <is>
          <t>tests/components/card/behavior.spec.ts</t>
        </is>
      </c>
      <c r="H14" s="23" t="inlineStr">
        <is>
          <t>tested</t>
        </is>
      </c>
      <c r="I14" s="23" t="inlineStr">
        <is>
          <t>no</t>
        </is>
      </c>
      <c r="J14" s="25" t="n">
        <v>46227</v>
      </c>
      <c r="L14" s="23" t="n">
        <v>1</v>
      </c>
      <c r="M14" s="23" t="n">
        <v>1</v>
      </c>
    </row>
    <row r="15" ht="42" customHeight="1" s="17">
      <c r="A15" s="23" t="inlineStr">
        <is>
          <t>C-07</t>
        </is>
      </c>
      <c r="B15" s="23" t="inlineStr">
        <is>
          <t>Accessibility</t>
        </is>
      </c>
      <c r="C15" s="23" t="inlineStr">
        <is>
          <t>Card</t>
        </is>
      </c>
      <c r="D15" s="23" t="inlineStr">
        <is>
          <t>Automated semantics and accessibility checks pass in the browser evidence suite.</t>
        </is>
      </c>
      <c r="E15" s="23" t="inlineStr">
        <is>
          <t>package</t>
        </is>
      </c>
      <c r="F15" s="23" t="inlineStr">
        <is>
          <t>axe</t>
        </is>
      </c>
      <c r="G15" s="23" t="inlineStr">
        <is>
          <t>tests/components/card/behavior.spec.ts; tests/integration</t>
        </is>
      </c>
      <c r="H15" s="23" t="inlineStr">
        <is>
          <t>tested</t>
        </is>
      </c>
      <c r="I15" s="23" t="inlineStr">
        <is>
          <t>no</t>
        </is>
      </c>
      <c r="J15" s="25" t="n">
        <v>46227</v>
      </c>
      <c r="L15" s="23" t="n">
        <v>1</v>
      </c>
      <c r="M15" s="23" t="n">
        <v>1</v>
      </c>
    </row>
    <row r="16" ht="42" customHeight="1" s="17">
      <c r="A16" s="23" t="inlineStr">
        <is>
          <t>C-08</t>
        </is>
      </c>
      <c r="B16" s="23" t="inlineStr">
        <is>
          <t>Visual</t>
        </is>
      </c>
      <c r="C16" s="23" t="inlineStr">
        <is>
          <t>Card</t>
        </is>
      </c>
      <c r="D16" s="23" t="inlineStr">
        <is>
          <t>Reviewed baselines cover the component's risk-selected recipes and states.</t>
        </is>
      </c>
      <c r="E16" s="23" t="inlineStr">
        <is>
          <t>package</t>
        </is>
      </c>
      <c r="F16" s="23" t="inlineStr">
        <is>
          <t>visual</t>
        </is>
      </c>
      <c r="G16" s="23" t="inlineStr">
        <is>
          <t>tests/components/card/visual.spec.ts</t>
        </is>
      </c>
      <c r="H16" s="23" t="inlineStr">
        <is>
          <t>verified</t>
        </is>
      </c>
      <c r="I16" s="23" t="inlineStr">
        <is>
          <t>yes</t>
        </is>
      </c>
      <c r="J16" s="25" t="n">
        <v>46227</v>
      </c>
      <c r="K16" s="23" t="inlineStr">
        <is>
          <t>Owner reviewed the current playground evidence.</t>
        </is>
      </c>
      <c r="L16" s="23" t="n">
        <v>1</v>
      </c>
      <c r="M16" s="23" t="n">
        <v>1</v>
      </c>
    </row>
    <row r="17" ht="42" customHeight="1" s="17">
      <c r="A17" s="23" t="inlineStr">
        <is>
          <t>C-09</t>
        </is>
      </c>
      <c r="B17" s="23" t="inlineStr">
        <is>
          <t>Responsive</t>
        </is>
      </c>
      <c r="C17" s="23" t="inlineStr">
        <is>
          <t>Card</t>
        </is>
      </c>
      <c r="D17" s="23" t="inlineStr">
        <is>
          <t>Mobile, zoom/reflow, content stress, and RTL remain usable and contained.</t>
        </is>
      </c>
      <c r="E17" s="23" t="inlineStr">
        <is>
          <t>package</t>
        </is>
      </c>
      <c r="F17" s="23" t="inlineStr">
        <is>
          <t>manual</t>
        </is>
      </c>
      <c r="G17" s="23" t="inlineStr">
        <is>
          <t>manual-tests/card.md</t>
        </is>
      </c>
      <c r="H17" s="23" t="inlineStr">
        <is>
          <t>verified</t>
        </is>
      </c>
      <c r="I17" s="23" t="inlineStr">
        <is>
          <t>yes</t>
        </is>
      </c>
      <c r="J17" s="25" t="n">
        <v>46227</v>
      </c>
      <c r="K17" s="23" t="inlineStr">
        <is>
          <t>Owner completed the current manual protocol.</t>
        </is>
      </c>
      <c r="L17" s="23" t="n">
        <v>1</v>
      </c>
      <c r="M17" s="23" t="n">
        <v>1</v>
      </c>
    </row>
    <row r="18" ht="42" customHeight="1" s="17">
      <c r="A18" s="23" t="inlineStr">
        <is>
          <t>C-10</t>
        </is>
      </c>
      <c r="B18" s="23" t="inlineStr">
        <is>
          <t>Theme</t>
        </is>
      </c>
      <c r="C18" s="23" t="inlineStr">
        <is>
          <t>Card</t>
        </is>
      </c>
      <c r="D18" s="23" t="inlineStr">
        <is>
          <t>Light, dark, focus, forced-colors, and relevant motion behavior remain perceivable.</t>
        </is>
      </c>
      <c r="E18" s="23" t="inlineStr">
        <is>
          <t>package</t>
        </is>
      </c>
      <c r="F18" s="23" t="inlineStr">
        <is>
          <t>manual</t>
        </is>
      </c>
      <c r="G18" s="23" t="inlineStr">
        <is>
          <t>manual-tests/card.md</t>
        </is>
      </c>
      <c r="H18" s="23" t="inlineStr">
        <is>
          <t>verified</t>
        </is>
      </c>
      <c r="I18" s="23" t="inlineStr">
        <is>
          <t>yes</t>
        </is>
      </c>
      <c r="J18" s="25" t="n">
        <v>46227</v>
      </c>
      <c r="K18" s="23" t="inlineStr">
        <is>
          <t>Owner completed the current manual protocol.</t>
        </is>
      </c>
      <c r="L18" s="23" t="n">
        <v>1</v>
      </c>
      <c r="M18" s="23" t="n">
        <v>1</v>
      </c>
    </row>
    <row r="19" ht="42" customHeight="1" s="17">
      <c r="A19" s="23" t="inlineStr">
        <is>
          <t>C-11</t>
        </is>
      </c>
      <c r="B19" s="23" t="inlineStr">
        <is>
          <t>Composition</t>
        </is>
      </c>
      <c r="C19" s="23" t="inlineStr">
        <is>
          <t>Card</t>
        </is>
      </c>
      <c r="D19" s="23" t="inlineStr">
        <is>
          <t>Default, render, and asChild output preserve the intended element, slots, state, and relationships.</t>
        </is>
      </c>
      <c r="E19" s="23" t="inlineStr">
        <is>
          <t>package</t>
        </is>
      </c>
      <c r="F19" s="23" t="inlineStr">
        <is>
          <t>manual</t>
        </is>
      </c>
      <c r="G19" s="23" t="inlineStr">
        <is>
          <t>manual-tests/card.md; tests/components/card/behavior.spec.ts</t>
        </is>
      </c>
      <c r="H19" s="23" t="inlineStr">
        <is>
          <t>verified</t>
        </is>
      </c>
      <c r="I19" s="23" t="inlineStr">
        <is>
          <t>yes</t>
        </is>
      </c>
      <c r="J19" s="25" t="n">
        <v>46227</v>
      </c>
      <c r="K19" s="23" t="inlineStr">
        <is>
          <t>Owner reviewed the live and rendered output evidence.</t>
        </is>
      </c>
      <c r="L19" s="23" t="n">
        <v>1</v>
      </c>
      <c r="M19" s="23" t="n">
        <v>1</v>
      </c>
    </row>
    <row r="20" ht="42" customHeight="1" s="17">
      <c r="A20" s="23" t="inlineStr">
        <is>
          <t>C-12</t>
        </is>
      </c>
      <c r="B20" s="23" t="inlineStr">
        <is>
          <t>Manual</t>
        </is>
      </c>
      <c r="C20" s="23" t="inlineStr">
        <is>
          <t>Card</t>
        </is>
      </c>
      <c r="D20" s="23" t="inlineStr">
        <is>
          <t>The complete component-owned manual protocol passed against every playground scenario.</t>
        </is>
      </c>
      <c r="E20" s="23" t="inlineStr">
        <is>
          <t>package</t>
        </is>
      </c>
      <c r="F20" s="23" t="inlineStr">
        <is>
          <t>manual</t>
        </is>
      </c>
      <c r="G20" s="23" t="inlineStr">
        <is>
          <t>manual-tests/card.md</t>
        </is>
      </c>
      <c r="H20" s="23" t="inlineStr">
        <is>
          <t>verified</t>
        </is>
      </c>
      <c r="I20" s="23" t="inlineStr">
        <is>
          <t>yes</t>
        </is>
      </c>
      <c r="J20" s="25" t="n">
        <v>46227</v>
      </c>
      <c r="K20" s="23" t="inlineStr">
        <is>
          <t>Owner confirmed completion on 2026-07-24.</t>
        </is>
      </c>
      <c r="L20" s="23" t="n">
        <v>1</v>
      </c>
      <c r="M20" s="23" t="n">
        <v>1</v>
      </c>
    </row>
    <row r="21" ht="42" customHeight="1" s="17">
      <c r="A21" s="23" t="inlineStr">
        <is>
          <t>C-13</t>
        </is>
      </c>
      <c r="B21" s="23" t="inlineStr">
        <is>
          <t>Docs</t>
        </is>
      </c>
      <c r="C21" s="23" t="inlineStr">
        <is>
          <t>Card</t>
        </is>
      </c>
      <c r="D21" s="23" t="inlineStr">
        <is>
          <t>Public usage documentation exists at the component-owned path.</t>
        </is>
      </c>
      <c r="E21" s="23" t="inlineStr">
        <is>
          <t>package</t>
        </is>
      </c>
      <c r="F21" s="23" t="inlineStr">
        <is>
          <t>docs</t>
        </is>
      </c>
      <c r="G21" s="23" t="inlineStr">
        <is>
          <t>../docs/components/card/README.md</t>
        </is>
      </c>
      <c r="H21" s="23" t="inlineStr">
        <is>
          <t>tested</t>
        </is>
      </c>
      <c r="I21" s="23" t="inlineStr">
        <is>
          <t>no</t>
        </is>
      </c>
      <c r="J21" s="25" t="n">
        <v>46227</v>
      </c>
      <c r="L21" s="23" t="n">
        <v>1</v>
      </c>
      <c r="M21" s="23" t="n">
        <v>1</v>
      </c>
    </row>
    <row r="22" ht="42" customHeight="1" s="17">
      <c r="A22" s="23" t="inlineStr">
        <is>
          <t>C-14</t>
        </is>
      </c>
      <c r="B22" s="23" t="inlineStr">
        <is>
          <t>Changelog</t>
        </is>
      </c>
      <c r="C22" s="23" t="inlineStr">
        <is>
          <t>Card</t>
        </is>
      </c>
      <c r="D22" s="23" t="inlineStr">
        <is>
          <t>The component owns a public changelog.</t>
        </is>
      </c>
      <c r="E22" s="23" t="inlineStr">
        <is>
          <t>package</t>
        </is>
      </c>
      <c r="F22" s="23" t="inlineStr">
        <is>
          <t>docs</t>
        </is>
      </c>
      <c r="G22" s="23" t="inlineStr">
        <is>
          <t>../docs/components/card/CHANGELOG.md</t>
        </is>
      </c>
      <c r="H22" s="23" t="inlineStr">
        <is>
          <t>tested</t>
        </is>
      </c>
      <c r="I22" s="23" t="inlineStr">
        <is>
          <t>no</t>
        </is>
      </c>
      <c r="J22" s="25" t="n">
        <v>46227</v>
      </c>
      <c r="L22" s="23" t="n">
        <v>1</v>
      </c>
      <c r="M22" s="23" t="n">
        <v>1</v>
      </c>
    </row>
    <row r="23" ht="42" customHeight="1" s="17">
      <c r="A23" s="23" t="inlineStr">
        <is>
          <t>C-15</t>
        </is>
      </c>
      <c r="B23" s="23" t="inlineStr">
        <is>
          <t>Consumer</t>
        </is>
      </c>
      <c r="C23" s="23" t="inlineStr">
        <is>
          <t>Card</t>
        </is>
      </c>
      <c r="D23" s="23" t="inlineStr">
        <is>
          <t>The standalone consumer imports and exercises the public package component.</t>
        </is>
      </c>
      <c r="E23" s="23" t="inlineStr">
        <is>
          <t>consumer</t>
        </is>
      </c>
      <c r="F23" s="23" t="inlineStr">
        <is>
          <t>consumer</t>
        </is>
      </c>
      <c r="G23" s="23" t="inlineStr">
        <is>
          <t>../apps/consumer/src/App.tsx; ../apps/consumer/tests/consumer.spec.ts</t>
        </is>
      </c>
      <c r="H23" s="23" t="inlineStr">
        <is>
          <t>tested</t>
        </is>
      </c>
      <c r="I23" s="23" t="inlineStr">
        <is>
          <t>no</t>
        </is>
      </c>
      <c r="J23" s="25" t="n">
        <v>46227</v>
      </c>
      <c r="L23" s="23" t="n">
        <v>1</v>
      </c>
      <c r="M23" s="23" t="n">
        <v>1</v>
      </c>
    </row>
    <row r="24" ht="42" customHeight="1" s="17">
      <c r="A24" s="23" t="inlineStr">
        <is>
          <t>C-16</t>
        </is>
      </c>
      <c r="B24" s="23" t="inlineStr">
        <is>
          <t>Package</t>
        </is>
      </c>
      <c r="C24" s="23" t="inlineStr">
        <is>
          <t>Card</t>
        </is>
      </c>
      <c r="D24" s="23" t="inlineStr">
        <is>
          <t>Build, exports, tarball, CSS, and consumer boundary verification pass.</t>
        </is>
      </c>
      <c r="E24" s="23" t="inlineStr">
        <is>
          <t>package</t>
        </is>
      </c>
      <c r="F24" s="23" t="inlineStr">
        <is>
          <t>package</t>
        </is>
      </c>
      <c r="G24" s="23" t="inlineStr">
        <is>
          <t>../scripts/verify-package.mjs; ../scripts/verify-consumers.mjs</t>
        </is>
      </c>
      <c r="H24" s="23" t="inlineStr">
        <is>
          <t>tested</t>
        </is>
      </c>
      <c r="I24" s="23" t="inlineStr">
        <is>
          <t>no</t>
        </is>
      </c>
      <c r="J24" s="25" t="n">
        <v>46227</v>
      </c>
      <c r="L24" s="23" t="n">
        <v>1</v>
      </c>
      <c r="M24" s="23" t="n">
        <v>1</v>
      </c>
    </row>
  </sheetData>
  <mergeCells count="2">
    <mergeCell ref="A2:M2"/>
    <mergeCell ref="A1:M1"/>
  </mergeCells>
  <conditionalFormatting sqref="H9:H24">
    <cfRule type="containsText" rank="0" priority="2" equalAverage="0" operator="containsText" aboveAverage="0" dxfId="5" text="not started" percent="0" bottom="0">
      <formula>NOT(ISERROR(SEARCH("not started",H9)))</formula>
    </cfRule>
    <cfRule type="containsText" rank="0" priority="3" equalAverage="0" operator="containsText" aboveAverage="0" dxfId="6" text="partial" percent="0" bottom="0">
      <formula>NOT(ISERROR(SEARCH("partial",H9)))</formula>
    </cfRule>
    <cfRule type="containsText" rank="0" priority="4" equalAverage="0" operator="containsText" aboveAverage="0" dxfId="7" text="implemented" percent="0" bottom="0">
      <formula>NOT(ISERROR(SEARCH("implemented",H9)))</formula>
    </cfRule>
    <cfRule type="containsText" rank="0" priority="5" equalAverage="0" operator="containsText" aboveAverage="0" dxfId="8" text="tested" percent="0" bottom="0">
      <formula>NOT(ISERROR(SEARCH("tested",H9)))</formula>
    </cfRule>
    <cfRule type="containsText" rank="0" priority="6" equalAverage="0" operator="containsText" aboveAverage="0" dxfId="3" text="verified" percent="0" bottom="0">
      <formula>NOT(ISERROR(SEARCH("verified",H9)))</formula>
    </cfRule>
    <cfRule type="containsText" rank="0" priority="7" equalAverage="0" operator="containsText" aboveAverage="0" dxfId="9" text="blocked" percent="0" bottom="0">
      <formula>NOT(ISERROR(SEARCH("blocked",H9)))</formula>
    </cfRule>
    <cfRule type="containsText" rank="0" priority="8" equalAverage="0" operator="containsText" aboveAverage="0" dxfId="5" text="not applicable" percent="0" bottom="0">
      <formula>NOT(ISERROR(SEARCH("not applicable",H9)))</formula>
    </cfRule>
  </conditionalFormatting>
  <dataValidations count="2">
    <dataValidation sqref="H9:H24" showDropDown="0" showInputMessage="1" showErrorMessage="1" allowBlank="1" type="list" errorStyle="stop" operator="between">
      <formula1>"not started,partial,implemented,tested,verified,blocked,not applicable"</formula1>
      <formula2>0</formula2>
    </dataValidation>
    <dataValidation sqref="I9:I24" showDropDown="0" showInputMessage="1" showErrorMessage="1" allowBlank="1" type="list" errorStyle="stop" operator="between">
      <formula1>"yes,no"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M2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baseColWidth="8" defaultColWidth="8.6796875" defaultRowHeight="15" customHeight="0" zeroHeight="0" outlineLevelRow="0"/>
  <cols>
    <col width="13.71" customWidth="1" style="23" min="1" max="1"/>
    <col width="15.71" customWidth="1" style="23" min="2" max="2"/>
    <col width="18.71" customWidth="1" style="23" min="3" max="3"/>
    <col width="58.71" customWidth="1" style="23" min="4" max="4"/>
    <col width="14.71" customWidth="1" style="23" min="5" max="6"/>
    <col width="50.71" customWidth="1" style="23" min="7" max="7"/>
    <col width="17.71" customWidth="1" style="23" min="8" max="8"/>
    <col width="14.71" customWidth="1" style="23" min="9" max="9"/>
    <col width="14.71" customWidth="1" style="25" min="10" max="10"/>
    <col width="42.71" customWidth="1" style="23" min="11" max="11"/>
    <col width="10.71" customWidth="1" style="23" min="12" max="13"/>
  </cols>
  <sheetData>
    <row r="1" ht="37.5" customHeight="1" s="17">
      <c r="A1" s="18" t="inlineStr">
        <is>
          <t>Checkbox Evidence</t>
        </is>
      </c>
    </row>
    <row r="2" ht="27.75" customHeight="1" s="17">
      <c r="A2" s="19" t="inlineStr">
        <is>
          <t>Assertion-level package, browser, human-review, documentation, and consumer evidence.</t>
        </is>
      </c>
    </row>
    <row r="4" ht="17.25" customHeight="1" s="17">
      <c r="A4" s="20" t="inlineStr">
        <is>
          <t>Requirements</t>
        </is>
      </c>
      <c r="B4" s="21" t="n">
        <v>16</v>
      </c>
      <c r="D4" s="20" t="inlineStr">
        <is>
          <t>Resolved</t>
        </is>
      </c>
      <c r="E4" s="21" t="n">
        <v>16</v>
      </c>
      <c r="G4" s="20" t="inlineStr">
        <is>
          <t>Completion</t>
        </is>
      </c>
      <c r="H4" s="22" t="n">
        <v>1</v>
      </c>
      <c r="J4" s="20" t="inlineStr">
        <is>
          <t>Package gate</t>
        </is>
      </c>
      <c r="K4" s="21" t="inlineStr">
        <is>
          <t>complete</t>
        </is>
      </c>
    </row>
    <row r="5" ht="17.25" customHeight="1" s="17">
      <c r="A5" s="20" t="inlineStr">
        <is>
          <t>Manual review</t>
        </is>
      </c>
      <c r="B5" s="21" t="inlineStr">
        <is>
          <t>complete</t>
        </is>
      </c>
      <c r="D5" s="20" t="inlineStr">
        <is>
          <t>Consumer gate</t>
        </is>
      </c>
      <c r="E5" s="21" t="inlineStr">
        <is>
          <t>complete</t>
        </is>
      </c>
    </row>
    <row r="8" ht="15" customHeight="1" s="17">
      <c r="A8" s="23" t="inlineStr">
        <is>
          <t>ID</t>
        </is>
      </c>
      <c r="B8" s="23" t="inlineStr">
        <is>
          <t>Area</t>
        </is>
      </c>
      <c r="C8" s="23" t="inlineStr">
        <is>
          <t>Part</t>
        </is>
      </c>
      <c r="D8" s="23" t="inlineStr">
        <is>
          <t>Requirement</t>
        </is>
      </c>
      <c r="E8" s="23" t="inlineStr">
        <is>
          <t>Gate</t>
        </is>
      </c>
      <c r="F8" s="23" t="inlineStr">
        <is>
          <t>Evidence type</t>
        </is>
      </c>
      <c r="G8" s="23" t="inlineStr">
        <is>
          <t>Evidence / link</t>
        </is>
      </c>
      <c r="H8" s="23" t="inlineStr">
        <is>
          <t>Status</t>
        </is>
      </c>
      <c r="I8" s="23" t="inlineStr">
        <is>
          <t>Human review?</t>
        </is>
      </c>
      <c r="J8" s="25" t="inlineStr">
        <is>
          <t>Last verified</t>
        </is>
      </c>
      <c r="K8" s="23" t="inlineStr">
        <is>
          <t>Blocker / N/A reason</t>
        </is>
      </c>
      <c r="L8" s="23" t="inlineStr">
        <is>
          <t>Weight</t>
        </is>
      </c>
      <c r="M8" s="23" t="inlineStr">
        <is>
          <t>Resolved</t>
        </is>
      </c>
    </row>
    <row r="9" ht="42" customHeight="1" s="17">
      <c r="A9" s="23" t="inlineStr">
        <is>
          <t>C-01</t>
        </is>
      </c>
      <c r="B9" s="23" t="inlineStr">
        <is>
          <t>Implementation</t>
        </is>
      </c>
      <c r="C9" s="23" t="inlineStr">
        <is>
          <t>Checkbox</t>
        </is>
      </c>
      <c r="D9" s="23" t="inlineStr">
        <is>
          <t>Public component implementation and Atom adapter exist.</t>
        </is>
      </c>
      <c r="E9" s="23" t="inlineStr">
        <is>
          <t>package</t>
        </is>
      </c>
      <c r="F9" s="23" t="inlineStr">
        <is>
          <t>source</t>
        </is>
      </c>
      <c r="G9" s="23" t="inlineStr">
        <is>
          <t>../src/components/checkbox</t>
        </is>
      </c>
      <c r="H9" s="23" t="inlineStr">
        <is>
          <t>tested</t>
        </is>
      </c>
      <c r="I9" s="23" t="inlineStr">
        <is>
          <t>no</t>
        </is>
      </c>
      <c r="J9" s="25" t="n">
        <v>46227</v>
      </c>
      <c r="L9" s="23" t="n">
        <v>1</v>
      </c>
      <c r="M9" s="23" t="n">
        <v>1</v>
      </c>
    </row>
    <row r="10" ht="42" customHeight="1" s="17">
      <c r="A10" s="23" t="inlineStr">
        <is>
          <t>C-02</t>
        </is>
      </c>
      <c r="B10" s="23" t="inlineStr">
        <is>
          <t>Exports</t>
        </is>
      </c>
      <c r="C10" s="23" t="inlineStr">
        <is>
          <t>Checkbox</t>
        </is>
      </c>
      <c r="D10" s="23" t="inlineStr">
        <is>
          <t>Root and public subpath exports expose the component.</t>
        </is>
      </c>
      <c r="E10" s="23" t="inlineStr">
        <is>
          <t>package</t>
        </is>
      </c>
      <c r="F10" s="23" t="inlineStr">
        <is>
          <t>package</t>
        </is>
      </c>
      <c r="G10" s="23" t="inlineStr">
        <is>
          <t>../test/package/package.test.mjs</t>
        </is>
      </c>
      <c r="H10" s="23" t="inlineStr">
        <is>
          <t>tested</t>
        </is>
      </c>
      <c r="I10" s="23" t="inlineStr">
        <is>
          <t>no</t>
        </is>
      </c>
      <c r="J10" s="25" t="n">
        <v>46227</v>
      </c>
      <c r="L10" s="23" t="n">
        <v>1</v>
      </c>
      <c r="M10" s="23" t="n">
        <v>1</v>
      </c>
    </row>
    <row r="11" ht="42" customHeight="1" s="17">
      <c r="A11" s="23" t="inlineStr">
        <is>
          <t>C-03</t>
        </is>
      </c>
      <c r="B11" s="23" t="inlineStr">
        <is>
          <t>Types</t>
        </is>
      </c>
      <c r="C11" s="23" t="inlineStr">
        <is>
          <t>Checkbox</t>
        </is>
      </c>
      <c r="D11" s="23" t="inlineStr">
        <is>
          <t>Public props, refs, composition branches, and invalid cases type-check.</t>
        </is>
      </c>
      <c r="E11" s="23" t="inlineStr">
        <is>
          <t>package</t>
        </is>
      </c>
      <c r="F11" s="23" t="inlineStr">
        <is>
          <t>types</t>
        </is>
      </c>
      <c r="G11" s="23" t="inlineStr">
        <is>
          <t>../test/types/components/checkbox.test.ts</t>
        </is>
      </c>
      <c r="H11" s="23" t="inlineStr">
        <is>
          <t>tested</t>
        </is>
      </c>
      <c r="I11" s="23" t="inlineStr">
        <is>
          <t>no</t>
        </is>
      </c>
      <c r="J11" s="25" t="n">
        <v>46227</v>
      </c>
      <c r="L11" s="23" t="n">
        <v>1</v>
      </c>
      <c r="M11" s="23" t="n">
        <v>1</v>
      </c>
    </row>
    <row r="12" ht="42" customHeight="1" s="17">
      <c r="A12" s="23" t="inlineStr">
        <is>
          <t>C-04</t>
        </is>
      </c>
      <c r="B12" s="23" t="inlineStr">
        <is>
          <t>CSS</t>
        </is>
      </c>
      <c r="C12" s="23" t="inlineStr">
        <is>
          <t>Checkbox</t>
        </is>
      </c>
      <c r="D12" s="23" t="inlineStr">
        <is>
          <t>Static public CSS, classes, slots, recipes, states, and tokens are present.</t>
        </is>
      </c>
      <c r="E12" s="23" t="inlineStr">
        <is>
          <t>package</t>
        </is>
      </c>
      <c r="F12" s="23" t="inlineStr">
        <is>
          <t>css</t>
        </is>
      </c>
      <c r="G12" s="23" t="inlineStr">
        <is>
          <t>../src/components/checkbox/checkbox.css</t>
        </is>
      </c>
      <c r="H12" s="23" t="inlineStr">
        <is>
          <t>tested</t>
        </is>
      </c>
      <c r="I12" s="23" t="inlineStr">
        <is>
          <t>no</t>
        </is>
      </c>
      <c r="J12" s="25" t="n">
        <v>46227</v>
      </c>
      <c r="L12" s="23" t="n">
        <v>1</v>
      </c>
      <c r="M12" s="23" t="n">
        <v>1</v>
      </c>
    </row>
    <row r="13" ht="42" customHeight="1" s="17">
      <c r="A13" s="23" t="inlineStr">
        <is>
          <t>C-05</t>
        </is>
      </c>
      <c r="B13" s="23" t="inlineStr">
        <is>
          <t>Unit</t>
        </is>
      </c>
      <c r="C13" s="23" t="inlineStr">
        <is>
          <t>Checkbox</t>
        </is>
      </c>
      <c r="D13" s="23" t="inlineStr">
        <is>
          <t>Brick-owned DOM, recipes, adapters, and public hooks pass focused tests.</t>
        </is>
      </c>
      <c r="E13" s="23" t="inlineStr">
        <is>
          <t>package</t>
        </is>
      </c>
      <c r="F13" s="23" t="inlineStr">
        <is>
          <t>component</t>
        </is>
      </c>
      <c r="G13" s="23" t="inlineStr">
        <is>
          <t>../test/components/checkbox/checkbox.test.tsx</t>
        </is>
      </c>
      <c r="H13" s="23" t="inlineStr">
        <is>
          <t>tested</t>
        </is>
      </c>
      <c r="I13" s="23" t="inlineStr">
        <is>
          <t>no</t>
        </is>
      </c>
      <c r="J13" s="25" t="n">
        <v>46227</v>
      </c>
      <c r="L13" s="23" t="n">
        <v>1</v>
      </c>
      <c r="M13" s="23" t="n">
        <v>1</v>
      </c>
    </row>
    <row r="14" ht="42" customHeight="1" s="17">
      <c r="A14" s="23" t="inlineStr">
        <is>
          <t>C-06</t>
        </is>
      </c>
      <c r="B14" s="23" t="inlineStr">
        <is>
          <t>Browser</t>
        </is>
      </c>
      <c r="C14" s="23" t="inlineStr">
        <is>
          <t>Checkbox</t>
        </is>
      </c>
      <c r="D14" s="23" t="inlineStr">
        <is>
          <t>Real-browser behavior and component contract checks pass.</t>
        </is>
      </c>
      <c r="E14" s="23" t="inlineStr">
        <is>
          <t>package</t>
        </is>
      </c>
      <c r="F14" s="23" t="inlineStr">
        <is>
          <t>browser</t>
        </is>
      </c>
      <c r="G14" s="23" t="inlineStr">
        <is>
          <t>tests/components/checkbox/behavior.spec.ts</t>
        </is>
      </c>
      <c r="H14" s="23" t="inlineStr">
        <is>
          <t>tested</t>
        </is>
      </c>
      <c r="I14" s="23" t="inlineStr">
        <is>
          <t>no</t>
        </is>
      </c>
      <c r="J14" s="25" t="n">
        <v>46227</v>
      </c>
      <c r="L14" s="23" t="n">
        <v>1</v>
      </c>
      <c r="M14" s="23" t="n">
        <v>1</v>
      </c>
    </row>
    <row r="15" ht="42" customHeight="1" s="17">
      <c r="A15" s="23" t="inlineStr">
        <is>
          <t>C-07</t>
        </is>
      </c>
      <c r="B15" s="23" t="inlineStr">
        <is>
          <t>Accessibility</t>
        </is>
      </c>
      <c r="C15" s="23" t="inlineStr">
        <is>
          <t>Checkbox</t>
        </is>
      </c>
      <c r="D15" s="23" t="inlineStr">
        <is>
          <t>Automated semantics and accessibility checks pass in the browser evidence suite.</t>
        </is>
      </c>
      <c r="E15" s="23" t="inlineStr">
        <is>
          <t>package</t>
        </is>
      </c>
      <c r="F15" s="23" t="inlineStr">
        <is>
          <t>axe</t>
        </is>
      </c>
      <c r="G15" s="23" t="inlineStr">
        <is>
          <t>tests/components/checkbox/behavior.spec.ts; tests/integration</t>
        </is>
      </c>
      <c r="H15" s="23" t="inlineStr">
        <is>
          <t>tested</t>
        </is>
      </c>
      <c r="I15" s="23" t="inlineStr">
        <is>
          <t>no</t>
        </is>
      </c>
      <c r="J15" s="25" t="n">
        <v>46227</v>
      </c>
      <c r="L15" s="23" t="n">
        <v>1</v>
      </c>
      <c r="M15" s="23" t="n">
        <v>1</v>
      </c>
    </row>
    <row r="16" ht="42" customHeight="1" s="17">
      <c r="A16" s="23" t="inlineStr">
        <is>
          <t>C-08</t>
        </is>
      </c>
      <c r="B16" s="23" t="inlineStr">
        <is>
          <t>Visual</t>
        </is>
      </c>
      <c r="C16" s="23" t="inlineStr">
        <is>
          <t>Checkbox</t>
        </is>
      </c>
      <c r="D16" s="23" t="inlineStr">
        <is>
          <t>Reviewed baselines cover the component's risk-selected recipes and states.</t>
        </is>
      </c>
      <c r="E16" s="23" t="inlineStr">
        <is>
          <t>package</t>
        </is>
      </c>
      <c r="F16" s="23" t="inlineStr">
        <is>
          <t>visual</t>
        </is>
      </c>
      <c r="G16" s="23" t="inlineStr">
        <is>
          <t>tests/components/checkbox/visual.spec.ts</t>
        </is>
      </c>
      <c r="H16" s="23" t="inlineStr">
        <is>
          <t>verified</t>
        </is>
      </c>
      <c r="I16" s="23" t="inlineStr">
        <is>
          <t>yes</t>
        </is>
      </c>
      <c r="J16" s="25" t="n">
        <v>46227</v>
      </c>
      <c r="K16" s="23" t="inlineStr">
        <is>
          <t>Owner reviewed the current playground evidence.</t>
        </is>
      </c>
      <c r="L16" s="23" t="n">
        <v>1</v>
      </c>
      <c r="M16" s="23" t="n">
        <v>1</v>
      </c>
    </row>
    <row r="17" ht="42" customHeight="1" s="17">
      <c r="A17" s="23" t="inlineStr">
        <is>
          <t>C-09</t>
        </is>
      </c>
      <c r="B17" s="23" t="inlineStr">
        <is>
          <t>Responsive</t>
        </is>
      </c>
      <c r="C17" s="23" t="inlineStr">
        <is>
          <t>Checkbox</t>
        </is>
      </c>
      <c r="D17" s="23" t="inlineStr">
        <is>
          <t>Mobile, zoom/reflow, content stress, and RTL remain usable and contained.</t>
        </is>
      </c>
      <c r="E17" s="23" t="inlineStr">
        <is>
          <t>package</t>
        </is>
      </c>
      <c r="F17" s="23" t="inlineStr">
        <is>
          <t>manual</t>
        </is>
      </c>
      <c r="G17" s="23" t="inlineStr">
        <is>
          <t>manual-tests/checkbox.md</t>
        </is>
      </c>
      <c r="H17" s="23" t="inlineStr">
        <is>
          <t>verified</t>
        </is>
      </c>
      <c r="I17" s="23" t="inlineStr">
        <is>
          <t>yes</t>
        </is>
      </c>
      <c r="J17" s="25" t="n">
        <v>46227</v>
      </c>
      <c r="K17" s="23" t="inlineStr">
        <is>
          <t>Owner completed the current manual protocol.</t>
        </is>
      </c>
      <c r="L17" s="23" t="n">
        <v>1</v>
      </c>
      <c r="M17" s="23" t="n">
        <v>1</v>
      </c>
    </row>
    <row r="18" ht="42" customHeight="1" s="17">
      <c r="A18" s="23" t="inlineStr">
        <is>
          <t>C-10</t>
        </is>
      </c>
      <c r="B18" s="23" t="inlineStr">
        <is>
          <t>Theme</t>
        </is>
      </c>
      <c r="C18" s="23" t="inlineStr">
        <is>
          <t>Checkbox</t>
        </is>
      </c>
      <c r="D18" s="23" t="inlineStr">
        <is>
          <t>Light, dark, focus, forced-colors, and relevant motion behavior remain perceivable.</t>
        </is>
      </c>
      <c r="E18" s="23" t="inlineStr">
        <is>
          <t>package</t>
        </is>
      </c>
      <c r="F18" s="23" t="inlineStr">
        <is>
          <t>manual</t>
        </is>
      </c>
      <c r="G18" s="23" t="inlineStr">
        <is>
          <t>manual-tests/checkbox.md</t>
        </is>
      </c>
      <c r="H18" s="23" t="inlineStr">
        <is>
          <t>verified</t>
        </is>
      </c>
      <c r="I18" s="23" t="inlineStr">
        <is>
          <t>yes</t>
        </is>
      </c>
      <c r="J18" s="25" t="n">
        <v>46227</v>
      </c>
      <c r="K18" s="23" t="inlineStr">
        <is>
          <t>Owner completed the current manual protocol.</t>
        </is>
      </c>
      <c r="L18" s="23" t="n">
        <v>1</v>
      </c>
      <c r="M18" s="23" t="n">
        <v>1</v>
      </c>
    </row>
    <row r="19" ht="42" customHeight="1" s="17">
      <c r="A19" s="23" t="inlineStr">
        <is>
          <t>C-11</t>
        </is>
      </c>
      <c r="B19" s="23" t="inlineStr">
        <is>
          <t>Composition</t>
        </is>
      </c>
      <c r="C19" s="23" t="inlineStr">
        <is>
          <t>Checkbox</t>
        </is>
      </c>
      <c r="D19" s="23" t="inlineStr">
        <is>
          <t>Default, render, and asChild output preserve the intended element, slots, state, and relationships.</t>
        </is>
      </c>
      <c r="E19" s="23" t="inlineStr">
        <is>
          <t>package</t>
        </is>
      </c>
      <c r="F19" s="23" t="inlineStr">
        <is>
          <t>manual</t>
        </is>
      </c>
      <c r="G19" s="23" t="inlineStr">
        <is>
          <t>manual-tests/checkbox.md; tests/components/checkbox/behavior.spec.ts</t>
        </is>
      </c>
      <c r="H19" s="23" t="inlineStr">
        <is>
          <t>verified</t>
        </is>
      </c>
      <c r="I19" s="23" t="inlineStr">
        <is>
          <t>yes</t>
        </is>
      </c>
      <c r="J19" s="25" t="n">
        <v>46227</v>
      </c>
      <c r="K19" s="23" t="inlineStr">
        <is>
          <t>Owner reviewed the live and rendered output evidence.</t>
        </is>
      </c>
      <c r="L19" s="23" t="n">
        <v>1</v>
      </c>
      <c r="M19" s="23" t="n">
        <v>1</v>
      </c>
    </row>
    <row r="20" ht="42" customHeight="1" s="17">
      <c r="A20" s="23" t="inlineStr">
        <is>
          <t>C-12</t>
        </is>
      </c>
      <c r="B20" s="23" t="inlineStr">
        <is>
          <t>Manual</t>
        </is>
      </c>
      <c r="C20" s="23" t="inlineStr">
        <is>
          <t>Checkbox</t>
        </is>
      </c>
      <c r="D20" s="23" t="inlineStr">
        <is>
          <t>The complete component-owned manual protocol passed against every playground scenario.</t>
        </is>
      </c>
      <c r="E20" s="23" t="inlineStr">
        <is>
          <t>package</t>
        </is>
      </c>
      <c r="F20" s="23" t="inlineStr">
        <is>
          <t>manual</t>
        </is>
      </c>
      <c r="G20" s="23" t="inlineStr">
        <is>
          <t>manual-tests/checkbox.md</t>
        </is>
      </c>
      <c r="H20" s="23" t="inlineStr">
        <is>
          <t>verified</t>
        </is>
      </c>
      <c r="I20" s="23" t="inlineStr">
        <is>
          <t>yes</t>
        </is>
      </c>
      <c r="J20" s="25" t="n">
        <v>46227</v>
      </c>
      <c r="K20" s="23" t="inlineStr">
        <is>
          <t>Owner confirmed completion on 2026-07-24.</t>
        </is>
      </c>
      <c r="L20" s="23" t="n">
        <v>1</v>
      </c>
      <c r="M20" s="23" t="n">
        <v>1</v>
      </c>
    </row>
    <row r="21" ht="42" customHeight="1" s="17">
      <c r="A21" s="23" t="inlineStr">
        <is>
          <t>C-13</t>
        </is>
      </c>
      <c r="B21" s="23" t="inlineStr">
        <is>
          <t>Docs</t>
        </is>
      </c>
      <c r="C21" s="23" t="inlineStr">
        <is>
          <t>Checkbox</t>
        </is>
      </c>
      <c r="D21" s="23" t="inlineStr">
        <is>
          <t>Public usage documentation exists at the component-owned path.</t>
        </is>
      </c>
      <c r="E21" s="23" t="inlineStr">
        <is>
          <t>package</t>
        </is>
      </c>
      <c r="F21" s="23" t="inlineStr">
        <is>
          <t>docs</t>
        </is>
      </c>
      <c r="G21" s="23" t="inlineStr">
        <is>
          <t>../docs/components/checkbox/README.md</t>
        </is>
      </c>
      <c r="H21" s="23" t="inlineStr">
        <is>
          <t>tested</t>
        </is>
      </c>
      <c r="I21" s="23" t="inlineStr">
        <is>
          <t>no</t>
        </is>
      </c>
      <c r="J21" s="25" t="n">
        <v>46227</v>
      </c>
      <c r="L21" s="23" t="n">
        <v>1</v>
      </c>
      <c r="M21" s="23" t="n">
        <v>1</v>
      </c>
    </row>
    <row r="22" ht="42" customHeight="1" s="17">
      <c r="A22" s="23" t="inlineStr">
        <is>
          <t>C-14</t>
        </is>
      </c>
      <c r="B22" s="23" t="inlineStr">
        <is>
          <t>Changelog</t>
        </is>
      </c>
      <c r="C22" s="23" t="inlineStr">
        <is>
          <t>Checkbox</t>
        </is>
      </c>
      <c r="D22" s="23" t="inlineStr">
        <is>
          <t>The component owns a public changelog.</t>
        </is>
      </c>
      <c r="E22" s="23" t="inlineStr">
        <is>
          <t>package</t>
        </is>
      </c>
      <c r="F22" s="23" t="inlineStr">
        <is>
          <t>docs</t>
        </is>
      </c>
      <c r="G22" s="23" t="inlineStr">
        <is>
          <t>../docs/components/checkbox/CHANGELOG.md</t>
        </is>
      </c>
      <c r="H22" s="23" t="inlineStr">
        <is>
          <t>tested</t>
        </is>
      </c>
      <c r="I22" s="23" t="inlineStr">
        <is>
          <t>no</t>
        </is>
      </c>
      <c r="J22" s="25" t="n">
        <v>46227</v>
      </c>
      <c r="L22" s="23" t="n">
        <v>1</v>
      </c>
      <c r="M22" s="23" t="n">
        <v>1</v>
      </c>
    </row>
    <row r="23" ht="42" customHeight="1" s="17">
      <c r="A23" s="23" t="inlineStr">
        <is>
          <t>C-15</t>
        </is>
      </c>
      <c r="B23" s="23" t="inlineStr">
        <is>
          <t>Consumer</t>
        </is>
      </c>
      <c r="C23" s="23" t="inlineStr">
        <is>
          <t>Checkbox</t>
        </is>
      </c>
      <c r="D23" s="23" t="inlineStr">
        <is>
          <t>The standalone consumer imports and exercises the public package component.</t>
        </is>
      </c>
      <c r="E23" s="23" t="inlineStr">
        <is>
          <t>consumer</t>
        </is>
      </c>
      <c r="F23" s="23" t="inlineStr">
        <is>
          <t>consumer</t>
        </is>
      </c>
      <c r="G23" s="23" t="inlineStr">
        <is>
          <t>../apps/consumer/src/App.tsx; ../apps/consumer/tests/consumer.spec.ts</t>
        </is>
      </c>
      <c r="H23" s="23" t="inlineStr">
        <is>
          <t>tested</t>
        </is>
      </c>
      <c r="I23" s="23" t="inlineStr">
        <is>
          <t>no</t>
        </is>
      </c>
      <c r="J23" s="25" t="n">
        <v>46227</v>
      </c>
      <c r="L23" s="23" t="n">
        <v>1</v>
      </c>
      <c r="M23" s="23" t="n">
        <v>1</v>
      </c>
    </row>
    <row r="24" ht="42" customHeight="1" s="17">
      <c r="A24" s="23" t="inlineStr">
        <is>
          <t>C-16</t>
        </is>
      </c>
      <c r="B24" s="23" t="inlineStr">
        <is>
          <t>Package</t>
        </is>
      </c>
      <c r="C24" s="23" t="inlineStr">
        <is>
          <t>Checkbox</t>
        </is>
      </c>
      <c r="D24" s="23" t="inlineStr">
        <is>
          <t>Build, exports, tarball, CSS, and consumer boundary verification pass.</t>
        </is>
      </c>
      <c r="E24" s="23" t="inlineStr">
        <is>
          <t>package</t>
        </is>
      </c>
      <c r="F24" s="23" t="inlineStr">
        <is>
          <t>package</t>
        </is>
      </c>
      <c r="G24" s="23" t="inlineStr">
        <is>
          <t>../scripts/verify-package.mjs; ../scripts/verify-consumers.mjs</t>
        </is>
      </c>
      <c r="H24" s="23" t="inlineStr">
        <is>
          <t>tested</t>
        </is>
      </c>
      <c r="I24" s="23" t="inlineStr">
        <is>
          <t>no</t>
        </is>
      </c>
      <c r="J24" s="25" t="n">
        <v>46227</v>
      </c>
      <c r="L24" s="23" t="n">
        <v>1</v>
      </c>
      <c r="M24" s="23" t="n">
        <v>1</v>
      </c>
    </row>
  </sheetData>
  <mergeCells count="2">
    <mergeCell ref="A2:M2"/>
    <mergeCell ref="A1:M1"/>
  </mergeCells>
  <conditionalFormatting sqref="H9:H24">
    <cfRule type="containsText" rank="0" priority="2" equalAverage="0" operator="containsText" aboveAverage="0" dxfId="5" text="not started" percent="0" bottom="0">
      <formula>NOT(ISERROR(SEARCH("not started",H9)))</formula>
    </cfRule>
    <cfRule type="containsText" rank="0" priority="3" equalAverage="0" operator="containsText" aboveAverage="0" dxfId="6" text="partial" percent="0" bottom="0">
      <formula>NOT(ISERROR(SEARCH("partial",H9)))</formula>
    </cfRule>
    <cfRule type="containsText" rank="0" priority="4" equalAverage="0" operator="containsText" aboveAverage="0" dxfId="7" text="implemented" percent="0" bottom="0">
      <formula>NOT(ISERROR(SEARCH("implemented",H9)))</formula>
    </cfRule>
    <cfRule type="containsText" rank="0" priority="5" equalAverage="0" operator="containsText" aboveAverage="0" dxfId="8" text="tested" percent="0" bottom="0">
      <formula>NOT(ISERROR(SEARCH("tested",H9)))</formula>
    </cfRule>
    <cfRule type="containsText" rank="0" priority="6" equalAverage="0" operator="containsText" aboveAverage="0" dxfId="3" text="verified" percent="0" bottom="0">
      <formula>NOT(ISERROR(SEARCH("verified",H9)))</formula>
    </cfRule>
    <cfRule type="containsText" rank="0" priority="7" equalAverage="0" operator="containsText" aboveAverage="0" dxfId="9" text="blocked" percent="0" bottom="0">
      <formula>NOT(ISERROR(SEARCH("blocked",H9)))</formula>
    </cfRule>
    <cfRule type="containsText" rank="0" priority="8" equalAverage="0" operator="containsText" aboveAverage="0" dxfId="5" text="not applicable" percent="0" bottom="0">
      <formula>NOT(ISERROR(SEARCH("not applicable",H9)))</formula>
    </cfRule>
  </conditionalFormatting>
  <dataValidations count="2">
    <dataValidation sqref="H9:H24" showDropDown="0" showInputMessage="1" showErrorMessage="1" allowBlank="1" type="list" errorStyle="stop" operator="between">
      <formula1>"not started,partial,implemented,tested,verified,blocked,not applicable"</formula1>
      <formula2>0</formula2>
    </dataValidation>
    <dataValidation sqref="I9:I24" showDropDown="0" showInputMessage="1" showErrorMessage="1" allowBlank="1" type="list" errorStyle="stop" operator="between">
      <formula1>"yes,no"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0"/>
  </sheetPr>
  <dimension ref="A1:M2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baseColWidth="8" defaultColWidth="8.6796875" defaultRowHeight="15" customHeight="0" zeroHeight="0" outlineLevelRow="0"/>
  <cols>
    <col width="13.71" customWidth="1" style="23" min="1" max="1"/>
    <col width="15.71" customWidth="1" style="23" min="2" max="2"/>
    <col width="18.71" customWidth="1" style="23" min="3" max="3"/>
    <col width="58.71" customWidth="1" style="23" min="4" max="4"/>
    <col width="14.71" customWidth="1" style="23" min="5" max="6"/>
    <col width="50.71" customWidth="1" style="23" min="7" max="7"/>
    <col width="17.71" customWidth="1" style="23" min="8" max="8"/>
    <col width="14.71" customWidth="1" style="23" min="9" max="9"/>
    <col width="14.71" customWidth="1" style="25" min="10" max="10"/>
    <col width="42.71" customWidth="1" style="23" min="11" max="11"/>
    <col width="10.71" customWidth="1" style="23" min="12" max="13"/>
  </cols>
  <sheetData>
    <row r="1" ht="37.5" customHeight="1" s="17">
      <c r="A1" s="18" t="inlineStr">
        <is>
          <t>Checkbox Group Evidence</t>
        </is>
      </c>
    </row>
    <row r="2" ht="27.75" customHeight="1" s="17">
      <c r="A2" s="19" t="inlineStr">
        <is>
          <t>Assertion-level package, browser, human-review, documentation, and consumer evidence.</t>
        </is>
      </c>
    </row>
    <row r="4" ht="17.25" customHeight="1" s="17">
      <c r="A4" s="20" t="inlineStr">
        <is>
          <t>Requirements</t>
        </is>
      </c>
      <c r="B4" s="21" t="n">
        <v>16</v>
      </c>
      <c r="D4" s="20" t="inlineStr">
        <is>
          <t>Resolved</t>
        </is>
      </c>
      <c r="E4" s="21" t="n">
        <v>16</v>
      </c>
      <c r="G4" s="20" t="inlineStr">
        <is>
          <t>Completion</t>
        </is>
      </c>
      <c r="H4" s="22" t="n">
        <v>1</v>
      </c>
      <c r="J4" s="20" t="inlineStr">
        <is>
          <t>Package gate</t>
        </is>
      </c>
      <c r="K4" s="21" t="inlineStr">
        <is>
          <t>complete</t>
        </is>
      </c>
    </row>
    <row r="5" ht="17.25" customHeight="1" s="17">
      <c r="A5" s="20" t="inlineStr">
        <is>
          <t>Manual review</t>
        </is>
      </c>
      <c r="B5" s="21" t="inlineStr">
        <is>
          <t>complete</t>
        </is>
      </c>
      <c r="D5" s="20" t="inlineStr">
        <is>
          <t>Consumer gate</t>
        </is>
      </c>
      <c r="E5" s="21" t="inlineStr">
        <is>
          <t>complete</t>
        </is>
      </c>
    </row>
    <row r="8" ht="15" customHeight="1" s="17">
      <c r="A8" s="23" t="inlineStr">
        <is>
          <t>ID</t>
        </is>
      </c>
      <c r="B8" s="23" t="inlineStr">
        <is>
          <t>Area</t>
        </is>
      </c>
      <c r="C8" s="23" t="inlineStr">
        <is>
          <t>Part</t>
        </is>
      </c>
      <c r="D8" s="23" t="inlineStr">
        <is>
          <t>Requirement</t>
        </is>
      </c>
      <c r="E8" s="23" t="inlineStr">
        <is>
          <t>Gate</t>
        </is>
      </c>
      <c r="F8" s="23" t="inlineStr">
        <is>
          <t>Evidence type</t>
        </is>
      </c>
      <c r="G8" s="23" t="inlineStr">
        <is>
          <t>Evidence / link</t>
        </is>
      </c>
      <c r="H8" s="23" t="inlineStr">
        <is>
          <t>Status</t>
        </is>
      </c>
      <c r="I8" s="23" t="inlineStr">
        <is>
          <t>Human review?</t>
        </is>
      </c>
      <c r="J8" s="25" t="inlineStr">
        <is>
          <t>Last verified</t>
        </is>
      </c>
      <c r="K8" s="23" t="inlineStr">
        <is>
          <t>Blocker / N/A reason</t>
        </is>
      </c>
      <c r="L8" s="23" t="inlineStr">
        <is>
          <t>Weight</t>
        </is>
      </c>
      <c r="M8" s="23" t="inlineStr">
        <is>
          <t>Resolved</t>
        </is>
      </c>
    </row>
    <row r="9" ht="42" customHeight="1" s="17">
      <c r="A9" s="23" t="inlineStr">
        <is>
          <t>CG-01</t>
        </is>
      </c>
      <c r="B9" s="23" t="inlineStr">
        <is>
          <t>Implementation</t>
        </is>
      </c>
      <c r="C9" s="23" t="inlineStr">
        <is>
          <t>CheckboxGroup</t>
        </is>
      </c>
      <c r="D9" s="23" t="inlineStr">
        <is>
          <t>Public component implementation and Atom adapter exist.</t>
        </is>
      </c>
      <c r="E9" s="23" t="inlineStr">
        <is>
          <t>package</t>
        </is>
      </c>
      <c r="F9" s="23" t="inlineStr">
        <is>
          <t>source</t>
        </is>
      </c>
      <c r="G9" s="23" t="inlineStr">
        <is>
          <t>../src/components/checkbox-group</t>
        </is>
      </c>
      <c r="H9" s="23" t="inlineStr">
        <is>
          <t>tested</t>
        </is>
      </c>
      <c r="I9" s="23" t="inlineStr">
        <is>
          <t>no</t>
        </is>
      </c>
      <c r="J9" s="25" t="n">
        <v>46227</v>
      </c>
      <c r="L9" s="23" t="n">
        <v>1</v>
      </c>
      <c r="M9" s="23" t="n">
        <v>1</v>
      </c>
    </row>
    <row r="10" ht="42" customHeight="1" s="17">
      <c r="A10" s="23" t="inlineStr">
        <is>
          <t>CG-02</t>
        </is>
      </c>
      <c r="B10" s="23" t="inlineStr">
        <is>
          <t>Exports</t>
        </is>
      </c>
      <c r="C10" s="23" t="inlineStr">
        <is>
          <t>CheckboxGroup</t>
        </is>
      </c>
      <c r="D10" s="23" t="inlineStr">
        <is>
          <t>Root and public subpath exports expose the component.</t>
        </is>
      </c>
      <c r="E10" s="23" t="inlineStr">
        <is>
          <t>package</t>
        </is>
      </c>
      <c r="F10" s="23" t="inlineStr">
        <is>
          <t>package</t>
        </is>
      </c>
      <c r="G10" s="23" t="inlineStr">
        <is>
          <t>../test/package/package.test.mjs</t>
        </is>
      </c>
      <c r="H10" s="23" t="inlineStr">
        <is>
          <t>tested</t>
        </is>
      </c>
      <c r="I10" s="23" t="inlineStr">
        <is>
          <t>no</t>
        </is>
      </c>
      <c r="J10" s="25" t="n">
        <v>46227</v>
      </c>
      <c r="L10" s="23" t="n">
        <v>1</v>
      </c>
      <c r="M10" s="23" t="n">
        <v>1</v>
      </c>
    </row>
    <row r="11" ht="42" customHeight="1" s="17">
      <c r="A11" s="23" t="inlineStr">
        <is>
          <t>CG-03</t>
        </is>
      </c>
      <c r="B11" s="23" t="inlineStr">
        <is>
          <t>Types</t>
        </is>
      </c>
      <c r="C11" s="23" t="inlineStr">
        <is>
          <t>CheckboxGroup</t>
        </is>
      </c>
      <c r="D11" s="23" t="inlineStr">
        <is>
          <t>Public props, refs, composition branches, and invalid cases type-check.</t>
        </is>
      </c>
      <c r="E11" s="23" t="inlineStr">
        <is>
          <t>package</t>
        </is>
      </c>
      <c r="F11" s="23" t="inlineStr">
        <is>
          <t>types</t>
        </is>
      </c>
      <c r="G11" s="23" t="inlineStr">
        <is>
          <t>../test/types/components/checkbox-group.test.ts</t>
        </is>
      </c>
      <c r="H11" s="23" t="inlineStr">
        <is>
          <t>tested</t>
        </is>
      </c>
      <c r="I11" s="23" t="inlineStr">
        <is>
          <t>no</t>
        </is>
      </c>
      <c r="J11" s="25" t="n">
        <v>46227</v>
      </c>
      <c r="L11" s="23" t="n">
        <v>1</v>
      </c>
      <c r="M11" s="23" t="n">
        <v>1</v>
      </c>
    </row>
    <row r="12" ht="42" customHeight="1" s="17">
      <c r="A12" s="23" t="inlineStr">
        <is>
          <t>CG-04</t>
        </is>
      </c>
      <c r="B12" s="23" t="inlineStr">
        <is>
          <t>CSS</t>
        </is>
      </c>
      <c r="C12" s="23" t="inlineStr">
        <is>
          <t>CheckboxGroup</t>
        </is>
      </c>
      <c r="D12" s="23" t="inlineStr">
        <is>
          <t>Static public CSS, classes, slots, recipes, states, and tokens are present.</t>
        </is>
      </c>
      <c r="E12" s="23" t="inlineStr">
        <is>
          <t>package</t>
        </is>
      </c>
      <c r="F12" s="23" t="inlineStr">
        <is>
          <t>css</t>
        </is>
      </c>
      <c r="G12" s="23" t="inlineStr">
        <is>
          <t>../src/components/checkbox-group/checkbox-group.css</t>
        </is>
      </c>
      <c r="H12" s="23" t="inlineStr">
        <is>
          <t>tested</t>
        </is>
      </c>
      <c r="I12" s="23" t="inlineStr">
        <is>
          <t>no</t>
        </is>
      </c>
      <c r="J12" s="25" t="n">
        <v>46227</v>
      </c>
      <c r="L12" s="23" t="n">
        <v>1</v>
      </c>
      <c r="M12" s="23" t="n">
        <v>1</v>
      </c>
    </row>
    <row r="13" ht="42" customHeight="1" s="17">
      <c r="A13" s="23" t="inlineStr">
        <is>
          <t>CG-05</t>
        </is>
      </c>
      <c r="B13" s="23" t="inlineStr">
        <is>
          <t>Unit</t>
        </is>
      </c>
      <c r="C13" s="23" t="inlineStr">
        <is>
          <t>CheckboxGroup</t>
        </is>
      </c>
      <c r="D13" s="23" t="inlineStr">
        <is>
          <t>Brick-owned DOM, recipes, adapters, and public hooks pass focused tests.</t>
        </is>
      </c>
      <c r="E13" s="23" t="inlineStr">
        <is>
          <t>package</t>
        </is>
      </c>
      <c r="F13" s="23" t="inlineStr">
        <is>
          <t>component</t>
        </is>
      </c>
      <c r="G13" s="23" t="inlineStr">
        <is>
          <t>../test/components/checkbox-group/checkbox-group.test.tsx</t>
        </is>
      </c>
      <c r="H13" s="23" t="inlineStr">
        <is>
          <t>tested</t>
        </is>
      </c>
      <c r="I13" s="23" t="inlineStr">
        <is>
          <t>no</t>
        </is>
      </c>
      <c r="J13" s="25" t="n">
        <v>46227</v>
      </c>
      <c r="L13" s="23" t="n">
        <v>1</v>
      </c>
      <c r="M13" s="23" t="n">
        <v>1</v>
      </c>
    </row>
    <row r="14" ht="42" customHeight="1" s="17">
      <c r="A14" s="23" t="inlineStr">
        <is>
          <t>CG-06</t>
        </is>
      </c>
      <c r="B14" s="23" t="inlineStr">
        <is>
          <t>Browser</t>
        </is>
      </c>
      <c r="C14" s="23" t="inlineStr">
        <is>
          <t>CheckboxGroup</t>
        </is>
      </c>
      <c r="D14" s="23" t="inlineStr">
        <is>
          <t>Real-browser behavior and component contract checks pass.</t>
        </is>
      </c>
      <c r="E14" s="23" t="inlineStr">
        <is>
          <t>package</t>
        </is>
      </c>
      <c r="F14" s="23" t="inlineStr">
        <is>
          <t>browser</t>
        </is>
      </c>
      <c r="G14" s="23" t="inlineStr">
        <is>
          <t>tests/components/checkbox-group/behavior.spec.ts</t>
        </is>
      </c>
      <c r="H14" s="23" t="inlineStr">
        <is>
          <t>tested</t>
        </is>
      </c>
      <c r="I14" s="23" t="inlineStr">
        <is>
          <t>no</t>
        </is>
      </c>
      <c r="J14" s="25" t="n">
        <v>46227</v>
      </c>
      <c r="L14" s="23" t="n">
        <v>1</v>
      </c>
      <c r="M14" s="23" t="n">
        <v>1</v>
      </c>
    </row>
    <row r="15" ht="42" customHeight="1" s="17">
      <c r="A15" s="23" t="inlineStr">
        <is>
          <t>CG-07</t>
        </is>
      </c>
      <c r="B15" s="23" t="inlineStr">
        <is>
          <t>Accessibility</t>
        </is>
      </c>
      <c r="C15" s="23" t="inlineStr">
        <is>
          <t>CheckboxGroup</t>
        </is>
      </c>
      <c r="D15" s="23" t="inlineStr">
        <is>
          <t>Automated semantics and accessibility checks pass in the browser evidence suite.</t>
        </is>
      </c>
      <c r="E15" s="23" t="inlineStr">
        <is>
          <t>package</t>
        </is>
      </c>
      <c r="F15" s="23" t="inlineStr">
        <is>
          <t>axe</t>
        </is>
      </c>
      <c r="G15" s="23" t="inlineStr">
        <is>
          <t>tests/components/checkbox-group/behavior.spec.ts; tests/integration</t>
        </is>
      </c>
      <c r="H15" s="23" t="inlineStr">
        <is>
          <t>tested</t>
        </is>
      </c>
      <c r="I15" s="23" t="inlineStr">
        <is>
          <t>no</t>
        </is>
      </c>
      <c r="J15" s="25" t="n">
        <v>46227</v>
      </c>
      <c r="L15" s="23" t="n">
        <v>1</v>
      </c>
      <c r="M15" s="23" t="n">
        <v>1</v>
      </c>
    </row>
    <row r="16" ht="42" customHeight="1" s="17">
      <c r="A16" s="23" t="inlineStr">
        <is>
          <t>CG-08</t>
        </is>
      </c>
      <c r="B16" s="23" t="inlineStr">
        <is>
          <t>Visual</t>
        </is>
      </c>
      <c r="C16" s="23" t="inlineStr">
        <is>
          <t>CheckboxGroup</t>
        </is>
      </c>
      <c r="D16" s="23" t="inlineStr">
        <is>
          <t>Reviewed baselines cover the component's risk-selected recipes and states.</t>
        </is>
      </c>
      <c r="E16" s="23" t="inlineStr">
        <is>
          <t>package</t>
        </is>
      </c>
      <c r="F16" s="23" t="inlineStr">
        <is>
          <t>visual</t>
        </is>
      </c>
      <c r="G16" s="23" t="inlineStr">
        <is>
          <t>tests/components/checkbox-group/visual.spec.ts</t>
        </is>
      </c>
      <c r="H16" s="23" t="inlineStr">
        <is>
          <t>verified</t>
        </is>
      </c>
      <c r="I16" s="23" t="inlineStr">
        <is>
          <t>yes</t>
        </is>
      </c>
      <c r="J16" s="25" t="n">
        <v>46227</v>
      </c>
      <c r="K16" s="23" t="inlineStr">
        <is>
          <t>Owner reviewed the current playground evidence.</t>
        </is>
      </c>
      <c r="L16" s="23" t="n">
        <v>1</v>
      </c>
      <c r="M16" s="23" t="n">
        <v>1</v>
      </c>
    </row>
    <row r="17" ht="42" customHeight="1" s="17">
      <c r="A17" s="23" t="inlineStr">
        <is>
          <t>CG-09</t>
        </is>
      </c>
      <c r="B17" s="23" t="inlineStr">
        <is>
          <t>Responsive</t>
        </is>
      </c>
      <c r="C17" s="23" t="inlineStr">
        <is>
          <t>CheckboxGroup</t>
        </is>
      </c>
      <c r="D17" s="23" t="inlineStr">
        <is>
          <t>Mobile, zoom/reflow, content stress, and RTL remain usable and contained.</t>
        </is>
      </c>
      <c r="E17" s="23" t="inlineStr">
        <is>
          <t>package</t>
        </is>
      </c>
      <c r="F17" s="23" t="inlineStr">
        <is>
          <t>manual</t>
        </is>
      </c>
      <c r="G17" s="23" t="inlineStr">
        <is>
          <t>manual-tests/checkbox-group.md</t>
        </is>
      </c>
      <c r="H17" s="23" t="inlineStr">
        <is>
          <t>verified</t>
        </is>
      </c>
      <c r="I17" s="23" t="inlineStr">
        <is>
          <t>yes</t>
        </is>
      </c>
      <c r="J17" s="25" t="n">
        <v>46227</v>
      </c>
      <c r="K17" s="23" t="inlineStr">
        <is>
          <t>Owner completed the current manual protocol.</t>
        </is>
      </c>
      <c r="L17" s="23" t="n">
        <v>1</v>
      </c>
      <c r="M17" s="23" t="n">
        <v>1</v>
      </c>
    </row>
    <row r="18" ht="42" customHeight="1" s="17">
      <c r="A18" s="23" t="inlineStr">
        <is>
          <t>CG-10</t>
        </is>
      </c>
      <c r="B18" s="23" t="inlineStr">
        <is>
          <t>Theme</t>
        </is>
      </c>
      <c r="C18" s="23" t="inlineStr">
        <is>
          <t>CheckboxGroup</t>
        </is>
      </c>
      <c r="D18" s="23" t="inlineStr">
        <is>
          <t>Light, dark, focus, forced-colors, and relevant motion behavior remain perceivable.</t>
        </is>
      </c>
      <c r="E18" s="23" t="inlineStr">
        <is>
          <t>package</t>
        </is>
      </c>
      <c r="F18" s="23" t="inlineStr">
        <is>
          <t>manual</t>
        </is>
      </c>
      <c r="G18" s="23" t="inlineStr">
        <is>
          <t>manual-tests/checkbox-group.md</t>
        </is>
      </c>
      <c r="H18" s="23" t="inlineStr">
        <is>
          <t>verified</t>
        </is>
      </c>
      <c r="I18" s="23" t="inlineStr">
        <is>
          <t>yes</t>
        </is>
      </c>
      <c r="J18" s="25" t="n">
        <v>46227</v>
      </c>
      <c r="K18" s="23" t="inlineStr">
        <is>
          <t>Owner completed the current manual protocol.</t>
        </is>
      </c>
      <c r="L18" s="23" t="n">
        <v>1</v>
      </c>
      <c r="M18" s="23" t="n">
        <v>1</v>
      </c>
    </row>
    <row r="19" ht="42" customHeight="1" s="17">
      <c r="A19" s="23" t="inlineStr">
        <is>
          <t>CG-11</t>
        </is>
      </c>
      <c r="B19" s="23" t="inlineStr">
        <is>
          <t>Composition</t>
        </is>
      </c>
      <c r="C19" s="23" t="inlineStr">
        <is>
          <t>CheckboxGroup</t>
        </is>
      </c>
      <c r="D19" s="23" t="inlineStr">
        <is>
          <t>Default, render, and asChild output preserve the intended element, slots, state, and relationships.</t>
        </is>
      </c>
      <c r="E19" s="23" t="inlineStr">
        <is>
          <t>package</t>
        </is>
      </c>
      <c r="F19" s="23" t="inlineStr">
        <is>
          <t>manual</t>
        </is>
      </c>
      <c r="G19" s="23" t="inlineStr">
        <is>
          <t>manual-tests/checkbox-group.md; tests/components/checkbox-group/behavior.spec.ts</t>
        </is>
      </c>
      <c r="H19" s="23" t="inlineStr">
        <is>
          <t>verified</t>
        </is>
      </c>
      <c r="I19" s="23" t="inlineStr">
        <is>
          <t>yes</t>
        </is>
      </c>
      <c r="J19" s="25" t="n">
        <v>46227</v>
      </c>
      <c r="K19" s="23" t="inlineStr">
        <is>
          <t>Owner reviewed the live and rendered output evidence.</t>
        </is>
      </c>
      <c r="L19" s="23" t="n">
        <v>1</v>
      </c>
      <c r="M19" s="23" t="n">
        <v>1</v>
      </c>
    </row>
    <row r="20" ht="42" customHeight="1" s="17">
      <c r="A20" s="23" t="inlineStr">
        <is>
          <t>CG-12</t>
        </is>
      </c>
      <c r="B20" s="23" t="inlineStr">
        <is>
          <t>Manual</t>
        </is>
      </c>
      <c r="C20" s="23" t="inlineStr">
        <is>
          <t>CheckboxGroup</t>
        </is>
      </c>
      <c r="D20" s="23" t="inlineStr">
        <is>
          <t>The complete component-owned manual protocol passed against every playground scenario.</t>
        </is>
      </c>
      <c r="E20" s="23" t="inlineStr">
        <is>
          <t>package</t>
        </is>
      </c>
      <c r="F20" s="23" t="inlineStr">
        <is>
          <t>manual</t>
        </is>
      </c>
      <c r="G20" s="23" t="inlineStr">
        <is>
          <t>manual-tests/checkbox-group.md</t>
        </is>
      </c>
      <c r="H20" s="23" t="inlineStr">
        <is>
          <t>verified</t>
        </is>
      </c>
      <c r="I20" s="23" t="inlineStr">
        <is>
          <t>yes</t>
        </is>
      </c>
      <c r="J20" s="25" t="n">
        <v>46227</v>
      </c>
      <c r="K20" s="23" t="inlineStr">
        <is>
          <t>Owner confirmed completion on 2026-07-24.</t>
        </is>
      </c>
      <c r="L20" s="23" t="n">
        <v>1</v>
      </c>
      <c r="M20" s="23" t="n">
        <v>1</v>
      </c>
    </row>
    <row r="21" ht="42" customHeight="1" s="17">
      <c r="A21" s="23" t="inlineStr">
        <is>
          <t>CG-13</t>
        </is>
      </c>
      <c r="B21" s="23" t="inlineStr">
        <is>
          <t>Docs</t>
        </is>
      </c>
      <c r="C21" s="23" t="inlineStr">
        <is>
          <t>CheckboxGroup</t>
        </is>
      </c>
      <c r="D21" s="23" t="inlineStr">
        <is>
          <t>Public usage documentation exists at the component-owned path.</t>
        </is>
      </c>
      <c r="E21" s="23" t="inlineStr">
        <is>
          <t>package</t>
        </is>
      </c>
      <c r="F21" s="23" t="inlineStr">
        <is>
          <t>docs</t>
        </is>
      </c>
      <c r="G21" s="23" t="inlineStr">
        <is>
          <t>../docs/components/checkbox-group/README.md</t>
        </is>
      </c>
      <c r="H21" s="23" t="inlineStr">
        <is>
          <t>tested</t>
        </is>
      </c>
      <c r="I21" s="23" t="inlineStr">
        <is>
          <t>no</t>
        </is>
      </c>
      <c r="J21" s="25" t="n">
        <v>46227</v>
      </c>
      <c r="L21" s="23" t="n">
        <v>1</v>
      </c>
      <c r="M21" s="23" t="n">
        <v>1</v>
      </c>
    </row>
    <row r="22" ht="42" customHeight="1" s="17">
      <c r="A22" s="23" t="inlineStr">
        <is>
          <t>CG-14</t>
        </is>
      </c>
      <c r="B22" s="23" t="inlineStr">
        <is>
          <t>Changelog</t>
        </is>
      </c>
      <c r="C22" s="23" t="inlineStr">
        <is>
          <t>CheckboxGroup</t>
        </is>
      </c>
      <c r="D22" s="23" t="inlineStr">
        <is>
          <t>The component owns a public changelog.</t>
        </is>
      </c>
      <c r="E22" s="23" t="inlineStr">
        <is>
          <t>package</t>
        </is>
      </c>
      <c r="F22" s="23" t="inlineStr">
        <is>
          <t>docs</t>
        </is>
      </c>
      <c r="G22" s="23" t="inlineStr">
        <is>
          <t>../docs/components/checkbox-group/CHANGELOG.md</t>
        </is>
      </c>
      <c r="H22" s="23" t="inlineStr">
        <is>
          <t>tested</t>
        </is>
      </c>
      <c r="I22" s="23" t="inlineStr">
        <is>
          <t>no</t>
        </is>
      </c>
      <c r="J22" s="25" t="n">
        <v>46227</v>
      </c>
      <c r="L22" s="23" t="n">
        <v>1</v>
      </c>
      <c r="M22" s="23" t="n">
        <v>1</v>
      </c>
    </row>
    <row r="23" ht="42" customHeight="1" s="17">
      <c r="A23" s="23" t="inlineStr">
        <is>
          <t>CG-15</t>
        </is>
      </c>
      <c r="B23" s="23" t="inlineStr">
        <is>
          <t>Consumer</t>
        </is>
      </c>
      <c r="C23" s="23" t="inlineStr">
        <is>
          <t>CheckboxGroup</t>
        </is>
      </c>
      <c r="D23" s="23" t="inlineStr">
        <is>
          <t>The standalone consumer imports and exercises the public package component.</t>
        </is>
      </c>
      <c r="E23" s="23" t="inlineStr">
        <is>
          <t>consumer</t>
        </is>
      </c>
      <c r="F23" s="23" t="inlineStr">
        <is>
          <t>consumer</t>
        </is>
      </c>
      <c r="G23" s="23" t="inlineStr">
        <is>
          <t>../apps/consumer/src/App.tsx; ../apps/consumer/tests/consumer.spec.ts</t>
        </is>
      </c>
      <c r="H23" s="23" t="inlineStr">
        <is>
          <t>tested</t>
        </is>
      </c>
      <c r="I23" s="23" t="inlineStr">
        <is>
          <t>no</t>
        </is>
      </c>
      <c r="J23" s="25" t="n">
        <v>46227</v>
      </c>
      <c r="L23" s="23" t="n">
        <v>1</v>
      </c>
      <c r="M23" s="23" t="n">
        <v>1</v>
      </c>
    </row>
    <row r="24" ht="42" customHeight="1" s="17">
      <c r="A24" s="23" t="inlineStr">
        <is>
          <t>CG-16</t>
        </is>
      </c>
      <c r="B24" s="23" t="inlineStr">
        <is>
          <t>Package</t>
        </is>
      </c>
      <c r="C24" s="23" t="inlineStr">
        <is>
          <t>CheckboxGroup</t>
        </is>
      </c>
      <c r="D24" s="23" t="inlineStr">
        <is>
          <t>Build, exports, tarball, CSS, and consumer boundary verification pass.</t>
        </is>
      </c>
      <c r="E24" s="23" t="inlineStr">
        <is>
          <t>package</t>
        </is>
      </c>
      <c r="F24" s="23" t="inlineStr">
        <is>
          <t>package</t>
        </is>
      </c>
      <c r="G24" s="23" t="inlineStr">
        <is>
          <t>../scripts/verify-package.mjs; ../scripts/verify-consumers.mjs</t>
        </is>
      </c>
      <c r="H24" s="23" t="inlineStr">
        <is>
          <t>tested</t>
        </is>
      </c>
      <c r="I24" s="23" t="inlineStr">
        <is>
          <t>no</t>
        </is>
      </c>
      <c r="J24" s="25" t="n">
        <v>46227</v>
      </c>
      <c r="L24" s="23" t="n">
        <v>1</v>
      </c>
      <c r="M24" s="23" t="n">
        <v>1</v>
      </c>
    </row>
  </sheetData>
  <mergeCells count="2">
    <mergeCell ref="A2:M2"/>
    <mergeCell ref="A1:M1"/>
  </mergeCells>
  <conditionalFormatting sqref="H9:H24">
    <cfRule type="containsText" rank="0" priority="2" equalAverage="0" operator="containsText" aboveAverage="0" dxfId="5" text="not started" percent="0" bottom="0">
      <formula>NOT(ISERROR(SEARCH("not started",H9)))</formula>
    </cfRule>
    <cfRule type="containsText" rank="0" priority="3" equalAverage="0" operator="containsText" aboveAverage="0" dxfId="6" text="partial" percent="0" bottom="0">
      <formula>NOT(ISERROR(SEARCH("partial",H9)))</formula>
    </cfRule>
    <cfRule type="containsText" rank="0" priority="4" equalAverage="0" operator="containsText" aboveAverage="0" dxfId="7" text="implemented" percent="0" bottom="0">
      <formula>NOT(ISERROR(SEARCH("implemented",H9)))</formula>
    </cfRule>
    <cfRule type="containsText" rank="0" priority="5" equalAverage="0" operator="containsText" aboveAverage="0" dxfId="8" text="tested" percent="0" bottom="0">
      <formula>NOT(ISERROR(SEARCH("tested",H9)))</formula>
    </cfRule>
    <cfRule type="containsText" rank="0" priority="6" equalAverage="0" operator="containsText" aboveAverage="0" dxfId="3" text="verified" percent="0" bottom="0">
      <formula>NOT(ISERROR(SEARCH("verified",H9)))</formula>
    </cfRule>
    <cfRule type="containsText" rank="0" priority="7" equalAverage="0" operator="containsText" aboveAverage="0" dxfId="9" text="blocked" percent="0" bottom="0">
      <formula>NOT(ISERROR(SEARCH("blocked",H9)))</formula>
    </cfRule>
    <cfRule type="containsText" rank="0" priority="8" equalAverage="0" operator="containsText" aboveAverage="0" dxfId="5" text="not applicable" percent="0" bottom="0">
      <formula>NOT(ISERROR(SEARCH("not applicable",H9)))</formula>
    </cfRule>
  </conditionalFormatting>
  <dataValidations count="2">
    <dataValidation sqref="H9:H24" showDropDown="0" showInputMessage="1" showErrorMessage="1" allowBlank="1" type="list" errorStyle="stop" operator="between">
      <formula1>"not started,partial,implemented,tested,verified,blocked,not applicable"</formula1>
      <formula2>0</formula2>
    </dataValidation>
    <dataValidation sqref="I9:I24" showDropDown="0" showInputMessage="1" showErrorMessage="1" allowBlank="1" type="list" errorStyle="stop" operator="between">
      <formula1>"yes,no"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 filterMode="0">
    <outlinePr summaryBelow="1" summaryRight="1"/>
    <pageSetUpPr fitToPage="0"/>
  </sheetPr>
  <dimension ref="A1:M2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baseColWidth="8" defaultColWidth="8.6796875" defaultRowHeight="15" customHeight="0" zeroHeight="0" outlineLevelRow="0"/>
  <cols>
    <col width="13.71" customWidth="1" style="23" min="1" max="1"/>
    <col width="15.71" customWidth="1" style="23" min="2" max="2"/>
    <col width="18.71" customWidth="1" style="23" min="3" max="3"/>
    <col width="58.71" customWidth="1" style="23" min="4" max="4"/>
    <col width="14.71" customWidth="1" style="23" min="5" max="6"/>
    <col width="50.71" customWidth="1" style="23" min="7" max="7"/>
    <col width="17.71" customWidth="1" style="23" min="8" max="8"/>
    <col width="14.71" customWidth="1" style="23" min="9" max="9"/>
    <col width="14.71" customWidth="1" style="25" min="10" max="10"/>
    <col width="42.71" customWidth="1" style="23" min="11" max="11"/>
    <col width="10.71" customWidth="1" style="23" min="12" max="13"/>
  </cols>
  <sheetData>
    <row r="1" ht="37.5" customHeight="1" s="17">
      <c r="A1" s="18" t="inlineStr">
        <is>
          <t>Dialog Evidence</t>
        </is>
      </c>
    </row>
    <row r="2" ht="27.75" customHeight="1" s="17">
      <c r="A2" s="19" t="inlineStr">
        <is>
          <t>Assertion-level package, browser, human-review, documentation, and consumer evidence.</t>
        </is>
      </c>
    </row>
    <row r="4" ht="17.25" customHeight="1" s="17">
      <c r="A4" s="20" t="inlineStr">
        <is>
          <t>Requirements</t>
        </is>
      </c>
      <c r="B4" s="21" t="n">
        <v>16</v>
      </c>
      <c r="D4" s="20" t="inlineStr">
        <is>
          <t>Resolved</t>
        </is>
      </c>
      <c r="E4" s="21" t="n">
        <v>16</v>
      </c>
      <c r="G4" s="20" t="inlineStr">
        <is>
          <t>Completion</t>
        </is>
      </c>
      <c r="H4" s="22" t="n">
        <v>1</v>
      </c>
      <c r="J4" s="20" t="inlineStr">
        <is>
          <t>Package gate</t>
        </is>
      </c>
      <c r="K4" s="21" t="inlineStr">
        <is>
          <t>complete</t>
        </is>
      </c>
    </row>
    <row r="5" ht="17.25" customHeight="1" s="17">
      <c r="A5" s="20" t="inlineStr">
        <is>
          <t>Manual review</t>
        </is>
      </c>
      <c r="B5" s="21" t="inlineStr">
        <is>
          <t>complete</t>
        </is>
      </c>
      <c r="D5" s="20" t="inlineStr">
        <is>
          <t>Consumer gate</t>
        </is>
      </c>
      <c r="E5" s="21" t="inlineStr">
        <is>
          <t>complete</t>
        </is>
      </c>
    </row>
    <row r="8" ht="15" customHeight="1" s="17">
      <c r="A8" s="23" t="inlineStr">
        <is>
          <t>ID</t>
        </is>
      </c>
      <c r="B8" s="23" t="inlineStr">
        <is>
          <t>Area</t>
        </is>
      </c>
      <c r="C8" s="23" t="inlineStr">
        <is>
          <t>Part</t>
        </is>
      </c>
      <c r="D8" s="23" t="inlineStr">
        <is>
          <t>Requirement</t>
        </is>
      </c>
      <c r="E8" s="23" t="inlineStr">
        <is>
          <t>Gate</t>
        </is>
      </c>
      <c r="F8" s="23" t="inlineStr">
        <is>
          <t>Evidence type</t>
        </is>
      </c>
      <c r="G8" s="23" t="inlineStr">
        <is>
          <t>Evidence / link</t>
        </is>
      </c>
      <c r="H8" s="23" t="inlineStr">
        <is>
          <t>Status</t>
        </is>
      </c>
      <c r="I8" s="23" t="inlineStr">
        <is>
          <t>Human review?</t>
        </is>
      </c>
      <c r="J8" s="25" t="inlineStr">
        <is>
          <t>Last verified</t>
        </is>
      </c>
      <c r="K8" s="23" t="inlineStr">
        <is>
          <t>Blocker / N/A reason</t>
        </is>
      </c>
      <c r="L8" s="23" t="inlineStr">
        <is>
          <t>Weight</t>
        </is>
      </c>
      <c r="M8" s="23" t="inlineStr">
        <is>
          <t>Resolved</t>
        </is>
      </c>
    </row>
    <row r="9" ht="42" customHeight="1" s="17">
      <c r="A9" s="23" t="inlineStr">
        <is>
          <t>D-01</t>
        </is>
      </c>
      <c r="B9" s="23" t="inlineStr">
        <is>
          <t>Implementation</t>
        </is>
      </c>
      <c r="C9" s="23" t="inlineStr">
        <is>
          <t>Dialog</t>
        </is>
      </c>
      <c r="D9" s="23" t="inlineStr">
        <is>
          <t>Public component implementation and Atom adapter exist.</t>
        </is>
      </c>
      <c r="E9" s="23" t="inlineStr">
        <is>
          <t>package</t>
        </is>
      </c>
      <c r="F9" s="23" t="inlineStr">
        <is>
          <t>source</t>
        </is>
      </c>
      <c r="G9" s="23" t="inlineStr">
        <is>
          <t>../src/components/dialog</t>
        </is>
      </c>
      <c r="H9" s="23" t="inlineStr">
        <is>
          <t>tested</t>
        </is>
      </c>
      <c r="I9" s="23" t="inlineStr">
        <is>
          <t>no</t>
        </is>
      </c>
      <c r="J9" s="25" t="n">
        <v>46227</v>
      </c>
      <c r="L9" s="23" t="n">
        <v>1</v>
      </c>
      <c r="M9" s="23" t="n">
        <v>1</v>
      </c>
    </row>
    <row r="10" ht="42" customHeight="1" s="17">
      <c r="A10" s="23" t="inlineStr">
        <is>
          <t>D-02</t>
        </is>
      </c>
      <c r="B10" s="23" t="inlineStr">
        <is>
          <t>Exports</t>
        </is>
      </c>
      <c r="C10" s="23" t="inlineStr">
        <is>
          <t>Dialog</t>
        </is>
      </c>
      <c r="D10" s="23" t="inlineStr">
        <is>
          <t>Root and public subpath exports expose the component.</t>
        </is>
      </c>
      <c r="E10" s="23" t="inlineStr">
        <is>
          <t>package</t>
        </is>
      </c>
      <c r="F10" s="23" t="inlineStr">
        <is>
          <t>package</t>
        </is>
      </c>
      <c r="G10" s="23" t="inlineStr">
        <is>
          <t>../test/package/package.test.mjs</t>
        </is>
      </c>
      <c r="H10" s="23" t="inlineStr">
        <is>
          <t>tested</t>
        </is>
      </c>
      <c r="I10" s="23" t="inlineStr">
        <is>
          <t>no</t>
        </is>
      </c>
      <c r="J10" s="25" t="n">
        <v>46227</v>
      </c>
      <c r="L10" s="23" t="n">
        <v>1</v>
      </c>
      <c r="M10" s="23" t="n">
        <v>1</v>
      </c>
    </row>
    <row r="11" ht="42" customHeight="1" s="17">
      <c r="A11" s="23" t="inlineStr">
        <is>
          <t>D-03</t>
        </is>
      </c>
      <c r="B11" s="23" t="inlineStr">
        <is>
          <t>Types</t>
        </is>
      </c>
      <c r="C11" s="23" t="inlineStr">
        <is>
          <t>Dialog</t>
        </is>
      </c>
      <c r="D11" s="23" t="inlineStr">
        <is>
          <t>Public props, refs, composition branches, and invalid cases type-check.</t>
        </is>
      </c>
      <c r="E11" s="23" t="inlineStr">
        <is>
          <t>package</t>
        </is>
      </c>
      <c r="F11" s="23" t="inlineStr">
        <is>
          <t>types</t>
        </is>
      </c>
      <c r="G11" s="23" t="inlineStr">
        <is>
          <t>../test/types/components/dialog.test.ts</t>
        </is>
      </c>
      <c r="H11" s="23" t="inlineStr">
        <is>
          <t>tested</t>
        </is>
      </c>
      <c r="I11" s="23" t="inlineStr">
        <is>
          <t>no</t>
        </is>
      </c>
      <c r="J11" s="25" t="n">
        <v>46227</v>
      </c>
      <c r="L11" s="23" t="n">
        <v>1</v>
      </c>
      <c r="M11" s="23" t="n">
        <v>1</v>
      </c>
    </row>
    <row r="12" ht="42" customHeight="1" s="17">
      <c r="A12" s="23" t="inlineStr">
        <is>
          <t>D-04</t>
        </is>
      </c>
      <c r="B12" s="23" t="inlineStr">
        <is>
          <t>CSS</t>
        </is>
      </c>
      <c r="C12" s="23" t="inlineStr">
        <is>
          <t>Dialog</t>
        </is>
      </c>
      <c r="D12" s="23" t="inlineStr">
        <is>
          <t>Static public CSS, classes, slots, recipes, states, and tokens are present.</t>
        </is>
      </c>
      <c r="E12" s="23" t="inlineStr">
        <is>
          <t>package</t>
        </is>
      </c>
      <c r="F12" s="23" t="inlineStr">
        <is>
          <t>css</t>
        </is>
      </c>
      <c r="G12" s="23" t="inlineStr">
        <is>
          <t>../src/components/dialog/dialog.css</t>
        </is>
      </c>
      <c r="H12" s="23" t="inlineStr">
        <is>
          <t>tested</t>
        </is>
      </c>
      <c r="I12" s="23" t="inlineStr">
        <is>
          <t>no</t>
        </is>
      </c>
      <c r="J12" s="25" t="n">
        <v>46227</v>
      </c>
      <c r="L12" s="23" t="n">
        <v>1</v>
      </c>
      <c r="M12" s="23" t="n">
        <v>1</v>
      </c>
    </row>
    <row r="13" ht="42" customHeight="1" s="17">
      <c r="A13" s="23" t="inlineStr">
        <is>
          <t>D-05</t>
        </is>
      </c>
      <c r="B13" s="23" t="inlineStr">
        <is>
          <t>Unit</t>
        </is>
      </c>
      <c r="C13" s="23" t="inlineStr">
        <is>
          <t>Dialog</t>
        </is>
      </c>
      <c r="D13" s="23" t="inlineStr">
        <is>
          <t>Brick-owned DOM, recipes, adapters, and public hooks pass focused tests.</t>
        </is>
      </c>
      <c r="E13" s="23" t="inlineStr">
        <is>
          <t>package</t>
        </is>
      </c>
      <c r="F13" s="23" t="inlineStr">
        <is>
          <t>component</t>
        </is>
      </c>
      <c r="G13" s="23" t="inlineStr">
        <is>
          <t>../test/components/dialog/dialog.test.tsx</t>
        </is>
      </c>
      <c r="H13" s="23" t="inlineStr">
        <is>
          <t>tested</t>
        </is>
      </c>
      <c r="I13" s="23" t="inlineStr">
        <is>
          <t>no</t>
        </is>
      </c>
      <c r="J13" s="25" t="n">
        <v>46227</v>
      </c>
      <c r="L13" s="23" t="n">
        <v>1</v>
      </c>
      <c r="M13" s="23" t="n">
        <v>1</v>
      </c>
    </row>
    <row r="14" ht="42" customHeight="1" s="17">
      <c r="A14" s="23" t="inlineStr">
        <is>
          <t>D-06</t>
        </is>
      </c>
      <c r="B14" s="23" t="inlineStr">
        <is>
          <t>Browser</t>
        </is>
      </c>
      <c r="C14" s="23" t="inlineStr">
        <is>
          <t>Dialog</t>
        </is>
      </c>
      <c r="D14" s="23" t="inlineStr">
        <is>
          <t>Real-browser behavior and component contract checks pass.</t>
        </is>
      </c>
      <c r="E14" s="23" t="inlineStr">
        <is>
          <t>package</t>
        </is>
      </c>
      <c r="F14" s="23" t="inlineStr">
        <is>
          <t>browser</t>
        </is>
      </c>
      <c r="G14" s="23" t="inlineStr">
        <is>
          <t>tests/components/dialog/behavior.spec.ts</t>
        </is>
      </c>
      <c r="H14" s="23" t="inlineStr">
        <is>
          <t>tested</t>
        </is>
      </c>
      <c r="I14" s="23" t="inlineStr">
        <is>
          <t>no</t>
        </is>
      </c>
      <c r="J14" s="25" t="n">
        <v>46227</v>
      </c>
      <c r="L14" s="23" t="n">
        <v>1</v>
      </c>
      <c r="M14" s="23" t="n">
        <v>1</v>
      </c>
    </row>
    <row r="15" ht="42" customHeight="1" s="17">
      <c r="A15" s="23" t="inlineStr">
        <is>
          <t>D-07</t>
        </is>
      </c>
      <c r="B15" s="23" t="inlineStr">
        <is>
          <t>Accessibility</t>
        </is>
      </c>
      <c r="C15" s="23" t="inlineStr">
        <is>
          <t>Dialog</t>
        </is>
      </c>
      <c r="D15" s="23" t="inlineStr">
        <is>
          <t>Automated semantics and accessibility checks pass in the browser evidence suite.</t>
        </is>
      </c>
      <c r="E15" s="23" t="inlineStr">
        <is>
          <t>package</t>
        </is>
      </c>
      <c r="F15" s="23" t="inlineStr">
        <is>
          <t>axe</t>
        </is>
      </c>
      <c r="G15" s="23" t="inlineStr">
        <is>
          <t>tests/components/dialog/behavior.spec.ts; tests/integration</t>
        </is>
      </c>
      <c r="H15" s="23" t="inlineStr">
        <is>
          <t>tested</t>
        </is>
      </c>
      <c r="I15" s="23" t="inlineStr">
        <is>
          <t>no</t>
        </is>
      </c>
      <c r="J15" s="25" t="n">
        <v>46227</v>
      </c>
      <c r="L15" s="23" t="n">
        <v>1</v>
      </c>
      <c r="M15" s="23" t="n">
        <v>1</v>
      </c>
    </row>
    <row r="16" ht="42" customHeight="1" s="17">
      <c r="A16" s="23" t="inlineStr">
        <is>
          <t>D-08</t>
        </is>
      </c>
      <c r="B16" s="23" t="inlineStr">
        <is>
          <t>Visual</t>
        </is>
      </c>
      <c r="C16" s="23" t="inlineStr">
        <is>
          <t>Dialog</t>
        </is>
      </c>
      <c r="D16" s="23" t="inlineStr">
        <is>
          <t>Reviewed baselines cover the component's risk-selected recipes and states.</t>
        </is>
      </c>
      <c r="E16" s="23" t="inlineStr">
        <is>
          <t>package</t>
        </is>
      </c>
      <c r="F16" s="23" t="inlineStr">
        <is>
          <t>visual</t>
        </is>
      </c>
      <c r="G16" s="23" t="inlineStr">
        <is>
          <t>tests/components/dialog/visual.spec.ts</t>
        </is>
      </c>
      <c r="H16" s="23" t="inlineStr">
        <is>
          <t>verified</t>
        </is>
      </c>
      <c r="I16" s="23" t="inlineStr">
        <is>
          <t>yes</t>
        </is>
      </c>
      <c r="J16" s="25" t="n">
        <v>46227</v>
      </c>
      <c r="K16" s="23" t="inlineStr">
        <is>
          <t>Owner reviewed the current playground evidence.</t>
        </is>
      </c>
      <c r="L16" s="23" t="n">
        <v>1</v>
      </c>
      <c r="M16" s="23" t="n">
        <v>1</v>
      </c>
    </row>
    <row r="17" ht="42" customHeight="1" s="17">
      <c r="A17" s="23" t="inlineStr">
        <is>
          <t>D-09</t>
        </is>
      </c>
      <c r="B17" s="23" t="inlineStr">
        <is>
          <t>Responsive</t>
        </is>
      </c>
      <c r="C17" s="23" t="inlineStr">
        <is>
          <t>Dialog</t>
        </is>
      </c>
      <c r="D17" s="23" t="inlineStr">
        <is>
          <t>Mobile, zoom/reflow, content stress, and RTL remain usable and contained.</t>
        </is>
      </c>
      <c r="E17" s="23" t="inlineStr">
        <is>
          <t>package</t>
        </is>
      </c>
      <c r="F17" s="23" t="inlineStr">
        <is>
          <t>manual</t>
        </is>
      </c>
      <c r="G17" s="23" t="inlineStr">
        <is>
          <t>manual-tests/dialog.md</t>
        </is>
      </c>
      <c r="H17" s="23" t="inlineStr">
        <is>
          <t>verified</t>
        </is>
      </c>
      <c r="I17" s="23" t="inlineStr">
        <is>
          <t>yes</t>
        </is>
      </c>
      <c r="J17" s="25" t="n">
        <v>46227</v>
      </c>
      <c r="K17" s="23" t="inlineStr">
        <is>
          <t>Owner completed the current manual protocol.</t>
        </is>
      </c>
      <c r="L17" s="23" t="n">
        <v>1</v>
      </c>
      <c r="M17" s="23" t="n">
        <v>1</v>
      </c>
    </row>
    <row r="18" ht="42" customHeight="1" s="17">
      <c r="A18" s="23" t="inlineStr">
        <is>
          <t>D-10</t>
        </is>
      </c>
      <c r="B18" s="23" t="inlineStr">
        <is>
          <t>Theme</t>
        </is>
      </c>
      <c r="C18" s="23" t="inlineStr">
        <is>
          <t>Dialog</t>
        </is>
      </c>
      <c r="D18" s="23" t="inlineStr">
        <is>
          <t>Light, dark, focus, forced-colors, and relevant motion behavior remain perceivable.</t>
        </is>
      </c>
      <c r="E18" s="23" t="inlineStr">
        <is>
          <t>package</t>
        </is>
      </c>
      <c r="F18" s="23" t="inlineStr">
        <is>
          <t>manual</t>
        </is>
      </c>
      <c r="G18" s="23" t="inlineStr">
        <is>
          <t>manual-tests/dialog.md</t>
        </is>
      </c>
      <c r="H18" s="23" t="inlineStr">
        <is>
          <t>verified</t>
        </is>
      </c>
      <c r="I18" s="23" t="inlineStr">
        <is>
          <t>yes</t>
        </is>
      </c>
      <c r="J18" s="25" t="n">
        <v>46227</v>
      </c>
      <c r="K18" s="23" t="inlineStr">
        <is>
          <t>Owner completed the current manual protocol.</t>
        </is>
      </c>
      <c r="L18" s="23" t="n">
        <v>1</v>
      </c>
      <c r="M18" s="23" t="n">
        <v>1</v>
      </c>
    </row>
    <row r="19" ht="42" customHeight="1" s="17">
      <c r="A19" s="23" t="inlineStr">
        <is>
          <t>D-11</t>
        </is>
      </c>
      <c r="B19" s="23" t="inlineStr">
        <is>
          <t>Composition</t>
        </is>
      </c>
      <c r="C19" s="23" t="inlineStr">
        <is>
          <t>Dialog</t>
        </is>
      </c>
      <c r="D19" s="23" t="inlineStr">
        <is>
          <t>Default, render, and asChild output preserve the intended element, slots, state, and relationships.</t>
        </is>
      </c>
      <c r="E19" s="23" t="inlineStr">
        <is>
          <t>package</t>
        </is>
      </c>
      <c r="F19" s="23" t="inlineStr">
        <is>
          <t>manual</t>
        </is>
      </c>
      <c r="G19" s="23" t="inlineStr">
        <is>
          <t>manual-tests/dialog.md; tests/components/dialog/behavior.spec.ts</t>
        </is>
      </c>
      <c r="H19" s="23" t="inlineStr">
        <is>
          <t>verified</t>
        </is>
      </c>
      <c r="I19" s="23" t="inlineStr">
        <is>
          <t>yes</t>
        </is>
      </c>
      <c r="J19" s="25" t="n">
        <v>46227</v>
      </c>
      <c r="K19" s="23" t="inlineStr">
        <is>
          <t>Owner reviewed the live and rendered output evidence.</t>
        </is>
      </c>
      <c r="L19" s="23" t="n">
        <v>1</v>
      </c>
      <c r="M19" s="23" t="n">
        <v>1</v>
      </c>
    </row>
    <row r="20" ht="42" customHeight="1" s="17">
      <c r="A20" s="23" t="inlineStr">
        <is>
          <t>D-12</t>
        </is>
      </c>
      <c r="B20" s="23" t="inlineStr">
        <is>
          <t>Manual</t>
        </is>
      </c>
      <c r="C20" s="23" t="inlineStr">
        <is>
          <t>Dialog</t>
        </is>
      </c>
      <c r="D20" s="23" t="inlineStr">
        <is>
          <t>The complete component-owned manual protocol passed against every playground scenario.</t>
        </is>
      </c>
      <c r="E20" s="23" t="inlineStr">
        <is>
          <t>package</t>
        </is>
      </c>
      <c r="F20" s="23" t="inlineStr">
        <is>
          <t>manual</t>
        </is>
      </c>
      <c r="G20" s="23" t="inlineStr">
        <is>
          <t>manual-tests/dialog.md</t>
        </is>
      </c>
      <c r="H20" s="23" t="inlineStr">
        <is>
          <t>verified</t>
        </is>
      </c>
      <c r="I20" s="23" t="inlineStr">
        <is>
          <t>yes</t>
        </is>
      </c>
      <c r="J20" s="25" t="n">
        <v>46227</v>
      </c>
      <c r="K20" s="23" t="inlineStr">
        <is>
          <t>Owner confirmed completion on 2026-07-24.</t>
        </is>
      </c>
      <c r="L20" s="23" t="n">
        <v>1</v>
      </c>
      <c r="M20" s="23" t="n">
        <v>1</v>
      </c>
    </row>
    <row r="21" ht="42" customHeight="1" s="17">
      <c r="A21" s="23" t="inlineStr">
        <is>
          <t>D-13</t>
        </is>
      </c>
      <c r="B21" s="23" t="inlineStr">
        <is>
          <t>Docs</t>
        </is>
      </c>
      <c r="C21" s="23" t="inlineStr">
        <is>
          <t>Dialog</t>
        </is>
      </c>
      <c r="D21" s="23" t="inlineStr">
        <is>
          <t>Public usage documentation exists at the component-owned path.</t>
        </is>
      </c>
      <c r="E21" s="23" t="inlineStr">
        <is>
          <t>package</t>
        </is>
      </c>
      <c r="F21" s="23" t="inlineStr">
        <is>
          <t>docs</t>
        </is>
      </c>
      <c r="G21" s="23" t="inlineStr">
        <is>
          <t>../docs/components/dialog/README.md</t>
        </is>
      </c>
      <c r="H21" s="23" t="inlineStr">
        <is>
          <t>tested</t>
        </is>
      </c>
      <c r="I21" s="23" t="inlineStr">
        <is>
          <t>no</t>
        </is>
      </c>
      <c r="J21" s="25" t="n">
        <v>46227</v>
      </c>
      <c r="L21" s="23" t="n">
        <v>1</v>
      </c>
      <c r="M21" s="23" t="n">
        <v>1</v>
      </c>
    </row>
    <row r="22" ht="42" customHeight="1" s="17">
      <c r="A22" s="23" t="inlineStr">
        <is>
          <t>D-14</t>
        </is>
      </c>
      <c r="B22" s="23" t="inlineStr">
        <is>
          <t>Changelog</t>
        </is>
      </c>
      <c r="C22" s="23" t="inlineStr">
        <is>
          <t>Dialog</t>
        </is>
      </c>
      <c r="D22" s="23" t="inlineStr">
        <is>
          <t>The component owns a public changelog.</t>
        </is>
      </c>
      <c r="E22" s="23" t="inlineStr">
        <is>
          <t>package</t>
        </is>
      </c>
      <c r="F22" s="23" t="inlineStr">
        <is>
          <t>docs</t>
        </is>
      </c>
      <c r="G22" s="23" t="inlineStr">
        <is>
          <t>../docs/components/dialog/CHANGELOG.md</t>
        </is>
      </c>
      <c r="H22" s="23" t="inlineStr">
        <is>
          <t>tested</t>
        </is>
      </c>
      <c r="I22" s="23" t="inlineStr">
        <is>
          <t>no</t>
        </is>
      </c>
      <c r="J22" s="25" t="n">
        <v>46227</v>
      </c>
      <c r="L22" s="23" t="n">
        <v>1</v>
      </c>
      <c r="M22" s="23" t="n">
        <v>1</v>
      </c>
    </row>
    <row r="23" ht="42" customHeight="1" s="17">
      <c r="A23" s="23" t="inlineStr">
        <is>
          <t>D-15</t>
        </is>
      </c>
      <c r="B23" s="23" t="inlineStr">
        <is>
          <t>Consumer</t>
        </is>
      </c>
      <c r="C23" s="23" t="inlineStr">
        <is>
          <t>Dialog</t>
        </is>
      </c>
      <c r="D23" s="23" t="inlineStr">
        <is>
          <t>The standalone consumer imports and exercises the public package component.</t>
        </is>
      </c>
      <c r="E23" s="23" t="inlineStr">
        <is>
          <t>consumer</t>
        </is>
      </c>
      <c r="F23" s="23" t="inlineStr">
        <is>
          <t>consumer</t>
        </is>
      </c>
      <c r="G23" s="23" t="inlineStr">
        <is>
          <t>../apps/consumer/src/App.tsx; ../apps/consumer/tests/consumer.spec.ts</t>
        </is>
      </c>
      <c r="H23" s="23" t="inlineStr">
        <is>
          <t>tested</t>
        </is>
      </c>
      <c r="I23" s="23" t="inlineStr">
        <is>
          <t>no</t>
        </is>
      </c>
      <c r="J23" s="25" t="n">
        <v>46227</v>
      </c>
      <c r="L23" s="23" t="n">
        <v>1</v>
      </c>
      <c r="M23" s="23" t="n">
        <v>1</v>
      </c>
    </row>
    <row r="24" ht="42" customHeight="1" s="17">
      <c r="A24" s="23" t="inlineStr">
        <is>
          <t>D-16</t>
        </is>
      </c>
      <c r="B24" s="23" t="inlineStr">
        <is>
          <t>Package</t>
        </is>
      </c>
      <c r="C24" s="23" t="inlineStr">
        <is>
          <t>Dialog</t>
        </is>
      </c>
      <c r="D24" s="23" t="inlineStr">
        <is>
          <t>Build, exports, tarball, CSS, and consumer boundary verification pass.</t>
        </is>
      </c>
      <c r="E24" s="23" t="inlineStr">
        <is>
          <t>package</t>
        </is>
      </c>
      <c r="F24" s="23" t="inlineStr">
        <is>
          <t>package</t>
        </is>
      </c>
      <c r="G24" s="23" t="inlineStr">
        <is>
          <t>../scripts/verify-package.mjs; ../scripts/verify-consumers.mjs</t>
        </is>
      </c>
      <c r="H24" s="23" t="inlineStr">
        <is>
          <t>tested</t>
        </is>
      </c>
      <c r="I24" s="23" t="inlineStr">
        <is>
          <t>no</t>
        </is>
      </c>
      <c r="J24" s="25" t="n">
        <v>46227</v>
      </c>
      <c r="L24" s="23" t="n">
        <v>1</v>
      </c>
      <c r="M24" s="23" t="n">
        <v>1</v>
      </c>
    </row>
  </sheetData>
  <mergeCells count="2">
    <mergeCell ref="A2:M2"/>
    <mergeCell ref="A1:M1"/>
  </mergeCells>
  <conditionalFormatting sqref="H9:H24">
    <cfRule type="containsText" rank="0" priority="2" equalAverage="0" operator="containsText" aboveAverage="0" dxfId="5" text="not started" percent="0" bottom="0">
      <formula>NOT(ISERROR(SEARCH("not started",H9)))</formula>
    </cfRule>
    <cfRule type="containsText" rank="0" priority="3" equalAverage="0" operator="containsText" aboveAverage="0" dxfId="6" text="partial" percent="0" bottom="0">
      <formula>NOT(ISERROR(SEARCH("partial",H9)))</formula>
    </cfRule>
    <cfRule type="containsText" rank="0" priority="4" equalAverage="0" operator="containsText" aboveAverage="0" dxfId="7" text="implemented" percent="0" bottom="0">
      <formula>NOT(ISERROR(SEARCH("implemented",H9)))</formula>
    </cfRule>
    <cfRule type="containsText" rank="0" priority="5" equalAverage="0" operator="containsText" aboveAverage="0" dxfId="8" text="tested" percent="0" bottom="0">
      <formula>NOT(ISERROR(SEARCH("tested",H9)))</formula>
    </cfRule>
    <cfRule type="containsText" rank="0" priority="6" equalAverage="0" operator="containsText" aboveAverage="0" dxfId="3" text="verified" percent="0" bottom="0">
      <formula>NOT(ISERROR(SEARCH("verified",H9)))</formula>
    </cfRule>
    <cfRule type="containsText" rank="0" priority="7" equalAverage="0" operator="containsText" aboveAverage="0" dxfId="9" text="blocked" percent="0" bottom="0">
      <formula>NOT(ISERROR(SEARCH("blocked",H9)))</formula>
    </cfRule>
    <cfRule type="containsText" rank="0" priority="8" equalAverage="0" operator="containsText" aboveAverage="0" dxfId="5" text="not applicable" percent="0" bottom="0">
      <formula>NOT(ISERROR(SEARCH("not applicable",H9)))</formula>
    </cfRule>
  </conditionalFormatting>
  <dataValidations count="2">
    <dataValidation sqref="H9:H24" showDropDown="0" showInputMessage="1" showErrorMessage="1" allowBlank="1" type="list" errorStyle="stop" operator="between">
      <formula1>"not started,partial,implemented,tested,verified,blocked,not applicable"</formula1>
      <formula2>0</formula2>
    </dataValidation>
    <dataValidation sqref="I9:I24" showDropDown="0" showInputMessage="1" showErrorMessage="1" allowBlank="1" type="list" errorStyle="stop" operator="between">
      <formula1>"yes,no"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 filterMode="0">
    <outlinePr summaryBelow="1" summaryRight="1"/>
    <pageSetUpPr fitToPage="0"/>
  </sheetPr>
  <dimension ref="A1:M2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baseColWidth="8" defaultColWidth="8.6796875" defaultRowHeight="15" customHeight="0" zeroHeight="0" outlineLevelRow="0"/>
  <cols>
    <col width="13.71" customWidth="1" style="23" min="1" max="1"/>
    <col width="15.71" customWidth="1" style="23" min="2" max="2"/>
    <col width="18.71" customWidth="1" style="23" min="3" max="3"/>
    <col width="58.71" customWidth="1" style="23" min="4" max="4"/>
    <col width="14.71" customWidth="1" style="23" min="5" max="6"/>
    <col width="50.71" customWidth="1" style="23" min="7" max="7"/>
    <col width="17.71" customWidth="1" style="23" min="8" max="8"/>
    <col width="14.71" customWidth="1" style="23" min="9" max="9"/>
    <col width="14.71" customWidth="1" style="25" min="10" max="10"/>
    <col width="42.71" customWidth="1" style="23" min="11" max="11"/>
    <col width="10.71" customWidth="1" style="23" min="12" max="13"/>
  </cols>
  <sheetData>
    <row r="1" ht="37.5" customHeight="1" s="17">
      <c r="A1" s="18" t="inlineStr">
        <is>
          <t>Drawer Evidence</t>
        </is>
      </c>
    </row>
    <row r="2" ht="27.75" customHeight="1" s="17">
      <c r="A2" s="19" t="inlineStr">
        <is>
          <t>Assertion-level package, browser, human-review, documentation, and consumer evidence.</t>
        </is>
      </c>
    </row>
    <row r="4" ht="17.25" customHeight="1" s="17">
      <c r="A4" s="20" t="inlineStr">
        <is>
          <t>Requirements</t>
        </is>
      </c>
      <c r="B4" s="21" t="n">
        <v>16</v>
      </c>
      <c r="D4" s="20" t="inlineStr">
        <is>
          <t>Resolved</t>
        </is>
      </c>
      <c r="E4" s="21" t="n">
        <v>16</v>
      </c>
      <c r="G4" s="20" t="inlineStr">
        <is>
          <t>Completion</t>
        </is>
      </c>
      <c r="H4" s="22" t="n">
        <v>1</v>
      </c>
      <c r="J4" s="20" t="inlineStr">
        <is>
          <t>Package gate</t>
        </is>
      </c>
      <c r="K4" s="21" t="inlineStr">
        <is>
          <t>complete</t>
        </is>
      </c>
    </row>
    <row r="5" ht="17.25" customHeight="1" s="17">
      <c r="A5" s="20" t="inlineStr">
        <is>
          <t>Manual review</t>
        </is>
      </c>
      <c r="B5" s="21" t="inlineStr">
        <is>
          <t>complete</t>
        </is>
      </c>
      <c r="D5" s="20" t="inlineStr">
        <is>
          <t>Consumer gate</t>
        </is>
      </c>
      <c r="E5" s="21" t="inlineStr">
        <is>
          <t>complete</t>
        </is>
      </c>
    </row>
    <row r="8" ht="15" customHeight="1" s="17">
      <c r="A8" s="23" t="inlineStr">
        <is>
          <t>ID</t>
        </is>
      </c>
      <c r="B8" s="23" t="inlineStr">
        <is>
          <t>Area</t>
        </is>
      </c>
      <c r="C8" s="23" t="inlineStr">
        <is>
          <t>Part</t>
        </is>
      </c>
      <c r="D8" s="23" t="inlineStr">
        <is>
          <t>Requirement</t>
        </is>
      </c>
      <c r="E8" s="23" t="inlineStr">
        <is>
          <t>Gate</t>
        </is>
      </c>
      <c r="F8" s="23" t="inlineStr">
        <is>
          <t>Evidence type</t>
        </is>
      </c>
      <c r="G8" s="23" t="inlineStr">
        <is>
          <t>Evidence / link</t>
        </is>
      </c>
      <c r="H8" s="23" t="inlineStr">
        <is>
          <t>Status</t>
        </is>
      </c>
      <c r="I8" s="23" t="inlineStr">
        <is>
          <t>Human review?</t>
        </is>
      </c>
      <c r="J8" s="25" t="inlineStr">
        <is>
          <t>Last verified</t>
        </is>
      </c>
      <c r="K8" s="23" t="inlineStr">
        <is>
          <t>Blocker / N/A reason</t>
        </is>
      </c>
      <c r="L8" s="23" t="inlineStr">
        <is>
          <t>Weight</t>
        </is>
      </c>
      <c r="M8" s="23" t="inlineStr">
        <is>
          <t>Resolved</t>
        </is>
      </c>
    </row>
    <row r="9" ht="42" customHeight="1" s="17">
      <c r="A9" s="23" t="inlineStr">
        <is>
          <t>D-01</t>
        </is>
      </c>
      <c r="B9" s="23" t="inlineStr">
        <is>
          <t>Implementation</t>
        </is>
      </c>
      <c r="C9" s="23" t="inlineStr">
        <is>
          <t>Drawer</t>
        </is>
      </c>
      <c r="D9" s="23" t="inlineStr">
        <is>
          <t>Public component implementation and Atom adapter exist.</t>
        </is>
      </c>
      <c r="E9" s="23" t="inlineStr">
        <is>
          <t>package</t>
        </is>
      </c>
      <c r="F9" s="23" t="inlineStr">
        <is>
          <t>source</t>
        </is>
      </c>
      <c r="G9" s="23" t="inlineStr">
        <is>
          <t>../src/components/drawer</t>
        </is>
      </c>
      <c r="H9" s="23" t="inlineStr">
        <is>
          <t>tested</t>
        </is>
      </c>
      <c r="I9" s="23" t="inlineStr">
        <is>
          <t>no</t>
        </is>
      </c>
      <c r="J9" s="25" t="n">
        <v>46227</v>
      </c>
      <c r="L9" s="23" t="n">
        <v>1</v>
      </c>
      <c r="M9" s="23" t="n">
        <v>1</v>
      </c>
    </row>
    <row r="10" ht="42" customHeight="1" s="17">
      <c r="A10" s="23" t="inlineStr">
        <is>
          <t>D-02</t>
        </is>
      </c>
      <c r="B10" s="23" t="inlineStr">
        <is>
          <t>Exports</t>
        </is>
      </c>
      <c r="C10" s="23" t="inlineStr">
        <is>
          <t>Drawer</t>
        </is>
      </c>
      <c r="D10" s="23" t="inlineStr">
        <is>
          <t>Root and public subpath exports expose the component.</t>
        </is>
      </c>
      <c r="E10" s="23" t="inlineStr">
        <is>
          <t>package</t>
        </is>
      </c>
      <c r="F10" s="23" t="inlineStr">
        <is>
          <t>package</t>
        </is>
      </c>
      <c r="G10" s="23" t="inlineStr">
        <is>
          <t>../test/package/package.test.mjs</t>
        </is>
      </c>
      <c r="H10" s="23" t="inlineStr">
        <is>
          <t>tested</t>
        </is>
      </c>
      <c r="I10" s="23" t="inlineStr">
        <is>
          <t>no</t>
        </is>
      </c>
      <c r="J10" s="25" t="n">
        <v>46227</v>
      </c>
      <c r="L10" s="23" t="n">
        <v>1</v>
      </c>
      <c r="M10" s="23" t="n">
        <v>1</v>
      </c>
    </row>
    <row r="11" ht="42" customHeight="1" s="17">
      <c r="A11" s="23" t="inlineStr">
        <is>
          <t>D-03</t>
        </is>
      </c>
      <c r="B11" s="23" t="inlineStr">
        <is>
          <t>Types</t>
        </is>
      </c>
      <c r="C11" s="23" t="inlineStr">
        <is>
          <t>Drawer</t>
        </is>
      </c>
      <c r="D11" s="23" t="inlineStr">
        <is>
          <t>Public props, refs, composition branches, and invalid cases type-check.</t>
        </is>
      </c>
      <c r="E11" s="23" t="inlineStr">
        <is>
          <t>package</t>
        </is>
      </c>
      <c r="F11" s="23" t="inlineStr">
        <is>
          <t>types</t>
        </is>
      </c>
      <c r="G11" s="23" t="inlineStr">
        <is>
          <t>../test/types/components/drawer.test.ts</t>
        </is>
      </c>
      <c r="H11" s="23" t="inlineStr">
        <is>
          <t>tested</t>
        </is>
      </c>
      <c r="I11" s="23" t="inlineStr">
        <is>
          <t>no</t>
        </is>
      </c>
      <c r="J11" s="25" t="n">
        <v>46227</v>
      </c>
      <c r="L11" s="23" t="n">
        <v>1</v>
      </c>
      <c r="M11" s="23" t="n">
        <v>1</v>
      </c>
    </row>
    <row r="12" ht="42" customHeight="1" s="17">
      <c r="A12" s="23" t="inlineStr">
        <is>
          <t>D-04</t>
        </is>
      </c>
      <c r="B12" s="23" t="inlineStr">
        <is>
          <t>CSS</t>
        </is>
      </c>
      <c r="C12" s="23" t="inlineStr">
        <is>
          <t>Drawer</t>
        </is>
      </c>
      <c r="D12" s="23" t="inlineStr">
        <is>
          <t>Static public CSS, classes, slots, recipes, states, and tokens are present.</t>
        </is>
      </c>
      <c r="E12" s="23" t="inlineStr">
        <is>
          <t>package</t>
        </is>
      </c>
      <c r="F12" s="23" t="inlineStr">
        <is>
          <t>css</t>
        </is>
      </c>
      <c r="G12" s="23" t="inlineStr">
        <is>
          <t>../src/components/drawer/drawer.css</t>
        </is>
      </c>
      <c r="H12" s="23" t="inlineStr">
        <is>
          <t>tested</t>
        </is>
      </c>
      <c r="I12" s="23" t="inlineStr">
        <is>
          <t>no</t>
        </is>
      </c>
      <c r="J12" s="25" t="n">
        <v>46227</v>
      </c>
      <c r="L12" s="23" t="n">
        <v>1</v>
      </c>
      <c r="M12" s="23" t="n">
        <v>1</v>
      </c>
    </row>
    <row r="13" ht="42" customHeight="1" s="17">
      <c r="A13" s="23" t="inlineStr">
        <is>
          <t>D-05</t>
        </is>
      </c>
      <c r="B13" s="23" t="inlineStr">
        <is>
          <t>Unit</t>
        </is>
      </c>
      <c r="C13" s="23" t="inlineStr">
        <is>
          <t>Drawer</t>
        </is>
      </c>
      <c r="D13" s="23" t="inlineStr">
        <is>
          <t>Brick-owned DOM, recipes, adapters, and public hooks pass focused tests.</t>
        </is>
      </c>
      <c r="E13" s="23" t="inlineStr">
        <is>
          <t>package</t>
        </is>
      </c>
      <c r="F13" s="23" t="inlineStr">
        <is>
          <t>component</t>
        </is>
      </c>
      <c r="G13" s="23" t="inlineStr">
        <is>
          <t>../test/components/drawer/drawer.test.tsx</t>
        </is>
      </c>
      <c r="H13" s="23" t="inlineStr">
        <is>
          <t>tested</t>
        </is>
      </c>
      <c r="I13" s="23" t="inlineStr">
        <is>
          <t>no</t>
        </is>
      </c>
      <c r="J13" s="25" t="n">
        <v>46227</v>
      </c>
      <c r="L13" s="23" t="n">
        <v>1</v>
      </c>
      <c r="M13" s="23" t="n">
        <v>1</v>
      </c>
    </row>
    <row r="14" ht="42" customHeight="1" s="17">
      <c r="A14" s="23" t="inlineStr">
        <is>
          <t>D-06</t>
        </is>
      </c>
      <c r="B14" s="23" t="inlineStr">
        <is>
          <t>Browser</t>
        </is>
      </c>
      <c r="C14" s="23" t="inlineStr">
        <is>
          <t>Drawer</t>
        </is>
      </c>
      <c r="D14" s="23" t="inlineStr">
        <is>
          <t>Real-browser behavior and component contract checks pass.</t>
        </is>
      </c>
      <c r="E14" s="23" t="inlineStr">
        <is>
          <t>package</t>
        </is>
      </c>
      <c r="F14" s="23" t="inlineStr">
        <is>
          <t>browser</t>
        </is>
      </c>
      <c r="G14" s="23" t="inlineStr">
        <is>
          <t>tests/components/drawer/behavior.spec.ts</t>
        </is>
      </c>
      <c r="H14" s="23" t="inlineStr">
        <is>
          <t>tested</t>
        </is>
      </c>
      <c r="I14" s="23" t="inlineStr">
        <is>
          <t>no</t>
        </is>
      </c>
      <c r="J14" s="25" t="n">
        <v>46227</v>
      </c>
      <c r="L14" s="23" t="n">
        <v>1</v>
      </c>
      <c r="M14" s="23" t="n">
        <v>1</v>
      </c>
    </row>
    <row r="15" ht="42" customHeight="1" s="17">
      <c r="A15" s="23" t="inlineStr">
        <is>
          <t>D-07</t>
        </is>
      </c>
      <c r="B15" s="23" t="inlineStr">
        <is>
          <t>Accessibility</t>
        </is>
      </c>
      <c r="C15" s="23" t="inlineStr">
        <is>
          <t>Drawer</t>
        </is>
      </c>
      <c r="D15" s="23" t="inlineStr">
        <is>
          <t>Automated semantics and accessibility checks pass in the browser evidence suite.</t>
        </is>
      </c>
      <c r="E15" s="23" t="inlineStr">
        <is>
          <t>package</t>
        </is>
      </c>
      <c r="F15" s="23" t="inlineStr">
        <is>
          <t>axe</t>
        </is>
      </c>
      <c r="G15" s="23" t="inlineStr">
        <is>
          <t>tests/components/drawer/behavior.spec.ts; tests/integration</t>
        </is>
      </c>
      <c r="H15" s="23" t="inlineStr">
        <is>
          <t>tested</t>
        </is>
      </c>
      <c r="I15" s="23" t="inlineStr">
        <is>
          <t>no</t>
        </is>
      </c>
      <c r="J15" s="25" t="n">
        <v>46227</v>
      </c>
      <c r="L15" s="23" t="n">
        <v>1</v>
      </c>
      <c r="M15" s="23" t="n">
        <v>1</v>
      </c>
    </row>
    <row r="16" ht="42" customHeight="1" s="17">
      <c r="A16" s="23" t="inlineStr">
        <is>
          <t>D-08</t>
        </is>
      </c>
      <c r="B16" s="23" t="inlineStr">
        <is>
          <t>Visual</t>
        </is>
      </c>
      <c r="C16" s="23" t="inlineStr">
        <is>
          <t>Drawer</t>
        </is>
      </c>
      <c r="D16" s="23" t="inlineStr">
        <is>
          <t>Reviewed baselines cover the component's risk-selected recipes and states.</t>
        </is>
      </c>
      <c r="E16" s="23" t="inlineStr">
        <is>
          <t>package</t>
        </is>
      </c>
      <c r="F16" s="23" t="inlineStr">
        <is>
          <t>visual</t>
        </is>
      </c>
      <c r="G16" s="23" t="inlineStr">
        <is>
          <t>tests/components/drawer/visual.spec.ts</t>
        </is>
      </c>
      <c r="H16" s="23" t="inlineStr">
        <is>
          <t>verified</t>
        </is>
      </c>
      <c r="I16" s="23" t="inlineStr">
        <is>
          <t>yes</t>
        </is>
      </c>
      <c r="J16" s="25" t="n">
        <v>46227</v>
      </c>
      <c r="K16" s="23" t="inlineStr">
        <is>
          <t>Owner reviewed the current playground evidence.</t>
        </is>
      </c>
      <c r="L16" s="23" t="n">
        <v>1</v>
      </c>
      <c r="M16" s="23" t="n">
        <v>1</v>
      </c>
    </row>
    <row r="17" ht="42" customHeight="1" s="17">
      <c r="A17" s="23" t="inlineStr">
        <is>
          <t>D-09</t>
        </is>
      </c>
      <c r="B17" s="23" t="inlineStr">
        <is>
          <t>Responsive</t>
        </is>
      </c>
      <c r="C17" s="23" t="inlineStr">
        <is>
          <t>Drawer</t>
        </is>
      </c>
      <c r="D17" s="23" t="inlineStr">
        <is>
          <t>Mobile, zoom/reflow, content stress, and RTL remain usable and contained.</t>
        </is>
      </c>
      <c r="E17" s="23" t="inlineStr">
        <is>
          <t>package</t>
        </is>
      </c>
      <c r="F17" s="23" t="inlineStr">
        <is>
          <t>manual</t>
        </is>
      </c>
      <c r="G17" s="23" t="inlineStr">
        <is>
          <t>manual-tests/drawer.md</t>
        </is>
      </c>
      <c r="H17" s="23" t="inlineStr">
        <is>
          <t>verified</t>
        </is>
      </c>
      <c r="I17" s="23" t="inlineStr">
        <is>
          <t>yes</t>
        </is>
      </c>
      <c r="J17" s="25" t="n">
        <v>46227</v>
      </c>
      <c r="K17" s="23" t="inlineStr">
        <is>
          <t>Owner completed the current manual protocol.</t>
        </is>
      </c>
      <c r="L17" s="23" t="n">
        <v>1</v>
      </c>
      <c r="M17" s="23" t="n">
        <v>1</v>
      </c>
    </row>
    <row r="18" ht="42" customHeight="1" s="17">
      <c r="A18" s="23" t="inlineStr">
        <is>
          <t>D-10</t>
        </is>
      </c>
      <c r="B18" s="23" t="inlineStr">
        <is>
          <t>Theme</t>
        </is>
      </c>
      <c r="C18" s="23" t="inlineStr">
        <is>
          <t>Drawer</t>
        </is>
      </c>
      <c r="D18" s="23" t="inlineStr">
        <is>
          <t>Light, dark, focus, forced-colors, and relevant motion behavior remain perceivable.</t>
        </is>
      </c>
      <c r="E18" s="23" t="inlineStr">
        <is>
          <t>package</t>
        </is>
      </c>
      <c r="F18" s="23" t="inlineStr">
        <is>
          <t>manual</t>
        </is>
      </c>
      <c r="G18" s="23" t="inlineStr">
        <is>
          <t>manual-tests/drawer.md</t>
        </is>
      </c>
      <c r="H18" s="23" t="inlineStr">
        <is>
          <t>verified</t>
        </is>
      </c>
      <c r="I18" s="23" t="inlineStr">
        <is>
          <t>yes</t>
        </is>
      </c>
      <c r="J18" s="25" t="n">
        <v>46227</v>
      </c>
      <c r="K18" s="23" t="inlineStr">
        <is>
          <t>Owner completed the current manual protocol.</t>
        </is>
      </c>
      <c r="L18" s="23" t="n">
        <v>1</v>
      </c>
      <c r="M18" s="23" t="n">
        <v>1</v>
      </c>
    </row>
    <row r="19" ht="42" customHeight="1" s="17">
      <c r="A19" s="23" t="inlineStr">
        <is>
          <t>D-11</t>
        </is>
      </c>
      <c r="B19" s="23" t="inlineStr">
        <is>
          <t>Composition</t>
        </is>
      </c>
      <c r="C19" s="23" t="inlineStr">
        <is>
          <t>Drawer</t>
        </is>
      </c>
      <c r="D19" s="23" t="inlineStr">
        <is>
          <t>Default, render, and asChild output preserve the intended element, slots, state, and relationships.</t>
        </is>
      </c>
      <c r="E19" s="23" t="inlineStr">
        <is>
          <t>package</t>
        </is>
      </c>
      <c r="F19" s="23" t="inlineStr">
        <is>
          <t>manual</t>
        </is>
      </c>
      <c r="G19" s="23" t="inlineStr">
        <is>
          <t>manual-tests/drawer.md; tests/components/drawer/behavior.spec.ts</t>
        </is>
      </c>
      <c r="H19" s="23" t="inlineStr">
        <is>
          <t>verified</t>
        </is>
      </c>
      <c r="I19" s="23" t="inlineStr">
        <is>
          <t>yes</t>
        </is>
      </c>
      <c r="J19" s="25" t="n">
        <v>46227</v>
      </c>
      <c r="K19" s="23" t="inlineStr">
        <is>
          <t>Owner reviewed the live and rendered output evidence.</t>
        </is>
      </c>
      <c r="L19" s="23" t="n">
        <v>1</v>
      </c>
      <c r="M19" s="23" t="n">
        <v>1</v>
      </c>
    </row>
    <row r="20" ht="42" customHeight="1" s="17">
      <c r="A20" s="23" t="inlineStr">
        <is>
          <t>D-12</t>
        </is>
      </c>
      <c r="B20" s="23" t="inlineStr">
        <is>
          <t>Manual</t>
        </is>
      </c>
      <c r="C20" s="23" t="inlineStr">
        <is>
          <t>Drawer</t>
        </is>
      </c>
      <c r="D20" s="23" t="inlineStr">
        <is>
          <t>The complete component-owned manual protocol passed against every playground scenario.</t>
        </is>
      </c>
      <c r="E20" s="23" t="inlineStr">
        <is>
          <t>package</t>
        </is>
      </c>
      <c r="F20" s="23" t="inlineStr">
        <is>
          <t>manual</t>
        </is>
      </c>
      <c r="G20" s="23" t="inlineStr">
        <is>
          <t>manual-tests/drawer.md</t>
        </is>
      </c>
      <c r="H20" s="23" t="inlineStr">
        <is>
          <t>verified</t>
        </is>
      </c>
      <c r="I20" s="23" t="inlineStr">
        <is>
          <t>yes</t>
        </is>
      </c>
      <c r="J20" s="25" t="n">
        <v>46227</v>
      </c>
      <c r="K20" s="23" t="inlineStr">
        <is>
          <t>Owner confirmed completion on 2026-07-24.</t>
        </is>
      </c>
      <c r="L20" s="23" t="n">
        <v>1</v>
      </c>
      <c r="M20" s="23" t="n">
        <v>1</v>
      </c>
    </row>
    <row r="21" ht="42" customHeight="1" s="17">
      <c r="A21" s="23" t="inlineStr">
        <is>
          <t>D-13</t>
        </is>
      </c>
      <c r="B21" s="23" t="inlineStr">
        <is>
          <t>Docs</t>
        </is>
      </c>
      <c r="C21" s="23" t="inlineStr">
        <is>
          <t>Drawer</t>
        </is>
      </c>
      <c r="D21" s="23" t="inlineStr">
        <is>
          <t>Public usage documentation exists at the component-owned path.</t>
        </is>
      </c>
      <c r="E21" s="23" t="inlineStr">
        <is>
          <t>package</t>
        </is>
      </c>
      <c r="F21" s="23" t="inlineStr">
        <is>
          <t>docs</t>
        </is>
      </c>
      <c r="G21" s="23" t="inlineStr">
        <is>
          <t>../docs/components/drawer/README.md</t>
        </is>
      </c>
      <c r="H21" s="23" t="inlineStr">
        <is>
          <t>tested</t>
        </is>
      </c>
      <c r="I21" s="23" t="inlineStr">
        <is>
          <t>no</t>
        </is>
      </c>
      <c r="J21" s="25" t="n">
        <v>46227</v>
      </c>
      <c r="L21" s="23" t="n">
        <v>1</v>
      </c>
      <c r="M21" s="23" t="n">
        <v>1</v>
      </c>
    </row>
    <row r="22" ht="42" customHeight="1" s="17">
      <c r="A22" s="23" t="inlineStr">
        <is>
          <t>D-14</t>
        </is>
      </c>
      <c r="B22" s="23" t="inlineStr">
        <is>
          <t>Changelog</t>
        </is>
      </c>
      <c r="C22" s="23" t="inlineStr">
        <is>
          <t>Drawer</t>
        </is>
      </c>
      <c r="D22" s="23" t="inlineStr">
        <is>
          <t>The component owns a public changelog.</t>
        </is>
      </c>
      <c r="E22" s="23" t="inlineStr">
        <is>
          <t>package</t>
        </is>
      </c>
      <c r="F22" s="23" t="inlineStr">
        <is>
          <t>docs</t>
        </is>
      </c>
      <c r="G22" s="23" t="inlineStr">
        <is>
          <t>../docs/components/drawer/CHANGELOG.md</t>
        </is>
      </c>
      <c r="H22" s="23" t="inlineStr">
        <is>
          <t>tested</t>
        </is>
      </c>
      <c r="I22" s="23" t="inlineStr">
        <is>
          <t>no</t>
        </is>
      </c>
      <c r="J22" s="25" t="n">
        <v>46227</v>
      </c>
      <c r="L22" s="23" t="n">
        <v>1</v>
      </c>
      <c r="M22" s="23" t="n">
        <v>1</v>
      </c>
    </row>
    <row r="23" ht="42" customHeight="1" s="17">
      <c r="A23" s="23" t="inlineStr">
        <is>
          <t>D-15</t>
        </is>
      </c>
      <c r="B23" s="23" t="inlineStr">
        <is>
          <t>Consumer</t>
        </is>
      </c>
      <c r="C23" s="23" t="inlineStr">
        <is>
          <t>Drawer</t>
        </is>
      </c>
      <c r="D23" s="23" t="inlineStr">
        <is>
          <t>The standalone consumer imports and exercises the public package component.</t>
        </is>
      </c>
      <c r="E23" s="23" t="inlineStr">
        <is>
          <t>consumer</t>
        </is>
      </c>
      <c r="F23" s="23" t="inlineStr">
        <is>
          <t>consumer</t>
        </is>
      </c>
      <c r="G23" s="23" t="inlineStr">
        <is>
          <t>../apps/consumer/src/App.tsx; ../apps/consumer/tests/consumer.spec.ts</t>
        </is>
      </c>
      <c r="H23" s="23" t="inlineStr">
        <is>
          <t>tested</t>
        </is>
      </c>
      <c r="I23" s="23" t="inlineStr">
        <is>
          <t>no</t>
        </is>
      </c>
      <c r="J23" s="25" t="n">
        <v>46227</v>
      </c>
      <c r="L23" s="23" t="n">
        <v>1</v>
      </c>
      <c r="M23" s="23" t="n">
        <v>1</v>
      </c>
    </row>
    <row r="24" ht="42" customHeight="1" s="17">
      <c r="A24" s="23" t="inlineStr">
        <is>
          <t>D-16</t>
        </is>
      </c>
      <c r="B24" s="23" t="inlineStr">
        <is>
          <t>Package</t>
        </is>
      </c>
      <c r="C24" s="23" t="inlineStr">
        <is>
          <t>Drawer</t>
        </is>
      </c>
      <c r="D24" s="23" t="inlineStr">
        <is>
          <t>Build, exports, tarball, CSS, and consumer boundary verification pass.</t>
        </is>
      </c>
      <c r="E24" s="23" t="inlineStr">
        <is>
          <t>package</t>
        </is>
      </c>
      <c r="F24" s="23" t="inlineStr">
        <is>
          <t>package</t>
        </is>
      </c>
      <c r="G24" s="23" t="inlineStr">
        <is>
          <t>../scripts/verify-package.mjs; ../scripts/verify-consumers.mjs</t>
        </is>
      </c>
      <c r="H24" s="23" t="inlineStr">
        <is>
          <t>tested</t>
        </is>
      </c>
      <c r="I24" s="23" t="inlineStr">
        <is>
          <t>no</t>
        </is>
      </c>
      <c r="J24" s="25" t="n">
        <v>46227</v>
      </c>
      <c r="L24" s="23" t="n">
        <v>1</v>
      </c>
      <c r="M24" s="23" t="n">
        <v>1</v>
      </c>
    </row>
  </sheetData>
  <mergeCells count="2">
    <mergeCell ref="A2:M2"/>
    <mergeCell ref="A1:M1"/>
  </mergeCells>
  <conditionalFormatting sqref="H9:H24">
    <cfRule type="containsText" rank="0" priority="2" equalAverage="0" operator="containsText" aboveAverage="0" dxfId="5" text="not started" percent="0" bottom="0">
      <formula>NOT(ISERROR(SEARCH("not started",H9)))</formula>
    </cfRule>
    <cfRule type="containsText" rank="0" priority="3" equalAverage="0" operator="containsText" aboveAverage="0" dxfId="6" text="partial" percent="0" bottom="0">
      <formula>NOT(ISERROR(SEARCH("partial",H9)))</formula>
    </cfRule>
    <cfRule type="containsText" rank="0" priority="4" equalAverage="0" operator="containsText" aboveAverage="0" dxfId="7" text="implemented" percent="0" bottom="0">
      <formula>NOT(ISERROR(SEARCH("implemented",H9)))</formula>
    </cfRule>
    <cfRule type="containsText" rank="0" priority="5" equalAverage="0" operator="containsText" aboveAverage="0" dxfId="8" text="tested" percent="0" bottom="0">
      <formula>NOT(ISERROR(SEARCH("tested",H9)))</formula>
    </cfRule>
    <cfRule type="containsText" rank="0" priority="6" equalAverage="0" operator="containsText" aboveAverage="0" dxfId="3" text="verified" percent="0" bottom="0">
      <formula>NOT(ISERROR(SEARCH("verified",H9)))</formula>
    </cfRule>
    <cfRule type="containsText" rank="0" priority="7" equalAverage="0" operator="containsText" aboveAverage="0" dxfId="9" text="blocked" percent="0" bottom="0">
      <formula>NOT(ISERROR(SEARCH("blocked",H9)))</formula>
    </cfRule>
    <cfRule type="containsText" rank="0" priority="8" equalAverage="0" operator="containsText" aboveAverage="0" dxfId="5" text="not applicable" percent="0" bottom="0">
      <formula>NOT(ISERROR(SEARCH("not applicable",H9)))</formula>
    </cfRule>
  </conditionalFormatting>
  <dataValidations count="2">
    <dataValidation sqref="H9:H24" showDropDown="0" showInputMessage="1" showErrorMessage="1" allowBlank="1" type="list" errorStyle="stop" operator="between">
      <formula1>"not started,partial,implemented,tested,verified,blocked,not applicable"</formula1>
      <formula2>0</formula2>
    </dataValidation>
    <dataValidation sqref="I9:I24" showDropDown="0" showInputMessage="1" showErrorMessage="1" allowBlank="1" type="list" errorStyle="stop" operator="between">
      <formula1>"yes,no"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 filterMode="0">
    <outlinePr summaryBelow="1" summaryRight="1"/>
    <pageSetUpPr fitToPage="0"/>
  </sheetPr>
  <dimension ref="A1:M2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baseColWidth="8" defaultColWidth="8.6796875" defaultRowHeight="15" customHeight="0" zeroHeight="0" outlineLevelRow="0"/>
  <cols>
    <col width="13.71" customWidth="1" style="23" min="1" max="1"/>
    <col width="15.71" customWidth="1" style="23" min="2" max="2"/>
    <col width="18.71" customWidth="1" style="23" min="3" max="3"/>
    <col width="58.71" customWidth="1" style="23" min="4" max="4"/>
    <col width="14.71" customWidth="1" style="23" min="5" max="6"/>
    <col width="50.71" customWidth="1" style="23" min="7" max="7"/>
    <col width="17.71" customWidth="1" style="23" min="8" max="8"/>
    <col width="14.71" customWidth="1" style="23" min="9" max="9"/>
    <col width="14.71" customWidth="1" style="25" min="10" max="10"/>
    <col width="42.71" customWidth="1" style="23" min="11" max="11"/>
    <col width="10.71" customWidth="1" style="23" min="12" max="13"/>
  </cols>
  <sheetData>
    <row r="1" ht="37.5" customHeight="1" s="17">
      <c r="A1" s="18" t="inlineStr">
        <is>
          <t>Field Evidence</t>
        </is>
      </c>
    </row>
    <row r="2" ht="27.75" customHeight="1" s="17">
      <c r="A2" s="19" t="inlineStr">
        <is>
          <t>Assertion-level package, browser, human-review, documentation, and consumer evidence.</t>
        </is>
      </c>
    </row>
    <row r="4" ht="17.25" customHeight="1" s="17">
      <c r="A4" s="20" t="inlineStr">
        <is>
          <t>Requirements</t>
        </is>
      </c>
      <c r="B4" s="21" t="n">
        <v>16</v>
      </c>
      <c r="D4" s="20" t="inlineStr">
        <is>
          <t>Resolved</t>
        </is>
      </c>
      <c r="E4" s="21" t="n">
        <v>16</v>
      </c>
      <c r="G4" s="20" t="inlineStr">
        <is>
          <t>Completion</t>
        </is>
      </c>
      <c r="H4" s="22" t="n">
        <v>1</v>
      </c>
      <c r="J4" s="20" t="inlineStr">
        <is>
          <t>Package gate</t>
        </is>
      </c>
      <c r="K4" s="21" t="inlineStr">
        <is>
          <t>complete</t>
        </is>
      </c>
    </row>
    <row r="5" ht="17.25" customHeight="1" s="17">
      <c r="A5" s="20" t="inlineStr">
        <is>
          <t>Manual review</t>
        </is>
      </c>
      <c r="B5" s="21" t="inlineStr">
        <is>
          <t>complete</t>
        </is>
      </c>
      <c r="D5" s="20" t="inlineStr">
        <is>
          <t>Consumer gate</t>
        </is>
      </c>
      <c r="E5" s="21" t="inlineStr">
        <is>
          <t>complete</t>
        </is>
      </c>
    </row>
    <row r="8" ht="15" customHeight="1" s="17">
      <c r="A8" s="23" t="inlineStr">
        <is>
          <t>ID</t>
        </is>
      </c>
      <c r="B8" s="23" t="inlineStr">
        <is>
          <t>Area</t>
        </is>
      </c>
      <c r="C8" s="23" t="inlineStr">
        <is>
          <t>Part</t>
        </is>
      </c>
      <c r="D8" s="23" t="inlineStr">
        <is>
          <t>Requirement</t>
        </is>
      </c>
      <c r="E8" s="23" t="inlineStr">
        <is>
          <t>Gate</t>
        </is>
      </c>
      <c r="F8" s="23" t="inlineStr">
        <is>
          <t>Evidence type</t>
        </is>
      </c>
      <c r="G8" s="23" t="inlineStr">
        <is>
          <t>Evidence / link</t>
        </is>
      </c>
      <c r="H8" s="23" t="inlineStr">
        <is>
          <t>Status</t>
        </is>
      </c>
      <c r="I8" s="23" t="inlineStr">
        <is>
          <t>Human review?</t>
        </is>
      </c>
      <c r="J8" s="25" t="inlineStr">
        <is>
          <t>Last verified</t>
        </is>
      </c>
      <c r="K8" s="23" t="inlineStr">
        <is>
          <t>Blocker / N/A reason</t>
        </is>
      </c>
      <c r="L8" s="23" t="inlineStr">
        <is>
          <t>Weight</t>
        </is>
      </c>
      <c r="M8" s="23" t="inlineStr">
        <is>
          <t>Resolved</t>
        </is>
      </c>
    </row>
    <row r="9" ht="42" customHeight="1" s="17">
      <c r="A9" s="23" t="inlineStr">
        <is>
          <t>F-01</t>
        </is>
      </c>
      <c r="B9" s="23" t="inlineStr">
        <is>
          <t>Implementation</t>
        </is>
      </c>
      <c r="C9" s="23" t="inlineStr">
        <is>
          <t>Field</t>
        </is>
      </c>
      <c r="D9" s="23" t="inlineStr">
        <is>
          <t>Public component implementation and Atom adapter exist.</t>
        </is>
      </c>
      <c r="E9" s="23" t="inlineStr">
        <is>
          <t>package</t>
        </is>
      </c>
      <c r="F9" s="23" t="inlineStr">
        <is>
          <t>source</t>
        </is>
      </c>
      <c r="G9" s="23" t="inlineStr">
        <is>
          <t>../src/components/field</t>
        </is>
      </c>
      <c r="H9" s="23" t="inlineStr">
        <is>
          <t>tested</t>
        </is>
      </c>
      <c r="I9" s="23" t="inlineStr">
        <is>
          <t>no</t>
        </is>
      </c>
      <c r="J9" s="25" t="n">
        <v>46227</v>
      </c>
      <c r="L9" s="23" t="n">
        <v>1</v>
      </c>
      <c r="M9" s="23" t="n">
        <v>1</v>
      </c>
    </row>
    <row r="10" ht="42" customHeight="1" s="17">
      <c r="A10" s="23" t="inlineStr">
        <is>
          <t>F-02</t>
        </is>
      </c>
      <c r="B10" s="23" t="inlineStr">
        <is>
          <t>Exports</t>
        </is>
      </c>
      <c r="C10" s="23" t="inlineStr">
        <is>
          <t>Field</t>
        </is>
      </c>
      <c r="D10" s="23" t="inlineStr">
        <is>
          <t>Root and public subpath exports expose the component.</t>
        </is>
      </c>
      <c r="E10" s="23" t="inlineStr">
        <is>
          <t>package</t>
        </is>
      </c>
      <c r="F10" s="23" t="inlineStr">
        <is>
          <t>package</t>
        </is>
      </c>
      <c r="G10" s="23" t="inlineStr">
        <is>
          <t>../test/package/package.test.mjs</t>
        </is>
      </c>
      <c r="H10" s="23" t="inlineStr">
        <is>
          <t>tested</t>
        </is>
      </c>
      <c r="I10" s="23" t="inlineStr">
        <is>
          <t>no</t>
        </is>
      </c>
      <c r="J10" s="25" t="n">
        <v>46227</v>
      </c>
      <c r="L10" s="23" t="n">
        <v>1</v>
      </c>
      <c r="M10" s="23" t="n">
        <v>1</v>
      </c>
    </row>
    <row r="11" ht="42" customHeight="1" s="17">
      <c r="A11" s="23" t="inlineStr">
        <is>
          <t>F-03</t>
        </is>
      </c>
      <c r="B11" s="23" t="inlineStr">
        <is>
          <t>Types</t>
        </is>
      </c>
      <c r="C11" s="23" t="inlineStr">
        <is>
          <t>Field</t>
        </is>
      </c>
      <c r="D11" s="23" t="inlineStr">
        <is>
          <t>Public props, refs, composition branches, and invalid cases type-check.</t>
        </is>
      </c>
      <c r="E11" s="23" t="inlineStr">
        <is>
          <t>package</t>
        </is>
      </c>
      <c r="F11" s="23" t="inlineStr">
        <is>
          <t>types</t>
        </is>
      </c>
      <c r="G11" s="23" t="inlineStr">
        <is>
          <t>../test/types/components/field.test.ts</t>
        </is>
      </c>
      <c r="H11" s="23" t="inlineStr">
        <is>
          <t>tested</t>
        </is>
      </c>
      <c r="I11" s="23" t="inlineStr">
        <is>
          <t>no</t>
        </is>
      </c>
      <c r="J11" s="25" t="n">
        <v>46227</v>
      </c>
      <c r="L11" s="23" t="n">
        <v>1</v>
      </c>
      <c r="M11" s="23" t="n">
        <v>1</v>
      </c>
    </row>
    <row r="12" ht="42" customHeight="1" s="17">
      <c r="A12" s="23" t="inlineStr">
        <is>
          <t>F-04</t>
        </is>
      </c>
      <c r="B12" s="23" t="inlineStr">
        <is>
          <t>CSS</t>
        </is>
      </c>
      <c r="C12" s="23" t="inlineStr">
        <is>
          <t>Field</t>
        </is>
      </c>
      <c r="D12" s="23" t="inlineStr">
        <is>
          <t>Static public CSS, classes, slots, recipes, states, and tokens are present.</t>
        </is>
      </c>
      <c r="E12" s="23" t="inlineStr">
        <is>
          <t>package</t>
        </is>
      </c>
      <c r="F12" s="23" t="inlineStr">
        <is>
          <t>css</t>
        </is>
      </c>
      <c r="G12" s="23" t="inlineStr">
        <is>
          <t>../src/components/field/field.css</t>
        </is>
      </c>
      <c r="H12" s="23" t="inlineStr">
        <is>
          <t>tested</t>
        </is>
      </c>
      <c r="I12" s="23" t="inlineStr">
        <is>
          <t>no</t>
        </is>
      </c>
      <c r="J12" s="25" t="n">
        <v>46227</v>
      </c>
      <c r="L12" s="23" t="n">
        <v>1</v>
      </c>
      <c r="M12" s="23" t="n">
        <v>1</v>
      </c>
    </row>
    <row r="13" ht="42" customHeight="1" s="17">
      <c r="A13" s="23" t="inlineStr">
        <is>
          <t>F-05</t>
        </is>
      </c>
      <c r="B13" s="23" t="inlineStr">
        <is>
          <t>Unit</t>
        </is>
      </c>
      <c r="C13" s="23" t="inlineStr">
        <is>
          <t>Field</t>
        </is>
      </c>
      <c r="D13" s="23" t="inlineStr">
        <is>
          <t>Brick-owned DOM, recipes, adapters, and public hooks pass focused tests.</t>
        </is>
      </c>
      <c r="E13" s="23" t="inlineStr">
        <is>
          <t>package</t>
        </is>
      </c>
      <c r="F13" s="23" t="inlineStr">
        <is>
          <t>component</t>
        </is>
      </c>
      <c r="G13" s="23" t="inlineStr">
        <is>
          <t>../test/components/field/field.test.tsx</t>
        </is>
      </c>
      <c r="H13" s="23" t="inlineStr">
        <is>
          <t>tested</t>
        </is>
      </c>
      <c r="I13" s="23" t="inlineStr">
        <is>
          <t>no</t>
        </is>
      </c>
      <c r="J13" s="25" t="n">
        <v>46227</v>
      </c>
      <c r="L13" s="23" t="n">
        <v>1</v>
      </c>
      <c r="M13" s="23" t="n">
        <v>1</v>
      </c>
    </row>
    <row r="14" ht="42" customHeight="1" s="17">
      <c r="A14" s="23" t="inlineStr">
        <is>
          <t>F-06</t>
        </is>
      </c>
      <c r="B14" s="23" t="inlineStr">
        <is>
          <t>Browser</t>
        </is>
      </c>
      <c r="C14" s="23" t="inlineStr">
        <is>
          <t>Field</t>
        </is>
      </c>
      <c r="D14" s="23" t="inlineStr">
        <is>
          <t>Real-browser behavior and component contract checks pass.</t>
        </is>
      </c>
      <c r="E14" s="23" t="inlineStr">
        <is>
          <t>package</t>
        </is>
      </c>
      <c r="F14" s="23" t="inlineStr">
        <is>
          <t>browser</t>
        </is>
      </c>
      <c r="G14" s="23" t="inlineStr">
        <is>
          <t>tests/components/field/behavior.spec.ts</t>
        </is>
      </c>
      <c r="H14" s="23" t="inlineStr">
        <is>
          <t>tested</t>
        </is>
      </c>
      <c r="I14" s="23" t="inlineStr">
        <is>
          <t>no</t>
        </is>
      </c>
      <c r="J14" s="25" t="n">
        <v>46227</v>
      </c>
      <c r="L14" s="23" t="n">
        <v>1</v>
      </c>
      <c r="M14" s="23" t="n">
        <v>1</v>
      </c>
    </row>
    <row r="15" ht="42" customHeight="1" s="17">
      <c r="A15" s="23" t="inlineStr">
        <is>
          <t>F-07</t>
        </is>
      </c>
      <c r="B15" s="23" t="inlineStr">
        <is>
          <t>Accessibility</t>
        </is>
      </c>
      <c r="C15" s="23" t="inlineStr">
        <is>
          <t>Field</t>
        </is>
      </c>
      <c r="D15" s="23" t="inlineStr">
        <is>
          <t>Automated semantics and accessibility checks pass in the browser evidence suite.</t>
        </is>
      </c>
      <c r="E15" s="23" t="inlineStr">
        <is>
          <t>package</t>
        </is>
      </c>
      <c r="F15" s="23" t="inlineStr">
        <is>
          <t>axe</t>
        </is>
      </c>
      <c r="G15" s="23" t="inlineStr">
        <is>
          <t>tests/components/field/behavior.spec.ts; tests/integration</t>
        </is>
      </c>
      <c r="H15" s="23" t="inlineStr">
        <is>
          <t>tested</t>
        </is>
      </c>
      <c r="I15" s="23" t="inlineStr">
        <is>
          <t>no</t>
        </is>
      </c>
      <c r="J15" s="25" t="n">
        <v>46227</v>
      </c>
      <c r="L15" s="23" t="n">
        <v>1</v>
      </c>
      <c r="M15" s="23" t="n">
        <v>1</v>
      </c>
    </row>
    <row r="16" ht="42" customHeight="1" s="17">
      <c r="A16" s="23" t="inlineStr">
        <is>
          <t>F-08</t>
        </is>
      </c>
      <c r="B16" s="23" t="inlineStr">
        <is>
          <t>Visual</t>
        </is>
      </c>
      <c r="C16" s="23" t="inlineStr">
        <is>
          <t>Field</t>
        </is>
      </c>
      <c r="D16" s="23" t="inlineStr">
        <is>
          <t>Reviewed baselines cover the component's risk-selected recipes and states.</t>
        </is>
      </c>
      <c r="E16" s="23" t="inlineStr">
        <is>
          <t>package</t>
        </is>
      </c>
      <c r="F16" s="23" t="inlineStr">
        <is>
          <t>visual</t>
        </is>
      </c>
      <c r="G16" s="23" t="inlineStr">
        <is>
          <t>tests/components/field/visual.spec.ts</t>
        </is>
      </c>
      <c r="H16" s="23" t="inlineStr">
        <is>
          <t>verified</t>
        </is>
      </c>
      <c r="I16" s="23" t="inlineStr">
        <is>
          <t>yes</t>
        </is>
      </c>
      <c r="J16" s="25" t="n">
        <v>46227</v>
      </c>
      <c r="K16" s="23" t="inlineStr">
        <is>
          <t>Owner reviewed the current playground evidence.</t>
        </is>
      </c>
      <c r="L16" s="23" t="n">
        <v>1</v>
      </c>
      <c r="M16" s="23" t="n">
        <v>1</v>
      </c>
    </row>
    <row r="17" ht="42" customHeight="1" s="17">
      <c r="A17" s="23" t="inlineStr">
        <is>
          <t>F-09</t>
        </is>
      </c>
      <c r="B17" s="23" t="inlineStr">
        <is>
          <t>Responsive</t>
        </is>
      </c>
      <c r="C17" s="23" t="inlineStr">
        <is>
          <t>Field</t>
        </is>
      </c>
      <c r="D17" s="23" t="inlineStr">
        <is>
          <t>Mobile, zoom/reflow, content stress, and RTL remain usable and contained.</t>
        </is>
      </c>
      <c r="E17" s="23" t="inlineStr">
        <is>
          <t>package</t>
        </is>
      </c>
      <c r="F17" s="23" t="inlineStr">
        <is>
          <t>manual</t>
        </is>
      </c>
      <c r="G17" s="23" t="inlineStr">
        <is>
          <t>manual-tests/field.md</t>
        </is>
      </c>
      <c r="H17" s="23" t="inlineStr">
        <is>
          <t>verified</t>
        </is>
      </c>
      <c r="I17" s="23" t="inlineStr">
        <is>
          <t>yes</t>
        </is>
      </c>
      <c r="J17" s="25" t="n">
        <v>46227</v>
      </c>
      <c r="K17" s="23" t="inlineStr">
        <is>
          <t>Owner completed the current manual protocol.</t>
        </is>
      </c>
      <c r="L17" s="23" t="n">
        <v>1</v>
      </c>
      <c r="M17" s="23" t="n">
        <v>1</v>
      </c>
    </row>
    <row r="18" ht="42" customHeight="1" s="17">
      <c r="A18" s="23" t="inlineStr">
        <is>
          <t>F-10</t>
        </is>
      </c>
      <c r="B18" s="23" t="inlineStr">
        <is>
          <t>Theme</t>
        </is>
      </c>
      <c r="C18" s="23" t="inlineStr">
        <is>
          <t>Field</t>
        </is>
      </c>
      <c r="D18" s="23" t="inlineStr">
        <is>
          <t>Light, dark, focus, forced-colors, and relevant motion behavior remain perceivable.</t>
        </is>
      </c>
      <c r="E18" s="23" t="inlineStr">
        <is>
          <t>package</t>
        </is>
      </c>
      <c r="F18" s="23" t="inlineStr">
        <is>
          <t>manual</t>
        </is>
      </c>
      <c r="G18" s="23" t="inlineStr">
        <is>
          <t>manual-tests/field.md</t>
        </is>
      </c>
      <c r="H18" s="23" t="inlineStr">
        <is>
          <t>verified</t>
        </is>
      </c>
      <c r="I18" s="23" t="inlineStr">
        <is>
          <t>yes</t>
        </is>
      </c>
      <c r="J18" s="25" t="n">
        <v>46227</v>
      </c>
      <c r="K18" s="23" t="inlineStr">
        <is>
          <t>Owner completed the current manual protocol.</t>
        </is>
      </c>
      <c r="L18" s="23" t="n">
        <v>1</v>
      </c>
      <c r="M18" s="23" t="n">
        <v>1</v>
      </c>
    </row>
    <row r="19" ht="42" customHeight="1" s="17">
      <c r="A19" s="23" t="inlineStr">
        <is>
          <t>F-11</t>
        </is>
      </c>
      <c r="B19" s="23" t="inlineStr">
        <is>
          <t>Composition</t>
        </is>
      </c>
      <c r="C19" s="23" t="inlineStr">
        <is>
          <t>Field</t>
        </is>
      </c>
      <c r="D19" s="23" t="inlineStr">
        <is>
          <t>Default, render, and asChild output preserve the intended element, slots, state, and relationships.</t>
        </is>
      </c>
      <c r="E19" s="23" t="inlineStr">
        <is>
          <t>package</t>
        </is>
      </c>
      <c r="F19" s="23" t="inlineStr">
        <is>
          <t>manual</t>
        </is>
      </c>
      <c r="G19" s="23" t="inlineStr">
        <is>
          <t>manual-tests/field.md; tests/components/field/behavior.spec.ts</t>
        </is>
      </c>
      <c r="H19" s="23" t="inlineStr">
        <is>
          <t>verified</t>
        </is>
      </c>
      <c r="I19" s="23" t="inlineStr">
        <is>
          <t>yes</t>
        </is>
      </c>
      <c r="J19" s="25" t="n">
        <v>46227</v>
      </c>
      <c r="K19" s="23" t="inlineStr">
        <is>
          <t>Owner reviewed the live and rendered output evidence.</t>
        </is>
      </c>
      <c r="L19" s="23" t="n">
        <v>1</v>
      </c>
      <c r="M19" s="23" t="n">
        <v>1</v>
      </c>
    </row>
    <row r="20" ht="42" customHeight="1" s="17">
      <c r="A20" s="23" t="inlineStr">
        <is>
          <t>F-12</t>
        </is>
      </c>
      <c r="B20" s="23" t="inlineStr">
        <is>
          <t>Manual</t>
        </is>
      </c>
      <c r="C20" s="23" t="inlineStr">
        <is>
          <t>Field</t>
        </is>
      </c>
      <c r="D20" s="23" t="inlineStr">
        <is>
          <t>The complete component-owned manual protocol passed against every playground scenario.</t>
        </is>
      </c>
      <c r="E20" s="23" t="inlineStr">
        <is>
          <t>package</t>
        </is>
      </c>
      <c r="F20" s="23" t="inlineStr">
        <is>
          <t>manual</t>
        </is>
      </c>
      <c r="G20" s="23" t="inlineStr">
        <is>
          <t>manual-tests/field.md</t>
        </is>
      </c>
      <c r="H20" s="23" t="inlineStr">
        <is>
          <t>verified</t>
        </is>
      </c>
      <c r="I20" s="23" t="inlineStr">
        <is>
          <t>yes</t>
        </is>
      </c>
      <c r="J20" s="25" t="n">
        <v>46227</v>
      </c>
      <c r="K20" s="23" t="inlineStr">
        <is>
          <t>Owner confirmed completion on 2026-07-24.</t>
        </is>
      </c>
      <c r="L20" s="23" t="n">
        <v>1</v>
      </c>
      <c r="M20" s="23" t="n">
        <v>1</v>
      </c>
    </row>
    <row r="21" ht="42" customHeight="1" s="17">
      <c r="A21" s="23" t="inlineStr">
        <is>
          <t>F-13</t>
        </is>
      </c>
      <c r="B21" s="23" t="inlineStr">
        <is>
          <t>Docs</t>
        </is>
      </c>
      <c r="C21" s="23" t="inlineStr">
        <is>
          <t>Field</t>
        </is>
      </c>
      <c r="D21" s="23" t="inlineStr">
        <is>
          <t>Public usage documentation exists at the component-owned path.</t>
        </is>
      </c>
      <c r="E21" s="23" t="inlineStr">
        <is>
          <t>package</t>
        </is>
      </c>
      <c r="F21" s="23" t="inlineStr">
        <is>
          <t>docs</t>
        </is>
      </c>
      <c r="G21" s="23" t="inlineStr">
        <is>
          <t>../docs/components/field/README.md</t>
        </is>
      </c>
      <c r="H21" s="23" t="inlineStr">
        <is>
          <t>tested</t>
        </is>
      </c>
      <c r="I21" s="23" t="inlineStr">
        <is>
          <t>no</t>
        </is>
      </c>
      <c r="J21" s="25" t="n">
        <v>46227</v>
      </c>
      <c r="L21" s="23" t="n">
        <v>1</v>
      </c>
      <c r="M21" s="23" t="n">
        <v>1</v>
      </c>
    </row>
    <row r="22" ht="42" customHeight="1" s="17">
      <c r="A22" s="23" t="inlineStr">
        <is>
          <t>F-14</t>
        </is>
      </c>
      <c r="B22" s="23" t="inlineStr">
        <is>
          <t>Changelog</t>
        </is>
      </c>
      <c r="C22" s="23" t="inlineStr">
        <is>
          <t>Field</t>
        </is>
      </c>
      <c r="D22" s="23" t="inlineStr">
        <is>
          <t>The component owns a public changelog.</t>
        </is>
      </c>
      <c r="E22" s="23" t="inlineStr">
        <is>
          <t>package</t>
        </is>
      </c>
      <c r="F22" s="23" t="inlineStr">
        <is>
          <t>docs</t>
        </is>
      </c>
      <c r="G22" s="23" t="inlineStr">
        <is>
          <t>../docs/components/field/CHANGELOG.md</t>
        </is>
      </c>
      <c r="H22" s="23" t="inlineStr">
        <is>
          <t>tested</t>
        </is>
      </c>
      <c r="I22" s="23" t="inlineStr">
        <is>
          <t>no</t>
        </is>
      </c>
      <c r="J22" s="25" t="n">
        <v>46227</v>
      </c>
      <c r="L22" s="23" t="n">
        <v>1</v>
      </c>
      <c r="M22" s="23" t="n">
        <v>1</v>
      </c>
    </row>
    <row r="23" ht="42" customHeight="1" s="17">
      <c r="A23" s="23" t="inlineStr">
        <is>
          <t>F-15</t>
        </is>
      </c>
      <c r="B23" s="23" t="inlineStr">
        <is>
          <t>Consumer</t>
        </is>
      </c>
      <c r="C23" s="23" t="inlineStr">
        <is>
          <t>Field</t>
        </is>
      </c>
      <c r="D23" s="23" t="inlineStr">
        <is>
          <t>The standalone consumer imports and exercises the public package component.</t>
        </is>
      </c>
      <c r="E23" s="23" t="inlineStr">
        <is>
          <t>consumer</t>
        </is>
      </c>
      <c r="F23" s="23" t="inlineStr">
        <is>
          <t>consumer</t>
        </is>
      </c>
      <c r="G23" s="23" t="inlineStr">
        <is>
          <t>../apps/consumer/src/App.tsx; ../apps/consumer/tests/consumer.spec.ts</t>
        </is>
      </c>
      <c r="H23" s="23" t="inlineStr">
        <is>
          <t>tested</t>
        </is>
      </c>
      <c r="I23" s="23" t="inlineStr">
        <is>
          <t>no</t>
        </is>
      </c>
      <c r="J23" s="25" t="n">
        <v>46227</v>
      </c>
      <c r="L23" s="23" t="n">
        <v>1</v>
      </c>
      <c r="M23" s="23" t="n">
        <v>1</v>
      </c>
    </row>
    <row r="24" ht="42" customHeight="1" s="17">
      <c r="A24" s="23" t="inlineStr">
        <is>
          <t>F-16</t>
        </is>
      </c>
      <c r="B24" s="23" t="inlineStr">
        <is>
          <t>Package</t>
        </is>
      </c>
      <c r="C24" s="23" t="inlineStr">
        <is>
          <t>Field</t>
        </is>
      </c>
      <c r="D24" s="23" t="inlineStr">
        <is>
          <t>Build, exports, tarball, CSS, and consumer boundary verification pass.</t>
        </is>
      </c>
      <c r="E24" s="23" t="inlineStr">
        <is>
          <t>package</t>
        </is>
      </c>
      <c r="F24" s="23" t="inlineStr">
        <is>
          <t>package</t>
        </is>
      </c>
      <c r="G24" s="23" t="inlineStr">
        <is>
          <t>../scripts/verify-package.mjs; ../scripts/verify-consumers.mjs</t>
        </is>
      </c>
      <c r="H24" s="23" t="inlineStr">
        <is>
          <t>tested</t>
        </is>
      </c>
      <c r="I24" s="23" t="inlineStr">
        <is>
          <t>no</t>
        </is>
      </c>
      <c r="J24" s="25" t="n">
        <v>46227</v>
      </c>
      <c r="L24" s="23" t="n">
        <v>1</v>
      </c>
      <c r="M24" s="23" t="n">
        <v>1</v>
      </c>
    </row>
  </sheetData>
  <mergeCells count="2">
    <mergeCell ref="A2:M2"/>
    <mergeCell ref="A1:M1"/>
  </mergeCells>
  <conditionalFormatting sqref="H9:H24">
    <cfRule type="containsText" rank="0" priority="2" equalAverage="0" operator="containsText" aboveAverage="0" dxfId="5" text="not started" percent="0" bottom="0">
      <formula>NOT(ISERROR(SEARCH("not started",H9)))</formula>
    </cfRule>
    <cfRule type="containsText" rank="0" priority="3" equalAverage="0" operator="containsText" aboveAverage="0" dxfId="6" text="partial" percent="0" bottom="0">
      <formula>NOT(ISERROR(SEARCH("partial",H9)))</formula>
    </cfRule>
    <cfRule type="containsText" rank="0" priority="4" equalAverage="0" operator="containsText" aboveAverage="0" dxfId="7" text="implemented" percent="0" bottom="0">
      <formula>NOT(ISERROR(SEARCH("implemented",H9)))</formula>
    </cfRule>
    <cfRule type="containsText" rank="0" priority="5" equalAverage="0" operator="containsText" aboveAverage="0" dxfId="8" text="tested" percent="0" bottom="0">
      <formula>NOT(ISERROR(SEARCH("tested",H9)))</formula>
    </cfRule>
    <cfRule type="containsText" rank="0" priority="6" equalAverage="0" operator="containsText" aboveAverage="0" dxfId="3" text="verified" percent="0" bottom="0">
      <formula>NOT(ISERROR(SEARCH("verified",H9)))</formula>
    </cfRule>
    <cfRule type="containsText" rank="0" priority="7" equalAverage="0" operator="containsText" aboveAverage="0" dxfId="9" text="blocked" percent="0" bottom="0">
      <formula>NOT(ISERROR(SEARCH("blocked",H9)))</formula>
    </cfRule>
    <cfRule type="containsText" rank="0" priority="8" equalAverage="0" operator="containsText" aboveAverage="0" dxfId="5" text="not applicable" percent="0" bottom="0">
      <formula>NOT(ISERROR(SEARCH("not applicable",H9)))</formula>
    </cfRule>
  </conditionalFormatting>
  <dataValidations count="2">
    <dataValidation sqref="H9:H24" showDropDown="0" showInputMessage="1" showErrorMessage="1" allowBlank="1" type="list" errorStyle="stop" operator="between">
      <formula1>"not started,partial,implemented,tested,verified,blocked,not applicable"</formula1>
      <formula2>0</formula2>
    </dataValidation>
    <dataValidation sqref="I9:I24" showDropDown="0" showInputMessage="1" showErrorMessage="1" allowBlank="1" type="list" errorStyle="stop" operator="between">
      <formula1>"yes,no"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 filterMode="0">
    <outlinePr summaryBelow="1" summaryRight="1"/>
    <pageSetUpPr fitToPage="0"/>
  </sheetPr>
  <dimension ref="A1:M2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baseColWidth="8" defaultColWidth="8.6796875" defaultRowHeight="15" customHeight="0" zeroHeight="0" outlineLevelRow="0"/>
  <cols>
    <col width="13.71" customWidth="1" style="23" min="1" max="1"/>
    <col width="15.71" customWidth="1" style="23" min="2" max="2"/>
    <col width="18.71" customWidth="1" style="23" min="3" max="3"/>
    <col width="58.71" customWidth="1" style="23" min="4" max="4"/>
    <col width="14.71" customWidth="1" style="23" min="5" max="6"/>
    <col width="50.71" customWidth="1" style="23" min="7" max="7"/>
    <col width="17.71" customWidth="1" style="23" min="8" max="8"/>
    <col width="14.71" customWidth="1" style="23" min="9" max="9"/>
    <col width="14.71" customWidth="1" style="25" min="10" max="10"/>
    <col width="42.71" customWidth="1" style="23" min="11" max="11"/>
    <col width="10.71" customWidth="1" style="23" min="12" max="13"/>
  </cols>
  <sheetData>
    <row r="1" ht="37.5" customHeight="1" s="17">
      <c r="A1" s="18" t="inlineStr">
        <is>
          <t>Fieldset Evidence</t>
        </is>
      </c>
    </row>
    <row r="2" ht="27.75" customHeight="1" s="17">
      <c r="A2" s="19" t="inlineStr">
        <is>
          <t>Assertion-level package, browser, human-review, documentation, and consumer evidence.</t>
        </is>
      </c>
    </row>
    <row r="4" ht="17.25" customHeight="1" s="17">
      <c r="A4" s="20" t="inlineStr">
        <is>
          <t>Requirements</t>
        </is>
      </c>
      <c r="B4" s="21" t="n">
        <v>16</v>
      </c>
      <c r="D4" s="20" t="inlineStr">
        <is>
          <t>Resolved</t>
        </is>
      </c>
      <c r="E4" s="21" t="n">
        <v>16</v>
      </c>
      <c r="G4" s="20" t="inlineStr">
        <is>
          <t>Completion</t>
        </is>
      </c>
      <c r="H4" s="22" t="n">
        <v>1</v>
      </c>
      <c r="J4" s="20" t="inlineStr">
        <is>
          <t>Package gate</t>
        </is>
      </c>
      <c r="K4" s="21" t="inlineStr">
        <is>
          <t>complete</t>
        </is>
      </c>
    </row>
    <row r="5" ht="17.25" customHeight="1" s="17">
      <c r="A5" s="20" t="inlineStr">
        <is>
          <t>Manual review</t>
        </is>
      </c>
      <c r="B5" s="21" t="inlineStr">
        <is>
          <t>complete</t>
        </is>
      </c>
      <c r="D5" s="20" t="inlineStr">
        <is>
          <t>Consumer gate</t>
        </is>
      </c>
      <c r="E5" s="21" t="inlineStr">
        <is>
          <t>complete</t>
        </is>
      </c>
    </row>
    <row r="8" ht="15" customHeight="1" s="17">
      <c r="A8" s="23" t="inlineStr">
        <is>
          <t>ID</t>
        </is>
      </c>
      <c r="B8" s="23" t="inlineStr">
        <is>
          <t>Area</t>
        </is>
      </c>
      <c r="C8" s="23" t="inlineStr">
        <is>
          <t>Part</t>
        </is>
      </c>
      <c r="D8" s="23" t="inlineStr">
        <is>
          <t>Requirement</t>
        </is>
      </c>
      <c r="E8" s="23" t="inlineStr">
        <is>
          <t>Gate</t>
        </is>
      </c>
      <c r="F8" s="23" t="inlineStr">
        <is>
          <t>Evidence type</t>
        </is>
      </c>
      <c r="G8" s="23" t="inlineStr">
        <is>
          <t>Evidence / link</t>
        </is>
      </c>
      <c r="H8" s="23" t="inlineStr">
        <is>
          <t>Status</t>
        </is>
      </c>
      <c r="I8" s="23" t="inlineStr">
        <is>
          <t>Human review?</t>
        </is>
      </c>
      <c r="J8" s="25" t="inlineStr">
        <is>
          <t>Last verified</t>
        </is>
      </c>
      <c r="K8" s="23" t="inlineStr">
        <is>
          <t>Blocker / N/A reason</t>
        </is>
      </c>
      <c r="L8" s="23" t="inlineStr">
        <is>
          <t>Weight</t>
        </is>
      </c>
      <c r="M8" s="23" t="inlineStr">
        <is>
          <t>Resolved</t>
        </is>
      </c>
    </row>
    <row r="9" ht="42" customHeight="1" s="17">
      <c r="A9" s="23" t="inlineStr">
        <is>
          <t>F-01</t>
        </is>
      </c>
      <c r="B9" s="23" t="inlineStr">
        <is>
          <t>Implementation</t>
        </is>
      </c>
      <c r="C9" s="23" t="inlineStr">
        <is>
          <t>Fieldset</t>
        </is>
      </c>
      <c r="D9" s="23" t="inlineStr">
        <is>
          <t>Public component implementation and Atom adapter exist.</t>
        </is>
      </c>
      <c r="E9" s="23" t="inlineStr">
        <is>
          <t>package</t>
        </is>
      </c>
      <c r="F9" s="23" t="inlineStr">
        <is>
          <t>source</t>
        </is>
      </c>
      <c r="G9" s="23" t="inlineStr">
        <is>
          <t>../src/components/fieldset</t>
        </is>
      </c>
      <c r="H9" s="23" t="inlineStr">
        <is>
          <t>tested</t>
        </is>
      </c>
      <c r="I9" s="23" t="inlineStr">
        <is>
          <t>no</t>
        </is>
      </c>
      <c r="J9" s="25" t="n">
        <v>46227</v>
      </c>
      <c r="L9" s="23" t="n">
        <v>1</v>
      </c>
      <c r="M9" s="23" t="n">
        <v>1</v>
      </c>
    </row>
    <row r="10" ht="42" customHeight="1" s="17">
      <c r="A10" s="23" t="inlineStr">
        <is>
          <t>F-02</t>
        </is>
      </c>
      <c r="B10" s="23" t="inlineStr">
        <is>
          <t>Exports</t>
        </is>
      </c>
      <c r="C10" s="23" t="inlineStr">
        <is>
          <t>Fieldset</t>
        </is>
      </c>
      <c r="D10" s="23" t="inlineStr">
        <is>
          <t>Root and public subpath exports expose the component.</t>
        </is>
      </c>
      <c r="E10" s="23" t="inlineStr">
        <is>
          <t>package</t>
        </is>
      </c>
      <c r="F10" s="23" t="inlineStr">
        <is>
          <t>package</t>
        </is>
      </c>
      <c r="G10" s="23" t="inlineStr">
        <is>
          <t>../test/package/package.test.mjs</t>
        </is>
      </c>
      <c r="H10" s="23" t="inlineStr">
        <is>
          <t>tested</t>
        </is>
      </c>
      <c r="I10" s="23" t="inlineStr">
        <is>
          <t>no</t>
        </is>
      </c>
      <c r="J10" s="25" t="n">
        <v>46227</v>
      </c>
      <c r="L10" s="23" t="n">
        <v>1</v>
      </c>
      <c r="M10" s="23" t="n">
        <v>1</v>
      </c>
    </row>
    <row r="11" ht="42" customHeight="1" s="17">
      <c r="A11" s="23" t="inlineStr">
        <is>
          <t>F-03</t>
        </is>
      </c>
      <c r="B11" s="23" t="inlineStr">
        <is>
          <t>Types</t>
        </is>
      </c>
      <c r="C11" s="23" t="inlineStr">
        <is>
          <t>Fieldset</t>
        </is>
      </c>
      <c r="D11" s="23" t="inlineStr">
        <is>
          <t>Public props, refs, composition branches, and invalid cases type-check.</t>
        </is>
      </c>
      <c r="E11" s="23" t="inlineStr">
        <is>
          <t>package</t>
        </is>
      </c>
      <c r="F11" s="23" t="inlineStr">
        <is>
          <t>types</t>
        </is>
      </c>
      <c r="G11" s="23" t="inlineStr">
        <is>
          <t>../test/types/components/fieldset.test.ts</t>
        </is>
      </c>
      <c r="H11" s="23" t="inlineStr">
        <is>
          <t>tested</t>
        </is>
      </c>
      <c r="I11" s="23" t="inlineStr">
        <is>
          <t>no</t>
        </is>
      </c>
      <c r="J11" s="25" t="n">
        <v>46227</v>
      </c>
      <c r="L11" s="23" t="n">
        <v>1</v>
      </c>
      <c r="M11" s="23" t="n">
        <v>1</v>
      </c>
    </row>
    <row r="12" ht="42" customHeight="1" s="17">
      <c r="A12" s="23" t="inlineStr">
        <is>
          <t>F-04</t>
        </is>
      </c>
      <c r="B12" s="23" t="inlineStr">
        <is>
          <t>CSS</t>
        </is>
      </c>
      <c r="C12" s="23" t="inlineStr">
        <is>
          <t>Fieldset</t>
        </is>
      </c>
      <c r="D12" s="23" t="inlineStr">
        <is>
          <t>Static public CSS, classes, slots, recipes, states, and tokens are present.</t>
        </is>
      </c>
      <c r="E12" s="23" t="inlineStr">
        <is>
          <t>package</t>
        </is>
      </c>
      <c r="F12" s="23" t="inlineStr">
        <is>
          <t>css</t>
        </is>
      </c>
      <c r="G12" s="23" t="inlineStr">
        <is>
          <t>../src/components/fieldset/fieldset.css</t>
        </is>
      </c>
      <c r="H12" s="23" t="inlineStr">
        <is>
          <t>tested</t>
        </is>
      </c>
      <c r="I12" s="23" t="inlineStr">
        <is>
          <t>no</t>
        </is>
      </c>
      <c r="J12" s="25" t="n">
        <v>46227</v>
      </c>
      <c r="L12" s="23" t="n">
        <v>1</v>
      </c>
      <c r="M12" s="23" t="n">
        <v>1</v>
      </c>
    </row>
    <row r="13" ht="42" customHeight="1" s="17">
      <c r="A13" s="23" t="inlineStr">
        <is>
          <t>F-05</t>
        </is>
      </c>
      <c r="B13" s="23" t="inlineStr">
        <is>
          <t>Unit</t>
        </is>
      </c>
      <c r="C13" s="23" t="inlineStr">
        <is>
          <t>Fieldset</t>
        </is>
      </c>
      <c r="D13" s="23" t="inlineStr">
        <is>
          <t>Brick-owned DOM, recipes, adapters, and public hooks pass focused tests.</t>
        </is>
      </c>
      <c r="E13" s="23" t="inlineStr">
        <is>
          <t>package</t>
        </is>
      </c>
      <c r="F13" s="23" t="inlineStr">
        <is>
          <t>component</t>
        </is>
      </c>
      <c r="G13" s="23" t="inlineStr">
        <is>
          <t>../test/components/fieldset/fieldset.test.tsx</t>
        </is>
      </c>
      <c r="H13" s="23" t="inlineStr">
        <is>
          <t>tested</t>
        </is>
      </c>
      <c r="I13" s="23" t="inlineStr">
        <is>
          <t>no</t>
        </is>
      </c>
      <c r="J13" s="25" t="n">
        <v>46227</v>
      </c>
      <c r="L13" s="23" t="n">
        <v>1</v>
      </c>
      <c r="M13" s="23" t="n">
        <v>1</v>
      </c>
    </row>
    <row r="14" ht="42" customHeight="1" s="17">
      <c r="A14" s="23" t="inlineStr">
        <is>
          <t>F-06</t>
        </is>
      </c>
      <c r="B14" s="23" t="inlineStr">
        <is>
          <t>Browser</t>
        </is>
      </c>
      <c r="C14" s="23" t="inlineStr">
        <is>
          <t>Fieldset</t>
        </is>
      </c>
      <c r="D14" s="23" t="inlineStr">
        <is>
          <t>Real-browser behavior and component contract checks pass.</t>
        </is>
      </c>
      <c r="E14" s="23" t="inlineStr">
        <is>
          <t>package</t>
        </is>
      </c>
      <c r="F14" s="23" t="inlineStr">
        <is>
          <t>browser</t>
        </is>
      </c>
      <c r="G14" s="23" t="inlineStr">
        <is>
          <t>tests/components/fieldset/behavior.spec.ts</t>
        </is>
      </c>
      <c r="H14" s="23" t="inlineStr">
        <is>
          <t>tested</t>
        </is>
      </c>
      <c r="I14" s="23" t="inlineStr">
        <is>
          <t>no</t>
        </is>
      </c>
      <c r="J14" s="25" t="n">
        <v>46227</v>
      </c>
      <c r="L14" s="23" t="n">
        <v>1</v>
      </c>
      <c r="M14" s="23" t="n">
        <v>1</v>
      </c>
    </row>
    <row r="15" ht="42" customHeight="1" s="17">
      <c r="A15" s="23" t="inlineStr">
        <is>
          <t>F-07</t>
        </is>
      </c>
      <c r="B15" s="23" t="inlineStr">
        <is>
          <t>Accessibility</t>
        </is>
      </c>
      <c r="C15" s="23" t="inlineStr">
        <is>
          <t>Fieldset</t>
        </is>
      </c>
      <c r="D15" s="23" t="inlineStr">
        <is>
          <t>Automated semantics and accessibility checks pass in the browser evidence suite.</t>
        </is>
      </c>
      <c r="E15" s="23" t="inlineStr">
        <is>
          <t>package</t>
        </is>
      </c>
      <c r="F15" s="23" t="inlineStr">
        <is>
          <t>axe</t>
        </is>
      </c>
      <c r="G15" s="23" t="inlineStr">
        <is>
          <t>tests/components/fieldset/behavior.spec.ts; tests/integration</t>
        </is>
      </c>
      <c r="H15" s="23" t="inlineStr">
        <is>
          <t>tested</t>
        </is>
      </c>
      <c r="I15" s="23" t="inlineStr">
        <is>
          <t>no</t>
        </is>
      </c>
      <c r="J15" s="25" t="n">
        <v>46227</v>
      </c>
      <c r="L15" s="23" t="n">
        <v>1</v>
      </c>
      <c r="M15" s="23" t="n">
        <v>1</v>
      </c>
    </row>
    <row r="16" ht="42" customHeight="1" s="17">
      <c r="A16" s="23" t="inlineStr">
        <is>
          <t>F-08</t>
        </is>
      </c>
      <c r="B16" s="23" t="inlineStr">
        <is>
          <t>Visual</t>
        </is>
      </c>
      <c r="C16" s="23" t="inlineStr">
        <is>
          <t>Fieldset</t>
        </is>
      </c>
      <c r="D16" s="23" t="inlineStr">
        <is>
          <t>Reviewed baselines cover the component's risk-selected recipes and states.</t>
        </is>
      </c>
      <c r="E16" s="23" t="inlineStr">
        <is>
          <t>package</t>
        </is>
      </c>
      <c r="F16" s="23" t="inlineStr">
        <is>
          <t>visual</t>
        </is>
      </c>
      <c r="G16" s="23" t="inlineStr">
        <is>
          <t>tests/components/fieldset/visual.spec.ts</t>
        </is>
      </c>
      <c r="H16" s="23" t="inlineStr">
        <is>
          <t>verified</t>
        </is>
      </c>
      <c r="I16" s="23" t="inlineStr">
        <is>
          <t>yes</t>
        </is>
      </c>
      <c r="J16" s="25" t="n">
        <v>46227</v>
      </c>
      <c r="K16" s="23" t="inlineStr">
        <is>
          <t>Owner reviewed the current playground evidence.</t>
        </is>
      </c>
      <c r="L16" s="23" t="n">
        <v>1</v>
      </c>
      <c r="M16" s="23" t="n">
        <v>1</v>
      </c>
    </row>
    <row r="17" ht="42" customHeight="1" s="17">
      <c r="A17" s="23" t="inlineStr">
        <is>
          <t>F-09</t>
        </is>
      </c>
      <c r="B17" s="23" t="inlineStr">
        <is>
          <t>Responsive</t>
        </is>
      </c>
      <c r="C17" s="23" t="inlineStr">
        <is>
          <t>Fieldset</t>
        </is>
      </c>
      <c r="D17" s="23" t="inlineStr">
        <is>
          <t>Mobile, zoom/reflow, content stress, and RTL remain usable and contained.</t>
        </is>
      </c>
      <c r="E17" s="23" t="inlineStr">
        <is>
          <t>package</t>
        </is>
      </c>
      <c r="F17" s="23" t="inlineStr">
        <is>
          <t>manual</t>
        </is>
      </c>
      <c r="G17" s="23" t="inlineStr">
        <is>
          <t>manual-tests/fieldset.md</t>
        </is>
      </c>
      <c r="H17" s="23" t="inlineStr">
        <is>
          <t>verified</t>
        </is>
      </c>
      <c r="I17" s="23" t="inlineStr">
        <is>
          <t>yes</t>
        </is>
      </c>
      <c r="J17" s="25" t="n">
        <v>46227</v>
      </c>
      <c r="K17" s="23" t="inlineStr">
        <is>
          <t>Owner completed the current manual protocol.</t>
        </is>
      </c>
      <c r="L17" s="23" t="n">
        <v>1</v>
      </c>
      <c r="M17" s="23" t="n">
        <v>1</v>
      </c>
    </row>
    <row r="18" ht="42" customHeight="1" s="17">
      <c r="A18" s="23" t="inlineStr">
        <is>
          <t>F-10</t>
        </is>
      </c>
      <c r="B18" s="23" t="inlineStr">
        <is>
          <t>Theme</t>
        </is>
      </c>
      <c r="C18" s="23" t="inlineStr">
        <is>
          <t>Fieldset</t>
        </is>
      </c>
      <c r="D18" s="23" t="inlineStr">
        <is>
          <t>Light, dark, focus, forced-colors, and relevant motion behavior remain perceivable.</t>
        </is>
      </c>
      <c r="E18" s="23" t="inlineStr">
        <is>
          <t>package</t>
        </is>
      </c>
      <c r="F18" s="23" t="inlineStr">
        <is>
          <t>manual</t>
        </is>
      </c>
      <c r="G18" s="23" t="inlineStr">
        <is>
          <t>manual-tests/fieldset.md</t>
        </is>
      </c>
      <c r="H18" s="23" t="inlineStr">
        <is>
          <t>verified</t>
        </is>
      </c>
      <c r="I18" s="23" t="inlineStr">
        <is>
          <t>yes</t>
        </is>
      </c>
      <c r="J18" s="25" t="n">
        <v>46227</v>
      </c>
      <c r="K18" s="23" t="inlineStr">
        <is>
          <t>Owner completed the current manual protocol.</t>
        </is>
      </c>
      <c r="L18" s="23" t="n">
        <v>1</v>
      </c>
      <c r="M18" s="23" t="n">
        <v>1</v>
      </c>
    </row>
    <row r="19" ht="42" customHeight="1" s="17">
      <c r="A19" s="23" t="inlineStr">
        <is>
          <t>F-11</t>
        </is>
      </c>
      <c r="B19" s="23" t="inlineStr">
        <is>
          <t>Composition</t>
        </is>
      </c>
      <c r="C19" s="23" t="inlineStr">
        <is>
          <t>Fieldset</t>
        </is>
      </c>
      <c r="D19" s="23" t="inlineStr">
        <is>
          <t>Default, render, and asChild output preserve the intended element, slots, state, and relationships.</t>
        </is>
      </c>
      <c r="E19" s="23" t="inlineStr">
        <is>
          <t>package</t>
        </is>
      </c>
      <c r="F19" s="23" t="inlineStr">
        <is>
          <t>manual</t>
        </is>
      </c>
      <c r="G19" s="23" t="inlineStr">
        <is>
          <t>manual-tests/fieldset.md; tests/components/fieldset/behavior.spec.ts</t>
        </is>
      </c>
      <c r="H19" s="23" t="inlineStr">
        <is>
          <t>verified</t>
        </is>
      </c>
      <c r="I19" s="23" t="inlineStr">
        <is>
          <t>yes</t>
        </is>
      </c>
      <c r="J19" s="25" t="n">
        <v>46227</v>
      </c>
      <c r="K19" s="23" t="inlineStr">
        <is>
          <t>Owner reviewed the live and rendered output evidence.</t>
        </is>
      </c>
      <c r="L19" s="23" t="n">
        <v>1</v>
      </c>
      <c r="M19" s="23" t="n">
        <v>1</v>
      </c>
    </row>
    <row r="20" ht="42" customHeight="1" s="17">
      <c r="A20" s="23" t="inlineStr">
        <is>
          <t>F-12</t>
        </is>
      </c>
      <c r="B20" s="23" t="inlineStr">
        <is>
          <t>Manual</t>
        </is>
      </c>
      <c r="C20" s="23" t="inlineStr">
        <is>
          <t>Fieldset</t>
        </is>
      </c>
      <c r="D20" s="23" t="inlineStr">
        <is>
          <t>The complete component-owned manual protocol passed against every playground scenario.</t>
        </is>
      </c>
      <c r="E20" s="23" t="inlineStr">
        <is>
          <t>package</t>
        </is>
      </c>
      <c r="F20" s="23" t="inlineStr">
        <is>
          <t>manual</t>
        </is>
      </c>
      <c r="G20" s="23" t="inlineStr">
        <is>
          <t>manual-tests/fieldset.md</t>
        </is>
      </c>
      <c r="H20" s="23" t="inlineStr">
        <is>
          <t>verified</t>
        </is>
      </c>
      <c r="I20" s="23" t="inlineStr">
        <is>
          <t>yes</t>
        </is>
      </c>
      <c r="J20" s="25" t="n">
        <v>46227</v>
      </c>
      <c r="K20" s="23" t="inlineStr">
        <is>
          <t>Owner confirmed completion on 2026-07-24.</t>
        </is>
      </c>
      <c r="L20" s="23" t="n">
        <v>1</v>
      </c>
      <c r="M20" s="23" t="n">
        <v>1</v>
      </c>
    </row>
    <row r="21" ht="42" customHeight="1" s="17">
      <c r="A21" s="23" t="inlineStr">
        <is>
          <t>F-13</t>
        </is>
      </c>
      <c r="B21" s="23" t="inlineStr">
        <is>
          <t>Docs</t>
        </is>
      </c>
      <c r="C21" s="23" t="inlineStr">
        <is>
          <t>Fieldset</t>
        </is>
      </c>
      <c r="D21" s="23" t="inlineStr">
        <is>
          <t>Public usage documentation exists at the component-owned path.</t>
        </is>
      </c>
      <c r="E21" s="23" t="inlineStr">
        <is>
          <t>package</t>
        </is>
      </c>
      <c r="F21" s="23" t="inlineStr">
        <is>
          <t>docs</t>
        </is>
      </c>
      <c r="G21" s="23" t="inlineStr">
        <is>
          <t>../docs/components/fieldset/README.md</t>
        </is>
      </c>
      <c r="H21" s="23" t="inlineStr">
        <is>
          <t>tested</t>
        </is>
      </c>
      <c r="I21" s="23" t="inlineStr">
        <is>
          <t>no</t>
        </is>
      </c>
      <c r="J21" s="25" t="n">
        <v>46227</v>
      </c>
      <c r="L21" s="23" t="n">
        <v>1</v>
      </c>
      <c r="M21" s="23" t="n">
        <v>1</v>
      </c>
    </row>
    <row r="22" ht="42" customHeight="1" s="17">
      <c r="A22" s="23" t="inlineStr">
        <is>
          <t>F-14</t>
        </is>
      </c>
      <c r="B22" s="23" t="inlineStr">
        <is>
          <t>Changelog</t>
        </is>
      </c>
      <c r="C22" s="23" t="inlineStr">
        <is>
          <t>Fieldset</t>
        </is>
      </c>
      <c r="D22" s="23" t="inlineStr">
        <is>
          <t>The component owns a public changelog.</t>
        </is>
      </c>
      <c r="E22" s="23" t="inlineStr">
        <is>
          <t>package</t>
        </is>
      </c>
      <c r="F22" s="23" t="inlineStr">
        <is>
          <t>docs</t>
        </is>
      </c>
      <c r="G22" s="23" t="inlineStr">
        <is>
          <t>../docs/components/fieldset/CHANGELOG.md</t>
        </is>
      </c>
      <c r="H22" s="23" t="inlineStr">
        <is>
          <t>tested</t>
        </is>
      </c>
      <c r="I22" s="23" t="inlineStr">
        <is>
          <t>no</t>
        </is>
      </c>
      <c r="J22" s="25" t="n">
        <v>46227</v>
      </c>
      <c r="L22" s="23" t="n">
        <v>1</v>
      </c>
      <c r="M22" s="23" t="n">
        <v>1</v>
      </c>
    </row>
    <row r="23" ht="42" customHeight="1" s="17">
      <c r="A23" s="23" t="inlineStr">
        <is>
          <t>F-15</t>
        </is>
      </c>
      <c r="B23" s="23" t="inlineStr">
        <is>
          <t>Consumer</t>
        </is>
      </c>
      <c r="C23" s="23" t="inlineStr">
        <is>
          <t>Fieldset</t>
        </is>
      </c>
      <c r="D23" s="23" t="inlineStr">
        <is>
          <t>The standalone consumer imports and exercises the public package component.</t>
        </is>
      </c>
      <c r="E23" s="23" t="inlineStr">
        <is>
          <t>consumer</t>
        </is>
      </c>
      <c r="F23" s="23" t="inlineStr">
        <is>
          <t>consumer</t>
        </is>
      </c>
      <c r="G23" s="23" t="inlineStr">
        <is>
          <t>../apps/consumer/src/App.tsx; ../apps/consumer/tests/consumer.spec.ts</t>
        </is>
      </c>
      <c r="H23" s="23" t="inlineStr">
        <is>
          <t>tested</t>
        </is>
      </c>
      <c r="I23" s="23" t="inlineStr">
        <is>
          <t>no</t>
        </is>
      </c>
      <c r="J23" s="25" t="n">
        <v>46227</v>
      </c>
      <c r="L23" s="23" t="n">
        <v>1</v>
      </c>
      <c r="M23" s="23" t="n">
        <v>1</v>
      </c>
    </row>
    <row r="24" ht="42" customHeight="1" s="17">
      <c r="A24" s="23" t="inlineStr">
        <is>
          <t>F-16</t>
        </is>
      </c>
      <c r="B24" s="23" t="inlineStr">
        <is>
          <t>Package</t>
        </is>
      </c>
      <c r="C24" s="23" t="inlineStr">
        <is>
          <t>Fieldset</t>
        </is>
      </c>
      <c r="D24" s="23" t="inlineStr">
        <is>
          <t>Build, exports, tarball, CSS, and consumer boundary verification pass.</t>
        </is>
      </c>
      <c r="E24" s="23" t="inlineStr">
        <is>
          <t>package</t>
        </is>
      </c>
      <c r="F24" s="23" t="inlineStr">
        <is>
          <t>package</t>
        </is>
      </c>
      <c r="G24" s="23" t="inlineStr">
        <is>
          <t>../scripts/verify-package.mjs; ../scripts/verify-consumers.mjs</t>
        </is>
      </c>
      <c r="H24" s="23" t="inlineStr">
        <is>
          <t>tested</t>
        </is>
      </c>
      <c r="I24" s="23" t="inlineStr">
        <is>
          <t>no</t>
        </is>
      </c>
      <c r="J24" s="25" t="n">
        <v>46227</v>
      </c>
      <c r="L24" s="23" t="n">
        <v>1</v>
      </c>
      <c r="M24" s="23" t="n">
        <v>1</v>
      </c>
    </row>
  </sheetData>
  <mergeCells count="2">
    <mergeCell ref="A2:M2"/>
    <mergeCell ref="A1:M1"/>
  </mergeCells>
  <conditionalFormatting sqref="H9:H24">
    <cfRule type="containsText" rank="0" priority="2" equalAverage="0" operator="containsText" aboveAverage="0" dxfId="5" text="not started" percent="0" bottom="0">
      <formula>NOT(ISERROR(SEARCH("not started",H9)))</formula>
    </cfRule>
    <cfRule type="containsText" rank="0" priority="3" equalAverage="0" operator="containsText" aboveAverage="0" dxfId="6" text="partial" percent="0" bottom="0">
      <formula>NOT(ISERROR(SEARCH("partial",H9)))</formula>
    </cfRule>
    <cfRule type="containsText" rank="0" priority="4" equalAverage="0" operator="containsText" aboveAverage="0" dxfId="7" text="implemented" percent="0" bottom="0">
      <formula>NOT(ISERROR(SEARCH("implemented",H9)))</formula>
    </cfRule>
    <cfRule type="containsText" rank="0" priority="5" equalAverage="0" operator="containsText" aboveAverage="0" dxfId="8" text="tested" percent="0" bottom="0">
      <formula>NOT(ISERROR(SEARCH("tested",H9)))</formula>
    </cfRule>
    <cfRule type="containsText" rank="0" priority="6" equalAverage="0" operator="containsText" aboveAverage="0" dxfId="3" text="verified" percent="0" bottom="0">
      <formula>NOT(ISERROR(SEARCH("verified",H9)))</formula>
    </cfRule>
    <cfRule type="containsText" rank="0" priority="7" equalAverage="0" operator="containsText" aboveAverage="0" dxfId="9" text="blocked" percent="0" bottom="0">
      <formula>NOT(ISERROR(SEARCH("blocked",H9)))</formula>
    </cfRule>
    <cfRule type="containsText" rank="0" priority="8" equalAverage="0" operator="containsText" aboveAverage="0" dxfId="5" text="not applicable" percent="0" bottom="0">
      <formula>NOT(ISERROR(SEARCH("not applicable",H9)))</formula>
    </cfRule>
  </conditionalFormatting>
  <dataValidations count="2">
    <dataValidation sqref="H9:H24" showDropDown="0" showInputMessage="1" showErrorMessage="1" allowBlank="1" type="list" errorStyle="stop" operator="between">
      <formula1>"not started,partial,implemented,tested,verified,blocked,not applicable"</formula1>
      <formula2>0</formula2>
    </dataValidation>
    <dataValidation sqref="I9:I24" showDropDown="0" showInputMessage="1" showErrorMessage="1" allowBlank="1" type="list" errorStyle="stop" operator="between">
      <formula1>"yes,no"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16.xml><?xml version="1.0" encoding="utf-8"?>
<worksheet xmlns="http://schemas.openxmlformats.org/spreadsheetml/2006/main">
  <sheetPr filterMode="0">
    <outlinePr summaryBelow="1" summaryRight="1"/>
    <pageSetUpPr fitToPage="0"/>
  </sheetPr>
  <dimension ref="A1:M2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baseColWidth="8" defaultColWidth="8.6796875" defaultRowHeight="15" customHeight="0" zeroHeight="0" outlineLevelRow="0"/>
  <cols>
    <col width="13.71" customWidth="1" style="23" min="1" max="1"/>
    <col width="15.71" customWidth="1" style="23" min="2" max="2"/>
    <col width="18.71" customWidth="1" style="23" min="3" max="3"/>
    <col width="58.71" customWidth="1" style="23" min="4" max="4"/>
    <col width="14.71" customWidth="1" style="23" min="5" max="6"/>
    <col width="50.71" customWidth="1" style="23" min="7" max="7"/>
    <col width="17.71" customWidth="1" style="23" min="8" max="8"/>
    <col width="14.71" customWidth="1" style="23" min="9" max="9"/>
    <col width="14.71" customWidth="1" style="25" min="10" max="10"/>
    <col width="42.71" customWidth="1" style="23" min="11" max="11"/>
    <col width="10.71" customWidth="1" style="23" min="12" max="13"/>
  </cols>
  <sheetData>
    <row r="1" ht="37.5" customHeight="1" s="17">
      <c r="A1" s="18" t="inlineStr">
        <is>
          <t>Form Evidence</t>
        </is>
      </c>
    </row>
    <row r="2" ht="27.75" customHeight="1" s="17">
      <c r="A2" s="19" t="inlineStr">
        <is>
          <t>Assertion-level package, browser, human-review, documentation, and consumer evidence.</t>
        </is>
      </c>
    </row>
    <row r="4" ht="17.25" customHeight="1" s="17">
      <c r="A4" s="20" t="inlineStr">
        <is>
          <t>Requirements</t>
        </is>
      </c>
      <c r="B4" s="21" t="n">
        <v>16</v>
      </c>
      <c r="D4" s="20" t="inlineStr">
        <is>
          <t>Resolved</t>
        </is>
      </c>
      <c r="E4" s="21" t="n">
        <v>16</v>
      </c>
      <c r="G4" s="20" t="inlineStr">
        <is>
          <t>Completion</t>
        </is>
      </c>
      <c r="H4" s="22" t="n">
        <v>1</v>
      </c>
      <c r="J4" s="20" t="inlineStr">
        <is>
          <t>Package gate</t>
        </is>
      </c>
      <c r="K4" s="21" t="inlineStr">
        <is>
          <t>complete</t>
        </is>
      </c>
    </row>
    <row r="5" ht="17.25" customHeight="1" s="17">
      <c r="A5" s="20" t="inlineStr">
        <is>
          <t>Manual review</t>
        </is>
      </c>
      <c r="B5" s="21" t="inlineStr">
        <is>
          <t>complete</t>
        </is>
      </c>
      <c r="D5" s="20" t="inlineStr">
        <is>
          <t>Consumer gate</t>
        </is>
      </c>
      <c r="E5" s="21" t="inlineStr">
        <is>
          <t>complete</t>
        </is>
      </c>
    </row>
    <row r="8" ht="15" customHeight="1" s="17">
      <c r="A8" s="23" t="inlineStr">
        <is>
          <t>ID</t>
        </is>
      </c>
      <c r="B8" s="23" t="inlineStr">
        <is>
          <t>Area</t>
        </is>
      </c>
      <c r="C8" s="23" t="inlineStr">
        <is>
          <t>Part</t>
        </is>
      </c>
      <c r="D8" s="23" t="inlineStr">
        <is>
          <t>Requirement</t>
        </is>
      </c>
      <c r="E8" s="23" t="inlineStr">
        <is>
          <t>Gate</t>
        </is>
      </c>
      <c r="F8" s="23" t="inlineStr">
        <is>
          <t>Evidence type</t>
        </is>
      </c>
      <c r="G8" s="23" t="inlineStr">
        <is>
          <t>Evidence / link</t>
        </is>
      </c>
      <c r="H8" s="23" t="inlineStr">
        <is>
          <t>Status</t>
        </is>
      </c>
      <c r="I8" s="23" t="inlineStr">
        <is>
          <t>Human review?</t>
        </is>
      </c>
      <c r="J8" s="25" t="inlineStr">
        <is>
          <t>Last verified</t>
        </is>
      </c>
      <c r="K8" s="23" t="inlineStr">
        <is>
          <t>Blocker / N/A reason</t>
        </is>
      </c>
      <c r="L8" s="23" t="inlineStr">
        <is>
          <t>Weight</t>
        </is>
      </c>
      <c r="M8" s="23" t="inlineStr">
        <is>
          <t>Resolved</t>
        </is>
      </c>
    </row>
    <row r="9" ht="42" customHeight="1" s="17">
      <c r="A9" s="23" t="inlineStr">
        <is>
          <t>F-01</t>
        </is>
      </c>
      <c r="B9" s="23" t="inlineStr">
        <is>
          <t>Implementation</t>
        </is>
      </c>
      <c r="C9" s="23" t="inlineStr">
        <is>
          <t>Form</t>
        </is>
      </c>
      <c r="D9" s="23" t="inlineStr">
        <is>
          <t>Public component implementation and Atom adapter exist.</t>
        </is>
      </c>
      <c r="E9" s="23" t="inlineStr">
        <is>
          <t>package</t>
        </is>
      </c>
      <c r="F9" s="23" t="inlineStr">
        <is>
          <t>source</t>
        </is>
      </c>
      <c r="G9" s="23" t="inlineStr">
        <is>
          <t>../src/components/form</t>
        </is>
      </c>
      <c r="H9" s="23" t="inlineStr">
        <is>
          <t>tested</t>
        </is>
      </c>
      <c r="I9" s="23" t="inlineStr">
        <is>
          <t>no</t>
        </is>
      </c>
      <c r="J9" s="25" t="n">
        <v>46227</v>
      </c>
      <c r="L9" s="23" t="n">
        <v>1</v>
      </c>
      <c r="M9" s="23" t="n">
        <v>1</v>
      </c>
    </row>
    <row r="10" ht="42" customHeight="1" s="17">
      <c r="A10" s="23" t="inlineStr">
        <is>
          <t>F-02</t>
        </is>
      </c>
      <c r="B10" s="23" t="inlineStr">
        <is>
          <t>Exports</t>
        </is>
      </c>
      <c r="C10" s="23" t="inlineStr">
        <is>
          <t>Form</t>
        </is>
      </c>
      <c r="D10" s="23" t="inlineStr">
        <is>
          <t>Root and public subpath exports expose the component.</t>
        </is>
      </c>
      <c r="E10" s="23" t="inlineStr">
        <is>
          <t>package</t>
        </is>
      </c>
      <c r="F10" s="23" t="inlineStr">
        <is>
          <t>package</t>
        </is>
      </c>
      <c r="G10" s="23" t="inlineStr">
        <is>
          <t>../test/package/package.test.mjs</t>
        </is>
      </c>
      <c r="H10" s="23" t="inlineStr">
        <is>
          <t>tested</t>
        </is>
      </c>
      <c r="I10" s="23" t="inlineStr">
        <is>
          <t>no</t>
        </is>
      </c>
      <c r="J10" s="25" t="n">
        <v>46227</v>
      </c>
      <c r="L10" s="23" t="n">
        <v>1</v>
      </c>
      <c r="M10" s="23" t="n">
        <v>1</v>
      </c>
    </row>
    <row r="11" ht="42" customHeight="1" s="17">
      <c r="A11" s="23" t="inlineStr">
        <is>
          <t>F-03</t>
        </is>
      </c>
      <c r="B11" s="23" t="inlineStr">
        <is>
          <t>Types</t>
        </is>
      </c>
      <c r="C11" s="23" t="inlineStr">
        <is>
          <t>Form</t>
        </is>
      </c>
      <c r="D11" s="23" t="inlineStr">
        <is>
          <t>Public props, refs, composition branches, and invalid cases type-check.</t>
        </is>
      </c>
      <c r="E11" s="23" t="inlineStr">
        <is>
          <t>package</t>
        </is>
      </c>
      <c r="F11" s="23" t="inlineStr">
        <is>
          <t>types</t>
        </is>
      </c>
      <c r="G11" s="23" t="inlineStr">
        <is>
          <t>../test/types/components/form.test.ts</t>
        </is>
      </c>
      <c r="H11" s="23" t="inlineStr">
        <is>
          <t>tested</t>
        </is>
      </c>
      <c r="I11" s="23" t="inlineStr">
        <is>
          <t>no</t>
        </is>
      </c>
      <c r="J11" s="25" t="n">
        <v>46227</v>
      </c>
      <c r="L11" s="23" t="n">
        <v>1</v>
      </c>
      <c r="M11" s="23" t="n">
        <v>1</v>
      </c>
    </row>
    <row r="12" ht="42" customHeight="1" s="17">
      <c r="A12" s="23" t="inlineStr">
        <is>
          <t>F-04</t>
        </is>
      </c>
      <c r="B12" s="23" t="inlineStr">
        <is>
          <t>CSS</t>
        </is>
      </c>
      <c r="C12" s="23" t="inlineStr">
        <is>
          <t>Form</t>
        </is>
      </c>
      <c r="D12" s="23" t="inlineStr">
        <is>
          <t>Static public CSS, classes, slots, recipes, states, and tokens are present.</t>
        </is>
      </c>
      <c r="E12" s="23" t="inlineStr">
        <is>
          <t>package</t>
        </is>
      </c>
      <c r="F12" s="23" t="inlineStr">
        <is>
          <t>css</t>
        </is>
      </c>
      <c r="G12" s="23" t="inlineStr">
        <is>
          <t>../src/components/form/form.css</t>
        </is>
      </c>
      <c r="H12" s="23" t="inlineStr">
        <is>
          <t>tested</t>
        </is>
      </c>
      <c r="I12" s="23" t="inlineStr">
        <is>
          <t>no</t>
        </is>
      </c>
      <c r="J12" s="25" t="n">
        <v>46227</v>
      </c>
      <c r="L12" s="23" t="n">
        <v>1</v>
      </c>
      <c r="M12" s="23" t="n">
        <v>1</v>
      </c>
    </row>
    <row r="13" ht="42" customHeight="1" s="17">
      <c r="A13" s="23" t="inlineStr">
        <is>
          <t>F-05</t>
        </is>
      </c>
      <c r="B13" s="23" t="inlineStr">
        <is>
          <t>Unit</t>
        </is>
      </c>
      <c r="C13" s="23" t="inlineStr">
        <is>
          <t>Form</t>
        </is>
      </c>
      <c r="D13" s="23" t="inlineStr">
        <is>
          <t>Brick-owned DOM, recipes, adapters, and public hooks pass focused tests.</t>
        </is>
      </c>
      <c r="E13" s="23" t="inlineStr">
        <is>
          <t>package</t>
        </is>
      </c>
      <c r="F13" s="23" t="inlineStr">
        <is>
          <t>component</t>
        </is>
      </c>
      <c r="G13" s="23" t="inlineStr">
        <is>
          <t>../test/components/form/form.test.tsx</t>
        </is>
      </c>
      <c r="H13" s="23" t="inlineStr">
        <is>
          <t>tested</t>
        </is>
      </c>
      <c r="I13" s="23" t="inlineStr">
        <is>
          <t>no</t>
        </is>
      </c>
      <c r="J13" s="25" t="n">
        <v>46227</v>
      </c>
      <c r="L13" s="23" t="n">
        <v>1</v>
      </c>
      <c r="M13" s="23" t="n">
        <v>1</v>
      </c>
    </row>
    <row r="14" ht="42" customHeight="1" s="17">
      <c r="A14" s="23" t="inlineStr">
        <is>
          <t>F-06</t>
        </is>
      </c>
      <c r="B14" s="23" t="inlineStr">
        <is>
          <t>Browser</t>
        </is>
      </c>
      <c r="C14" s="23" t="inlineStr">
        <is>
          <t>Form</t>
        </is>
      </c>
      <c r="D14" s="23" t="inlineStr">
        <is>
          <t>Real-browser behavior and component contract checks pass.</t>
        </is>
      </c>
      <c r="E14" s="23" t="inlineStr">
        <is>
          <t>package</t>
        </is>
      </c>
      <c r="F14" s="23" t="inlineStr">
        <is>
          <t>browser</t>
        </is>
      </c>
      <c r="G14" s="23" t="inlineStr">
        <is>
          <t>tests/components/form/behavior.spec.ts</t>
        </is>
      </c>
      <c r="H14" s="23" t="inlineStr">
        <is>
          <t>tested</t>
        </is>
      </c>
      <c r="I14" s="23" t="inlineStr">
        <is>
          <t>no</t>
        </is>
      </c>
      <c r="J14" s="25" t="n">
        <v>46227</v>
      </c>
      <c r="L14" s="23" t="n">
        <v>1</v>
      </c>
      <c r="M14" s="23" t="n">
        <v>1</v>
      </c>
    </row>
    <row r="15" ht="42" customHeight="1" s="17">
      <c r="A15" s="23" t="inlineStr">
        <is>
          <t>F-07</t>
        </is>
      </c>
      <c r="B15" s="23" t="inlineStr">
        <is>
          <t>Accessibility</t>
        </is>
      </c>
      <c r="C15" s="23" t="inlineStr">
        <is>
          <t>Form</t>
        </is>
      </c>
      <c r="D15" s="23" t="inlineStr">
        <is>
          <t>Automated semantics and accessibility checks pass in the browser evidence suite.</t>
        </is>
      </c>
      <c r="E15" s="23" t="inlineStr">
        <is>
          <t>package</t>
        </is>
      </c>
      <c r="F15" s="23" t="inlineStr">
        <is>
          <t>axe</t>
        </is>
      </c>
      <c r="G15" s="23" t="inlineStr">
        <is>
          <t>tests/components/form/behavior.spec.ts; tests/integration</t>
        </is>
      </c>
      <c r="H15" s="23" t="inlineStr">
        <is>
          <t>tested</t>
        </is>
      </c>
      <c r="I15" s="23" t="inlineStr">
        <is>
          <t>no</t>
        </is>
      </c>
      <c r="J15" s="25" t="n">
        <v>46227</v>
      </c>
      <c r="L15" s="23" t="n">
        <v>1</v>
      </c>
      <c r="M15" s="23" t="n">
        <v>1</v>
      </c>
    </row>
    <row r="16" ht="42" customHeight="1" s="17">
      <c r="A16" s="23" t="inlineStr">
        <is>
          <t>F-08</t>
        </is>
      </c>
      <c r="B16" s="23" t="inlineStr">
        <is>
          <t>Visual</t>
        </is>
      </c>
      <c r="C16" s="23" t="inlineStr">
        <is>
          <t>Form</t>
        </is>
      </c>
      <c r="D16" s="23" t="inlineStr">
        <is>
          <t>Reviewed baselines cover the component's risk-selected recipes and states.</t>
        </is>
      </c>
      <c r="E16" s="23" t="inlineStr">
        <is>
          <t>package</t>
        </is>
      </c>
      <c r="F16" s="23" t="inlineStr">
        <is>
          <t>visual</t>
        </is>
      </c>
      <c r="G16" s="23" t="inlineStr">
        <is>
          <t>tests/components/form/visual.spec.ts</t>
        </is>
      </c>
      <c r="H16" s="23" t="inlineStr">
        <is>
          <t>verified</t>
        </is>
      </c>
      <c r="I16" s="23" t="inlineStr">
        <is>
          <t>yes</t>
        </is>
      </c>
      <c r="J16" s="25" t="n">
        <v>46227</v>
      </c>
      <c r="K16" s="23" t="inlineStr">
        <is>
          <t>Owner reviewed the current playground evidence.</t>
        </is>
      </c>
      <c r="L16" s="23" t="n">
        <v>1</v>
      </c>
      <c r="M16" s="23" t="n">
        <v>1</v>
      </c>
    </row>
    <row r="17" ht="42" customHeight="1" s="17">
      <c r="A17" s="23" t="inlineStr">
        <is>
          <t>F-09</t>
        </is>
      </c>
      <c r="B17" s="23" t="inlineStr">
        <is>
          <t>Responsive</t>
        </is>
      </c>
      <c r="C17" s="23" t="inlineStr">
        <is>
          <t>Form</t>
        </is>
      </c>
      <c r="D17" s="23" t="inlineStr">
        <is>
          <t>Mobile, zoom/reflow, content stress, and RTL remain usable and contained.</t>
        </is>
      </c>
      <c r="E17" s="23" t="inlineStr">
        <is>
          <t>package</t>
        </is>
      </c>
      <c r="F17" s="23" t="inlineStr">
        <is>
          <t>manual</t>
        </is>
      </c>
      <c r="G17" s="23" t="inlineStr">
        <is>
          <t>manual-tests/form.md</t>
        </is>
      </c>
      <c r="H17" s="23" t="inlineStr">
        <is>
          <t>verified</t>
        </is>
      </c>
      <c r="I17" s="23" t="inlineStr">
        <is>
          <t>yes</t>
        </is>
      </c>
      <c r="J17" s="25" t="n">
        <v>46227</v>
      </c>
      <c r="K17" s="23" t="inlineStr">
        <is>
          <t>Owner completed the current manual protocol.</t>
        </is>
      </c>
      <c r="L17" s="23" t="n">
        <v>1</v>
      </c>
      <c r="M17" s="23" t="n">
        <v>1</v>
      </c>
    </row>
    <row r="18" ht="42" customHeight="1" s="17">
      <c r="A18" s="23" t="inlineStr">
        <is>
          <t>F-10</t>
        </is>
      </c>
      <c r="B18" s="23" t="inlineStr">
        <is>
          <t>Theme</t>
        </is>
      </c>
      <c r="C18" s="23" t="inlineStr">
        <is>
          <t>Form</t>
        </is>
      </c>
      <c r="D18" s="23" t="inlineStr">
        <is>
          <t>Light, dark, focus, forced-colors, and relevant motion behavior remain perceivable.</t>
        </is>
      </c>
      <c r="E18" s="23" t="inlineStr">
        <is>
          <t>package</t>
        </is>
      </c>
      <c r="F18" s="23" t="inlineStr">
        <is>
          <t>manual</t>
        </is>
      </c>
      <c r="G18" s="23" t="inlineStr">
        <is>
          <t>manual-tests/form.md</t>
        </is>
      </c>
      <c r="H18" s="23" t="inlineStr">
        <is>
          <t>verified</t>
        </is>
      </c>
      <c r="I18" s="23" t="inlineStr">
        <is>
          <t>yes</t>
        </is>
      </c>
      <c r="J18" s="25" t="n">
        <v>46227</v>
      </c>
      <c r="K18" s="23" t="inlineStr">
        <is>
          <t>Owner completed the current manual protocol.</t>
        </is>
      </c>
      <c r="L18" s="23" t="n">
        <v>1</v>
      </c>
      <c r="M18" s="23" t="n">
        <v>1</v>
      </c>
    </row>
    <row r="19" ht="42" customHeight="1" s="17">
      <c r="A19" s="23" t="inlineStr">
        <is>
          <t>F-11</t>
        </is>
      </c>
      <c r="B19" s="23" t="inlineStr">
        <is>
          <t>Composition</t>
        </is>
      </c>
      <c r="C19" s="23" t="inlineStr">
        <is>
          <t>Form</t>
        </is>
      </c>
      <c r="D19" s="23" t="inlineStr">
        <is>
          <t>Default, render, and asChild output preserve the intended element, slots, state, and relationships.</t>
        </is>
      </c>
      <c r="E19" s="23" t="inlineStr">
        <is>
          <t>package</t>
        </is>
      </c>
      <c r="F19" s="23" t="inlineStr">
        <is>
          <t>manual</t>
        </is>
      </c>
      <c r="G19" s="23" t="inlineStr">
        <is>
          <t>manual-tests/form.md; tests/components/form/behavior.spec.ts</t>
        </is>
      </c>
      <c r="H19" s="23" t="inlineStr">
        <is>
          <t>verified</t>
        </is>
      </c>
      <c r="I19" s="23" t="inlineStr">
        <is>
          <t>yes</t>
        </is>
      </c>
      <c r="J19" s="25" t="n">
        <v>46227</v>
      </c>
      <c r="K19" s="23" t="inlineStr">
        <is>
          <t>Owner reviewed the live and rendered output evidence.</t>
        </is>
      </c>
      <c r="L19" s="23" t="n">
        <v>1</v>
      </c>
      <c r="M19" s="23" t="n">
        <v>1</v>
      </c>
    </row>
    <row r="20" ht="42" customHeight="1" s="17">
      <c r="A20" s="23" t="inlineStr">
        <is>
          <t>F-12</t>
        </is>
      </c>
      <c r="B20" s="23" t="inlineStr">
        <is>
          <t>Manual</t>
        </is>
      </c>
      <c r="C20" s="23" t="inlineStr">
        <is>
          <t>Form</t>
        </is>
      </c>
      <c r="D20" s="23" t="inlineStr">
        <is>
          <t>The complete component-owned manual protocol passed against every playground scenario.</t>
        </is>
      </c>
      <c r="E20" s="23" t="inlineStr">
        <is>
          <t>package</t>
        </is>
      </c>
      <c r="F20" s="23" t="inlineStr">
        <is>
          <t>manual</t>
        </is>
      </c>
      <c r="G20" s="23" t="inlineStr">
        <is>
          <t>manual-tests/form.md</t>
        </is>
      </c>
      <c r="H20" s="23" t="inlineStr">
        <is>
          <t>verified</t>
        </is>
      </c>
      <c r="I20" s="23" t="inlineStr">
        <is>
          <t>yes</t>
        </is>
      </c>
      <c r="J20" s="25" t="n">
        <v>46227</v>
      </c>
      <c r="K20" s="23" t="inlineStr">
        <is>
          <t>Owner confirmed completion on 2026-07-24.</t>
        </is>
      </c>
      <c r="L20" s="23" t="n">
        <v>1</v>
      </c>
      <c r="M20" s="23" t="n">
        <v>1</v>
      </c>
    </row>
    <row r="21" ht="42" customHeight="1" s="17">
      <c r="A21" s="23" t="inlineStr">
        <is>
          <t>F-13</t>
        </is>
      </c>
      <c r="B21" s="23" t="inlineStr">
        <is>
          <t>Docs</t>
        </is>
      </c>
      <c r="C21" s="23" t="inlineStr">
        <is>
          <t>Form</t>
        </is>
      </c>
      <c r="D21" s="23" t="inlineStr">
        <is>
          <t>Public usage documentation exists at the component-owned path.</t>
        </is>
      </c>
      <c r="E21" s="23" t="inlineStr">
        <is>
          <t>package</t>
        </is>
      </c>
      <c r="F21" s="23" t="inlineStr">
        <is>
          <t>docs</t>
        </is>
      </c>
      <c r="G21" s="23" t="inlineStr">
        <is>
          <t>../docs/components/form/README.md</t>
        </is>
      </c>
      <c r="H21" s="23" t="inlineStr">
        <is>
          <t>tested</t>
        </is>
      </c>
      <c r="I21" s="23" t="inlineStr">
        <is>
          <t>no</t>
        </is>
      </c>
      <c r="J21" s="25" t="n">
        <v>46227</v>
      </c>
      <c r="L21" s="23" t="n">
        <v>1</v>
      </c>
      <c r="M21" s="23" t="n">
        <v>1</v>
      </c>
    </row>
    <row r="22" ht="42" customHeight="1" s="17">
      <c r="A22" s="23" t="inlineStr">
        <is>
          <t>F-14</t>
        </is>
      </c>
      <c r="B22" s="23" t="inlineStr">
        <is>
          <t>Changelog</t>
        </is>
      </c>
      <c r="C22" s="23" t="inlineStr">
        <is>
          <t>Form</t>
        </is>
      </c>
      <c r="D22" s="23" t="inlineStr">
        <is>
          <t>The component owns a public changelog.</t>
        </is>
      </c>
      <c r="E22" s="23" t="inlineStr">
        <is>
          <t>package</t>
        </is>
      </c>
      <c r="F22" s="23" t="inlineStr">
        <is>
          <t>docs</t>
        </is>
      </c>
      <c r="G22" s="23" t="inlineStr">
        <is>
          <t>../docs/components/form/CHANGELOG.md</t>
        </is>
      </c>
      <c r="H22" s="23" t="inlineStr">
        <is>
          <t>tested</t>
        </is>
      </c>
      <c r="I22" s="23" t="inlineStr">
        <is>
          <t>no</t>
        </is>
      </c>
      <c r="J22" s="25" t="n">
        <v>46227</v>
      </c>
      <c r="L22" s="23" t="n">
        <v>1</v>
      </c>
      <c r="M22" s="23" t="n">
        <v>1</v>
      </c>
    </row>
    <row r="23" ht="42" customHeight="1" s="17">
      <c r="A23" s="23" t="inlineStr">
        <is>
          <t>F-15</t>
        </is>
      </c>
      <c r="B23" s="23" t="inlineStr">
        <is>
          <t>Consumer</t>
        </is>
      </c>
      <c r="C23" s="23" t="inlineStr">
        <is>
          <t>Form</t>
        </is>
      </c>
      <c r="D23" s="23" t="inlineStr">
        <is>
          <t>The standalone consumer imports and exercises the public package component.</t>
        </is>
      </c>
      <c r="E23" s="23" t="inlineStr">
        <is>
          <t>consumer</t>
        </is>
      </c>
      <c r="F23" s="23" t="inlineStr">
        <is>
          <t>consumer</t>
        </is>
      </c>
      <c r="G23" s="23" t="inlineStr">
        <is>
          <t>../apps/consumer/src/App.tsx; ../apps/consumer/tests/consumer.spec.ts</t>
        </is>
      </c>
      <c r="H23" s="23" t="inlineStr">
        <is>
          <t>tested</t>
        </is>
      </c>
      <c r="I23" s="23" t="inlineStr">
        <is>
          <t>no</t>
        </is>
      </c>
      <c r="J23" s="25" t="n">
        <v>46227</v>
      </c>
      <c r="L23" s="23" t="n">
        <v>1</v>
      </c>
      <c r="M23" s="23" t="n">
        <v>1</v>
      </c>
    </row>
    <row r="24" ht="42" customHeight="1" s="17">
      <c r="A24" s="23" t="inlineStr">
        <is>
          <t>F-16</t>
        </is>
      </c>
      <c r="B24" s="23" t="inlineStr">
        <is>
          <t>Package</t>
        </is>
      </c>
      <c r="C24" s="23" t="inlineStr">
        <is>
          <t>Form</t>
        </is>
      </c>
      <c r="D24" s="23" t="inlineStr">
        <is>
          <t>Build, exports, tarball, CSS, and consumer boundary verification pass.</t>
        </is>
      </c>
      <c r="E24" s="23" t="inlineStr">
        <is>
          <t>package</t>
        </is>
      </c>
      <c r="F24" s="23" t="inlineStr">
        <is>
          <t>package</t>
        </is>
      </c>
      <c r="G24" s="23" t="inlineStr">
        <is>
          <t>../scripts/verify-package.mjs; ../scripts/verify-consumers.mjs</t>
        </is>
      </c>
      <c r="H24" s="23" t="inlineStr">
        <is>
          <t>tested</t>
        </is>
      </c>
      <c r="I24" s="23" t="inlineStr">
        <is>
          <t>no</t>
        </is>
      </c>
      <c r="J24" s="25" t="n">
        <v>46227</v>
      </c>
      <c r="L24" s="23" t="n">
        <v>1</v>
      </c>
      <c r="M24" s="23" t="n">
        <v>1</v>
      </c>
    </row>
  </sheetData>
  <mergeCells count="2">
    <mergeCell ref="A2:M2"/>
    <mergeCell ref="A1:M1"/>
  </mergeCells>
  <conditionalFormatting sqref="H9:H24">
    <cfRule type="containsText" rank="0" priority="2" equalAverage="0" operator="containsText" aboveAverage="0" dxfId="5" text="not started" percent="0" bottom="0">
      <formula>NOT(ISERROR(SEARCH("not started",H9)))</formula>
    </cfRule>
    <cfRule type="containsText" rank="0" priority="3" equalAverage="0" operator="containsText" aboveAverage="0" dxfId="6" text="partial" percent="0" bottom="0">
      <formula>NOT(ISERROR(SEARCH("partial",H9)))</formula>
    </cfRule>
    <cfRule type="containsText" rank="0" priority="4" equalAverage="0" operator="containsText" aboveAverage="0" dxfId="7" text="implemented" percent="0" bottom="0">
      <formula>NOT(ISERROR(SEARCH("implemented",H9)))</formula>
    </cfRule>
    <cfRule type="containsText" rank="0" priority="5" equalAverage="0" operator="containsText" aboveAverage="0" dxfId="8" text="tested" percent="0" bottom="0">
      <formula>NOT(ISERROR(SEARCH("tested",H9)))</formula>
    </cfRule>
    <cfRule type="containsText" rank="0" priority="6" equalAverage="0" operator="containsText" aboveAverage="0" dxfId="3" text="verified" percent="0" bottom="0">
      <formula>NOT(ISERROR(SEARCH("verified",H9)))</formula>
    </cfRule>
    <cfRule type="containsText" rank="0" priority="7" equalAverage="0" operator="containsText" aboveAverage="0" dxfId="9" text="blocked" percent="0" bottom="0">
      <formula>NOT(ISERROR(SEARCH("blocked",H9)))</formula>
    </cfRule>
    <cfRule type="containsText" rank="0" priority="8" equalAverage="0" operator="containsText" aboveAverage="0" dxfId="5" text="not applicable" percent="0" bottom="0">
      <formula>NOT(ISERROR(SEARCH("not applicable",H9)))</formula>
    </cfRule>
  </conditionalFormatting>
  <dataValidations count="2">
    <dataValidation sqref="H9:H24" showDropDown="0" showInputMessage="1" showErrorMessage="1" allowBlank="1" type="list" errorStyle="stop" operator="between">
      <formula1>"not started,partial,implemented,tested,verified,blocked,not applicable"</formula1>
      <formula2>0</formula2>
    </dataValidation>
    <dataValidation sqref="I9:I24" showDropDown="0" showInputMessage="1" showErrorMessage="1" allowBlank="1" type="list" errorStyle="stop" operator="between">
      <formula1>"yes,no"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17.xml><?xml version="1.0" encoding="utf-8"?>
<worksheet xmlns="http://schemas.openxmlformats.org/spreadsheetml/2006/main">
  <sheetPr filterMode="0">
    <outlinePr summaryBelow="1" summaryRight="1"/>
    <pageSetUpPr fitToPage="0"/>
  </sheetPr>
  <dimension ref="A1:M2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baseColWidth="8" defaultColWidth="8.6796875" defaultRowHeight="15" customHeight="0" zeroHeight="0" outlineLevelRow="0"/>
  <cols>
    <col width="13.71" customWidth="1" style="23" min="1" max="1"/>
    <col width="15.71" customWidth="1" style="23" min="2" max="2"/>
    <col width="18.71" customWidth="1" style="23" min="3" max="3"/>
    <col width="58.71" customWidth="1" style="23" min="4" max="4"/>
    <col width="14.71" customWidth="1" style="23" min="5" max="6"/>
    <col width="50.71" customWidth="1" style="23" min="7" max="7"/>
    <col width="17.71" customWidth="1" style="23" min="8" max="8"/>
    <col width="14.71" customWidth="1" style="23" min="9" max="9"/>
    <col width="14.71" customWidth="1" style="25" min="10" max="10"/>
    <col width="42.71" customWidth="1" style="23" min="11" max="11"/>
    <col width="10.71" customWidth="1" style="23" min="12" max="13"/>
  </cols>
  <sheetData>
    <row r="1" ht="37.5" customHeight="1" s="17">
      <c r="A1" s="18" t="inlineStr">
        <is>
          <t>Hover Card Evidence</t>
        </is>
      </c>
    </row>
    <row r="2" ht="27.75" customHeight="1" s="17">
      <c r="A2" s="19" t="inlineStr">
        <is>
          <t>Assertion-level package, browser, human-review, documentation, and consumer evidence.</t>
        </is>
      </c>
    </row>
    <row r="4" ht="17.25" customHeight="1" s="17">
      <c r="A4" s="20" t="inlineStr">
        <is>
          <t>Requirements</t>
        </is>
      </c>
      <c r="B4" s="21" t="n">
        <v>16</v>
      </c>
      <c r="D4" s="20" t="inlineStr">
        <is>
          <t>Resolved</t>
        </is>
      </c>
      <c r="E4" s="21" t="n">
        <v>16</v>
      </c>
      <c r="G4" s="20" t="inlineStr">
        <is>
          <t>Completion</t>
        </is>
      </c>
      <c r="H4" s="22" t="n">
        <v>1</v>
      </c>
      <c r="J4" s="20" t="inlineStr">
        <is>
          <t>Package gate</t>
        </is>
      </c>
      <c r="K4" s="21" t="inlineStr">
        <is>
          <t>complete</t>
        </is>
      </c>
    </row>
    <row r="5" ht="17.25" customHeight="1" s="17">
      <c r="A5" s="20" t="inlineStr">
        <is>
          <t>Manual review</t>
        </is>
      </c>
      <c r="B5" s="21" t="inlineStr">
        <is>
          <t>complete</t>
        </is>
      </c>
      <c r="D5" s="20" t="inlineStr">
        <is>
          <t>Consumer gate</t>
        </is>
      </c>
      <c r="E5" s="21" t="inlineStr">
        <is>
          <t>complete</t>
        </is>
      </c>
    </row>
    <row r="8" ht="15" customHeight="1" s="17">
      <c r="A8" s="23" t="inlineStr">
        <is>
          <t>ID</t>
        </is>
      </c>
      <c r="B8" s="23" t="inlineStr">
        <is>
          <t>Area</t>
        </is>
      </c>
      <c r="C8" s="23" t="inlineStr">
        <is>
          <t>Part</t>
        </is>
      </c>
      <c r="D8" s="23" t="inlineStr">
        <is>
          <t>Requirement</t>
        </is>
      </c>
      <c r="E8" s="23" t="inlineStr">
        <is>
          <t>Gate</t>
        </is>
      </c>
      <c r="F8" s="23" t="inlineStr">
        <is>
          <t>Evidence type</t>
        </is>
      </c>
      <c r="G8" s="23" t="inlineStr">
        <is>
          <t>Evidence / link</t>
        </is>
      </c>
      <c r="H8" s="23" t="inlineStr">
        <is>
          <t>Status</t>
        </is>
      </c>
      <c r="I8" s="23" t="inlineStr">
        <is>
          <t>Human review?</t>
        </is>
      </c>
      <c r="J8" s="25" t="inlineStr">
        <is>
          <t>Last verified</t>
        </is>
      </c>
      <c r="K8" s="23" t="inlineStr">
        <is>
          <t>Blocker / N/A reason</t>
        </is>
      </c>
      <c r="L8" s="23" t="inlineStr">
        <is>
          <t>Weight</t>
        </is>
      </c>
      <c r="M8" s="23" t="inlineStr">
        <is>
          <t>Resolved</t>
        </is>
      </c>
    </row>
    <row r="9" ht="42" customHeight="1" s="17">
      <c r="A9" s="23" t="inlineStr">
        <is>
          <t>HC-01</t>
        </is>
      </c>
      <c r="B9" s="23" t="inlineStr">
        <is>
          <t>Implementation</t>
        </is>
      </c>
      <c r="C9" s="23" t="inlineStr">
        <is>
          <t>HoverCard</t>
        </is>
      </c>
      <c r="D9" s="23" t="inlineStr">
        <is>
          <t>Public component implementation and Atom adapter exist.</t>
        </is>
      </c>
      <c r="E9" s="23" t="inlineStr">
        <is>
          <t>package</t>
        </is>
      </c>
      <c r="F9" s="23" t="inlineStr">
        <is>
          <t>source</t>
        </is>
      </c>
      <c r="G9" s="23" t="inlineStr">
        <is>
          <t>../src/components/hover-card</t>
        </is>
      </c>
      <c r="H9" s="23" t="inlineStr">
        <is>
          <t>tested</t>
        </is>
      </c>
      <c r="I9" s="23" t="inlineStr">
        <is>
          <t>no</t>
        </is>
      </c>
      <c r="J9" s="25" t="n">
        <v>46227</v>
      </c>
      <c r="L9" s="23" t="n">
        <v>1</v>
      </c>
      <c r="M9" s="23" t="n">
        <v>1</v>
      </c>
    </row>
    <row r="10" ht="42" customHeight="1" s="17">
      <c r="A10" s="23" t="inlineStr">
        <is>
          <t>HC-02</t>
        </is>
      </c>
      <c r="B10" s="23" t="inlineStr">
        <is>
          <t>Exports</t>
        </is>
      </c>
      <c r="C10" s="23" t="inlineStr">
        <is>
          <t>HoverCard</t>
        </is>
      </c>
      <c r="D10" s="23" t="inlineStr">
        <is>
          <t>Root and public subpath exports expose the component.</t>
        </is>
      </c>
      <c r="E10" s="23" t="inlineStr">
        <is>
          <t>package</t>
        </is>
      </c>
      <c r="F10" s="23" t="inlineStr">
        <is>
          <t>package</t>
        </is>
      </c>
      <c r="G10" s="23" t="inlineStr">
        <is>
          <t>../test/package/package.test.mjs</t>
        </is>
      </c>
      <c r="H10" s="23" t="inlineStr">
        <is>
          <t>tested</t>
        </is>
      </c>
      <c r="I10" s="23" t="inlineStr">
        <is>
          <t>no</t>
        </is>
      </c>
      <c r="J10" s="25" t="n">
        <v>46227</v>
      </c>
      <c r="L10" s="23" t="n">
        <v>1</v>
      </c>
      <c r="M10" s="23" t="n">
        <v>1</v>
      </c>
    </row>
    <row r="11" ht="42" customHeight="1" s="17">
      <c r="A11" s="23" t="inlineStr">
        <is>
          <t>HC-03</t>
        </is>
      </c>
      <c r="B11" s="23" t="inlineStr">
        <is>
          <t>Types</t>
        </is>
      </c>
      <c r="C11" s="23" t="inlineStr">
        <is>
          <t>HoverCard</t>
        </is>
      </c>
      <c r="D11" s="23" t="inlineStr">
        <is>
          <t>Public props, refs, composition branches, and invalid cases type-check.</t>
        </is>
      </c>
      <c r="E11" s="23" t="inlineStr">
        <is>
          <t>package</t>
        </is>
      </c>
      <c r="F11" s="23" t="inlineStr">
        <is>
          <t>types</t>
        </is>
      </c>
      <c r="G11" s="23" t="inlineStr">
        <is>
          <t>../test/types/components/hover-card.test.ts</t>
        </is>
      </c>
      <c r="H11" s="23" t="inlineStr">
        <is>
          <t>tested</t>
        </is>
      </c>
      <c r="I11" s="23" t="inlineStr">
        <is>
          <t>no</t>
        </is>
      </c>
      <c r="J11" s="25" t="n">
        <v>46227</v>
      </c>
      <c r="L11" s="23" t="n">
        <v>1</v>
      </c>
      <c r="M11" s="23" t="n">
        <v>1</v>
      </c>
    </row>
    <row r="12" ht="42" customHeight="1" s="17">
      <c r="A12" s="23" t="inlineStr">
        <is>
          <t>HC-04</t>
        </is>
      </c>
      <c r="B12" s="23" t="inlineStr">
        <is>
          <t>CSS</t>
        </is>
      </c>
      <c r="C12" s="23" t="inlineStr">
        <is>
          <t>HoverCard</t>
        </is>
      </c>
      <c r="D12" s="23" t="inlineStr">
        <is>
          <t>Static public CSS, classes, slots, recipes, states, and tokens are present.</t>
        </is>
      </c>
      <c r="E12" s="23" t="inlineStr">
        <is>
          <t>package</t>
        </is>
      </c>
      <c r="F12" s="23" t="inlineStr">
        <is>
          <t>css</t>
        </is>
      </c>
      <c r="G12" s="23" t="inlineStr">
        <is>
          <t>../src/components/hover-card/hover-card.css</t>
        </is>
      </c>
      <c r="H12" s="23" t="inlineStr">
        <is>
          <t>tested</t>
        </is>
      </c>
      <c r="I12" s="23" t="inlineStr">
        <is>
          <t>no</t>
        </is>
      </c>
      <c r="J12" s="25" t="n">
        <v>46227</v>
      </c>
      <c r="L12" s="23" t="n">
        <v>1</v>
      </c>
      <c r="M12" s="23" t="n">
        <v>1</v>
      </c>
    </row>
    <row r="13" ht="42" customHeight="1" s="17">
      <c r="A13" s="23" t="inlineStr">
        <is>
          <t>HC-05</t>
        </is>
      </c>
      <c r="B13" s="23" t="inlineStr">
        <is>
          <t>Unit</t>
        </is>
      </c>
      <c r="C13" s="23" t="inlineStr">
        <is>
          <t>HoverCard</t>
        </is>
      </c>
      <c r="D13" s="23" t="inlineStr">
        <is>
          <t>Brick-owned DOM, recipes, adapters, and public hooks pass focused tests.</t>
        </is>
      </c>
      <c r="E13" s="23" t="inlineStr">
        <is>
          <t>package</t>
        </is>
      </c>
      <c r="F13" s="23" t="inlineStr">
        <is>
          <t>component</t>
        </is>
      </c>
      <c r="G13" s="23" t="inlineStr">
        <is>
          <t>../test/components/hover-card/hover-card.test.tsx</t>
        </is>
      </c>
      <c r="H13" s="23" t="inlineStr">
        <is>
          <t>tested</t>
        </is>
      </c>
      <c r="I13" s="23" t="inlineStr">
        <is>
          <t>no</t>
        </is>
      </c>
      <c r="J13" s="25" t="n">
        <v>46227</v>
      </c>
      <c r="L13" s="23" t="n">
        <v>1</v>
      </c>
      <c r="M13" s="23" t="n">
        <v>1</v>
      </c>
    </row>
    <row r="14" ht="42" customHeight="1" s="17">
      <c r="A14" s="23" t="inlineStr">
        <is>
          <t>HC-06</t>
        </is>
      </c>
      <c r="B14" s="23" t="inlineStr">
        <is>
          <t>Browser</t>
        </is>
      </c>
      <c r="C14" s="23" t="inlineStr">
        <is>
          <t>HoverCard</t>
        </is>
      </c>
      <c r="D14" s="23" t="inlineStr">
        <is>
          <t>Real-browser behavior and component contract checks pass.</t>
        </is>
      </c>
      <c r="E14" s="23" t="inlineStr">
        <is>
          <t>package</t>
        </is>
      </c>
      <c r="F14" s="23" t="inlineStr">
        <is>
          <t>browser</t>
        </is>
      </c>
      <c r="G14" s="23" t="inlineStr">
        <is>
          <t>tests/components/hover-card/behavior.spec.ts</t>
        </is>
      </c>
      <c r="H14" s="23" t="inlineStr">
        <is>
          <t>tested</t>
        </is>
      </c>
      <c r="I14" s="23" t="inlineStr">
        <is>
          <t>no</t>
        </is>
      </c>
      <c r="J14" s="25" t="n">
        <v>46227</v>
      </c>
      <c r="L14" s="23" t="n">
        <v>1</v>
      </c>
      <c r="M14" s="23" t="n">
        <v>1</v>
      </c>
    </row>
    <row r="15" ht="42" customHeight="1" s="17">
      <c r="A15" s="23" t="inlineStr">
        <is>
          <t>HC-07</t>
        </is>
      </c>
      <c r="B15" s="23" t="inlineStr">
        <is>
          <t>Accessibility</t>
        </is>
      </c>
      <c r="C15" s="23" t="inlineStr">
        <is>
          <t>HoverCard</t>
        </is>
      </c>
      <c r="D15" s="23" t="inlineStr">
        <is>
          <t>Automated semantics and accessibility checks pass in the browser evidence suite.</t>
        </is>
      </c>
      <c r="E15" s="23" t="inlineStr">
        <is>
          <t>package</t>
        </is>
      </c>
      <c r="F15" s="23" t="inlineStr">
        <is>
          <t>axe</t>
        </is>
      </c>
      <c r="G15" s="23" t="inlineStr">
        <is>
          <t>tests/components/hover-card/behavior.spec.ts; tests/integration</t>
        </is>
      </c>
      <c r="H15" s="23" t="inlineStr">
        <is>
          <t>tested</t>
        </is>
      </c>
      <c r="I15" s="23" t="inlineStr">
        <is>
          <t>no</t>
        </is>
      </c>
      <c r="J15" s="25" t="n">
        <v>46227</v>
      </c>
      <c r="L15" s="23" t="n">
        <v>1</v>
      </c>
      <c r="M15" s="23" t="n">
        <v>1</v>
      </c>
    </row>
    <row r="16" ht="42" customHeight="1" s="17">
      <c r="A16" s="23" t="inlineStr">
        <is>
          <t>HC-08</t>
        </is>
      </c>
      <c r="B16" s="23" t="inlineStr">
        <is>
          <t>Visual</t>
        </is>
      </c>
      <c r="C16" s="23" t="inlineStr">
        <is>
          <t>HoverCard</t>
        </is>
      </c>
      <c r="D16" s="23" t="inlineStr">
        <is>
          <t>Reviewed baselines cover the component's risk-selected recipes and states.</t>
        </is>
      </c>
      <c r="E16" s="23" t="inlineStr">
        <is>
          <t>package</t>
        </is>
      </c>
      <c r="F16" s="23" t="inlineStr">
        <is>
          <t>visual</t>
        </is>
      </c>
      <c r="G16" s="23" t="inlineStr">
        <is>
          <t>tests/components/hover-card/visual.spec.ts</t>
        </is>
      </c>
      <c r="H16" s="23" t="inlineStr">
        <is>
          <t>verified</t>
        </is>
      </c>
      <c r="I16" s="23" t="inlineStr">
        <is>
          <t>yes</t>
        </is>
      </c>
      <c r="J16" s="25" t="n">
        <v>46227</v>
      </c>
      <c r="K16" s="23" t="inlineStr">
        <is>
          <t>Owner reviewed the current playground evidence.</t>
        </is>
      </c>
      <c r="L16" s="23" t="n">
        <v>1</v>
      </c>
      <c r="M16" s="23" t="n">
        <v>1</v>
      </c>
    </row>
    <row r="17" ht="42" customHeight="1" s="17">
      <c r="A17" s="23" t="inlineStr">
        <is>
          <t>HC-09</t>
        </is>
      </c>
      <c r="B17" s="23" t="inlineStr">
        <is>
          <t>Responsive</t>
        </is>
      </c>
      <c r="C17" s="23" t="inlineStr">
        <is>
          <t>HoverCard</t>
        </is>
      </c>
      <c r="D17" s="23" t="inlineStr">
        <is>
          <t>Mobile, zoom/reflow, content stress, and RTL remain usable and contained.</t>
        </is>
      </c>
      <c r="E17" s="23" t="inlineStr">
        <is>
          <t>package</t>
        </is>
      </c>
      <c r="F17" s="23" t="inlineStr">
        <is>
          <t>manual</t>
        </is>
      </c>
      <c r="G17" s="23" t="inlineStr">
        <is>
          <t>manual-tests/hover-card.md</t>
        </is>
      </c>
      <c r="H17" s="23" t="inlineStr">
        <is>
          <t>verified</t>
        </is>
      </c>
      <c r="I17" s="23" t="inlineStr">
        <is>
          <t>yes</t>
        </is>
      </c>
      <c r="J17" s="25" t="n">
        <v>46227</v>
      </c>
      <c r="K17" s="23" t="inlineStr">
        <is>
          <t>Owner completed the current manual protocol.</t>
        </is>
      </c>
      <c r="L17" s="23" t="n">
        <v>1</v>
      </c>
      <c r="M17" s="23" t="n">
        <v>1</v>
      </c>
    </row>
    <row r="18" ht="42" customHeight="1" s="17">
      <c r="A18" s="23" t="inlineStr">
        <is>
          <t>HC-10</t>
        </is>
      </c>
      <c r="B18" s="23" t="inlineStr">
        <is>
          <t>Theme</t>
        </is>
      </c>
      <c r="C18" s="23" t="inlineStr">
        <is>
          <t>HoverCard</t>
        </is>
      </c>
      <c r="D18" s="23" t="inlineStr">
        <is>
          <t>Light, dark, focus, forced-colors, and relevant motion behavior remain perceivable.</t>
        </is>
      </c>
      <c r="E18" s="23" t="inlineStr">
        <is>
          <t>package</t>
        </is>
      </c>
      <c r="F18" s="23" t="inlineStr">
        <is>
          <t>manual</t>
        </is>
      </c>
      <c r="G18" s="23" t="inlineStr">
        <is>
          <t>manual-tests/hover-card.md</t>
        </is>
      </c>
      <c r="H18" s="23" t="inlineStr">
        <is>
          <t>verified</t>
        </is>
      </c>
      <c r="I18" s="23" t="inlineStr">
        <is>
          <t>yes</t>
        </is>
      </c>
      <c r="J18" s="25" t="n">
        <v>46227</v>
      </c>
      <c r="K18" s="23" t="inlineStr">
        <is>
          <t>Owner completed the current manual protocol.</t>
        </is>
      </c>
      <c r="L18" s="23" t="n">
        <v>1</v>
      </c>
      <c r="M18" s="23" t="n">
        <v>1</v>
      </c>
    </row>
    <row r="19" ht="42" customHeight="1" s="17">
      <c r="A19" s="23" t="inlineStr">
        <is>
          <t>HC-11</t>
        </is>
      </c>
      <c r="B19" s="23" t="inlineStr">
        <is>
          <t>Composition</t>
        </is>
      </c>
      <c r="C19" s="23" t="inlineStr">
        <is>
          <t>HoverCard</t>
        </is>
      </c>
      <c r="D19" s="23" t="inlineStr">
        <is>
          <t>Default, render, and asChild output preserve the intended element, slots, state, and relationships.</t>
        </is>
      </c>
      <c r="E19" s="23" t="inlineStr">
        <is>
          <t>package</t>
        </is>
      </c>
      <c r="F19" s="23" t="inlineStr">
        <is>
          <t>manual</t>
        </is>
      </c>
      <c r="G19" s="23" t="inlineStr">
        <is>
          <t>manual-tests/hover-card.md; tests/components/hover-card/behavior.spec.ts</t>
        </is>
      </c>
      <c r="H19" s="23" t="inlineStr">
        <is>
          <t>verified</t>
        </is>
      </c>
      <c r="I19" s="23" t="inlineStr">
        <is>
          <t>yes</t>
        </is>
      </c>
      <c r="J19" s="25" t="n">
        <v>46227</v>
      </c>
      <c r="K19" s="23" t="inlineStr">
        <is>
          <t>Owner reviewed the live and rendered output evidence.</t>
        </is>
      </c>
      <c r="L19" s="23" t="n">
        <v>1</v>
      </c>
      <c r="M19" s="23" t="n">
        <v>1</v>
      </c>
    </row>
    <row r="20" ht="42" customHeight="1" s="17">
      <c r="A20" s="23" t="inlineStr">
        <is>
          <t>HC-12</t>
        </is>
      </c>
      <c r="B20" s="23" t="inlineStr">
        <is>
          <t>Manual</t>
        </is>
      </c>
      <c r="C20" s="23" t="inlineStr">
        <is>
          <t>HoverCard</t>
        </is>
      </c>
      <c r="D20" s="23" t="inlineStr">
        <is>
          <t>The complete component-owned manual protocol passed against every playground scenario.</t>
        </is>
      </c>
      <c r="E20" s="23" t="inlineStr">
        <is>
          <t>package</t>
        </is>
      </c>
      <c r="F20" s="23" t="inlineStr">
        <is>
          <t>manual</t>
        </is>
      </c>
      <c r="G20" s="23" t="inlineStr">
        <is>
          <t>manual-tests/hover-card.md</t>
        </is>
      </c>
      <c r="H20" s="23" t="inlineStr">
        <is>
          <t>verified</t>
        </is>
      </c>
      <c r="I20" s="23" t="inlineStr">
        <is>
          <t>yes</t>
        </is>
      </c>
      <c r="J20" s="25" t="n">
        <v>46227</v>
      </c>
      <c r="K20" s="23" t="inlineStr">
        <is>
          <t>Owner confirmed completion on 2026-07-24.</t>
        </is>
      </c>
      <c r="L20" s="23" t="n">
        <v>1</v>
      </c>
      <c r="M20" s="23" t="n">
        <v>1</v>
      </c>
    </row>
    <row r="21" ht="42" customHeight="1" s="17">
      <c r="A21" s="23" t="inlineStr">
        <is>
          <t>HC-13</t>
        </is>
      </c>
      <c r="B21" s="23" t="inlineStr">
        <is>
          <t>Docs</t>
        </is>
      </c>
      <c r="C21" s="23" t="inlineStr">
        <is>
          <t>HoverCard</t>
        </is>
      </c>
      <c r="D21" s="23" t="inlineStr">
        <is>
          <t>Public usage documentation exists at the component-owned path.</t>
        </is>
      </c>
      <c r="E21" s="23" t="inlineStr">
        <is>
          <t>package</t>
        </is>
      </c>
      <c r="F21" s="23" t="inlineStr">
        <is>
          <t>docs</t>
        </is>
      </c>
      <c r="G21" s="23" t="inlineStr">
        <is>
          <t>../docs/components/hover-card/README.md</t>
        </is>
      </c>
      <c r="H21" s="23" t="inlineStr">
        <is>
          <t>tested</t>
        </is>
      </c>
      <c r="I21" s="23" t="inlineStr">
        <is>
          <t>no</t>
        </is>
      </c>
      <c r="J21" s="25" t="n">
        <v>46227</v>
      </c>
      <c r="L21" s="23" t="n">
        <v>1</v>
      </c>
      <c r="M21" s="23" t="n">
        <v>1</v>
      </c>
    </row>
    <row r="22" ht="42" customHeight="1" s="17">
      <c r="A22" s="23" t="inlineStr">
        <is>
          <t>HC-14</t>
        </is>
      </c>
      <c r="B22" s="23" t="inlineStr">
        <is>
          <t>Changelog</t>
        </is>
      </c>
      <c r="C22" s="23" t="inlineStr">
        <is>
          <t>HoverCard</t>
        </is>
      </c>
      <c r="D22" s="23" t="inlineStr">
        <is>
          <t>The component owns a public changelog.</t>
        </is>
      </c>
      <c r="E22" s="23" t="inlineStr">
        <is>
          <t>package</t>
        </is>
      </c>
      <c r="F22" s="23" t="inlineStr">
        <is>
          <t>docs</t>
        </is>
      </c>
      <c r="G22" s="23" t="inlineStr">
        <is>
          <t>../docs/components/hover-card/CHANGELOG.md</t>
        </is>
      </c>
      <c r="H22" s="23" t="inlineStr">
        <is>
          <t>tested</t>
        </is>
      </c>
      <c r="I22" s="23" t="inlineStr">
        <is>
          <t>no</t>
        </is>
      </c>
      <c r="J22" s="25" t="n">
        <v>46227</v>
      </c>
      <c r="L22" s="23" t="n">
        <v>1</v>
      </c>
      <c r="M22" s="23" t="n">
        <v>1</v>
      </c>
    </row>
    <row r="23" ht="42" customHeight="1" s="17">
      <c r="A23" s="23" t="inlineStr">
        <is>
          <t>HC-15</t>
        </is>
      </c>
      <c r="B23" s="23" t="inlineStr">
        <is>
          <t>Consumer</t>
        </is>
      </c>
      <c r="C23" s="23" t="inlineStr">
        <is>
          <t>HoverCard</t>
        </is>
      </c>
      <c r="D23" s="23" t="inlineStr">
        <is>
          <t>The standalone consumer imports and exercises the public package component.</t>
        </is>
      </c>
      <c r="E23" s="23" t="inlineStr">
        <is>
          <t>consumer</t>
        </is>
      </c>
      <c r="F23" s="23" t="inlineStr">
        <is>
          <t>consumer</t>
        </is>
      </c>
      <c r="G23" s="23" t="inlineStr">
        <is>
          <t>../apps/consumer/src/App.tsx; ../apps/consumer/tests/consumer.spec.ts</t>
        </is>
      </c>
      <c r="H23" s="23" t="inlineStr">
        <is>
          <t>tested</t>
        </is>
      </c>
      <c r="I23" s="23" t="inlineStr">
        <is>
          <t>no</t>
        </is>
      </c>
      <c r="J23" s="25" t="n">
        <v>46227</v>
      </c>
      <c r="L23" s="23" t="n">
        <v>1</v>
      </c>
      <c r="M23" s="23" t="n">
        <v>1</v>
      </c>
    </row>
    <row r="24" ht="42" customHeight="1" s="17">
      <c r="A24" s="23" t="inlineStr">
        <is>
          <t>HC-16</t>
        </is>
      </c>
      <c r="B24" s="23" t="inlineStr">
        <is>
          <t>Package</t>
        </is>
      </c>
      <c r="C24" s="23" t="inlineStr">
        <is>
          <t>HoverCard</t>
        </is>
      </c>
      <c r="D24" s="23" t="inlineStr">
        <is>
          <t>Build, exports, tarball, CSS, and consumer boundary verification pass.</t>
        </is>
      </c>
      <c r="E24" s="23" t="inlineStr">
        <is>
          <t>package</t>
        </is>
      </c>
      <c r="F24" s="23" t="inlineStr">
        <is>
          <t>package</t>
        </is>
      </c>
      <c r="G24" s="23" t="inlineStr">
        <is>
          <t>../scripts/verify-package.mjs; ../scripts/verify-consumers.mjs</t>
        </is>
      </c>
      <c r="H24" s="23" t="inlineStr">
        <is>
          <t>tested</t>
        </is>
      </c>
      <c r="I24" s="23" t="inlineStr">
        <is>
          <t>no</t>
        </is>
      </c>
      <c r="J24" s="25" t="n">
        <v>46227</v>
      </c>
      <c r="L24" s="23" t="n">
        <v>1</v>
      </c>
      <c r="M24" s="23" t="n">
        <v>1</v>
      </c>
    </row>
  </sheetData>
  <mergeCells count="2">
    <mergeCell ref="A2:M2"/>
    <mergeCell ref="A1:M1"/>
  </mergeCells>
  <conditionalFormatting sqref="H9:H24">
    <cfRule type="containsText" rank="0" priority="2" equalAverage="0" operator="containsText" aboveAverage="0" dxfId="5" text="not started" percent="0" bottom="0">
      <formula>NOT(ISERROR(SEARCH("not started",H9)))</formula>
    </cfRule>
    <cfRule type="containsText" rank="0" priority="3" equalAverage="0" operator="containsText" aboveAverage="0" dxfId="6" text="partial" percent="0" bottom="0">
      <formula>NOT(ISERROR(SEARCH("partial",H9)))</formula>
    </cfRule>
    <cfRule type="containsText" rank="0" priority="4" equalAverage="0" operator="containsText" aboveAverage="0" dxfId="7" text="implemented" percent="0" bottom="0">
      <formula>NOT(ISERROR(SEARCH("implemented",H9)))</formula>
    </cfRule>
    <cfRule type="containsText" rank="0" priority="5" equalAverage="0" operator="containsText" aboveAverage="0" dxfId="8" text="tested" percent="0" bottom="0">
      <formula>NOT(ISERROR(SEARCH("tested",H9)))</formula>
    </cfRule>
    <cfRule type="containsText" rank="0" priority="6" equalAverage="0" operator="containsText" aboveAverage="0" dxfId="3" text="verified" percent="0" bottom="0">
      <formula>NOT(ISERROR(SEARCH("verified",H9)))</formula>
    </cfRule>
    <cfRule type="containsText" rank="0" priority="7" equalAverage="0" operator="containsText" aboveAverage="0" dxfId="9" text="blocked" percent="0" bottom="0">
      <formula>NOT(ISERROR(SEARCH("blocked",H9)))</formula>
    </cfRule>
    <cfRule type="containsText" rank="0" priority="8" equalAverage="0" operator="containsText" aboveAverage="0" dxfId="5" text="not applicable" percent="0" bottom="0">
      <formula>NOT(ISERROR(SEARCH("not applicable",H9)))</formula>
    </cfRule>
  </conditionalFormatting>
  <dataValidations count="2">
    <dataValidation sqref="H9:H24" showDropDown="0" showInputMessage="1" showErrorMessage="1" allowBlank="1" type="list" errorStyle="stop" operator="between">
      <formula1>"not started,partial,implemented,tested,verified,blocked,not applicable"</formula1>
      <formula2>0</formula2>
    </dataValidation>
    <dataValidation sqref="I9:I24" showDropDown="0" showInputMessage="1" showErrorMessage="1" allowBlank="1" type="list" errorStyle="stop" operator="between">
      <formula1>"yes,no"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18.xml><?xml version="1.0" encoding="utf-8"?>
<worksheet xmlns="http://schemas.openxmlformats.org/spreadsheetml/2006/main">
  <sheetPr filterMode="0">
    <outlinePr summaryBelow="1" summaryRight="1"/>
    <pageSetUpPr fitToPage="0"/>
  </sheetPr>
  <dimension ref="A1:M2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baseColWidth="8" defaultColWidth="8.6796875" defaultRowHeight="15" customHeight="0" zeroHeight="0" outlineLevelRow="0"/>
  <cols>
    <col width="13.71" customWidth="1" style="23" min="1" max="1"/>
    <col width="15.71" customWidth="1" style="23" min="2" max="2"/>
    <col width="18.71" customWidth="1" style="23" min="3" max="3"/>
    <col width="58.71" customWidth="1" style="23" min="4" max="4"/>
    <col width="14.71" customWidth="1" style="23" min="5" max="6"/>
    <col width="50.71" customWidth="1" style="23" min="7" max="7"/>
    <col width="17.71" customWidth="1" style="23" min="8" max="8"/>
    <col width="14.71" customWidth="1" style="23" min="9" max="9"/>
    <col width="14.71" customWidth="1" style="25" min="10" max="10"/>
    <col width="42.71" customWidth="1" style="23" min="11" max="11"/>
    <col width="10.71" customWidth="1" style="23" min="12" max="13"/>
  </cols>
  <sheetData>
    <row r="1" ht="37.5" customHeight="1" s="17">
      <c r="A1" s="18" t="inlineStr">
        <is>
          <t>Icon Button Evidence</t>
        </is>
      </c>
    </row>
    <row r="2" ht="27.75" customHeight="1" s="17">
      <c r="A2" s="19" t="inlineStr">
        <is>
          <t>Assertion-level package, browser, human-review, documentation, and consumer evidence.</t>
        </is>
      </c>
    </row>
    <row r="4" ht="17.25" customHeight="1" s="17">
      <c r="A4" s="20" t="inlineStr">
        <is>
          <t>Requirements</t>
        </is>
      </c>
      <c r="B4" s="21" t="n">
        <v>16</v>
      </c>
      <c r="D4" s="20" t="inlineStr">
        <is>
          <t>Resolved</t>
        </is>
      </c>
      <c r="E4" s="21" t="n">
        <v>16</v>
      </c>
      <c r="G4" s="20" t="inlineStr">
        <is>
          <t>Completion</t>
        </is>
      </c>
      <c r="H4" s="22" t="n">
        <v>1</v>
      </c>
      <c r="J4" s="20" t="inlineStr">
        <is>
          <t>Package gate</t>
        </is>
      </c>
      <c r="K4" s="21" t="inlineStr">
        <is>
          <t>complete</t>
        </is>
      </c>
    </row>
    <row r="5" ht="17.25" customHeight="1" s="17">
      <c r="A5" s="20" t="inlineStr">
        <is>
          <t>Manual review</t>
        </is>
      </c>
      <c r="B5" s="21" t="inlineStr">
        <is>
          <t>complete</t>
        </is>
      </c>
      <c r="D5" s="20" t="inlineStr">
        <is>
          <t>Consumer gate</t>
        </is>
      </c>
      <c r="E5" s="21" t="inlineStr">
        <is>
          <t>complete</t>
        </is>
      </c>
    </row>
    <row r="8" ht="15" customHeight="1" s="17">
      <c r="A8" s="23" t="inlineStr">
        <is>
          <t>ID</t>
        </is>
      </c>
      <c r="B8" s="23" t="inlineStr">
        <is>
          <t>Area</t>
        </is>
      </c>
      <c r="C8" s="23" t="inlineStr">
        <is>
          <t>Part</t>
        </is>
      </c>
      <c r="D8" s="23" t="inlineStr">
        <is>
          <t>Requirement</t>
        </is>
      </c>
      <c r="E8" s="23" t="inlineStr">
        <is>
          <t>Gate</t>
        </is>
      </c>
      <c r="F8" s="23" t="inlineStr">
        <is>
          <t>Evidence type</t>
        </is>
      </c>
      <c r="G8" s="23" t="inlineStr">
        <is>
          <t>Evidence / link</t>
        </is>
      </c>
      <c r="H8" s="23" t="inlineStr">
        <is>
          <t>Status</t>
        </is>
      </c>
      <c r="I8" s="23" t="inlineStr">
        <is>
          <t>Human review?</t>
        </is>
      </c>
      <c r="J8" s="25" t="inlineStr">
        <is>
          <t>Last verified</t>
        </is>
      </c>
      <c r="K8" s="23" t="inlineStr">
        <is>
          <t>Blocker / N/A reason</t>
        </is>
      </c>
      <c r="L8" s="23" t="inlineStr">
        <is>
          <t>Weight</t>
        </is>
      </c>
      <c r="M8" s="23" t="inlineStr">
        <is>
          <t>Resolved</t>
        </is>
      </c>
    </row>
    <row r="9" ht="42" customHeight="1" s="17">
      <c r="A9" s="23" t="inlineStr">
        <is>
          <t>IB-01</t>
        </is>
      </c>
      <c r="B9" s="23" t="inlineStr">
        <is>
          <t>Implementation</t>
        </is>
      </c>
      <c r="C9" s="23" t="inlineStr">
        <is>
          <t>IconButton</t>
        </is>
      </c>
      <c r="D9" s="23" t="inlineStr">
        <is>
          <t>Public component implementation and Atom adapter exist.</t>
        </is>
      </c>
      <c r="E9" s="23" t="inlineStr">
        <is>
          <t>package</t>
        </is>
      </c>
      <c r="F9" s="23" t="inlineStr">
        <is>
          <t>source</t>
        </is>
      </c>
      <c r="G9" s="23" t="inlineStr">
        <is>
          <t>../src/components/icon-button</t>
        </is>
      </c>
      <c r="H9" s="23" t="inlineStr">
        <is>
          <t>tested</t>
        </is>
      </c>
      <c r="I9" s="23" t="inlineStr">
        <is>
          <t>no</t>
        </is>
      </c>
      <c r="J9" s="25" t="n">
        <v>46227</v>
      </c>
      <c r="L9" s="23" t="n">
        <v>1</v>
      </c>
      <c r="M9" s="23" t="n">
        <v>1</v>
      </c>
    </row>
    <row r="10" ht="42" customHeight="1" s="17">
      <c r="A10" s="23" t="inlineStr">
        <is>
          <t>IB-02</t>
        </is>
      </c>
      <c r="B10" s="23" t="inlineStr">
        <is>
          <t>Exports</t>
        </is>
      </c>
      <c r="C10" s="23" t="inlineStr">
        <is>
          <t>IconButton</t>
        </is>
      </c>
      <c r="D10" s="23" t="inlineStr">
        <is>
          <t>Root and public subpath exports expose the component.</t>
        </is>
      </c>
      <c r="E10" s="23" t="inlineStr">
        <is>
          <t>package</t>
        </is>
      </c>
      <c r="F10" s="23" t="inlineStr">
        <is>
          <t>package</t>
        </is>
      </c>
      <c r="G10" s="23" t="inlineStr">
        <is>
          <t>../test/package/package.test.mjs</t>
        </is>
      </c>
      <c r="H10" s="23" t="inlineStr">
        <is>
          <t>tested</t>
        </is>
      </c>
      <c r="I10" s="23" t="inlineStr">
        <is>
          <t>no</t>
        </is>
      </c>
      <c r="J10" s="25" t="n">
        <v>46227</v>
      </c>
      <c r="L10" s="23" t="n">
        <v>1</v>
      </c>
      <c r="M10" s="23" t="n">
        <v>1</v>
      </c>
    </row>
    <row r="11" ht="42" customHeight="1" s="17">
      <c r="A11" s="23" t="inlineStr">
        <is>
          <t>IB-03</t>
        </is>
      </c>
      <c r="B11" s="23" t="inlineStr">
        <is>
          <t>Types</t>
        </is>
      </c>
      <c r="C11" s="23" t="inlineStr">
        <is>
          <t>IconButton</t>
        </is>
      </c>
      <c r="D11" s="23" t="inlineStr">
        <is>
          <t>Public props, refs, composition branches, and invalid cases type-check.</t>
        </is>
      </c>
      <c r="E11" s="23" t="inlineStr">
        <is>
          <t>package</t>
        </is>
      </c>
      <c r="F11" s="23" t="inlineStr">
        <is>
          <t>types</t>
        </is>
      </c>
      <c r="G11" s="23" t="inlineStr">
        <is>
          <t>../test/types/components/icon-button.test.ts</t>
        </is>
      </c>
      <c r="H11" s="23" t="inlineStr">
        <is>
          <t>tested</t>
        </is>
      </c>
      <c r="I11" s="23" t="inlineStr">
        <is>
          <t>no</t>
        </is>
      </c>
      <c r="J11" s="25" t="n">
        <v>46227</v>
      </c>
      <c r="L11" s="23" t="n">
        <v>1</v>
      </c>
      <c r="M11" s="23" t="n">
        <v>1</v>
      </c>
    </row>
    <row r="12" ht="42" customHeight="1" s="17">
      <c r="A12" s="23" t="inlineStr">
        <is>
          <t>IB-04</t>
        </is>
      </c>
      <c r="B12" s="23" t="inlineStr">
        <is>
          <t>CSS</t>
        </is>
      </c>
      <c r="C12" s="23" t="inlineStr">
        <is>
          <t>IconButton</t>
        </is>
      </c>
      <c r="D12" s="23" t="inlineStr">
        <is>
          <t>Static public CSS, classes, slots, recipes, states, and tokens are present.</t>
        </is>
      </c>
      <c r="E12" s="23" t="inlineStr">
        <is>
          <t>package</t>
        </is>
      </c>
      <c r="F12" s="23" t="inlineStr">
        <is>
          <t>css</t>
        </is>
      </c>
      <c r="G12" s="23" t="inlineStr">
        <is>
          <t>../src/components/icon-button/icon-button.css</t>
        </is>
      </c>
      <c r="H12" s="23" t="inlineStr">
        <is>
          <t>tested</t>
        </is>
      </c>
      <c r="I12" s="23" t="inlineStr">
        <is>
          <t>no</t>
        </is>
      </c>
      <c r="J12" s="25" t="n">
        <v>46227</v>
      </c>
      <c r="L12" s="23" t="n">
        <v>1</v>
      </c>
      <c r="M12" s="23" t="n">
        <v>1</v>
      </c>
    </row>
    <row r="13" ht="42" customHeight="1" s="17">
      <c r="A13" s="23" t="inlineStr">
        <is>
          <t>IB-05</t>
        </is>
      </c>
      <c r="B13" s="23" t="inlineStr">
        <is>
          <t>Unit</t>
        </is>
      </c>
      <c r="C13" s="23" t="inlineStr">
        <is>
          <t>IconButton</t>
        </is>
      </c>
      <c r="D13" s="23" t="inlineStr">
        <is>
          <t>Brick-owned DOM, recipes, adapters, and public hooks pass focused tests.</t>
        </is>
      </c>
      <c r="E13" s="23" t="inlineStr">
        <is>
          <t>package</t>
        </is>
      </c>
      <c r="F13" s="23" t="inlineStr">
        <is>
          <t>component</t>
        </is>
      </c>
      <c r="G13" s="23" t="inlineStr">
        <is>
          <t>../test/components/icon-button/icon-button.test.tsx</t>
        </is>
      </c>
      <c r="H13" s="23" t="inlineStr">
        <is>
          <t>tested</t>
        </is>
      </c>
      <c r="I13" s="23" t="inlineStr">
        <is>
          <t>no</t>
        </is>
      </c>
      <c r="J13" s="25" t="n">
        <v>46227</v>
      </c>
      <c r="L13" s="23" t="n">
        <v>1</v>
      </c>
      <c r="M13" s="23" t="n">
        <v>1</v>
      </c>
    </row>
    <row r="14" ht="42" customHeight="1" s="17">
      <c r="A14" s="23" t="inlineStr">
        <is>
          <t>IB-06</t>
        </is>
      </c>
      <c r="B14" s="23" t="inlineStr">
        <is>
          <t>Browser</t>
        </is>
      </c>
      <c r="C14" s="23" t="inlineStr">
        <is>
          <t>IconButton</t>
        </is>
      </c>
      <c r="D14" s="23" t="inlineStr">
        <is>
          <t>Real-browser behavior and component contract checks pass.</t>
        </is>
      </c>
      <c r="E14" s="23" t="inlineStr">
        <is>
          <t>package</t>
        </is>
      </c>
      <c r="F14" s="23" t="inlineStr">
        <is>
          <t>browser</t>
        </is>
      </c>
      <c r="G14" s="23" t="inlineStr">
        <is>
          <t>tests/components/icon-button/behavior.spec.ts</t>
        </is>
      </c>
      <c r="H14" s="23" t="inlineStr">
        <is>
          <t>tested</t>
        </is>
      </c>
      <c r="I14" s="23" t="inlineStr">
        <is>
          <t>no</t>
        </is>
      </c>
      <c r="J14" s="25" t="n">
        <v>46227</v>
      </c>
      <c r="L14" s="23" t="n">
        <v>1</v>
      </c>
      <c r="M14" s="23" t="n">
        <v>1</v>
      </c>
    </row>
    <row r="15" ht="42" customHeight="1" s="17">
      <c r="A15" s="23" t="inlineStr">
        <is>
          <t>IB-07</t>
        </is>
      </c>
      <c r="B15" s="23" t="inlineStr">
        <is>
          <t>Accessibility</t>
        </is>
      </c>
      <c r="C15" s="23" t="inlineStr">
        <is>
          <t>IconButton</t>
        </is>
      </c>
      <c r="D15" s="23" t="inlineStr">
        <is>
          <t>Automated semantics and accessibility checks pass in the browser evidence suite.</t>
        </is>
      </c>
      <c r="E15" s="23" t="inlineStr">
        <is>
          <t>package</t>
        </is>
      </c>
      <c r="F15" s="23" t="inlineStr">
        <is>
          <t>axe</t>
        </is>
      </c>
      <c r="G15" s="23" t="inlineStr">
        <is>
          <t>tests/components/icon-button/behavior.spec.ts; tests/integration</t>
        </is>
      </c>
      <c r="H15" s="23" t="inlineStr">
        <is>
          <t>tested</t>
        </is>
      </c>
      <c r="I15" s="23" t="inlineStr">
        <is>
          <t>no</t>
        </is>
      </c>
      <c r="J15" s="25" t="n">
        <v>46227</v>
      </c>
      <c r="L15" s="23" t="n">
        <v>1</v>
      </c>
      <c r="M15" s="23" t="n">
        <v>1</v>
      </c>
    </row>
    <row r="16" ht="42" customHeight="1" s="17">
      <c r="A16" s="23" t="inlineStr">
        <is>
          <t>IB-08</t>
        </is>
      </c>
      <c r="B16" s="23" t="inlineStr">
        <is>
          <t>Visual</t>
        </is>
      </c>
      <c r="C16" s="23" t="inlineStr">
        <is>
          <t>IconButton</t>
        </is>
      </c>
      <c r="D16" s="23" t="inlineStr">
        <is>
          <t>Reviewed baselines cover the component's risk-selected recipes and states.</t>
        </is>
      </c>
      <c r="E16" s="23" t="inlineStr">
        <is>
          <t>package</t>
        </is>
      </c>
      <c r="F16" s="23" t="inlineStr">
        <is>
          <t>visual</t>
        </is>
      </c>
      <c r="G16" s="23" t="inlineStr">
        <is>
          <t>tests/components/icon-button/visual.spec.ts</t>
        </is>
      </c>
      <c r="H16" s="23" t="inlineStr">
        <is>
          <t>verified</t>
        </is>
      </c>
      <c r="I16" s="23" t="inlineStr">
        <is>
          <t>yes</t>
        </is>
      </c>
      <c r="J16" s="25" t="n">
        <v>46227</v>
      </c>
      <c r="K16" s="23" t="inlineStr">
        <is>
          <t>Owner reviewed the current playground evidence.</t>
        </is>
      </c>
      <c r="L16" s="23" t="n">
        <v>1</v>
      </c>
      <c r="M16" s="23" t="n">
        <v>1</v>
      </c>
    </row>
    <row r="17" ht="42" customHeight="1" s="17">
      <c r="A17" s="23" t="inlineStr">
        <is>
          <t>IB-09</t>
        </is>
      </c>
      <c r="B17" s="23" t="inlineStr">
        <is>
          <t>Responsive</t>
        </is>
      </c>
      <c r="C17" s="23" t="inlineStr">
        <is>
          <t>IconButton</t>
        </is>
      </c>
      <c r="D17" s="23" t="inlineStr">
        <is>
          <t>Mobile, zoom/reflow, content stress, and RTL remain usable and contained.</t>
        </is>
      </c>
      <c r="E17" s="23" t="inlineStr">
        <is>
          <t>package</t>
        </is>
      </c>
      <c r="F17" s="23" t="inlineStr">
        <is>
          <t>manual</t>
        </is>
      </c>
      <c r="G17" s="23" t="inlineStr">
        <is>
          <t>manual-tests/icon-button.md</t>
        </is>
      </c>
      <c r="H17" s="23" t="inlineStr">
        <is>
          <t>verified</t>
        </is>
      </c>
      <c r="I17" s="23" t="inlineStr">
        <is>
          <t>yes</t>
        </is>
      </c>
      <c r="J17" s="25" t="n">
        <v>46227</v>
      </c>
      <c r="K17" s="23" t="inlineStr">
        <is>
          <t>Owner completed the current manual protocol.</t>
        </is>
      </c>
      <c r="L17" s="23" t="n">
        <v>1</v>
      </c>
      <c r="M17" s="23" t="n">
        <v>1</v>
      </c>
    </row>
    <row r="18" ht="42" customHeight="1" s="17">
      <c r="A18" s="23" t="inlineStr">
        <is>
          <t>IB-10</t>
        </is>
      </c>
      <c r="B18" s="23" t="inlineStr">
        <is>
          <t>Theme</t>
        </is>
      </c>
      <c r="C18" s="23" t="inlineStr">
        <is>
          <t>IconButton</t>
        </is>
      </c>
      <c r="D18" s="23" t="inlineStr">
        <is>
          <t>Light, dark, focus, forced-colors, and relevant motion behavior remain perceivable.</t>
        </is>
      </c>
      <c r="E18" s="23" t="inlineStr">
        <is>
          <t>package</t>
        </is>
      </c>
      <c r="F18" s="23" t="inlineStr">
        <is>
          <t>manual</t>
        </is>
      </c>
      <c r="G18" s="23" t="inlineStr">
        <is>
          <t>manual-tests/icon-button.md</t>
        </is>
      </c>
      <c r="H18" s="23" t="inlineStr">
        <is>
          <t>verified</t>
        </is>
      </c>
      <c r="I18" s="23" t="inlineStr">
        <is>
          <t>yes</t>
        </is>
      </c>
      <c r="J18" s="25" t="n">
        <v>46227</v>
      </c>
      <c r="K18" s="23" t="inlineStr">
        <is>
          <t>Owner completed the current manual protocol.</t>
        </is>
      </c>
      <c r="L18" s="23" t="n">
        <v>1</v>
      </c>
      <c r="M18" s="23" t="n">
        <v>1</v>
      </c>
    </row>
    <row r="19" ht="42" customHeight="1" s="17">
      <c r="A19" s="23" t="inlineStr">
        <is>
          <t>IB-11</t>
        </is>
      </c>
      <c r="B19" s="23" t="inlineStr">
        <is>
          <t>Composition</t>
        </is>
      </c>
      <c r="C19" s="23" t="inlineStr">
        <is>
          <t>IconButton</t>
        </is>
      </c>
      <c r="D19" s="23" t="inlineStr">
        <is>
          <t>Default, render, and asChild output preserve the intended element, slots, state, and relationships.</t>
        </is>
      </c>
      <c r="E19" s="23" t="inlineStr">
        <is>
          <t>package</t>
        </is>
      </c>
      <c r="F19" s="23" t="inlineStr">
        <is>
          <t>manual</t>
        </is>
      </c>
      <c r="G19" s="23" t="inlineStr">
        <is>
          <t>manual-tests/icon-button.md; tests/components/icon-button/behavior.spec.ts</t>
        </is>
      </c>
      <c r="H19" s="23" t="inlineStr">
        <is>
          <t>verified</t>
        </is>
      </c>
      <c r="I19" s="23" t="inlineStr">
        <is>
          <t>yes</t>
        </is>
      </c>
      <c r="J19" s="25" t="n">
        <v>46227</v>
      </c>
      <c r="K19" s="23" t="inlineStr">
        <is>
          <t>Owner reviewed the live and rendered output evidence.</t>
        </is>
      </c>
      <c r="L19" s="23" t="n">
        <v>1</v>
      </c>
      <c r="M19" s="23" t="n">
        <v>1</v>
      </c>
    </row>
    <row r="20" ht="42" customHeight="1" s="17">
      <c r="A20" s="23" t="inlineStr">
        <is>
          <t>IB-12</t>
        </is>
      </c>
      <c r="B20" s="23" t="inlineStr">
        <is>
          <t>Manual</t>
        </is>
      </c>
      <c r="C20" s="23" t="inlineStr">
        <is>
          <t>IconButton</t>
        </is>
      </c>
      <c r="D20" s="23" t="inlineStr">
        <is>
          <t>The complete component-owned manual protocol passed against every playground scenario.</t>
        </is>
      </c>
      <c r="E20" s="23" t="inlineStr">
        <is>
          <t>package</t>
        </is>
      </c>
      <c r="F20" s="23" t="inlineStr">
        <is>
          <t>manual</t>
        </is>
      </c>
      <c r="G20" s="23" t="inlineStr">
        <is>
          <t>manual-tests/icon-button.md</t>
        </is>
      </c>
      <c r="H20" s="23" t="inlineStr">
        <is>
          <t>verified</t>
        </is>
      </c>
      <c r="I20" s="23" t="inlineStr">
        <is>
          <t>yes</t>
        </is>
      </c>
      <c r="J20" s="25" t="n">
        <v>46227</v>
      </c>
      <c r="K20" s="23" t="inlineStr">
        <is>
          <t>Owner confirmed completion on 2026-07-24.</t>
        </is>
      </c>
      <c r="L20" s="23" t="n">
        <v>1</v>
      </c>
      <c r="M20" s="23" t="n">
        <v>1</v>
      </c>
    </row>
    <row r="21" ht="42" customHeight="1" s="17">
      <c r="A21" s="23" t="inlineStr">
        <is>
          <t>IB-13</t>
        </is>
      </c>
      <c r="B21" s="23" t="inlineStr">
        <is>
          <t>Docs</t>
        </is>
      </c>
      <c r="C21" s="23" t="inlineStr">
        <is>
          <t>IconButton</t>
        </is>
      </c>
      <c r="D21" s="23" t="inlineStr">
        <is>
          <t>Public usage documentation exists at the component-owned path.</t>
        </is>
      </c>
      <c r="E21" s="23" t="inlineStr">
        <is>
          <t>package</t>
        </is>
      </c>
      <c r="F21" s="23" t="inlineStr">
        <is>
          <t>docs</t>
        </is>
      </c>
      <c r="G21" s="23" t="inlineStr">
        <is>
          <t>../docs/components/icon-button/README.md</t>
        </is>
      </c>
      <c r="H21" s="23" t="inlineStr">
        <is>
          <t>tested</t>
        </is>
      </c>
      <c r="I21" s="23" t="inlineStr">
        <is>
          <t>no</t>
        </is>
      </c>
      <c r="J21" s="25" t="n">
        <v>46227</v>
      </c>
      <c r="L21" s="23" t="n">
        <v>1</v>
      </c>
      <c r="M21" s="23" t="n">
        <v>1</v>
      </c>
    </row>
    <row r="22" ht="42" customHeight="1" s="17">
      <c r="A22" s="23" t="inlineStr">
        <is>
          <t>IB-14</t>
        </is>
      </c>
      <c r="B22" s="23" t="inlineStr">
        <is>
          <t>Changelog</t>
        </is>
      </c>
      <c r="C22" s="23" t="inlineStr">
        <is>
          <t>IconButton</t>
        </is>
      </c>
      <c r="D22" s="23" t="inlineStr">
        <is>
          <t>The component owns a public changelog.</t>
        </is>
      </c>
      <c r="E22" s="23" t="inlineStr">
        <is>
          <t>package</t>
        </is>
      </c>
      <c r="F22" s="23" t="inlineStr">
        <is>
          <t>docs</t>
        </is>
      </c>
      <c r="G22" s="23" t="inlineStr">
        <is>
          <t>../docs/components/icon-button/CHANGELOG.md</t>
        </is>
      </c>
      <c r="H22" s="23" t="inlineStr">
        <is>
          <t>tested</t>
        </is>
      </c>
      <c r="I22" s="23" t="inlineStr">
        <is>
          <t>no</t>
        </is>
      </c>
      <c r="J22" s="25" t="n">
        <v>46227</v>
      </c>
      <c r="L22" s="23" t="n">
        <v>1</v>
      </c>
      <c r="M22" s="23" t="n">
        <v>1</v>
      </c>
    </row>
    <row r="23" ht="42" customHeight="1" s="17">
      <c r="A23" s="23" t="inlineStr">
        <is>
          <t>IB-15</t>
        </is>
      </c>
      <c r="B23" s="23" t="inlineStr">
        <is>
          <t>Consumer</t>
        </is>
      </c>
      <c r="C23" s="23" t="inlineStr">
        <is>
          <t>IconButton</t>
        </is>
      </c>
      <c r="D23" s="23" t="inlineStr">
        <is>
          <t>The standalone consumer imports and exercises the public package component.</t>
        </is>
      </c>
      <c r="E23" s="23" t="inlineStr">
        <is>
          <t>consumer</t>
        </is>
      </c>
      <c r="F23" s="23" t="inlineStr">
        <is>
          <t>consumer</t>
        </is>
      </c>
      <c r="G23" s="23" t="inlineStr">
        <is>
          <t>../apps/consumer/src/App.tsx; ../apps/consumer/tests/consumer.spec.ts</t>
        </is>
      </c>
      <c r="H23" s="23" t="inlineStr">
        <is>
          <t>tested</t>
        </is>
      </c>
      <c r="I23" s="23" t="inlineStr">
        <is>
          <t>no</t>
        </is>
      </c>
      <c r="J23" s="25" t="n">
        <v>46227</v>
      </c>
      <c r="L23" s="23" t="n">
        <v>1</v>
      </c>
      <c r="M23" s="23" t="n">
        <v>1</v>
      </c>
    </row>
    <row r="24" ht="42" customHeight="1" s="17">
      <c r="A24" s="23" t="inlineStr">
        <is>
          <t>IB-16</t>
        </is>
      </c>
      <c r="B24" s="23" t="inlineStr">
        <is>
          <t>Package</t>
        </is>
      </c>
      <c r="C24" s="23" t="inlineStr">
        <is>
          <t>IconButton</t>
        </is>
      </c>
      <c r="D24" s="23" t="inlineStr">
        <is>
          <t>Build, exports, tarball, CSS, and consumer boundary verification pass.</t>
        </is>
      </c>
      <c r="E24" s="23" t="inlineStr">
        <is>
          <t>package</t>
        </is>
      </c>
      <c r="F24" s="23" t="inlineStr">
        <is>
          <t>package</t>
        </is>
      </c>
      <c r="G24" s="23" t="inlineStr">
        <is>
          <t>../scripts/verify-package.mjs; ../scripts/verify-consumers.mjs</t>
        </is>
      </c>
      <c r="H24" s="23" t="inlineStr">
        <is>
          <t>tested</t>
        </is>
      </c>
      <c r="I24" s="23" t="inlineStr">
        <is>
          <t>no</t>
        </is>
      </c>
      <c r="J24" s="25" t="n">
        <v>46227</v>
      </c>
      <c r="L24" s="23" t="n">
        <v>1</v>
      </c>
      <c r="M24" s="23" t="n">
        <v>1</v>
      </c>
    </row>
  </sheetData>
  <mergeCells count="2">
    <mergeCell ref="A2:M2"/>
    <mergeCell ref="A1:M1"/>
  </mergeCells>
  <conditionalFormatting sqref="H9:H24">
    <cfRule type="containsText" rank="0" priority="2" equalAverage="0" operator="containsText" aboveAverage="0" dxfId="5" text="not started" percent="0" bottom="0">
      <formula>NOT(ISERROR(SEARCH("not started",H9)))</formula>
    </cfRule>
    <cfRule type="containsText" rank="0" priority="3" equalAverage="0" operator="containsText" aboveAverage="0" dxfId="6" text="partial" percent="0" bottom="0">
      <formula>NOT(ISERROR(SEARCH("partial",H9)))</formula>
    </cfRule>
    <cfRule type="containsText" rank="0" priority="4" equalAverage="0" operator="containsText" aboveAverage="0" dxfId="7" text="implemented" percent="0" bottom="0">
      <formula>NOT(ISERROR(SEARCH("implemented",H9)))</formula>
    </cfRule>
    <cfRule type="containsText" rank="0" priority="5" equalAverage="0" operator="containsText" aboveAverage="0" dxfId="8" text="tested" percent="0" bottom="0">
      <formula>NOT(ISERROR(SEARCH("tested",H9)))</formula>
    </cfRule>
    <cfRule type="containsText" rank="0" priority="6" equalAverage="0" operator="containsText" aboveAverage="0" dxfId="3" text="verified" percent="0" bottom="0">
      <formula>NOT(ISERROR(SEARCH("verified",H9)))</formula>
    </cfRule>
    <cfRule type="containsText" rank="0" priority="7" equalAverage="0" operator="containsText" aboveAverage="0" dxfId="9" text="blocked" percent="0" bottom="0">
      <formula>NOT(ISERROR(SEARCH("blocked",H9)))</formula>
    </cfRule>
    <cfRule type="containsText" rank="0" priority="8" equalAverage="0" operator="containsText" aboveAverage="0" dxfId="5" text="not applicable" percent="0" bottom="0">
      <formula>NOT(ISERROR(SEARCH("not applicable",H9)))</formula>
    </cfRule>
  </conditionalFormatting>
  <dataValidations count="2">
    <dataValidation sqref="H9:H24" showDropDown="0" showInputMessage="1" showErrorMessage="1" allowBlank="1" type="list" errorStyle="stop" operator="between">
      <formula1>"not started,partial,implemented,tested,verified,blocked,not applicable"</formula1>
      <formula2>0</formula2>
    </dataValidation>
    <dataValidation sqref="I9:I24" showDropDown="0" showInputMessage="1" showErrorMessage="1" allowBlank="1" type="list" errorStyle="stop" operator="between">
      <formula1>"yes,no"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19.xml><?xml version="1.0" encoding="utf-8"?>
<worksheet xmlns="http://schemas.openxmlformats.org/spreadsheetml/2006/main">
  <sheetPr filterMode="0">
    <outlinePr summaryBelow="1" summaryRight="1"/>
    <pageSetUpPr fitToPage="0"/>
  </sheetPr>
  <dimension ref="A1:M2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baseColWidth="8" defaultColWidth="8.6796875" defaultRowHeight="15" customHeight="0" zeroHeight="0" outlineLevelRow="0"/>
  <cols>
    <col width="13.71" customWidth="1" style="23" min="1" max="1"/>
    <col width="15.71" customWidth="1" style="23" min="2" max="2"/>
    <col width="18.71" customWidth="1" style="23" min="3" max="3"/>
    <col width="58.71" customWidth="1" style="23" min="4" max="4"/>
    <col width="14.71" customWidth="1" style="23" min="5" max="6"/>
    <col width="50.71" customWidth="1" style="23" min="7" max="7"/>
    <col width="17.71" customWidth="1" style="23" min="8" max="8"/>
    <col width="14.71" customWidth="1" style="23" min="9" max="9"/>
    <col width="14.71" customWidth="1" style="25" min="10" max="10"/>
    <col width="42.71" customWidth="1" style="23" min="11" max="11"/>
    <col width="10.71" customWidth="1" style="23" min="12" max="13"/>
  </cols>
  <sheetData>
    <row r="1" ht="37.5" customHeight="1" s="17">
      <c r="A1" s="18" t="inlineStr">
        <is>
          <t>Input Evidence</t>
        </is>
      </c>
    </row>
    <row r="2" ht="27.75" customHeight="1" s="17">
      <c r="A2" s="19" t="inlineStr">
        <is>
          <t>Assertion-level package, browser, human-review, documentation, and consumer evidence.</t>
        </is>
      </c>
    </row>
    <row r="4" ht="17.25" customHeight="1" s="17">
      <c r="A4" s="20" t="inlineStr">
        <is>
          <t>Requirements</t>
        </is>
      </c>
      <c r="B4" s="21">
        <f>COUNTA(A9:A24)</f>
        <v/>
      </c>
      <c r="D4" s="20" t="inlineStr">
        <is>
          <t>Resolved</t>
        </is>
      </c>
      <c r="E4" s="21">
        <f>SUM(M9:M24)</f>
        <v/>
      </c>
      <c r="G4" s="20" t="inlineStr">
        <is>
          <t>Completion</t>
        </is>
      </c>
      <c r="H4" s="22">
        <f>IF(B4=0,0,E4/B4)</f>
        <v/>
      </c>
      <c r="J4" s="20" t="inlineStr">
        <is>
          <t>Package gate</t>
        </is>
      </c>
      <c r="K4" s="21">
        <f>IF(COUNTIFS(E9:E24,"package",M9:M24,0)&gt;0,"open","complete")</f>
        <v/>
      </c>
    </row>
    <row r="5" ht="17.25" customHeight="1" s="17">
      <c r="A5" s="20" t="inlineStr">
        <is>
          <t>Manual review</t>
        </is>
      </c>
      <c r="B5" s="21">
        <f>IF(COUNTIFS(I9:I24,"yes",M9:M24,0)&gt;0,"open","complete")</f>
        <v/>
      </c>
      <c r="D5" s="20" t="inlineStr">
        <is>
          <t>Consumer gate</t>
        </is>
      </c>
      <c r="E5" s="21">
        <f>IF(COUNTIFS(E9:E24,"consumer",M9:M24,0)&gt;0,"open","complete")</f>
        <v/>
      </c>
    </row>
    <row r="8" ht="15" customHeight="1" s="17">
      <c r="A8" s="23" t="inlineStr">
        <is>
          <t>ID</t>
        </is>
      </c>
      <c r="B8" s="23" t="inlineStr">
        <is>
          <t>Area</t>
        </is>
      </c>
      <c r="C8" s="23" t="inlineStr">
        <is>
          <t>Part</t>
        </is>
      </c>
      <c r="D8" s="23" t="inlineStr">
        <is>
          <t>Requirement</t>
        </is>
      </c>
      <c r="E8" s="23" t="inlineStr">
        <is>
          <t>Gate</t>
        </is>
      </c>
      <c r="F8" s="23" t="inlineStr">
        <is>
          <t>Evidence type</t>
        </is>
      </c>
      <c r="G8" s="23" t="inlineStr">
        <is>
          <t>Evidence / link</t>
        </is>
      </c>
      <c r="H8" s="23" t="inlineStr">
        <is>
          <t>Status</t>
        </is>
      </c>
      <c r="I8" s="23" t="inlineStr">
        <is>
          <t>Human review?</t>
        </is>
      </c>
      <c r="J8" s="25" t="inlineStr">
        <is>
          <t>Last verified</t>
        </is>
      </c>
      <c r="K8" s="23" t="inlineStr">
        <is>
          <t>Blocker / N/A reason</t>
        </is>
      </c>
      <c r="L8" s="23" t="inlineStr">
        <is>
          <t>Weight</t>
        </is>
      </c>
      <c r="M8" s="23" t="inlineStr">
        <is>
          <t>Resolved</t>
        </is>
      </c>
    </row>
    <row r="9" ht="54" customHeight="1" s="17">
      <c r="A9" s="26" t="inlineStr">
        <is>
          <t>I-01</t>
        </is>
      </c>
      <c r="B9" s="26" t="inlineStr">
        <is>
          <t>Implementation</t>
        </is>
      </c>
      <c r="C9" s="26" t="inlineStr">
        <is>
          <t>Input</t>
        </is>
      </c>
      <c r="D9" s="27" t="inlineStr">
        <is>
          <t>Brick wrapper, native input ref, adornments, and Atom-powered Clear are implemented.</t>
        </is>
      </c>
      <c r="E9" s="26" t="inlineStr">
        <is>
          <t>package</t>
        </is>
      </c>
      <c r="F9" s="26" t="inlineStr">
        <is>
          <t>source</t>
        </is>
      </c>
      <c r="G9" s="27" t="inlineStr">
        <is>
          <t>../src/components/input</t>
        </is>
      </c>
      <c r="H9" s="26" t="inlineStr">
        <is>
          <t>tested</t>
        </is>
      </c>
      <c r="I9" s="26" t="inlineStr">
        <is>
          <t>no</t>
        </is>
      </c>
      <c r="J9" s="28" t="n">
        <v>46227</v>
      </c>
      <c r="K9" s="27" t="n"/>
      <c r="L9" s="26" t="n">
        <v>1</v>
      </c>
      <c r="M9" s="26">
        <f>IF(OR(AND(I9="yes",H9="verified"),AND(I9="no",OR(H9="tested",H9="verified")),AND(H9="not applicable",K9&lt;&gt;"")),1,0)</f>
        <v/>
      </c>
    </row>
    <row r="10" ht="54" customHeight="1" s="17">
      <c r="A10" s="26" t="inlineStr">
        <is>
          <t>I-02</t>
        </is>
      </c>
      <c r="B10" s="26" t="inlineStr">
        <is>
          <t>Exports</t>
        </is>
      </c>
      <c r="C10" s="26" t="inlineStr">
        <is>
          <t>Input</t>
        </is>
      </c>
      <c r="D10" s="27" t="inlineStr">
        <is>
          <t>Root and public Input subpath exports expose runtime and type surfaces.</t>
        </is>
      </c>
      <c r="E10" s="26" t="inlineStr">
        <is>
          <t>package</t>
        </is>
      </c>
      <c r="F10" s="26" t="inlineStr">
        <is>
          <t>package</t>
        </is>
      </c>
      <c r="G10" s="27" t="inlineStr">
        <is>
          <t>../test/package/package.test.mjs</t>
        </is>
      </c>
      <c r="H10" s="26" t="inlineStr">
        <is>
          <t>tested</t>
        </is>
      </c>
      <c r="I10" s="26" t="inlineStr">
        <is>
          <t>no</t>
        </is>
      </c>
      <c r="J10" s="28" t="n">
        <v>46227</v>
      </c>
      <c r="K10" s="27" t="n"/>
      <c r="L10" s="26" t="n">
        <v>1</v>
      </c>
      <c r="M10" s="26">
        <f>IF(OR(AND(I10="yes",H10="verified"),AND(I10="no",OR(H10="tested",H10="verified")),AND(H10="not applicable",K10&lt;&gt;"")),1,0)</f>
        <v/>
      </c>
    </row>
    <row r="11" ht="54" customHeight="1" s="17">
      <c r="A11" s="26" t="inlineStr">
        <is>
          <t>I-03</t>
        </is>
      </c>
      <c r="B11" s="26" t="inlineStr">
        <is>
          <t>Types</t>
        </is>
      </c>
      <c r="C11" s="26" t="inlineStr">
        <is>
          <t>Input</t>
        </is>
      </c>
      <c r="D11" s="27" t="inlineStr">
        <is>
          <t>Recipes, native text types, ref, underline shape exclusion, and native size collision type-check.</t>
        </is>
      </c>
      <c r="E11" s="26" t="inlineStr">
        <is>
          <t>package</t>
        </is>
      </c>
      <c r="F11" s="26" t="inlineStr">
        <is>
          <t>types</t>
        </is>
      </c>
      <c r="G11" s="27" t="inlineStr">
        <is>
          <t>../test/types/components/input.test.ts</t>
        </is>
      </c>
      <c r="H11" s="26" t="inlineStr">
        <is>
          <t>tested</t>
        </is>
      </c>
      <c r="I11" s="26" t="inlineStr">
        <is>
          <t>no</t>
        </is>
      </c>
      <c r="J11" s="28" t="n">
        <v>46227</v>
      </c>
      <c r="K11" s="27" t="n"/>
      <c r="L11" s="26" t="n">
        <v>1</v>
      </c>
      <c r="M11" s="26">
        <f>IF(OR(AND(I11="yes",H11="verified"),AND(I11="no",OR(H11="tested",H11="verified")),AND(H11="not applicable",K11&lt;&gt;"")),1,0)</f>
        <v/>
      </c>
    </row>
    <row r="12" ht="54" customHeight="1" s="17">
      <c r="A12" s="26" t="inlineStr">
        <is>
          <t>I-04</t>
        </is>
      </c>
      <c r="B12" s="26" t="inlineStr">
        <is>
          <t>CSS</t>
        </is>
      </c>
      <c r="C12" s="26" t="inlineStr">
        <is>
          <t>Input</t>
        </is>
      </c>
      <c r="D12" s="27" t="inlineStr">
        <is>
          <t>Recipes, sizes, shapes, states, adornment geometry, logical layout, and public tokens ship as static CSS.</t>
        </is>
      </c>
      <c r="E12" s="26" t="inlineStr">
        <is>
          <t>package</t>
        </is>
      </c>
      <c r="F12" s="26" t="inlineStr">
        <is>
          <t>css</t>
        </is>
      </c>
      <c r="G12" s="27" t="inlineStr">
        <is>
          <t>../src/components/input/input.css</t>
        </is>
      </c>
      <c r="H12" s="26" t="inlineStr">
        <is>
          <t>tested</t>
        </is>
      </c>
      <c r="I12" s="26" t="inlineStr">
        <is>
          <t>no</t>
        </is>
      </c>
      <c r="J12" s="28" t="n">
        <v>46227</v>
      </c>
      <c r="K12" s="27" t="n"/>
      <c r="L12" s="26" t="n">
        <v>1</v>
      </c>
      <c r="M12" s="26">
        <f>IF(OR(AND(I12="yes",H12="verified"),AND(I12="no",OR(H12="tested",H12="verified")),AND(H12="not applicable",K12&lt;&gt;"")),1,0)</f>
        <v/>
      </c>
    </row>
    <row r="13" ht="54" customHeight="1" s="17">
      <c r="A13" s="26" t="inlineStr">
        <is>
          <t>I-05</t>
        </is>
      </c>
      <c r="B13" s="26" t="inlineStr">
        <is>
          <t>Unit</t>
        </is>
      </c>
      <c r="C13" s="26" t="inlineStr">
        <is>
          <t>Input</t>
        </is>
      </c>
      <c r="D13" s="27" t="inlineStr">
        <is>
          <t>Defaults, DOM order, refs, hooks, Clear delegation, prop filtering, and state adaptation pass focused tests.</t>
        </is>
      </c>
      <c r="E13" s="26" t="inlineStr">
        <is>
          <t>package</t>
        </is>
      </c>
      <c r="F13" s="26" t="inlineStr">
        <is>
          <t>component</t>
        </is>
      </c>
      <c r="G13" s="27" t="inlineStr">
        <is>
          <t>../test/components/input/input.test.tsx</t>
        </is>
      </c>
      <c r="H13" s="26" t="inlineStr">
        <is>
          <t>tested</t>
        </is>
      </c>
      <c r="I13" s="26" t="inlineStr">
        <is>
          <t>no</t>
        </is>
      </c>
      <c r="J13" s="28" t="n">
        <v>46227</v>
      </c>
      <c r="K13" s="27" t="n"/>
      <c r="L13" s="26" t="n">
        <v>1</v>
      </c>
      <c r="M13" s="26">
        <f>IF(OR(AND(I13="yes",H13="verified"),AND(I13="no",OR(H13="tested",H13="verified")),AND(H13="not applicable",K13&lt;&gt;"")),1,0)</f>
        <v/>
      </c>
    </row>
    <row r="14" ht="54" customHeight="1" s="17">
      <c r="A14" s="26" t="inlineStr">
        <is>
          <t>I-06</t>
        </is>
      </c>
      <c r="B14" s="26" t="inlineStr">
        <is>
          <t>Browser</t>
        </is>
      </c>
      <c r="C14" s="26" t="inlineStr">
        <is>
          <t>Input</t>
        </is>
      </c>
      <c r="D14" s="27" t="inlineStr">
        <is>
          <t>Real-browser recipes, geometry, ownership, native form behavior, output, adornments, and Clear checks pass.</t>
        </is>
      </c>
      <c r="E14" s="26" t="inlineStr">
        <is>
          <t>package</t>
        </is>
      </c>
      <c r="F14" s="26" t="inlineStr">
        <is>
          <t>browser</t>
        </is>
      </c>
      <c r="G14" s="27" t="inlineStr">
        <is>
          <t>tests/components/input/behavior.spec.ts</t>
        </is>
      </c>
      <c r="H14" s="26" t="inlineStr">
        <is>
          <t>tested</t>
        </is>
      </c>
      <c r="I14" s="26" t="inlineStr">
        <is>
          <t>no</t>
        </is>
      </c>
      <c r="J14" s="28" t="n">
        <v>46227</v>
      </c>
      <c r="K14" s="27" t="n"/>
      <c r="L14" s="26" t="n">
        <v>1</v>
      </c>
      <c r="M14" s="26">
        <f>IF(OR(AND(I14="yes",H14="verified"),AND(I14="no",OR(H14="tested",H14="verified")),AND(H14="not applicable",K14&lt;&gt;"")),1,0)</f>
        <v/>
      </c>
    </row>
    <row r="15" ht="54" customHeight="1" s="17">
      <c r="A15" s="26" t="inlineStr">
        <is>
          <t>I-07</t>
        </is>
      </c>
      <c r="B15" s="26" t="inlineStr">
        <is>
          <t>Accessibility</t>
        </is>
      </c>
      <c r="C15" s="26" t="inlineStr">
        <is>
          <t>Input</t>
        </is>
      </c>
      <c r="D15" s="27" t="inlineStr">
        <is>
          <t>Field naming and relationships, native availability states, focus restoration, and axe checks pass.</t>
        </is>
      </c>
      <c r="E15" s="26" t="inlineStr">
        <is>
          <t>package</t>
        </is>
      </c>
      <c r="F15" s="26" t="inlineStr">
        <is>
          <t>axe</t>
        </is>
      </c>
      <c r="G15" s="27" t="inlineStr">
        <is>
          <t>tests/components/input/behavior.spec.ts; tests/integration/form-foundation.spec.ts</t>
        </is>
      </c>
      <c r="H15" s="26" t="inlineStr">
        <is>
          <t>tested</t>
        </is>
      </c>
      <c r="I15" s="26" t="inlineStr">
        <is>
          <t>no</t>
        </is>
      </c>
      <c r="J15" s="28" t="n">
        <v>46227</v>
      </c>
      <c r="K15" s="27" t="n"/>
      <c r="L15" s="26" t="n">
        <v>1</v>
      </c>
      <c r="M15" s="26">
        <f>IF(OR(AND(I15="yes",H15="verified"),AND(I15="no",OR(H15="tested",H15="verified")),AND(H15="not applicable",K15&lt;&gt;"")),1,0)</f>
        <v/>
      </c>
    </row>
    <row r="16" ht="54" customHeight="1" s="17">
      <c r="A16" s="26" t="inlineStr">
        <is>
          <t>I-08</t>
        </is>
      </c>
      <c r="B16" s="26" t="inlineStr">
        <is>
          <t>Visual</t>
        </is>
      </c>
      <c r="C16" s="26" t="inlineStr">
        <is>
          <t>Input</t>
        </is>
      </c>
      <c r="D16" s="27" t="inlineStr">
        <is>
          <t>Reviewed baselines cover defaults, recipes, geometry, adornments, states, appearance, RTL, and forced colors.</t>
        </is>
      </c>
      <c r="E16" s="26" t="inlineStr">
        <is>
          <t>package</t>
        </is>
      </c>
      <c r="F16" s="26" t="inlineStr">
        <is>
          <t>visual</t>
        </is>
      </c>
      <c r="G16" s="27" t="inlineStr">
        <is>
          <t>tests/components/input/visual.spec.ts</t>
        </is>
      </c>
      <c r="H16" s="26" t="inlineStr">
        <is>
          <t>verified</t>
        </is>
      </c>
      <c r="I16" s="26" t="inlineStr">
        <is>
          <t>yes</t>
        </is>
      </c>
      <c r="J16" s="28" t="n">
        <v>46227</v>
      </c>
      <c r="K16" s="27" t="inlineStr">
        <is>
          <t>Owner reviewed and corrected the current Input playground evidence.</t>
        </is>
      </c>
      <c r="L16" s="26" t="n">
        <v>1</v>
      </c>
      <c r="M16" s="26">
        <f>IF(OR(AND(I16="yes",H16="verified"),AND(I16="no",OR(H16="tested",H16="verified")),AND(H16="not applicable",K16&lt;&gt;"")),1,0)</f>
        <v/>
      </c>
    </row>
    <row r="17" ht="54" customHeight="1" s="17">
      <c r="A17" s="26" t="inlineStr">
        <is>
          <t>I-09</t>
        </is>
      </c>
      <c r="B17" s="26" t="inlineStr">
        <is>
          <t>Responsive</t>
        </is>
      </c>
      <c r="C17" s="26" t="inlineStr">
        <is>
          <t>Input</t>
        </is>
      </c>
      <c r="D17" s="27" t="inlineStr">
        <is>
          <t>Physical mobile, 200%/400% zoom, long-value stress, and RTL remain usable and contained.</t>
        </is>
      </c>
      <c r="E17" s="26" t="inlineStr">
        <is>
          <t>package</t>
        </is>
      </c>
      <c r="F17" s="26" t="inlineStr">
        <is>
          <t>manual</t>
        </is>
      </c>
      <c r="G17" s="27" t="inlineStr">
        <is>
          <t>manual-tests/input.md</t>
        </is>
      </c>
      <c r="H17" s="26" t="inlineStr">
        <is>
          <t>implemented</t>
        </is>
      </c>
      <c r="I17" s="26" t="inlineStr">
        <is>
          <t>yes</t>
        </is>
      </c>
      <c r="J17" s="28" t="n"/>
      <c r="K17" s="27" t="inlineStr">
        <is>
          <t>Manual protocol exists; physical device and zoom review have not been recorded.</t>
        </is>
      </c>
      <c r="L17" s="26" t="n">
        <v>1</v>
      </c>
      <c r="M17" s="26">
        <f>IF(OR(AND(I17="yes",H17="verified"),AND(I17="no",OR(H17="tested",H17="verified")),AND(H17="not applicable",K17&lt;&gt;"")),1,0)</f>
        <v/>
      </c>
    </row>
    <row r="18" ht="54" customHeight="1" s="17">
      <c r="A18" s="26" t="inlineStr">
        <is>
          <t>I-10</t>
        </is>
      </c>
      <c r="B18" s="26" t="inlineStr">
        <is>
          <t>Theme</t>
        </is>
      </c>
      <c r="C18" s="26" t="inlineStr">
        <is>
          <t>Input</t>
        </is>
      </c>
      <c r="D18" s="27" t="inlineStr">
        <is>
          <t>Light, dark, focus, invalid, forced-colors, and reduced-motion treatment remain perceivable.</t>
        </is>
      </c>
      <c r="E18" s="26" t="inlineStr">
        <is>
          <t>package</t>
        </is>
      </c>
      <c r="F18" s="26" t="inlineStr">
        <is>
          <t>manual</t>
        </is>
      </c>
      <c r="G18" s="27" t="inlineStr">
        <is>
          <t>manual-tests/input.md; tests/components/input/visual.spec.ts</t>
        </is>
      </c>
      <c r="H18" s="26" t="inlineStr">
        <is>
          <t>implemented</t>
        </is>
      </c>
      <c r="I18" s="26" t="inlineStr">
        <is>
          <t>yes</t>
        </is>
      </c>
      <c r="J18" s="28" t="n"/>
      <c r="K18" s="27" t="inlineStr">
        <is>
          <t>Automated evidence passes; human appearance review is not fully recorded.</t>
        </is>
      </c>
      <c r="L18" s="26" t="n">
        <v>1</v>
      </c>
      <c r="M18" s="26">
        <f>IF(OR(AND(I18="yes",H18="verified"),AND(I18="no",OR(H18="tested",H18="verified")),AND(H18="not applicable",K18&lt;&gt;"")),1,0)</f>
        <v/>
      </c>
    </row>
    <row r="19" ht="54" customHeight="1" s="17">
      <c r="A19" s="26" t="inlineStr">
        <is>
          <t>I-11</t>
        </is>
      </c>
      <c r="B19" s="26" t="inlineStr">
        <is>
          <t>Composition</t>
        </is>
      </c>
      <c r="C19" s="26" t="inlineStr">
        <is>
          <t>Input</t>
        </is>
      </c>
      <c r="D19" s="27" t="inlineStr">
        <is>
          <t>Field/Form labels, descriptions, errors, external ownership, generated IDs, and rendered HTML match.</t>
        </is>
      </c>
      <c r="E19" s="26" t="inlineStr">
        <is>
          <t>package</t>
        </is>
      </c>
      <c r="F19" s="26" t="inlineStr">
        <is>
          <t>manual</t>
        </is>
      </c>
      <c r="G19" s="27" t="inlineStr">
        <is>
          <t>manual-tests/input.md; tests/components/input/behavior.spec.ts</t>
        </is>
      </c>
      <c r="H19" s="26" t="inlineStr">
        <is>
          <t>implemented</t>
        </is>
      </c>
      <c r="I19" s="26" t="inlineStr">
        <is>
          <t>yes</t>
        </is>
      </c>
      <c r="J19" s="28" t="n"/>
      <c r="K19" s="27" t="inlineStr">
        <is>
          <t>Automated relationships pass; the complete human output review is pending.</t>
        </is>
      </c>
      <c r="L19" s="26" t="n">
        <v>1</v>
      </c>
      <c r="M19" s="26">
        <f>IF(OR(AND(I19="yes",H19="verified"),AND(I19="no",OR(H19="tested",H19="verified")),AND(H19="not applicable",K19&lt;&gt;"")),1,0)</f>
        <v/>
      </c>
    </row>
    <row r="20" ht="54" customHeight="1" s="17">
      <c r="A20" s="26" t="inlineStr">
        <is>
          <t>I-12</t>
        </is>
      </c>
      <c r="B20" s="26" t="inlineStr">
        <is>
          <t>Manual</t>
        </is>
      </c>
      <c r="C20" s="26" t="inlineStr">
        <is>
          <t>Input</t>
        </is>
      </c>
      <c r="D20" s="27" t="inlineStr">
        <is>
          <t>The component-owned manual protocol passes every Input playground scenario.</t>
        </is>
      </c>
      <c r="E20" s="26" t="inlineStr">
        <is>
          <t>package</t>
        </is>
      </c>
      <c r="F20" s="26" t="inlineStr">
        <is>
          <t>manual</t>
        </is>
      </c>
      <c r="G20" s="27" t="inlineStr">
        <is>
          <t>manual-tests/input.md</t>
        </is>
      </c>
      <c r="H20" s="26" t="inlineStr">
        <is>
          <t>implemented</t>
        </is>
      </c>
      <c r="I20" s="26" t="inlineStr">
        <is>
          <t>yes</t>
        </is>
      </c>
      <c r="J20" s="28" t="n"/>
      <c r="K20" s="27" t="inlineStr">
        <is>
          <t>Protocol is intentionally unrun and contains no claimed result.</t>
        </is>
      </c>
      <c r="L20" s="26" t="n">
        <v>1</v>
      </c>
      <c r="M20" s="26">
        <f>IF(OR(AND(I20="yes",H20="verified"),AND(I20="no",OR(H20="tested",H20="verified")),AND(H20="not applicable",K20&lt;&gt;"")),1,0)</f>
        <v/>
      </c>
    </row>
    <row r="21" ht="54" customHeight="1" s="17">
      <c r="A21" s="26" t="inlineStr">
        <is>
          <t>I-13</t>
        </is>
      </c>
      <c r="B21" s="26" t="inlineStr">
        <is>
          <t>Docs</t>
        </is>
      </c>
      <c r="C21" s="26" t="inlineStr">
        <is>
          <t>Input</t>
        </is>
      </c>
      <c r="D21" s="27" t="inlineStr">
        <is>
          <t>Source-backed public usage and API documentation passes component documentation checks.</t>
        </is>
      </c>
      <c r="E21" s="26" t="inlineStr">
        <is>
          <t>package</t>
        </is>
      </c>
      <c r="F21" s="26" t="inlineStr">
        <is>
          <t>docs</t>
        </is>
      </c>
      <c r="G21" s="27" t="inlineStr">
        <is>
          <t>../docs/components/input/README.md</t>
        </is>
      </c>
      <c r="H21" s="26" t="inlineStr">
        <is>
          <t>tested</t>
        </is>
      </c>
      <c r="I21" s="26" t="inlineStr">
        <is>
          <t>no</t>
        </is>
      </c>
      <c r="J21" s="28" t="n">
        <v>46227</v>
      </c>
      <c r="K21" s="27" t="n"/>
      <c r="L21" s="26" t="n">
        <v>1</v>
      </c>
      <c r="M21" s="26">
        <f>IF(OR(AND(I21="yes",H21="verified"),AND(I21="no",OR(H21="tested",H21="verified")),AND(H21="not applicable",K21&lt;&gt;"")),1,0)</f>
        <v/>
      </c>
    </row>
    <row r="22" ht="54" customHeight="1" s="17">
      <c r="A22" s="26" t="inlineStr">
        <is>
          <t>I-14</t>
        </is>
      </c>
      <c r="B22" s="26" t="inlineStr">
        <is>
          <t>Changelog</t>
        </is>
      </c>
      <c r="C22" s="26" t="inlineStr">
        <is>
          <t>Input</t>
        </is>
      </c>
      <c r="D22" s="27" t="inlineStr">
        <is>
          <t>Input owns a public component changelog and the package changelog records its addition.</t>
        </is>
      </c>
      <c r="E22" s="26" t="inlineStr">
        <is>
          <t>package</t>
        </is>
      </c>
      <c r="F22" s="26" t="inlineStr">
        <is>
          <t>docs</t>
        </is>
      </c>
      <c r="G22" s="27" t="inlineStr">
        <is>
          <t>../docs/components/input/CHANGELOG.md; ../CHANGELOG.md</t>
        </is>
      </c>
      <c r="H22" s="26" t="inlineStr">
        <is>
          <t>tested</t>
        </is>
      </c>
      <c r="I22" s="26" t="inlineStr">
        <is>
          <t>no</t>
        </is>
      </c>
      <c r="J22" s="28" t="n">
        <v>46227</v>
      </c>
      <c r="K22" s="27" t="n"/>
      <c r="L22" s="26" t="n">
        <v>1</v>
      </c>
      <c r="M22" s="26">
        <f>IF(OR(AND(I22="yes",H22="verified"),AND(I22="no",OR(H22="tested",H22="verified")),AND(H22="not applicable",K22&lt;&gt;"")),1,0)</f>
        <v/>
      </c>
    </row>
    <row r="23" ht="54" customHeight="1" s="17">
      <c r="A23" s="26" t="inlineStr">
        <is>
          <t>I-15</t>
        </is>
      </c>
      <c r="B23" s="26" t="inlineStr">
        <is>
          <t>Consumer</t>
        </is>
      </c>
      <c r="C23" s="26" t="inlineStr">
        <is>
          <t>Input</t>
        </is>
      </c>
      <c r="D23" s="27" t="inlineStr">
        <is>
          <t>The packed Consumer proves Field, adornment, Clear, validation, submit, and reset through public imports.</t>
        </is>
      </c>
      <c r="E23" s="26" t="inlineStr">
        <is>
          <t>consumer</t>
        </is>
      </c>
      <c r="F23" s="26" t="inlineStr">
        <is>
          <t>consumer</t>
        </is>
      </c>
      <c r="G23" s="27" t="inlineStr">
        <is>
          <t>../apps/consumer/src/App.tsx; ../apps/consumer/tests/consumer.spec.ts</t>
        </is>
      </c>
      <c r="H23" s="26" t="inlineStr">
        <is>
          <t>tested</t>
        </is>
      </c>
      <c r="I23" s="26" t="inlineStr">
        <is>
          <t>no</t>
        </is>
      </c>
      <c r="J23" s="28" t="n">
        <v>46227</v>
      </c>
      <c r="K23" s="27" t="n"/>
      <c r="L23" s="26" t="n">
        <v>1</v>
      </c>
      <c r="M23" s="26">
        <f>IF(OR(AND(I23="yes",H23="verified"),AND(I23="no",OR(H23="tested",H23="verified")),AND(H23="not applicable",K23&lt;&gt;"")),1,0)</f>
        <v/>
      </c>
    </row>
    <row r="24" ht="54" customHeight="1" s="17">
      <c r="A24" s="26" t="inlineStr">
        <is>
          <t>I-16</t>
        </is>
      </c>
      <c r="B24" s="26" t="inlineStr">
        <is>
          <t>Package</t>
        </is>
      </c>
      <c r="C24" s="26" t="inlineStr">
        <is>
          <t>Input</t>
        </is>
      </c>
      <c r="D24" s="27" t="inlineStr">
        <is>
          <t>Build, SSR, exports, CSS, tarball, React 18/19, and packed-consumer verification pass.</t>
        </is>
      </c>
      <c r="E24" s="26" t="inlineStr">
        <is>
          <t>package</t>
        </is>
      </c>
      <c r="F24" s="26" t="inlineStr">
        <is>
          <t>package</t>
        </is>
      </c>
      <c r="G24" s="27" t="inlineStr">
        <is>
          <t>../test/package; ../scripts/verify-package.mjs; ../scripts/verify-consumers.mjs</t>
        </is>
      </c>
      <c r="H24" s="26" t="inlineStr">
        <is>
          <t>tested</t>
        </is>
      </c>
      <c r="I24" s="26" t="inlineStr">
        <is>
          <t>no</t>
        </is>
      </c>
      <c r="J24" s="28" t="n">
        <v>46227</v>
      </c>
      <c r="K24" s="27" t="n"/>
      <c r="L24" s="26" t="n">
        <v>1</v>
      </c>
      <c r="M24" s="26">
        <f>IF(OR(AND(I24="yes",H24="verified"),AND(I24="no",OR(H24="tested",H24="verified")),AND(H24="not applicable",K24&lt;&gt;"")),1,0)</f>
        <v/>
      </c>
    </row>
  </sheetData>
  <mergeCells count="2">
    <mergeCell ref="A2:M2"/>
    <mergeCell ref="A1:M1"/>
  </mergeCells>
  <conditionalFormatting sqref="H9:H24">
    <cfRule type="containsText" rank="0" priority="2" equalAverage="0" operator="containsText" aboveAverage="0" dxfId="5" text="not started" percent="0" bottom="0">
      <formula>NOT(ISERROR(SEARCH("not started",H9)))</formula>
    </cfRule>
    <cfRule type="containsText" rank="0" priority="3" equalAverage="0" operator="containsText" aboveAverage="0" dxfId="6" text="partial" percent="0" bottom="0">
      <formula>NOT(ISERROR(SEARCH("partial",H9)))</formula>
    </cfRule>
    <cfRule type="containsText" rank="0" priority="4" equalAverage="0" operator="containsText" aboveAverage="0" dxfId="7" text="implemented" percent="0" bottom="0">
      <formula>NOT(ISERROR(SEARCH("implemented",H9)))</formula>
    </cfRule>
    <cfRule type="containsText" rank="0" priority="5" equalAverage="0" operator="containsText" aboveAverage="0" dxfId="8" text="tested" percent="0" bottom="0">
      <formula>NOT(ISERROR(SEARCH("tested",H9)))</formula>
    </cfRule>
    <cfRule type="containsText" rank="0" priority="6" equalAverage="0" operator="containsText" aboveAverage="0" dxfId="3" text="verified" percent="0" bottom="0">
      <formula>NOT(ISERROR(SEARCH("verified",H9)))</formula>
    </cfRule>
    <cfRule type="containsText" rank="0" priority="7" equalAverage="0" operator="containsText" aboveAverage="0" dxfId="9" text="blocked" percent="0" bottom="0">
      <formula>NOT(ISERROR(SEARCH("blocked",H9)))</formula>
    </cfRule>
    <cfRule type="containsText" rank="0" priority="8" equalAverage="0" operator="containsText" aboveAverage="0" dxfId="5" text="not applicable" percent="0" bottom="0">
      <formula>NOT(ISERROR(SEARCH("not applicable",H9)))</formula>
    </cfRule>
  </conditionalFormatting>
  <dataValidations count="2">
    <dataValidation sqref="H9:H24" showDropDown="0" showInputMessage="1" showErrorMessage="1" allowBlank="1" type="list" errorStyle="stop" operator="between">
      <formula1>"not started,partial,implemented,tested,verified,blocked,not applicable"</formula1>
      <formula2>0</formula2>
    </dataValidation>
    <dataValidation sqref="I9:I24" showDropDown="0" showInputMessage="1" showErrorMessage="1" allowBlank="1" type="list" errorStyle="stop" operator="between">
      <formula1>"yes,no"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20.xml><?xml version="1.0" encoding="utf-8"?>
<worksheet xmlns="http://schemas.openxmlformats.org/spreadsheetml/2006/main">
  <sheetPr filterMode="0">
    <outlinePr summaryBelow="1" summaryRight="1"/>
    <pageSetUpPr fitToPage="0"/>
  </sheetPr>
  <dimension ref="A1:M25"/>
  <sheetViews>
    <sheetView workbookViewId="0">
      <selection activeCell="A1" sqref="A1"/>
    </sheetView>
  </sheetViews>
  <sheetFormatPr baseColWidth="8" defaultColWidth="8.6796875" defaultRowHeight="15" customHeight="0" zeroHeight="0" outlineLevelRow="0"/>
  <cols>
    <col width="13.71" customWidth="1" style="23" min="1" max="1"/>
    <col width="15.71" customWidth="1" style="23" min="2" max="2"/>
    <col width="18.71" customWidth="1" style="23" min="3" max="3"/>
    <col width="58.71" customWidth="1" style="23" min="4" max="4"/>
    <col width="14.71" customWidth="1" style="23" min="5" max="6"/>
    <col width="50.71" customWidth="1" style="23" min="7" max="7"/>
    <col width="17.71" customWidth="1" style="23" min="8" max="8"/>
    <col width="14.71" customWidth="1" style="23" min="9" max="9"/>
    <col width="14.71" customWidth="1" style="25" min="10" max="10"/>
    <col width="42.71" customWidth="1" style="23" min="11" max="11"/>
    <col width="10.71" customWidth="1" style="23" min="12" max="13"/>
  </cols>
  <sheetData>
    <row r="1" ht="37.5" customHeight="1" s="17">
      <c r="A1" s="18" t="inlineStr">
        <is>
          <t>Link Evidence</t>
        </is>
      </c>
    </row>
    <row r="2" ht="27.75" customHeight="1" s="17">
      <c r="A2" s="19" t="inlineStr">
        <is>
          <t>Assertion-level Atom-backed package, browser, human-review, documentation, Consumer, and composition evidence.</t>
        </is>
      </c>
    </row>
    <row r="4" ht="17.25" customHeight="1" s="17">
      <c r="A4" s="20" t="inlineStr">
        <is>
          <t>Requirements</t>
        </is>
      </c>
      <c r="B4" s="21">
        <f>COUNTA(A9:A25)</f>
        <v/>
      </c>
      <c r="D4" s="20" t="inlineStr">
        <is>
          <t>Resolved</t>
        </is>
      </c>
      <c r="E4" s="21">
        <f>SUM(M9:M25)</f>
        <v/>
      </c>
      <c r="G4" s="20" t="inlineStr">
        <is>
          <t>Completion</t>
        </is>
      </c>
      <c r="H4" s="22">
        <f>IF(B4=0,0,E4/B4)</f>
        <v/>
      </c>
      <c r="J4" s="20" t="inlineStr">
        <is>
          <t>Package gate</t>
        </is>
      </c>
      <c r="K4" s="21">
        <f>IF(COUNTIFS(E9:E25,"package",M9:M25,0)&gt;0,"open","complete")</f>
        <v/>
      </c>
    </row>
    <row r="5" ht="17.25" customHeight="1" s="17">
      <c r="A5" s="20" t="inlineStr">
        <is>
          <t>Manual review</t>
        </is>
      </c>
      <c r="B5" s="21">
        <f>IF(COUNTIFS(I9:I25,"yes",M9:M25,0)&gt;0,"open","complete")</f>
        <v/>
      </c>
      <c r="D5" s="20" t="inlineStr">
        <is>
          <t>Consumer gate</t>
        </is>
      </c>
      <c r="E5" s="21">
        <f>IF(COUNTIFS(E9:E25,"consumer",M9:M25,0)&gt;0,"open","complete")</f>
        <v/>
      </c>
    </row>
    <row r="8" ht="15" customHeight="1" s="17">
      <c r="A8" s="23" t="inlineStr">
        <is>
          <t>ID</t>
        </is>
      </c>
      <c r="B8" s="23" t="inlineStr">
        <is>
          <t>Area</t>
        </is>
      </c>
      <c r="C8" s="23" t="inlineStr">
        <is>
          <t>Part</t>
        </is>
      </c>
      <c r="D8" s="23" t="inlineStr">
        <is>
          <t>Requirement</t>
        </is>
      </c>
      <c r="E8" s="23" t="inlineStr">
        <is>
          <t>Gate</t>
        </is>
      </c>
      <c r="F8" s="23" t="inlineStr">
        <is>
          <t>Evidence type</t>
        </is>
      </c>
      <c r="G8" s="23" t="inlineStr">
        <is>
          <t>Evidence / link</t>
        </is>
      </c>
      <c r="H8" s="23" t="inlineStr">
        <is>
          <t>Status</t>
        </is>
      </c>
      <c r="I8" s="23" t="inlineStr">
        <is>
          <t>Human review?</t>
        </is>
      </c>
      <c r="J8" s="25" t="inlineStr">
        <is>
          <t>Last verified</t>
        </is>
      </c>
      <c r="K8" s="23" t="inlineStr">
        <is>
          <t>Blocker / N/A reason</t>
        </is>
      </c>
      <c r="L8" s="23" t="inlineStr">
        <is>
          <t>Weight</t>
        </is>
      </c>
      <c r="M8" s="23" t="inlineStr">
        <is>
          <t>Resolved</t>
        </is>
      </c>
    </row>
    <row r="9" ht="54" customHeight="1" s="17">
      <c r="A9" s="26" t="inlineStr">
        <is>
          <t>L-01</t>
        </is>
      </c>
      <c r="B9" s="26" t="inlineStr">
        <is>
          <t>Implementation</t>
        </is>
      </c>
      <c r="C9" s="26" t="inlineStr">
        <is>
          <t>Link</t>
        </is>
      </c>
      <c r="D9" s="27" t="inlineStr">
        <is>
          <t>Atom-backed anchor, visual recipes, content anatomy, native props, and HTMLAnchorElement ref are implemented.</t>
        </is>
      </c>
      <c r="E9" s="26" t="inlineStr">
        <is>
          <t>package</t>
        </is>
      </c>
      <c r="F9" s="26" t="inlineStr">
        <is>
          <t>source</t>
        </is>
      </c>
      <c r="G9" s="27" t="inlineStr">
        <is>
          <t>../src/components/link</t>
        </is>
      </c>
      <c r="H9" s="26" t="inlineStr">
        <is>
          <t>tested</t>
        </is>
      </c>
      <c r="I9" s="26" t="inlineStr">
        <is>
          <t>no</t>
        </is>
      </c>
      <c r="J9" s="28" t="n">
        <v>46228</v>
      </c>
      <c r="K9" s="27" t="n"/>
      <c r="L9" s="26" t="n">
        <v>1</v>
      </c>
      <c r="M9" s="26">
        <f>IF(OR(AND(I9="yes",H9="verified"),AND(I9="no",OR(H9="tested",H9="verified")),AND(H9="not applicable",K9&lt;&gt;"")),1,0)</f>
        <v/>
      </c>
    </row>
    <row r="10" ht="54" customHeight="1" s="17">
      <c r="A10" s="26" t="inlineStr">
        <is>
          <t>L-02</t>
        </is>
      </c>
      <c r="B10" s="26" t="inlineStr">
        <is>
          <t>Exports</t>
        </is>
      </c>
      <c r="C10" s="26" t="inlineStr">
        <is>
          <t>Link</t>
        </is>
      </c>
      <c r="D10" s="27" t="inlineStr">
        <is>
          <t>Root and public Link subpath exports expose runtime and complete public types.</t>
        </is>
      </c>
      <c r="E10" s="26" t="inlineStr">
        <is>
          <t>package</t>
        </is>
      </c>
      <c r="F10" s="26" t="inlineStr">
        <is>
          <t>package</t>
        </is>
      </c>
      <c r="G10" s="27" t="inlineStr">
        <is>
          <t>../test/package/package.test.mjs; ../test/package/ssr.test.mjs</t>
        </is>
      </c>
      <c r="H10" s="26" t="inlineStr">
        <is>
          <t>tested</t>
        </is>
      </c>
      <c r="I10" s="26" t="inlineStr">
        <is>
          <t>no</t>
        </is>
      </c>
      <c r="J10" s="28" t="n">
        <v>46228</v>
      </c>
      <c r="K10" s="27" t="n"/>
      <c r="L10" s="26" t="n">
        <v>1</v>
      </c>
      <c r="M10" s="26">
        <f>IF(OR(AND(I10="yes",H10="verified"),AND(I10="no",OR(H10="tested",H10="verified")),AND(H10="not applicable",K10&lt;&gt;"")),1,0)</f>
        <v/>
      </c>
    </row>
    <row r="11" ht="54" customHeight="1" s="17">
      <c r="A11" s="26" t="inlineStr">
        <is>
          <t>L-03</t>
        </is>
      </c>
      <c r="B11" s="26" t="inlineStr">
        <is>
          <t>Types</t>
        </is>
      </c>
      <c r="C11" s="26" t="inlineStr">
        <is>
          <t>Link</t>
        </is>
      </c>
      <c r="D11" s="27" t="inlineStr">
        <is>
          <t>Required native href, router composition, recipes, icon exclusion, native props, and ref contracts type-check.</t>
        </is>
      </c>
      <c r="E11" s="26" t="inlineStr">
        <is>
          <t>package</t>
        </is>
      </c>
      <c r="F11" s="26" t="inlineStr">
        <is>
          <t>types</t>
        </is>
      </c>
      <c r="G11" s="27" t="inlineStr">
        <is>
          <t>../test/types/components/link.test.ts</t>
        </is>
      </c>
      <c r="H11" s="26" t="inlineStr">
        <is>
          <t>tested</t>
        </is>
      </c>
      <c r="I11" s="26" t="inlineStr">
        <is>
          <t>no</t>
        </is>
      </c>
      <c r="J11" s="28" t="n">
        <v>46228</v>
      </c>
      <c r="K11" s="27" t="n"/>
      <c r="L11" s="26" t="n">
        <v>1</v>
      </c>
      <c r="M11" s="26">
        <f>IF(OR(AND(I11="yes",H11="verified"),AND(I11="no",OR(H11="tested",H11="verified")),AND(H11="not applicable",K11&lt;&gt;"")),1,0)</f>
        <v/>
      </c>
    </row>
    <row r="12" ht="54" customHeight="1" s="17">
      <c r="A12" s="26" t="inlineStr">
        <is>
          <t>L-04</t>
        </is>
      </c>
      <c r="B12" s="26" t="inlineStr">
        <is>
          <t>CSS</t>
        </is>
      </c>
      <c r="C12" s="26" t="inlineStr">
        <is>
          <t>Link</t>
        </is>
      </c>
      <c r="D12" s="27" t="inlineStr">
        <is>
          <t>Static CSS ships decoration, tones, typography, focus, current, icon, appearance, and forced-color behavior.</t>
        </is>
      </c>
      <c r="E12" s="26" t="inlineStr">
        <is>
          <t>package</t>
        </is>
      </c>
      <c r="F12" s="26" t="inlineStr">
        <is>
          <t>css</t>
        </is>
      </c>
      <c r="G12" s="27" t="inlineStr">
        <is>
          <t>../src/components/link/link.css</t>
        </is>
      </c>
      <c r="H12" s="26" t="inlineStr">
        <is>
          <t>tested</t>
        </is>
      </c>
      <c r="I12" s="26" t="inlineStr">
        <is>
          <t>no</t>
        </is>
      </c>
      <c r="J12" s="28" t="n">
        <v>46228</v>
      </c>
      <c r="K12" s="27" t="n"/>
      <c r="L12" s="26" t="n">
        <v>1</v>
      </c>
      <c r="M12" s="26">
        <f>IF(OR(AND(I12="yes",H12="verified"),AND(I12="no",OR(H12="tested",H12="verified")),AND(H12="not applicable",K12&lt;&gt;"")),1,0)</f>
        <v/>
      </c>
    </row>
    <row r="13" ht="54" customHeight="1" s="17">
      <c r="A13" s="26" t="inlineStr">
        <is>
          <t>L-05</t>
        </is>
      </c>
      <c r="B13" s="26" t="inlineStr">
        <is>
          <t>Unit</t>
        </is>
      </c>
      <c r="C13" s="26" t="inlineStr">
        <is>
          <t>Link</t>
        </is>
      </c>
      <c r="D13" s="27" t="inlineStr">
        <is>
          <t>Defaults, recipes, icon anatomy, native forwarding, refs, render, and asChild pass focused tests.</t>
        </is>
      </c>
      <c r="E13" s="26" t="inlineStr">
        <is>
          <t>package</t>
        </is>
      </c>
      <c r="F13" s="26" t="inlineStr">
        <is>
          <t>component</t>
        </is>
      </c>
      <c r="G13" s="27" t="inlineStr">
        <is>
          <t>../test/components/link/link.test.tsx</t>
        </is>
      </c>
      <c r="H13" s="26" t="inlineStr">
        <is>
          <t>tested</t>
        </is>
      </c>
      <c r="I13" s="26" t="inlineStr">
        <is>
          <t>no</t>
        </is>
      </c>
      <c r="J13" s="28" t="n">
        <v>46228</v>
      </c>
      <c r="K13" s="27" t="n"/>
      <c r="L13" s="26" t="n">
        <v>1</v>
      </c>
      <c r="M13" s="26">
        <f>IF(OR(AND(I13="yes",H13="verified"),AND(I13="no",OR(H13="tested",H13="verified")),AND(H13="not applicable",K13&lt;&gt;"")),1,0)</f>
        <v/>
      </c>
    </row>
    <row r="14" ht="54" customHeight="1" s="17">
      <c r="A14" s="26" t="inlineStr">
        <is>
          <t>L-06</t>
        </is>
      </c>
      <c r="B14" s="26" t="inlineStr">
        <is>
          <t>Browser</t>
        </is>
      </c>
      <c r="C14" s="26" t="inlineStr">
        <is>
          <t>Link</t>
        </is>
      </c>
      <c r="D14" s="27" t="inlineStr">
        <is>
          <t>Native output, focus, controlled recipes, typography, icon geometry, RTL, composition, and customization pass.</t>
        </is>
      </c>
      <c r="E14" s="26" t="inlineStr">
        <is>
          <t>package</t>
        </is>
      </c>
      <c r="F14" s="26" t="inlineStr">
        <is>
          <t>browser</t>
        </is>
      </c>
      <c r="G14" s="27" t="inlineStr">
        <is>
          <t>tests/components/link/behavior.spec.ts</t>
        </is>
      </c>
      <c r="H14" s="26" t="inlineStr">
        <is>
          <t>tested</t>
        </is>
      </c>
      <c r="I14" s="26" t="inlineStr">
        <is>
          <t>no</t>
        </is>
      </c>
      <c r="J14" s="28" t="n">
        <v>46228</v>
      </c>
      <c r="K14" s="27" t="n"/>
      <c r="L14" s="26" t="n">
        <v>1</v>
      </c>
      <c r="M14" s="26">
        <f>IF(OR(AND(I14="yes",H14="verified"),AND(I14="no",OR(H14="tested",H14="verified")),AND(H14="not applicable",K14&lt;&gt;"")),1,0)</f>
        <v/>
      </c>
    </row>
    <row r="15" ht="54" customHeight="1" s="17">
      <c r="A15" s="26" t="inlineStr">
        <is>
          <t>L-07</t>
        </is>
      </c>
      <c r="B15" s="26" t="inlineStr">
        <is>
          <t>Accessibility</t>
        </is>
      </c>
      <c r="C15" s="26" t="inlineStr">
        <is>
          <t>Link</t>
        </is>
      </c>
      <c r="D15" s="27" t="inlineStr">
        <is>
          <t>Native role/name/current state, focus affordance, responsive containment, decorative icons, and axe pass.</t>
        </is>
      </c>
      <c r="E15" s="26" t="inlineStr">
        <is>
          <t>package</t>
        </is>
      </c>
      <c r="F15" s="26" t="inlineStr">
        <is>
          <t>axe</t>
        </is>
      </c>
      <c r="G15" s="27" t="inlineStr">
        <is>
          <t>tests/components/link/behavior.spec.ts</t>
        </is>
      </c>
      <c r="H15" s="26" t="inlineStr">
        <is>
          <t>tested</t>
        </is>
      </c>
      <c r="I15" s="26" t="inlineStr">
        <is>
          <t>no</t>
        </is>
      </c>
      <c r="J15" s="28" t="n">
        <v>46228</v>
      </c>
      <c r="K15" s="27" t="n"/>
      <c r="L15" s="26" t="n">
        <v>1</v>
      </c>
      <c r="M15" s="26">
        <f>IF(OR(AND(I15="yes",H15="verified"),AND(I15="no",OR(H15="tested",H15="verified")),AND(H15="not applicable",K15&lt;&gt;"")),1,0)</f>
        <v/>
      </c>
    </row>
    <row r="16" ht="54" customHeight="1" s="17">
      <c r="A16" s="26" t="inlineStr">
        <is>
          <t>L-08</t>
        </is>
      </c>
      <c r="B16" s="26" t="inlineStr">
        <is>
          <t>Visual</t>
        </is>
      </c>
      <c r="C16" s="26" t="inlineStr">
        <is>
          <t>Link</t>
        </is>
      </c>
      <c r="D16" s="27" t="inlineStr">
        <is>
          <t>Baselines cover default, recipes, content, composition, dark appearance, mobile RTL, and forced colors.</t>
        </is>
      </c>
      <c r="E16" s="26" t="inlineStr">
        <is>
          <t>package</t>
        </is>
      </c>
      <c r="F16" s="26" t="inlineStr">
        <is>
          <t>visual</t>
        </is>
      </c>
      <c r="G16" s="27" t="inlineStr">
        <is>
          <t>tests/components/link/visual.spec.ts</t>
        </is>
      </c>
      <c r="H16" s="26" t="inlineStr">
        <is>
          <t>verified</t>
        </is>
      </c>
      <c r="I16" s="26" t="inlineStr">
        <is>
          <t>yes</t>
        </is>
      </c>
      <c r="J16" s="28" t="n"/>
      <c r="K16" s="27" t="n"/>
      <c r="L16" s="26" t="n">
        <v>1</v>
      </c>
      <c r="M16" s="26">
        <f>IF(OR(AND(I16="yes",H16="verified"),AND(I16="no",OR(H16="tested",H16="verified")),AND(H16="not applicable",K16&lt;&gt;"")),1,0)</f>
        <v/>
      </c>
    </row>
    <row r="17" ht="54" customHeight="1" s="17">
      <c r="A17" s="26" t="inlineStr">
        <is>
          <t>L-09</t>
        </is>
      </c>
      <c r="B17" s="26" t="inlineStr">
        <is>
          <t>Responsive</t>
        </is>
      </c>
      <c r="C17" s="26" t="inlineStr">
        <is>
          <t>Link</t>
        </is>
      </c>
      <c r="D17" s="27" t="inlineStr">
        <is>
          <t>Physical mobile, 200%/400% zoom, text spacing, long content, and RTL remain readable and contained.</t>
        </is>
      </c>
      <c r="E17" s="26" t="inlineStr">
        <is>
          <t>package</t>
        </is>
      </c>
      <c r="F17" s="26" t="inlineStr">
        <is>
          <t>manual</t>
        </is>
      </c>
      <c r="G17" s="27" t="inlineStr">
        <is>
          <t>manual-tests/link.md</t>
        </is>
      </c>
      <c r="H17" s="26" t="inlineStr">
        <is>
          <t>implemented</t>
        </is>
      </c>
      <c r="I17" s="26" t="inlineStr">
        <is>
          <t>yes</t>
        </is>
      </c>
      <c r="J17" s="28" t="n"/>
      <c r="K17" s="27" t="inlineStr">
        <is>
          <t>Automated reflow passes; human device and zoom review is pending.</t>
        </is>
      </c>
      <c r="L17" s="26" t="n">
        <v>1</v>
      </c>
      <c r="M17" s="26">
        <f>IF(OR(AND(I17="yes",H17="verified"),AND(I17="no",OR(H17="tested",H17="verified")),AND(H17="not applicable",K17&lt;&gt;"")),1,0)</f>
        <v/>
      </c>
    </row>
    <row r="18" ht="54" customHeight="1" s="17">
      <c r="A18" s="26" t="inlineStr">
        <is>
          <t>L-10</t>
        </is>
      </c>
      <c r="B18" s="26" t="inlineStr">
        <is>
          <t>Theme</t>
        </is>
      </c>
      <c r="C18" s="26" t="inlineStr">
        <is>
          <t>Link</t>
        </is>
      </c>
      <c r="D18" s="27" t="inlineStr">
        <is>
          <t>Light, dark, forced colors, focus, decoration, and customized variables remain perceivable.</t>
        </is>
      </c>
      <c r="E18" s="26" t="inlineStr">
        <is>
          <t>package</t>
        </is>
      </c>
      <c r="F18" s="26" t="inlineStr">
        <is>
          <t>manual</t>
        </is>
      </c>
      <c r="G18" s="27" t="inlineStr">
        <is>
          <t>manual-tests/link.md; tests/components/link/visual.spec.ts</t>
        </is>
      </c>
      <c r="H18" s="26" t="inlineStr">
        <is>
          <t>implemented</t>
        </is>
      </c>
      <c r="I18" s="26" t="inlineStr">
        <is>
          <t>yes</t>
        </is>
      </c>
      <c r="J18" s="28" t="n"/>
      <c r="K18" s="27" t="inlineStr">
        <is>
          <t>Automated appearance evidence exists; human appearance review is pending.</t>
        </is>
      </c>
      <c r="L18" s="26" t="n">
        <v>1</v>
      </c>
      <c r="M18" s="26">
        <f>IF(OR(AND(I18="yes",H18="verified"),AND(I18="no",OR(H18="tested",H18="verified")),AND(H18="not applicable",K18&lt;&gt;"")),1,0)</f>
        <v/>
      </c>
    </row>
    <row r="19" ht="54" customHeight="1" s="17">
      <c r="A19" s="26" t="inlineStr">
        <is>
          <t>L-11</t>
        </is>
      </c>
      <c r="B19" s="26" t="inlineStr">
        <is>
          <t>Composition</t>
        </is>
      </c>
      <c r="C19" s="26" t="inlineStr">
        <is>
          <t>Link</t>
        </is>
      </c>
      <c r="D19" s="27" t="inlineStr">
        <is>
          <t>Native, current, download, render, and asChild examples produce one inspectable final anchor.</t>
        </is>
      </c>
      <c r="E19" s="26" t="inlineStr">
        <is>
          <t>package</t>
        </is>
      </c>
      <c r="F19" s="26" t="inlineStr">
        <is>
          <t>browser</t>
        </is>
      </c>
      <c r="G19" s="27" t="inlineStr">
        <is>
          <t>tests/components/link/behavior.spec.ts</t>
        </is>
      </c>
      <c r="H19" s="26" t="inlineStr">
        <is>
          <t>tested</t>
        </is>
      </c>
      <c r="I19" s="26" t="inlineStr">
        <is>
          <t>no</t>
        </is>
      </c>
      <c r="J19" s="28" t="n">
        <v>46228</v>
      </c>
      <c r="K19" s="27" t="n"/>
      <c r="L19" s="26" t="n">
        <v>1</v>
      </c>
      <c r="M19" s="26">
        <f>IF(OR(AND(I19="yes",H19="verified"),AND(I19="no",OR(H19="tested",H19="verified")),AND(H19="not applicable",K19&lt;&gt;"")),1,0)</f>
        <v/>
      </c>
    </row>
    <row r="20" ht="54" customHeight="1" s="17">
      <c r="A20" s="26" t="inlineStr">
        <is>
          <t>L-12</t>
        </is>
      </c>
      <c r="B20" s="26" t="inlineStr">
        <is>
          <t>Manual</t>
        </is>
      </c>
      <c r="C20" s="26" t="inlineStr">
        <is>
          <t>Link</t>
        </is>
      </c>
      <c r="D20" s="27" t="inlineStr">
        <is>
          <t>The concise component-owned protocol passes every Link playground scenario.</t>
        </is>
      </c>
      <c r="E20" s="26" t="inlineStr">
        <is>
          <t>package</t>
        </is>
      </c>
      <c r="F20" s="26" t="inlineStr">
        <is>
          <t>manual</t>
        </is>
      </c>
      <c r="G20" s="27" t="inlineStr">
        <is>
          <t>manual-tests/link.md</t>
        </is>
      </c>
      <c r="H20" s="26" t="inlineStr">
        <is>
          <t>implemented</t>
        </is>
      </c>
      <c r="I20" s="26" t="inlineStr">
        <is>
          <t>yes</t>
        </is>
      </c>
      <c r="J20" s="28" t="n"/>
      <c r="K20" s="27" t="inlineStr">
        <is>
          <t>Protocol exists; the owner has not run it.</t>
        </is>
      </c>
      <c r="L20" s="26" t="n">
        <v>1</v>
      </c>
      <c r="M20" s="26">
        <f>IF(OR(AND(I20="yes",H20="verified"),AND(I20="no",OR(H20="tested",H20="verified")),AND(H20="not applicable",K20&lt;&gt;"")),1,0)</f>
        <v/>
      </c>
    </row>
    <row r="21" ht="54" customHeight="1" s="17">
      <c r="A21" s="26" t="inlineStr">
        <is>
          <t>L-13</t>
        </is>
      </c>
      <c r="B21" s="26" t="inlineStr">
        <is>
          <t>Docs</t>
        </is>
      </c>
      <c r="C21" s="26" t="inlineStr">
        <is>
          <t>Link</t>
        </is>
      </c>
      <c r="D21" s="27" t="inlineStr">
        <is>
          <t>Source-backed use, exclusions, recipes, anatomy, accessibility, native props, composition, and API docs pass.</t>
        </is>
      </c>
      <c r="E21" s="26" t="inlineStr">
        <is>
          <t>package</t>
        </is>
      </c>
      <c r="F21" s="26" t="inlineStr">
        <is>
          <t>docs</t>
        </is>
      </c>
      <c r="G21" s="27" t="inlineStr">
        <is>
          <t>../docs/components/link/README.md</t>
        </is>
      </c>
      <c r="H21" s="26" t="inlineStr">
        <is>
          <t>tested</t>
        </is>
      </c>
      <c r="I21" s="26" t="inlineStr">
        <is>
          <t>no</t>
        </is>
      </c>
      <c r="J21" s="28" t="n">
        <v>46228</v>
      </c>
      <c r="K21" s="27" t="n"/>
      <c r="L21" s="26" t="n">
        <v>1</v>
      </c>
      <c r="M21" s="26">
        <f>IF(OR(AND(I21="yes",H21="verified"),AND(I21="no",OR(H21="tested",H21="verified")),AND(H21="not applicable",K21&lt;&gt;"")),1,0)</f>
        <v/>
      </c>
    </row>
    <row r="22" ht="54" customHeight="1" s="17">
      <c r="A22" s="26" t="inlineStr">
        <is>
          <t>L-14</t>
        </is>
      </c>
      <c r="B22" s="26" t="inlineStr">
        <is>
          <t>Changelog</t>
        </is>
      </c>
      <c r="C22" s="26" t="inlineStr">
        <is>
          <t>Link</t>
        </is>
      </c>
      <c r="D22" s="27" t="inlineStr">
        <is>
          <t>Link owns a public changelog and the package changelog records its addition.</t>
        </is>
      </c>
      <c r="E22" s="26" t="inlineStr">
        <is>
          <t>package</t>
        </is>
      </c>
      <c r="F22" s="26" t="inlineStr">
        <is>
          <t>docs</t>
        </is>
      </c>
      <c r="G22" s="27" t="inlineStr">
        <is>
          <t>../docs/components/link/CHANGELOG.md; ../CHANGELOG.md</t>
        </is>
      </c>
      <c r="H22" s="26" t="inlineStr">
        <is>
          <t>tested</t>
        </is>
      </c>
      <c r="I22" s="26" t="inlineStr">
        <is>
          <t>no</t>
        </is>
      </c>
      <c r="J22" s="28" t="n">
        <v>46228</v>
      </c>
      <c r="K22" s="27" t="n"/>
      <c r="L22" s="26" t="n">
        <v>1</v>
      </c>
      <c r="M22" s="26">
        <f>IF(OR(AND(I22="yes",H22="verified"),AND(I22="no",OR(H22="tested",H22="verified")),AND(H22="not applicable",K22&lt;&gt;"")),1,0)</f>
        <v/>
      </c>
    </row>
    <row r="23" ht="54" customHeight="1" s="17">
      <c r="A23" s="26" t="inlineStr">
        <is>
          <t>L-15</t>
        </is>
      </c>
      <c r="B23" s="26" t="inlineStr">
        <is>
          <t>Consumer</t>
        </is>
      </c>
      <c r="C23" s="26" t="inlineStr">
        <is>
          <t>Link</t>
        </is>
      </c>
      <c r="D23" s="27" t="inlineStr">
        <is>
          <t>The Consumer uses the public Link subpath for site navigation and a standalone destination.</t>
        </is>
      </c>
      <c r="E23" s="26" t="inlineStr">
        <is>
          <t>consumer</t>
        </is>
      </c>
      <c r="F23" s="26" t="inlineStr">
        <is>
          <t>consumer</t>
        </is>
      </c>
      <c r="G23" s="27" t="inlineStr">
        <is>
          <t>../apps/consumer/src/App.tsx; ../apps/consumer/tests/consumer.spec.ts</t>
        </is>
      </c>
      <c r="H23" s="26" t="inlineStr">
        <is>
          <t>tested</t>
        </is>
      </c>
      <c r="I23" s="26" t="inlineStr">
        <is>
          <t>no</t>
        </is>
      </c>
      <c r="J23" s="28" t="n">
        <v>46228</v>
      </c>
      <c r="K23" s="27" t="n"/>
      <c r="L23" s="26" t="n">
        <v>1</v>
      </c>
      <c r="M23" s="26">
        <f>IF(OR(AND(I23="yes",H23="verified"),AND(I23="no",OR(H23="tested",H23="verified")),AND(H23="not applicable",K23&lt;&gt;"")),1,0)</f>
        <v/>
      </c>
    </row>
    <row r="24" ht="54" customHeight="1" s="17">
      <c r="A24" s="26" t="inlineStr">
        <is>
          <t>L-16</t>
        </is>
      </c>
      <c r="B24" s="26" t="inlineStr">
        <is>
          <t>Playground</t>
        </is>
      </c>
      <c r="C24" s="26" t="inlineStr">
        <is>
          <t>Link</t>
        </is>
      </c>
      <c r="D24" s="27" t="inlineStr">
        <is>
          <t>One navigable component route exposes every adopted recipe, content, composition, appearance, and stress scenario.</t>
        </is>
      </c>
      <c r="E24" s="26" t="inlineStr">
        <is>
          <t>package</t>
        </is>
      </c>
      <c r="F24" s="26" t="inlineStr">
        <is>
          <t>playground</t>
        </is>
      </c>
      <c r="G24" s="27" t="inlineStr">
        <is>
          <t>src/components/link/LinkPage.tsx</t>
        </is>
      </c>
      <c r="H24" s="26" t="inlineStr">
        <is>
          <t>tested</t>
        </is>
      </c>
      <c r="I24" s="26" t="inlineStr">
        <is>
          <t>no</t>
        </is>
      </c>
      <c r="J24" s="28" t="n">
        <v>46228</v>
      </c>
      <c r="K24" s="27" t="n"/>
      <c r="L24" s="26" t="n">
        <v>1</v>
      </c>
      <c r="M24" s="26">
        <f>IF(OR(AND(I24="yes",H24="verified"),AND(I24="no",OR(H24="tested",H24="verified")),AND(H24="not applicable",K24&lt;&gt;"")),1,0)</f>
        <v/>
      </c>
    </row>
    <row r="25" ht="54" customHeight="1" s="17">
      <c r="A25" s="26" t="inlineStr">
        <is>
          <t>L-17</t>
        </is>
      </c>
      <c r="B25" s="26" t="inlineStr">
        <is>
          <t>Package</t>
        </is>
      </c>
      <c r="C25" s="26" t="inlineStr">
        <is>
          <t>Link</t>
        </is>
      </c>
      <c r="D25" s="27" t="inlineStr">
        <is>
          <t>Build, SSR, exports, CSS, tarball, consumers, browser matrix, and exact Atom 0.7.0 dependency pass.</t>
        </is>
      </c>
      <c r="E25" s="26" t="inlineStr">
        <is>
          <t>package</t>
        </is>
      </c>
      <c r="F25" s="26" t="inlineStr">
        <is>
          <t>package</t>
        </is>
      </c>
      <c r="G25" s="27" t="inlineStr">
        <is>
          <t>../test/package; ../scripts/verify-consumers.mjs</t>
        </is>
      </c>
      <c r="H25" s="26" t="inlineStr">
        <is>
          <t>tested</t>
        </is>
      </c>
      <c r="I25" s="26" t="inlineStr">
        <is>
          <t>no</t>
        </is>
      </c>
      <c r="J25" s="28" t="n">
        <v>46228</v>
      </c>
      <c r="K25" s="27" t="n"/>
      <c r="L25" s="26" t="n">
        <v>1</v>
      </c>
      <c r="M25" s="26">
        <f>IF(OR(AND(I25="yes",H25="verified"),AND(I25="no",OR(H25="tested",H25="verified")),AND(H25="not applicable",K25&lt;&gt;"")),1,0)</f>
        <v/>
      </c>
    </row>
  </sheetData>
  <mergeCells count="2">
    <mergeCell ref="A2:M2"/>
    <mergeCell ref="A1:M1"/>
  </mergeCells>
  <conditionalFormatting sqref="H9:H25">
    <cfRule type="containsText" rank="0" priority="2" equalAverage="0" operator="containsText" aboveAverage="0" dxfId="5" text="not started" percent="0" bottom="0">
      <formula>NOT(ISERROR(SEARCH("not started",H9)))</formula>
    </cfRule>
    <cfRule type="containsText" rank="0" priority="3" equalAverage="0" operator="containsText" aboveAverage="0" dxfId="6" text="partial" percent="0" bottom="0">
      <formula>NOT(ISERROR(SEARCH("partial",H9)))</formula>
    </cfRule>
    <cfRule type="containsText" rank="0" priority="4" equalAverage="0" operator="containsText" aboveAverage="0" dxfId="7" text="implemented" percent="0" bottom="0">
      <formula>NOT(ISERROR(SEARCH("implemented",H9)))</formula>
    </cfRule>
    <cfRule type="containsText" rank="0" priority="5" equalAverage="0" operator="containsText" aboveAverage="0" dxfId="8" text="tested" percent="0" bottom="0">
      <formula>NOT(ISERROR(SEARCH("tested",H9)))</formula>
    </cfRule>
    <cfRule type="containsText" rank="0" priority="6" equalAverage="0" operator="containsText" aboveAverage="0" dxfId="3" text="verified" percent="0" bottom="0">
      <formula>NOT(ISERROR(SEARCH("verified",H9)))</formula>
    </cfRule>
    <cfRule type="containsText" rank="0" priority="7" equalAverage="0" operator="containsText" aboveAverage="0" dxfId="9" text="blocked" percent="0" bottom="0">
      <formula>NOT(ISERROR(SEARCH("blocked",H9)))</formula>
    </cfRule>
    <cfRule type="containsText" rank="0" priority="8" equalAverage="0" operator="containsText" aboveAverage="0" dxfId="5" text="not applicable" percent="0" bottom="0">
      <formula>NOT(ISERROR(SEARCH("not applicable",H9)))</formula>
    </cfRule>
  </conditionalFormatting>
  <dataValidations count="2">
    <dataValidation sqref="H9:H25" showDropDown="0" showInputMessage="1" showErrorMessage="1" allowBlank="1" type="list" errorStyle="stop" operator="between">
      <formula1>"not started,partial,implemented,tested,verified,blocked,not applicable"</formula1>
      <formula2>0</formula2>
    </dataValidation>
    <dataValidation sqref="I9:I25" showDropDown="0" showInputMessage="1" showErrorMessage="1" allowBlank="1" type="list" errorStyle="stop" operator="between">
      <formula1>"yes,no"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21.xml><?xml version="1.0" encoding="utf-8"?>
<worksheet xmlns="http://schemas.openxmlformats.org/spreadsheetml/2006/main">
  <sheetPr filterMode="0">
    <outlinePr summaryBelow="1" summaryRight="1"/>
    <pageSetUpPr fitToPage="0"/>
  </sheetPr>
  <dimension ref="A1:M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baseColWidth="8" defaultColWidth="8.6796875" defaultRowHeight="15" customHeight="0" zeroHeight="0" outlineLevelRow="0"/>
  <cols>
    <col width="13.71" customWidth="1" style="23" min="1" max="1"/>
    <col width="15.71" customWidth="1" style="23" min="2" max="2"/>
    <col width="18.71" customWidth="1" style="23" min="3" max="3"/>
    <col width="58.71" customWidth="1" style="23" min="4" max="4"/>
    <col width="14.71" customWidth="1" style="23" min="5" max="6"/>
    <col width="50.71" customWidth="1" style="23" min="7" max="7"/>
    <col width="17.71" customWidth="1" style="23" min="8" max="8"/>
    <col width="14.71" customWidth="1" style="23" min="9" max="9"/>
    <col width="14.71" customWidth="1" style="25" min="10" max="10"/>
    <col width="42.71" customWidth="1" style="23" min="11" max="11"/>
    <col width="10.71" customWidth="1" style="23" min="12" max="13"/>
  </cols>
  <sheetData>
    <row r="1" ht="37.5" customHeight="1" s="17">
      <c r="A1" s="18" t="inlineStr">
        <is>
          <t>Text Evidence</t>
        </is>
      </c>
    </row>
    <row r="2" ht="27.75" customHeight="1" s="17">
      <c r="A2" s="19" t="inlineStr">
        <is>
          <t>Assertion-level package, browser, human-review, documentation, and consumer evidence.</t>
        </is>
      </c>
    </row>
    <row r="4" ht="17.25" customHeight="1" s="17">
      <c r="A4" s="20" t="inlineStr">
        <is>
          <t>Requirements</t>
        </is>
      </c>
      <c r="B4" s="21">
        <f>COUNTA(A9:A24)</f>
        <v/>
      </c>
      <c r="D4" s="20" t="inlineStr">
        <is>
          <t>Resolved</t>
        </is>
      </c>
      <c r="E4" s="21">
        <f>SUM(M9:M24)</f>
        <v/>
      </c>
      <c r="G4" s="20" t="inlineStr">
        <is>
          <t>Completion</t>
        </is>
      </c>
      <c r="H4" s="22">
        <f>IF(B4=0,0,E4/B4)</f>
        <v/>
      </c>
      <c r="J4" s="20" t="inlineStr">
        <is>
          <t>Package gate</t>
        </is>
      </c>
      <c r="K4" s="21">
        <f>IF(COUNTIFS(E9:E24,"package",M9:M24,0)&gt;0,"open","complete")</f>
        <v/>
      </c>
    </row>
    <row r="5" ht="17.25" customHeight="1" s="17">
      <c r="A5" s="20" t="inlineStr">
        <is>
          <t>Manual review</t>
        </is>
      </c>
      <c r="B5" s="21">
        <f>IF(COUNTIFS(I9:I24,"yes",M9:M24,0)&gt;0,"open","complete")</f>
        <v/>
      </c>
      <c r="D5" s="20" t="inlineStr">
        <is>
          <t>Consumer gate</t>
        </is>
      </c>
      <c r="E5" s="21">
        <f>IF(COUNTIFS(E9:E24,"consumer",M9:M24,0)&gt;0,"open","complete")</f>
        <v/>
      </c>
    </row>
    <row r="8" ht="15" customHeight="1" s="17">
      <c r="A8" s="23" t="inlineStr">
        <is>
          <t>ID</t>
        </is>
      </c>
      <c r="B8" s="23" t="inlineStr">
        <is>
          <t>Area</t>
        </is>
      </c>
      <c r="C8" s="23" t="inlineStr">
        <is>
          <t>Part</t>
        </is>
      </c>
      <c r="D8" s="23" t="inlineStr">
        <is>
          <t>Requirement</t>
        </is>
      </c>
      <c r="E8" s="23" t="inlineStr">
        <is>
          <t>Gate</t>
        </is>
      </c>
      <c r="F8" s="23" t="inlineStr">
        <is>
          <t>Evidence type</t>
        </is>
      </c>
      <c r="G8" s="23" t="inlineStr">
        <is>
          <t>Evidence / link</t>
        </is>
      </c>
      <c r="H8" s="23" t="inlineStr">
        <is>
          <t>Status</t>
        </is>
      </c>
      <c r="I8" s="23" t="inlineStr">
        <is>
          <t>Human review?</t>
        </is>
      </c>
      <c r="J8" s="25" t="inlineStr">
        <is>
          <t>Last verified</t>
        </is>
      </c>
      <c r="K8" s="23" t="inlineStr">
        <is>
          <t>Blocker / N/A reason</t>
        </is>
      </c>
      <c r="L8" s="23" t="inlineStr">
        <is>
          <t>Weight</t>
        </is>
      </c>
      <c r="M8" s="23" t="inlineStr">
        <is>
          <t>Resolved</t>
        </is>
      </c>
    </row>
    <row r="9" ht="54" customHeight="1" s="17">
      <c r="A9" s="26" t="inlineStr">
        <is>
          <t>T-01</t>
        </is>
      </c>
      <c r="B9" s="26" t="inlineStr">
        <is>
          <t>Implementation</t>
        </is>
      </c>
      <c r="C9" s="26" t="inlineStr">
        <is>
          <t>Text</t>
        </is>
      </c>
      <c r="D9" s="27" t="inlineStr">
        <is>
          <t>Semantic hosts, recipes, native props, and HTMLElement refs are implemented.</t>
        </is>
      </c>
      <c r="E9" s="26" t="inlineStr">
        <is>
          <t>package</t>
        </is>
      </c>
      <c r="F9" s="26" t="inlineStr">
        <is>
          <t>source</t>
        </is>
      </c>
      <c r="G9" s="27" t="inlineStr">
        <is>
          <t>../src/components/text</t>
        </is>
      </c>
      <c r="H9" s="26" t="inlineStr">
        <is>
          <t>tested</t>
        </is>
      </c>
      <c r="I9" s="26" t="inlineStr">
        <is>
          <t>no</t>
        </is>
      </c>
      <c r="J9" s="28" t="n">
        <v>46227</v>
      </c>
      <c r="K9" s="27" t="n"/>
      <c r="L9" s="26" t="n">
        <v>1</v>
      </c>
      <c r="M9" s="26">
        <f>IF(OR(AND(I9="yes",H9="verified"),AND(I9="no",OR(H9="tested",H9="verified")),AND(H9="not applicable",K9&lt;&gt;"")),1,0)</f>
        <v/>
      </c>
    </row>
    <row r="10" ht="54" customHeight="1" s="17">
      <c r="A10" s="26" t="inlineStr">
        <is>
          <t>T-02</t>
        </is>
      </c>
      <c r="B10" s="26" t="inlineStr">
        <is>
          <t>Exports</t>
        </is>
      </c>
      <c r="C10" s="26" t="inlineStr">
        <is>
          <t>Text</t>
        </is>
      </c>
      <c r="D10" s="27" t="inlineStr">
        <is>
          <t>Root and public Text subpath exports expose runtime and type surfaces.</t>
        </is>
      </c>
      <c r="E10" s="26" t="inlineStr">
        <is>
          <t>package</t>
        </is>
      </c>
      <c r="F10" s="26" t="inlineStr">
        <is>
          <t>package</t>
        </is>
      </c>
      <c r="G10" s="27" t="inlineStr">
        <is>
          <t>../test/package/package.test.mjs</t>
        </is>
      </c>
      <c r="H10" s="26" t="inlineStr">
        <is>
          <t>tested</t>
        </is>
      </c>
      <c r="I10" s="26" t="inlineStr">
        <is>
          <t>no</t>
        </is>
      </c>
      <c r="J10" s="28" t="n">
        <v>46227</v>
      </c>
      <c r="K10" s="27" t="n"/>
      <c r="L10" s="26" t="n">
        <v>1</v>
      </c>
      <c r="M10" s="26">
        <f>IF(OR(AND(I10="yes",H10="verified"),AND(I10="no",OR(H10="tested",H10="verified")),AND(H10="not applicable",K10&lt;&gt;"")),1,0)</f>
        <v/>
      </c>
    </row>
    <row r="11" ht="54" customHeight="1" s="17">
      <c r="A11" s="26" t="inlineStr">
        <is>
          <t>T-03</t>
        </is>
      </c>
      <c r="B11" s="26" t="inlineStr">
        <is>
          <t>Types</t>
        </is>
      </c>
      <c r="C11" s="26" t="inlineStr">
        <is>
          <t>Text</t>
        </is>
      </c>
      <c r="D11" s="27" t="inlineStr">
        <is>
          <t>Hosts, variants, tones, weights, alignment, wrapping, overflow rules, props, and refs type-check.</t>
        </is>
      </c>
      <c r="E11" s="26" t="inlineStr">
        <is>
          <t>package</t>
        </is>
      </c>
      <c r="F11" s="26" t="inlineStr">
        <is>
          <t>types</t>
        </is>
      </c>
      <c r="G11" s="27" t="inlineStr">
        <is>
          <t>../test/types/components/text.test.ts</t>
        </is>
      </c>
      <c r="H11" s="26" t="inlineStr">
        <is>
          <t>tested</t>
        </is>
      </c>
      <c r="I11" s="26" t="inlineStr">
        <is>
          <t>no</t>
        </is>
      </c>
      <c r="J11" s="28" t="n">
        <v>46227</v>
      </c>
      <c r="K11" s="27" t="n"/>
      <c r="L11" s="26" t="n">
        <v>1</v>
      </c>
      <c r="M11" s="26">
        <f>IF(OR(AND(I11="yes",H11="verified"),AND(I11="no",OR(H11="tested",H11="verified")),AND(H11="not applicable",K11&lt;&gt;"")),1,0)</f>
        <v/>
      </c>
    </row>
    <row r="12" ht="54" customHeight="1" s="17">
      <c r="A12" s="26" t="inlineStr">
        <is>
          <t>T-04</t>
        </is>
      </c>
      <c r="B12" s="26" t="inlineStr">
        <is>
          <t>CSS</t>
        </is>
      </c>
      <c r="C12" s="26" t="inlineStr">
        <is>
          <t>Text</t>
        </is>
      </c>
      <c r="D12" s="27" t="inlineStr">
        <is>
          <t>Static CSS ships recipe, tone, alignment, wrapping, truncation, clamp, and preference behavior.</t>
        </is>
      </c>
      <c r="E12" s="26" t="inlineStr">
        <is>
          <t>package</t>
        </is>
      </c>
      <c r="F12" s="26" t="inlineStr">
        <is>
          <t>css</t>
        </is>
      </c>
      <c r="G12" s="27" t="inlineStr">
        <is>
          <t>../src/components/text/text.css</t>
        </is>
      </c>
      <c r="H12" s="26" t="inlineStr">
        <is>
          <t>tested</t>
        </is>
      </c>
      <c r="I12" s="26" t="inlineStr">
        <is>
          <t>no</t>
        </is>
      </c>
      <c r="J12" s="28" t="n">
        <v>46227</v>
      </c>
      <c r="K12" s="27" t="n"/>
      <c r="L12" s="26" t="n">
        <v>1</v>
      </c>
      <c r="M12" s="26">
        <f>IF(OR(AND(I12="yes",H12="verified"),AND(I12="no",OR(H12="tested",H12="verified")),AND(H12="not applicable",K12&lt;&gt;"")),1,0)</f>
        <v/>
      </c>
    </row>
    <row r="13" ht="54" customHeight="1" s="17">
      <c r="A13" s="26" t="inlineStr">
        <is>
          <t>T-05</t>
        </is>
      </c>
      <c r="B13" s="26" t="inlineStr">
        <is>
          <t>Unit</t>
        </is>
      </c>
      <c r="C13" s="26" t="inlineStr">
        <is>
          <t>Text</t>
        </is>
      </c>
      <c r="D13" s="27" t="inlineStr">
        <is>
          <t>Defaults, host selection, hooks, refs, native props, and overflow precedence pass focused tests.</t>
        </is>
      </c>
      <c r="E13" s="26" t="inlineStr">
        <is>
          <t>package</t>
        </is>
      </c>
      <c r="F13" s="26" t="inlineStr">
        <is>
          <t>component</t>
        </is>
      </c>
      <c r="G13" s="27" t="inlineStr">
        <is>
          <t>../test/components/text/text.test.tsx</t>
        </is>
      </c>
      <c r="H13" s="26" t="inlineStr">
        <is>
          <t>tested</t>
        </is>
      </c>
      <c r="I13" s="26" t="inlineStr">
        <is>
          <t>no</t>
        </is>
      </c>
      <c r="J13" s="28" t="n">
        <v>46227</v>
      </c>
      <c r="K13" s="27" t="n"/>
      <c r="L13" s="26" t="n">
        <v>1</v>
      </c>
      <c r="M13" s="26">
        <f>IF(OR(AND(I13="yes",H13="verified"),AND(I13="no",OR(H13="tested",H13="verified")),AND(H13="not applicable",K13&lt;&gt;"")),1,0)</f>
        <v/>
      </c>
    </row>
    <row r="14" ht="54" customHeight="1" s="17">
      <c r="A14" s="26" t="inlineStr">
        <is>
          <t>T-06</t>
        </is>
      </c>
      <c r="B14" s="26" t="inlineStr">
        <is>
          <t>Browser</t>
        </is>
      </c>
      <c r="C14" s="26" t="inlineStr">
        <is>
          <t>Text</t>
        </is>
      </c>
      <c r="D14" s="27" t="inlineStr">
        <is>
          <t>Real-browser defaults, scale, tones, geometry, semantics, output, refs, and overflow checks pass.</t>
        </is>
      </c>
      <c r="E14" s="26" t="inlineStr">
        <is>
          <t>package</t>
        </is>
      </c>
      <c r="F14" s="26" t="inlineStr">
        <is>
          <t>browser</t>
        </is>
      </c>
      <c r="G14" s="27" t="inlineStr">
        <is>
          <t>tests/components/text/behavior.spec.ts</t>
        </is>
      </c>
      <c r="H14" s="26" t="inlineStr">
        <is>
          <t>tested</t>
        </is>
      </c>
      <c r="I14" s="26" t="inlineStr">
        <is>
          <t>no</t>
        </is>
      </c>
      <c r="J14" s="28" t="n">
        <v>46227</v>
      </c>
      <c r="K14" s="27" t="n"/>
      <c r="L14" s="26" t="n">
        <v>1</v>
      </c>
      <c r="M14" s="26">
        <f>IF(OR(AND(I14="yes",H14="verified"),AND(I14="no",OR(H14="tested",H14="verified")),AND(H14="not applicable",K14&lt;&gt;"")),1,0)</f>
        <v/>
      </c>
    </row>
    <row r="15" ht="54" customHeight="1" s="17">
      <c r="A15" s="26" t="inlineStr">
        <is>
          <t>T-07</t>
        </is>
      </c>
      <c r="B15" s="26" t="inlineStr">
        <is>
          <t>Accessibility</t>
        </is>
      </c>
      <c r="C15" s="26" t="inlineStr">
        <is>
          <t>Text</t>
        </is>
      </c>
      <c r="D15" s="27" t="inlineStr">
        <is>
          <t>Semantic host output, contrast, text spacing, zoom resilience, and axe checks pass.</t>
        </is>
      </c>
      <c r="E15" s="26" t="inlineStr">
        <is>
          <t>package</t>
        </is>
      </c>
      <c r="F15" s="26" t="inlineStr">
        <is>
          <t>axe</t>
        </is>
      </c>
      <c r="G15" s="27" t="inlineStr">
        <is>
          <t>tests/components/text/behavior.spec.ts</t>
        </is>
      </c>
      <c r="H15" s="26" t="inlineStr">
        <is>
          <t>tested</t>
        </is>
      </c>
      <c r="I15" s="26" t="inlineStr">
        <is>
          <t>no</t>
        </is>
      </c>
      <c r="J15" s="28" t="n">
        <v>46227</v>
      </c>
      <c r="K15" s="27" t="n"/>
      <c r="L15" s="26" t="n">
        <v>1</v>
      </c>
      <c r="M15" s="26">
        <f>IF(OR(AND(I15="yes",H15="verified"),AND(I15="no",OR(H15="tested",H15="verified")),AND(H15="not applicable",K15&lt;&gt;"")),1,0)</f>
        <v/>
      </c>
    </row>
    <row r="16" ht="54" customHeight="1" s="17">
      <c r="A16" s="26" t="inlineStr">
        <is>
          <t>T-08</t>
        </is>
      </c>
      <c r="B16" s="26" t="inlineStr">
        <is>
          <t>Visual</t>
        </is>
      </c>
      <c r="C16" s="26" t="inlineStr">
        <is>
          <t>Text</t>
        </is>
      </c>
      <c r="D16" s="27" t="inlineStr">
        <is>
          <t>Reviewed baselines cover recipes, tones, semantics, overflow, customization, dark mode, RTL, and mobile stress.</t>
        </is>
      </c>
      <c r="E16" s="26" t="inlineStr">
        <is>
          <t>package</t>
        </is>
      </c>
      <c r="F16" s="26" t="inlineStr">
        <is>
          <t>visual</t>
        </is>
      </c>
      <c r="G16" s="27" t="inlineStr">
        <is>
          <t>tests/components/text/visual.spec.ts</t>
        </is>
      </c>
      <c r="H16" s="26" t="inlineStr">
        <is>
          <t>verified</t>
        </is>
      </c>
      <c r="I16" s="26" t="inlineStr">
        <is>
          <t>yes</t>
        </is>
      </c>
      <c r="J16" s="28" t="n">
        <v>46227</v>
      </c>
      <c r="K16" s="27" t="inlineStr">
        <is>
          <t>Agent-reviewed baselines; owner acceptance remains available during manual review.</t>
        </is>
      </c>
      <c r="L16" s="26" t="n">
        <v>1</v>
      </c>
      <c r="M16" s="26">
        <f>IF(OR(AND(I16="yes",H16="verified"),AND(I16="no",OR(H16="tested",H16="verified")),AND(H16="not applicable",K16&lt;&gt;"")),1,0)</f>
        <v/>
      </c>
    </row>
    <row r="17" ht="54" customHeight="1" s="17">
      <c r="A17" s="26" t="inlineStr">
        <is>
          <t>T-09</t>
        </is>
      </c>
      <c r="B17" s="26" t="inlineStr">
        <is>
          <t>Responsive</t>
        </is>
      </c>
      <c r="C17" s="26" t="inlineStr">
        <is>
          <t>Text</t>
        </is>
      </c>
      <c r="D17" s="27" t="inlineStr">
        <is>
          <t>Narrow layout, long localized content, 200%/400% zoom, and RTL remain contained and readable.</t>
        </is>
      </c>
      <c r="E17" s="26" t="inlineStr">
        <is>
          <t>package</t>
        </is>
      </c>
      <c r="F17" s="26" t="inlineStr">
        <is>
          <t>manual</t>
        </is>
      </c>
      <c r="G17" s="27" t="inlineStr">
        <is>
          <t>manual-tests/text.md</t>
        </is>
      </c>
      <c r="H17" s="26" t="inlineStr">
        <is>
          <t>implemented</t>
        </is>
      </c>
      <c r="I17" s="26" t="inlineStr">
        <is>
          <t>yes</t>
        </is>
      </c>
      <c r="J17" s="28" t="n"/>
      <c r="K17" s="27" t="inlineStr">
        <is>
          <t>Automated evidence passes; physical-device and human zoom review are not recorded.</t>
        </is>
      </c>
      <c r="L17" s="26" t="n">
        <v>1</v>
      </c>
      <c r="M17" s="26">
        <f>IF(OR(AND(I17="yes",H17="verified"),AND(I17="no",OR(H17="tested",H17="verified")),AND(H17="not applicable",K17&lt;&gt;"")),1,0)</f>
        <v/>
      </c>
    </row>
    <row r="18" ht="54" customHeight="1" s="17">
      <c r="A18" s="26" t="inlineStr">
        <is>
          <t>T-10</t>
        </is>
      </c>
      <c r="B18" s="26" t="inlineStr">
        <is>
          <t>Theme</t>
        </is>
      </c>
      <c r="C18" s="26" t="inlineStr">
        <is>
          <t>Text</t>
        </is>
      </c>
      <c r="D18" s="27" t="inlineStr">
        <is>
          <t>Light, dark, semantic tones, forced colors, and reduced motion retain readable output.</t>
        </is>
      </c>
      <c r="E18" s="26" t="inlineStr">
        <is>
          <t>package</t>
        </is>
      </c>
      <c r="F18" s="26" t="inlineStr">
        <is>
          <t>manual</t>
        </is>
      </c>
      <c r="G18" s="27" t="inlineStr">
        <is>
          <t>manual-tests/text.md; tests/components/text/visual.spec.ts</t>
        </is>
      </c>
      <c r="H18" s="26" t="inlineStr">
        <is>
          <t>implemented</t>
        </is>
      </c>
      <c r="I18" s="26" t="inlineStr">
        <is>
          <t>yes</t>
        </is>
      </c>
      <c r="J18" s="28" t="n"/>
      <c r="K18" s="27" t="inlineStr">
        <is>
          <t>Automated evidence passes; complete human appearance review is pending.</t>
        </is>
      </c>
      <c r="L18" s="26" t="n">
        <v>1</v>
      </c>
      <c r="M18" s="26">
        <f>IF(OR(AND(I18="yes",H18="verified"),AND(I18="no",OR(H18="tested",H18="verified")),AND(H18="not applicable",K18&lt;&gt;"")),1,0)</f>
        <v/>
      </c>
    </row>
    <row r="19" ht="54" customHeight="1" s="17">
      <c r="A19" s="26" t="inlineStr">
        <is>
          <t>T-11</t>
        </is>
      </c>
      <c r="B19" s="26" t="inlineStr">
        <is>
          <t>Semantics</t>
        </is>
      </c>
      <c r="C19" s="26" t="inlineStr">
        <is>
          <t>Text</t>
        </is>
      </c>
      <c r="D19" s="27" t="inlineStr">
        <is>
          <t>Every supported semantic host and rendered output example match the public contract.</t>
        </is>
      </c>
      <c r="E19" s="26" t="inlineStr">
        <is>
          <t>package</t>
        </is>
      </c>
      <c r="F19" s="26" t="inlineStr">
        <is>
          <t>browser</t>
        </is>
      </c>
      <c r="G19" s="27" t="inlineStr">
        <is>
          <t>tests/components/text/behavior.spec.ts</t>
        </is>
      </c>
      <c r="H19" s="26" t="inlineStr">
        <is>
          <t>tested</t>
        </is>
      </c>
      <c r="I19" s="26" t="inlineStr">
        <is>
          <t>no</t>
        </is>
      </c>
      <c r="J19" s="28" t="n">
        <v>46227</v>
      </c>
      <c r="K19" s="27" t="inlineStr">
        <is>
          <t>Automated relationships pass; the complete human output review is pending.</t>
        </is>
      </c>
      <c r="L19" s="26" t="n">
        <v>1</v>
      </c>
      <c r="M19" s="26">
        <f>IF(OR(AND(I19="yes",H19="verified"),AND(I19="no",OR(H19="tested",H19="verified")),AND(H19="not applicable",K19&lt;&gt;"")),1,0)</f>
        <v/>
      </c>
    </row>
    <row r="20" ht="54" customHeight="1" s="17">
      <c r="A20" s="26" t="inlineStr">
        <is>
          <t>T-12</t>
        </is>
      </c>
      <c r="B20" s="26" t="inlineStr">
        <is>
          <t>Manual</t>
        </is>
      </c>
      <c r="C20" s="26" t="inlineStr">
        <is>
          <t>Text</t>
        </is>
      </c>
      <c r="D20" s="27" t="inlineStr">
        <is>
          <t>The component-owned manual protocol passes every Text playground scenario.</t>
        </is>
      </c>
      <c r="E20" s="26" t="inlineStr">
        <is>
          <t>package</t>
        </is>
      </c>
      <c r="F20" s="26" t="inlineStr">
        <is>
          <t>manual</t>
        </is>
      </c>
      <c r="G20" s="27" t="inlineStr">
        <is>
          <t>manual-tests/text.md</t>
        </is>
      </c>
      <c r="H20" s="26" t="inlineStr">
        <is>
          <t>implemented</t>
        </is>
      </c>
      <c r="I20" s="26" t="inlineStr">
        <is>
          <t>yes</t>
        </is>
      </c>
      <c r="J20" s="28" t="n"/>
      <c r="K20" s="27" t="inlineStr">
        <is>
          <t>Protocol is intentionally unrun and contains no claimed result.</t>
        </is>
      </c>
      <c r="L20" s="26" t="n">
        <v>1</v>
      </c>
      <c r="M20" s="26">
        <f>IF(OR(AND(I20="yes",H20="verified"),AND(I20="no",OR(H20="tested",H20="verified")),AND(H20="not applicable",K20&lt;&gt;"")),1,0)</f>
        <v/>
      </c>
    </row>
    <row r="21" ht="54" customHeight="1" s="17">
      <c r="A21" s="26" t="inlineStr">
        <is>
          <t>T-13</t>
        </is>
      </c>
      <c r="B21" s="26" t="inlineStr">
        <is>
          <t>Docs</t>
        </is>
      </c>
      <c r="C21" s="26" t="inlineStr">
        <is>
          <t>Text</t>
        </is>
      </c>
      <c r="D21" s="27" t="inlineStr">
        <is>
          <t>Source-backed public usage and API documentation passes component documentation checks.</t>
        </is>
      </c>
      <c r="E21" s="26" t="inlineStr">
        <is>
          <t>package</t>
        </is>
      </c>
      <c r="F21" s="26" t="inlineStr">
        <is>
          <t>docs</t>
        </is>
      </c>
      <c r="G21" s="27" t="inlineStr">
        <is>
          <t>../docs/components/text/README.md</t>
        </is>
      </c>
      <c r="H21" s="26" t="inlineStr">
        <is>
          <t>tested</t>
        </is>
      </c>
      <c r="I21" s="26" t="inlineStr">
        <is>
          <t>no</t>
        </is>
      </c>
      <c r="J21" s="28" t="n">
        <v>46227</v>
      </c>
      <c r="K21" s="27" t="n"/>
      <c r="L21" s="26" t="n">
        <v>1</v>
      </c>
      <c r="M21" s="26">
        <f>IF(OR(AND(I21="yes",H21="verified"),AND(I21="no",OR(H21="tested",H21="verified")),AND(H21="not applicable",K21&lt;&gt;"")),1,0)</f>
        <v/>
      </c>
    </row>
    <row r="22" ht="54" customHeight="1" s="17">
      <c r="A22" s="26" t="inlineStr">
        <is>
          <t>T-14</t>
        </is>
      </c>
      <c r="B22" s="26" t="inlineStr">
        <is>
          <t>Changelog</t>
        </is>
      </c>
      <c r="C22" s="26" t="inlineStr">
        <is>
          <t>Text</t>
        </is>
      </c>
      <c r="D22" s="27" t="inlineStr">
        <is>
          <t>Text owns a public component changelog and the package changelog records its addition.</t>
        </is>
      </c>
      <c r="E22" s="26" t="inlineStr">
        <is>
          <t>package</t>
        </is>
      </c>
      <c r="F22" s="26" t="inlineStr">
        <is>
          <t>docs</t>
        </is>
      </c>
      <c r="G22" s="27" t="inlineStr">
        <is>
          <t>../docs/components/text/CHANGELOG.md; ../CHANGELOG.md</t>
        </is>
      </c>
      <c r="H22" s="26" t="inlineStr">
        <is>
          <t>tested</t>
        </is>
      </c>
      <c r="I22" s="26" t="inlineStr">
        <is>
          <t>no</t>
        </is>
      </c>
      <c r="J22" s="28" t="n">
        <v>46227</v>
      </c>
      <c r="K22" s="27" t="n"/>
      <c r="L22" s="26" t="n">
        <v>1</v>
      </c>
      <c r="M22" s="26">
        <f>IF(OR(AND(I22="yes",H22="verified"),AND(I22="no",OR(H22="tested",H22="verified")),AND(H22="not applicable",K22&lt;&gt;"")),1,0)</f>
        <v/>
      </c>
    </row>
    <row r="23" ht="54" customHeight="1" s="17">
      <c r="A23" s="26" t="inlineStr">
        <is>
          <t>T-15</t>
        </is>
      </c>
      <c r="B23" s="26" t="inlineStr">
        <is>
          <t>Consumer</t>
        </is>
      </c>
      <c r="C23" s="26" t="inlineStr">
        <is>
          <t>Text</t>
        </is>
      </c>
      <c r="D23" s="27" t="inlineStr">
        <is>
          <t>The packed Consumer proves root and subpath Text usage through public imports.</t>
        </is>
      </c>
      <c r="E23" s="26" t="inlineStr">
        <is>
          <t>consumer</t>
        </is>
      </c>
      <c r="F23" s="26" t="inlineStr">
        <is>
          <t>consumer</t>
        </is>
      </c>
      <c r="G23" s="27" t="inlineStr">
        <is>
          <t>../apps/consumer/src/App.tsx; ../apps/consumer/tests/consumer.spec.ts</t>
        </is>
      </c>
      <c r="H23" s="26" t="inlineStr">
        <is>
          <t>tested</t>
        </is>
      </c>
      <c r="I23" s="26" t="inlineStr">
        <is>
          <t>no</t>
        </is>
      </c>
      <c r="J23" s="28" t="n">
        <v>46227</v>
      </c>
      <c r="K23" s="27" t="n"/>
      <c r="L23" s="26" t="n">
        <v>1</v>
      </c>
      <c r="M23" s="26">
        <f>IF(OR(AND(I23="yes",H23="verified"),AND(I23="no",OR(H23="tested",H23="verified")),AND(H23="not applicable",K23&lt;&gt;"")),1,0)</f>
        <v/>
      </c>
    </row>
    <row r="24" ht="54" customHeight="1" s="17">
      <c r="A24" s="26" t="inlineStr">
        <is>
          <t>T-16</t>
        </is>
      </c>
      <c r="B24" s="26" t="inlineStr">
        <is>
          <t>Package</t>
        </is>
      </c>
      <c r="C24" s="26" t="inlineStr">
        <is>
          <t>Text</t>
        </is>
      </c>
      <c r="D24" s="27" t="inlineStr">
        <is>
          <t>Build, SSR, exports, CSS, tarball, React 18/19, and packed-consumer verification pass.</t>
        </is>
      </c>
      <c r="E24" s="26" t="inlineStr">
        <is>
          <t>package</t>
        </is>
      </c>
      <c r="F24" s="26" t="inlineStr">
        <is>
          <t>package</t>
        </is>
      </c>
      <c r="G24" s="27" t="inlineStr">
        <is>
          <t>../test/package; ../scripts/verify-package.mjs; ../scripts/verify-consumers.mjs</t>
        </is>
      </c>
      <c r="H24" s="26" t="inlineStr">
        <is>
          <t>implemented</t>
        </is>
      </c>
      <c r="I24" s="26" t="inlineStr">
        <is>
          <t>yes</t>
        </is>
      </c>
      <c r="J24" s="28" t="n">
        <v>46227</v>
      </c>
      <c r="K24" s="27" t="inlineStr">
        <is>
          <t>Automated package gates pass; complete status waits for the component-owned manual protocol.</t>
        </is>
      </c>
      <c r="L24" s="26" t="n">
        <v>1</v>
      </c>
      <c r="M24" s="26">
        <f>IF(OR(AND(I24="yes",H24="verified"),AND(I24="no",OR(H24="tested",H24="verified")),AND(H24="not applicable",K24&lt;&gt;"")),1,0)</f>
        <v/>
      </c>
    </row>
  </sheetData>
  <mergeCells count="2">
    <mergeCell ref="A2:M2"/>
    <mergeCell ref="A1:M1"/>
  </mergeCells>
  <conditionalFormatting sqref="H9:H24">
    <cfRule type="containsText" rank="0" priority="2" equalAverage="0" operator="containsText" aboveAverage="0" dxfId="5" text="not started" percent="0" bottom="0">
      <formula>NOT(ISERROR(SEARCH("not started",H9)))</formula>
    </cfRule>
    <cfRule type="containsText" rank="0" priority="3" equalAverage="0" operator="containsText" aboveAverage="0" dxfId="6" text="partial" percent="0" bottom="0">
      <formula>NOT(ISERROR(SEARCH("partial",H9)))</formula>
    </cfRule>
    <cfRule type="containsText" rank="0" priority="4" equalAverage="0" operator="containsText" aboveAverage="0" dxfId="7" text="implemented" percent="0" bottom="0">
      <formula>NOT(ISERROR(SEARCH("implemented",H9)))</formula>
    </cfRule>
    <cfRule type="containsText" rank="0" priority="5" equalAverage="0" operator="containsText" aboveAverage="0" dxfId="8" text="tested" percent="0" bottom="0">
      <formula>NOT(ISERROR(SEARCH("tested",H9)))</formula>
    </cfRule>
    <cfRule type="containsText" rank="0" priority="6" equalAverage="0" operator="containsText" aboveAverage="0" dxfId="3" text="verified" percent="0" bottom="0">
      <formula>NOT(ISERROR(SEARCH("verified",H9)))</formula>
    </cfRule>
    <cfRule type="containsText" rank="0" priority="7" equalAverage="0" operator="containsText" aboveAverage="0" dxfId="9" text="blocked" percent="0" bottom="0">
      <formula>NOT(ISERROR(SEARCH("blocked",H9)))</formula>
    </cfRule>
    <cfRule type="containsText" rank="0" priority="8" equalAverage="0" operator="containsText" aboveAverage="0" dxfId="5" text="not applicable" percent="0" bottom="0">
      <formula>NOT(ISERROR(SEARCH("not applicable",H9)))</formula>
    </cfRule>
  </conditionalFormatting>
  <dataValidations count="2">
    <dataValidation sqref="H9:H24" showDropDown="0" showInputMessage="1" showErrorMessage="1" allowBlank="1" type="list" errorStyle="stop" operator="between">
      <formula1>"not started,partial,implemented,tested,verified,blocked,not applicable"</formula1>
      <formula2>0</formula2>
    </dataValidation>
    <dataValidation sqref="I9:I24" showDropDown="0" showInputMessage="1" showErrorMessage="1" allowBlank="1" type="list" errorStyle="stop" operator="between">
      <formula1>"yes,no"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22.xml><?xml version="1.0" encoding="utf-8"?>
<worksheet xmlns="http://schemas.openxmlformats.org/spreadsheetml/2006/main">
  <sheetPr filterMode="0">
    <outlinePr summaryBelow="1" summaryRight="1"/>
    <pageSetUpPr fitToPage="0"/>
  </sheetPr>
  <dimension ref="A1:M2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baseColWidth="8" defaultColWidth="8.6796875" defaultRowHeight="15" customHeight="0" zeroHeight="0" outlineLevelRow="0"/>
  <cols>
    <col width="13.71" customWidth="1" style="23" min="1" max="1"/>
    <col width="15.71" customWidth="1" style="23" min="2" max="2"/>
    <col width="18.71" customWidth="1" style="23" min="3" max="3"/>
    <col width="58.71" customWidth="1" style="23" min="4" max="4"/>
    <col width="14.71" customWidth="1" style="23" min="5" max="6"/>
    <col width="50.71" customWidth="1" style="23" min="7" max="7"/>
    <col width="17.71" customWidth="1" style="23" min="8" max="8"/>
    <col width="14.71" customWidth="1" style="23" min="9" max="9"/>
    <col width="14.71" customWidth="1" style="25" min="10" max="10"/>
    <col width="42.71" customWidth="1" style="23" min="11" max="11"/>
    <col width="10.71" customWidth="1" style="23" min="12" max="13"/>
  </cols>
  <sheetData>
    <row r="1" ht="37.5" customHeight="1" s="17">
      <c r="A1" s="18" t="inlineStr">
        <is>
          <t>Notification Badge Evidence</t>
        </is>
      </c>
    </row>
    <row r="2" ht="27.75" customHeight="1" s="17">
      <c r="A2" s="19" t="inlineStr">
        <is>
          <t>Assertion-level package, browser, human-review, documentation, and consumer evidence.</t>
        </is>
      </c>
    </row>
    <row r="4" ht="17.25" customHeight="1" s="17">
      <c r="A4" s="20" t="inlineStr">
        <is>
          <t>Requirements</t>
        </is>
      </c>
      <c r="B4" s="21" t="n">
        <v>16</v>
      </c>
      <c r="D4" s="20" t="inlineStr">
        <is>
          <t>Resolved</t>
        </is>
      </c>
      <c r="E4" s="21" t="n">
        <v>16</v>
      </c>
      <c r="G4" s="20" t="inlineStr">
        <is>
          <t>Completion</t>
        </is>
      </c>
      <c r="H4" s="22" t="n">
        <v>1</v>
      </c>
      <c r="J4" s="20" t="inlineStr">
        <is>
          <t>Package gate</t>
        </is>
      </c>
      <c r="K4" s="21" t="inlineStr">
        <is>
          <t>complete</t>
        </is>
      </c>
    </row>
    <row r="5" ht="17.25" customHeight="1" s="17">
      <c r="A5" s="20" t="inlineStr">
        <is>
          <t>Manual review</t>
        </is>
      </c>
      <c r="B5" s="21" t="inlineStr">
        <is>
          <t>complete</t>
        </is>
      </c>
      <c r="D5" s="20" t="inlineStr">
        <is>
          <t>Consumer gate</t>
        </is>
      </c>
      <c r="E5" s="21" t="inlineStr">
        <is>
          <t>complete</t>
        </is>
      </c>
    </row>
    <row r="8" ht="15" customHeight="1" s="17">
      <c r="A8" s="23" t="inlineStr">
        <is>
          <t>ID</t>
        </is>
      </c>
      <c r="B8" s="23" t="inlineStr">
        <is>
          <t>Area</t>
        </is>
      </c>
      <c r="C8" s="23" t="inlineStr">
        <is>
          <t>Part</t>
        </is>
      </c>
      <c r="D8" s="23" t="inlineStr">
        <is>
          <t>Requirement</t>
        </is>
      </c>
      <c r="E8" s="23" t="inlineStr">
        <is>
          <t>Gate</t>
        </is>
      </c>
      <c r="F8" s="23" t="inlineStr">
        <is>
          <t>Evidence type</t>
        </is>
      </c>
      <c r="G8" s="23" t="inlineStr">
        <is>
          <t>Evidence / link</t>
        </is>
      </c>
      <c r="H8" s="23" t="inlineStr">
        <is>
          <t>Status</t>
        </is>
      </c>
      <c r="I8" s="23" t="inlineStr">
        <is>
          <t>Human review?</t>
        </is>
      </c>
      <c r="J8" s="25" t="inlineStr">
        <is>
          <t>Last verified</t>
        </is>
      </c>
      <c r="K8" s="23" t="inlineStr">
        <is>
          <t>Blocker / N/A reason</t>
        </is>
      </c>
      <c r="L8" s="23" t="inlineStr">
        <is>
          <t>Weight</t>
        </is>
      </c>
      <c r="M8" s="23" t="inlineStr">
        <is>
          <t>Resolved</t>
        </is>
      </c>
    </row>
    <row r="9" ht="42" customHeight="1" s="17">
      <c r="A9" s="23" t="inlineStr">
        <is>
          <t>NB-01</t>
        </is>
      </c>
      <c r="B9" s="23" t="inlineStr">
        <is>
          <t>Implementation</t>
        </is>
      </c>
      <c r="C9" s="23" t="inlineStr">
        <is>
          <t>NotificationBadge</t>
        </is>
      </c>
      <c r="D9" s="23" t="inlineStr">
        <is>
          <t>Public component implementation and Atom adapter exist.</t>
        </is>
      </c>
      <c r="E9" s="23" t="inlineStr">
        <is>
          <t>package</t>
        </is>
      </c>
      <c r="F9" s="23" t="inlineStr">
        <is>
          <t>source</t>
        </is>
      </c>
      <c r="G9" s="23" t="inlineStr">
        <is>
          <t>../src/components/badge</t>
        </is>
      </c>
      <c r="H9" s="23" t="inlineStr">
        <is>
          <t>tested</t>
        </is>
      </c>
      <c r="I9" s="23" t="inlineStr">
        <is>
          <t>no</t>
        </is>
      </c>
      <c r="J9" s="25" t="n">
        <v>46227</v>
      </c>
      <c r="L9" s="23" t="n">
        <v>1</v>
      </c>
      <c r="M9" s="23" t="n">
        <v>1</v>
      </c>
    </row>
    <row r="10" ht="42" customHeight="1" s="17">
      <c r="A10" s="23" t="inlineStr">
        <is>
          <t>NB-02</t>
        </is>
      </c>
      <c r="B10" s="23" t="inlineStr">
        <is>
          <t>Exports</t>
        </is>
      </c>
      <c r="C10" s="23" t="inlineStr">
        <is>
          <t>NotificationBadge</t>
        </is>
      </c>
      <c r="D10" s="23" t="inlineStr">
        <is>
          <t>Root and public subpath exports expose the component.</t>
        </is>
      </c>
      <c r="E10" s="23" t="inlineStr">
        <is>
          <t>package</t>
        </is>
      </c>
      <c r="F10" s="23" t="inlineStr">
        <is>
          <t>package</t>
        </is>
      </c>
      <c r="G10" s="23" t="inlineStr">
        <is>
          <t>../test/package/package.test.mjs</t>
        </is>
      </c>
      <c r="H10" s="23" t="inlineStr">
        <is>
          <t>tested</t>
        </is>
      </c>
      <c r="I10" s="23" t="inlineStr">
        <is>
          <t>no</t>
        </is>
      </c>
      <c r="J10" s="25" t="n">
        <v>46227</v>
      </c>
      <c r="L10" s="23" t="n">
        <v>1</v>
      </c>
      <c r="M10" s="23" t="n">
        <v>1</v>
      </c>
    </row>
    <row r="11" ht="42" customHeight="1" s="17">
      <c r="A11" s="23" t="inlineStr">
        <is>
          <t>NB-03</t>
        </is>
      </c>
      <c r="B11" s="23" t="inlineStr">
        <is>
          <t>Types</t>
        </is>
      </c>
      <c r="C11" s="23" t="inlineStr">
        <is>
          <t>NotificationBadge</t>
        </is>
      </c>
      <c r="D11" s="23" t="inlineStr">
        <is>
          <t>Public props, refs, composition branches, and invalid cases type-check.</t>
        </is>
      </c>
      <c r="E11" s="23" t="inlineStr">
        <is>
          <t>package</t>
        </is>
      </c>
      <c r="F11" s="23" t="inlineStr">
        <is>
          <t>types</t>
        </is>
      </c>
      <c r="G11" s="23" t="inlineStr">
        <is>
          <t>../test/types/components/notification-badge.test.ts</t>
        </is>
      </c>
      <c r="H11" s="23" t="inlineStr">
        <is>
          <t>tested</t>
        </is>
      </c>
      <c r="I11" s="23" t="inlineStr">
        <is>
          <t>no</t>
        </is>
      </c>
      <c r="J11" s="25" t="n">
        <v>46227</v>
      </c>
      <c r="L11" s="23" t="n">
        <v>1</v>
      </c>
      <c r="M11" s="23" t="n">
        <v>1</v>
      </c>
    </row>
    <row r="12" ht="42" customHeight="1" s="17">
      <c r="A12" s="23" t="inlineStr">
        <is>
          <t>NB-04</t>
        </is>
      </c>
      <c r="B12" s="23" t="inlineStr">
        <is>
          <t>CSS</t>
        </is>
      </c>
      <c r="C12" s="23" t="inlineStr">
        <is>
          <t>NotificationBadge</t>
        </is>
      </c>
      <c r="D12" s="23" t="inlineStr">
        <is>
          <t>Static public CSS, classes, slots, recipes, states, and tokens are present.</t>
        </is>
      </c>
      <c r="E12" s="23" t="inlineStr">
        <is>
          <t>package</t>
        </is>
      </c>
      <c r="F12" s="23" t="inlineStr">
        <is>
          <t>css</t>
        </is>
      </c>
      <c r="G12" s="23" t="inlineStr">
        <is>
          <t>../src/components/badge/badge.css</t>
        </is>
      </c>
      <c r="H12" s="23" t="inlineStr">
        <is>
          <t>tested</t>
        </is>
      </c>
      <c r="I12" s="23" t="inlineStr">
        <is>
          <t>no</t>
        </is>
      </c>
      <c r="J12" s="25" t="n">
        <v>46227</v>
      </c>
      <c r="L12" s="23" t="n">
        <v>1</v>
      </c>
      <c r="M12" s="23" t="n">
        <v>1</v>
      </c>
    </row>
    <row r="13" ht="42" customHeight="1" s="17">
      <c r="A13" s="23" t="inlineStr">
        <is>
          <t>NB-05</t>
        </is>
      </c>
      <c r="B13" s="23" t="inlineStr">
        <is>
          <t>Unit</t>
        </is>
      </c>
      <c r="C13" s="23" t="inlineStr">
        <is>
          <t>NotificationBadge</t>
        </is>
      </c>
      <c r="D13" s="23" t="inlineStr">
        <is>
          <t>Brick-owned DOM, recipes, adapters, and public hooks pass focused tests.</t>
        </is>
      </c>
      <c r="E13" s="23" t="inlineStr">
        <is>
          <t>package</t>
        </is>
      </c>
      <c r="F13" s="23" t="inlineStr">
        <is>
          <t>component</t>
        </is>
      </c>
      <c r="G13" s="23" t="inlineStr">
        <is>
          <t>../test/components/notification-badge/notification-badge.test.tsx</t>
        </is>
      </c>
      <c r="H13" s="23" t="inlineStr">
        <is>
          <t>tested</t>
        </is>
      </c>
      <c r="I13" s="23" t="inlineStr">
        <is>
          <t>no</t>
        </is>
      </c>
      <c r="J13" s="25" t="n">
        <v>46227</v>
      </c>
      <c r="L13" s="23" t="n">
        <v>1</v>
      </c>
      <c r="M13" s="23" t="n">
        <v>1</v>
      </c>
    </row>
    <row r="14" ht="42" customHeight="1" s="17">
      <c r="A14" s="23" t="inlineStr">
        <is>
          <t>NB-06</t>
        </is>
      </c>
      <c r="B14" s="23" t="inlineStr">
        <is>
          <t>Browser</t>
        </is>
      </c>
      <c r="C14" s="23" t="inlineStr">
        <is>
          <t>NotificationBadge</t>
        </is>
      </c>
      <c r="D14" s="23" t="inlineStr">
        <is>
          <t>Real-browser behavior and component contract checks pass.</t>
        </is>
      </c>
      <c r="E14" s="23" t="inlineStr">
        <is>
          <t>package</t>
        </is>
      </c>
      <c r="F14" s="23" t="inlineStr">
        <is>
          <t>browser</t>
        </is>
      </c>
      <c r="G14" s="23" t="inlineStr">
        <is>
          <t>tests/components/notification-badge/behavior.spec.ts</t>
        </is>
      </c>
      <c r="H14" s="23" t="inlineStr">
        <is>
          <t>tested</t>
        </is>
      </c>
      <c r="I14" s="23" t="inlineStr">
        <is>
          <t>no</t>
        </is>
      </c>
      <c r="J14" s="25" t="n">
        <v>46227</v>
      </c>
      <c r="L14" s="23" t="n">
        <v>1</v>
      </c>
      <c r="M14" s="23" t="n">
        <v>1</v>
      </c>
    </row>
    <row r="15" ht="42" customHeight="1" s="17">
      <c r="A15" s="23" t="inlineStr">
        <is>
          <t>NB-07</t>
        </is>
      </c>
      <c r="B15" s="23" t="inlineStr">
        <is>
          <t>Accessibility</t>
        </is>
      </c>
      <c r="C15" s="23" t="inlineStr">
        <is>
          <t>NotificationBadge</t>
        </is>
      </c>
      <c r="D15" s="23" t="inlineStr">
        <is>
          <t>Automated semantics and accessibility checks pass in the browser evidence suite.</t>
        </is>
      </c>
      <c r="E15" s="23" t="inlineStr">
        <is>
          <t>package</t>
        </is>
      </c>
      <c r="F15" s="23" t="inlineStr">
        <is>
          <t>axe</t>
        </is>
      </c>
      <c r="G15" s="23" t="inlineStr">
        <is>
          <t>tests/components/notification-badge/behavior.spec.ts; tests/integration</t>
        </is>
      </c>
      <c r="H15" s="23" t="inlineStr">
        <is>
          <t>tested</t>
        </is>
      </c>
      <c r="I15" s="23" t="inlineStr">
        <is>
          <t>no</t>
        </is>
      </c>
      <c r="J15" s="25" t="n">
        <v>46227</v>
      </c>
      <c r="L15" s="23" t="n">
        <v>1</v>
      </c>
      <c r="M15" s="23" t="n">
        <v>1</v>
      </c>
    </row>
    <row r="16" ht="42" customHeight="1" s="17">
      <c r="A16" s="23" t="inlineStr">
        <is>
          <t>NB-08</t>
        </is>
      </c>
      <c r="B16" s="23" t="inlineStr">
        <is>
          <t>Visual</t>
        </is>
      </c>
      <c r="C16" s="23" t="inlineStr">
        <is>
          <t>NotificationBadge</t>
        </is>
      </c>
      <c r="D16" s="23" t="inlineStr">
        <is>
          <t>Reviewed baselines cover the component's risk-selected recipes and states.</t>
        </is>
      </c>
      <c r="E16" s="23" t="inlineStr">
        <is>
          <t>package</t>
        </is>
      </c>
      <c r="F16" s="23" t="inlineStr">
        <is>
          <t>visual</t>
        </is>
      </c>
      <c r="G16" s="23" t="inlineStr">
        <is>
          <t>tests/components/notification-badge/visual.spec.ts</t>
        </is>
      </c>
      <c r="H16" s="23" t="inlineStr">
        <is>
          <t>verified</t>
        </is>
      </c>
      <c r="I16" s="23" t="inlineStr">
        <is>
          <t>yes</t>
        </is>
      </c>
      <c r="J16" s="25" t="n">
        <v>46227</v>
      </c>
      <c r="K16" s="23" t="inlineStr">
        <is>
          <t>Owner reviewed the current playground evidence.</t>
        </is>
      </c>
      <c r="L16" s="23" t="n">
        <v>1</v>
      </c>
      <c r="M16" s="23" t="n">
        <v>1</v>
      </c>
    </row>
    <row r="17" ht="42" customHeight="1" s="17">
      <c r="A17" s="23" t="inlineStr">
        <is>
          <t>NB-09</t>
        </is>
      </c>
      <c r="B17" s="23" t="inlineStr">
        <is>
          <t>Responsive</t>
        </is>
      </c>
      <c r="C17" s="23" t="inlineStr">
        <is>
          <t>NotificationBadge</t>
        </is>
      </c>
      <c r="D17" s="23" t="inlineStr">
        <is>
          <t>Mobile, zoom/reflow, content stress, and RTL remain usable and contained.</t>
        </is>
      </c>
      <c r="E17" s="23" t="inlineStr">
        <is>
          <t>package</t>
        </is>
      </c>
      <c r="F17" s="23" t="inlineStr">
        <is>
          <t>manual</t>
        </is>
      </c>
      <c r="G17" s="23" t="inlineStr">
        <is>
          <t>manual-tests/notification-badge.md</t>
        </is>
      </c>
      <c r="H17" s="23" t="inlineStr">
        <is>
          <t>verified</t>
        </is>
      </c>
      <c r="I17" s="23" t="inlineStr">
        <is>
          <t>yes</t>
        </is>
      </c>
      <c r="J17" s="25" t="n">
        <v>46227</v>
      </c>
      <c r="K17" s="23" t="inlineStr">
        <is>
          <t>Owner completed the current manual protocol.</t>
        </is>
      </c>
      <c r="L17" s="23" t="n">
        <v>1</v>
      </c>
      <c r="M17" s="23" t="n">
        <v>1</v>
      </c>
    </row>
    <row r="18" ht="42" customHeight="1" s="17">
      <c r="A18" s="23" t="inlineStr">
        <is>
          <t>NB-10</t>
        </is>
      </c>
      <c r="B18" s="23" t="inlineStr">
        <is>
          <t>Theme</t>
        </is>
      </c>
      <c r="C18" s="23" t="inlineStr">
        <is>
          <t>NotificationBadge</t>
        </is>
      </c>
      <c r="D18" s="23" t="inlineStr">
        <is>
          <t>Light, dark, focus, forced-colors, and relevant motion behavior remain perceivable.</t>
        </is>
      </c>
      <c r="E18" s="23" t="inlineStr">
        <is>
          <t>package</t>
        </is>
      </c>
      <c r="F18" s="23" t="inlineStr">
        <is>
          <t>manual</t>
        </is>
      </c>
      <c r="G18" s="23" t="inlineStr">
        <is>
          <t>manual-tests/notification-badge.md</t>
        </is>
      </c>
      <c r="H18" s="23" t="inlineStr">
        <is>
          <t>verified</t>
        </is>
      </c>
      <c r="I18" s="23" t="inlineStr">
        <is>
          <t>yes</t>
        </is>
      </c>
      <c r="J18" s="25" t="n">
        <v>46227</v>
      </c>
      <c r="K18" s="23" t="inlineStr">
        <is>
          <t>Owner completed the current manual protocol.</t>
        </is>
      </c>
      <c r="L18" s="23" t="n">
        <v>1</v>
      </c>
      <c r="M18" s="23" t="n">
        <v>1</v>
      </c>
    </row>
    <row r="19" ht="42" customHeight="1" s="17">
      <c r="A19" s="23" t="inlineStr">
        <is>
          <t>NB-11</t>
        </is>
      </c>
      <c r="B19" s="23" t="inlineStr">
        <is>
          <t>Composition</t>
        </is>
      </c>
      <c r="C19" s="23" t="inlineStr">
        <is>
          <t>NotificationBadge</t>
        </is>
      </c>
      <c r="D19" s="23" t="inlineStr">
        <is>
          <t>Default, render, and asChild output preserve the intended element, slots, state, and relationships.</t>
        </is>
      </c>
      <c r="E19" s="23" t="inlineStr">
        <is>
          <t>package</t>
        </is>
      </c>
      <c r="F19" s="23" t="inlineStr">
        <is>
          <t>manual</t>
        </is>
      </c>
      <c r="G19" s="23" t="inlineStr">
        <is>
          <t>manual-tests/notification-badge.md; tests/components/notification-badge/behavior.spec.ts</t>
        </is>
      </c>
      <c r="H19" s="23" t="inlineStr">
        <is>
          <t>verified</t>
        </is>
      </c>
      <c r="I19" s="23" t="inlineStr">
        <is>
          <t>yes</t>
        </is>
      </c>
      <c r="J19" s="25" t="n">
        <v>46227</v>
      </c>
      <c r="K19" s="23" t="inlineStr">
        <is>
          <t>Owner reviewed the live and rendered output evidence.</t>
        </is>
      </c>
      <c r="L19" s="23" t="n">
        <v>1</v>
      </c>
      <c r="M19" s="23" t="n">
        <v>1</v>
      </c>
    </row>
    <row r="20" ht="42" customHeight="1" s="17">
      <c r="A20" s="23" t="inlineStr">
        <is>
          <t>NB-12</t>
        </is>
      </c>
      <c r="B20" s="23" t="inlineStr">
        <is>
          <t>Manual</t>
        </is>
      </c>
      <c r="C20" s="23" t="inlineStr">
        <is>
          <t>NotificationBadge</t>
        </is>
      </c>
      <c r="D20" s="23" t="inlineStr">
        <is>
          <t>The complete component-owned manual protocol passed against every playground scenario.</t>
        </is>
      </c>
      <c r="E20" s="23" t="inlineStr">
        <is>
          <t>package</t>
        </is>
      </c>
      <c r="F20" s="23" t="inlineStr">
        <is>
          <t>manual</t>
        </is>
      </c>
      <c r="G20" s="23" t="inlineStr">
        <is>
          <t>manual-tests/notification-badge.md</t>
        </is>
      </c>
      <c r="H20" s="23" t="inlineStr">
        <is>
          <t>verified</t>
        </is>
      </c>
      <c r="I20" s="23" t="inlineStr">
        <is>
          <t>yes</t>
        </is>
      </c>
      <c r="J20" s="25" t="n">
        <v>46227</v>
      </c>
      <c r="K20" s="23" t="inlineStr">
        <is>
          <t>Owner confirmed completion on 2026-07-24.</t>
        </is>
      </c>
      <c r="L20" s="23" t="n">
        <v>1</v>
      </c>
      <c r="M20" s="23" t="n">
        <v>1</v>
      </c>
    </row>
    <row r="21" ht="42" customHeight="1" s="17">
      <c r="A21" s="23" t="inlineStr">
        <is>
          <t>NB-13</t>
        </is>
      </c>
      <c r="B21" s="23" t="inlineStr">
        <is>
          <t>Docs</t>
        </is>
      </c>
      <c r="C21" s="23" t="inlineStr">
        <is>
          <t>NotificationBadge</t>
        </is>
      </c>
      <c r="D21" s="23" t="inlineStr">
        <is>
          <t>Public usage documentation exists at the component-owned path.</t>
        </is>
      </c>
      <c r="E21" s="23" t="inlineStr">
        <is>
          <t>package</t>
        </is>
      </c>
      <c r="F21" s="23" t="inlineStr">
        <is>
          <t>docs</t>
        </is>
      </c>
      <c r="G21" s="23" t="inlineStr">
        <is>
          <t>../docs/components/notification-badge/README.md</t>
        </is>
      </c>
      <c r="H21" s="23" t="inlineStr">
        <is>
          <t>tested</t>
        </is>
      </c>
      <c r="I21" s="23" t="inlineStr">
        <is>
          <t>no</t>
        </is>
      </c>
      <c r="J21" s="25" t="n">
        <v>46227</v>
      </c>
      <c r="L21" s="23" t="n">
        <v>1</v>
      </c>
      <c r="M21" s="23" t="n">
        <v>1</v>
      </c>
    </row>
    <row r="22" ht="42" customHeight="1" s="17">
      <c r="A22" s="23" t="inlineStr">
        <is>
          <t>NB-14</t>
        </is>
      </c>
      <c r="B22" s="23" t="inlineStr">
        <is>
          <t>Changelog</t>
        </is>
      </c>
      <c r="C22" s="23" t="inlineStr">
        <is>
          <t>NotificationBadge</t>
        </is>
      </c>
      <c r="D22" s="23" t="inlineStr">
        <is>
          <t>The component owns a public changelog.</t>
        </is>
      </c>
      <c r="E22" s="23" t="inlineStr">
        <is>
          <t>package</t>
        </is>
      </c>
      <c r="F22" s="23" t="inlineStr">
        <is>
          <t>docs</t>
        </is>
      </c>
      <c r="G22" s="23" t="inlineStr">
        <is>
          <t>../docs/components/notification-badge/CHANGELOG.md</t>
        </is>
      </c>
      <c r="H22" s="23" t="inlineStr">
        <is>
          <t>tested</t>
        </is>
      </c>
      <c r="I22" s="23" t="inlineStr">
        <is>
          <t>no</t>
        </is>
      </c>
      <c r="J22" s="25" t="n">
        <v>46227</v>
      </c>
      <c r="L22" s="23" t="n">
        <v>1</v>
      </c>
      <c r="M22" s="23" t="n">
        <v>1</v>
      </c>
    </row>
    <row r="23" ht="42" customHeight="1" s="17">
      <c r="A23" s="23" t="inlineStr">
        <is>
          <t>NB-15</t>
        </is>
      </c>
      <c r="B23" s="23" t="inlineStr">
        <is>
          <t>Consumer</t>
        </is>
      </c>
      <c r="C23" s="23" t="inlineStr">
        <is>
          <t>NotificationBadge</t>
        </is>
      </c>
      <c r="D23" s="23" t="inlineStr">
        <is>
          <t>The standalone consumer imports and exercises the public package component.</t>
        </is>
      </c>
      <c r="E23" s="23" t="inlineStr">
        <is>
          <t>consumer</t>
        </is>
      </c>
      <c r="F23" s="23" t="inlineStr">
        <is>
          <t>consumer</t>
        </is>
      </c>
      <c r="G23" s="23" t="inlineStr">
        <is>
          <t>../apps/consumer/src/App.tsx; ../apps/consumer/tests/consumer.spec.ts</t>
        </is>
      </c>
      <c r="H23" s="23" t="inlineStr">
        <is>
          <t>tested</t>
        </is>
      </c>
      <c r="I23" s="23" t="inlineStr">
        <is>
          <t>no</t>
        </is>
      </c>
      <c r="J23" s="25" t="n">
        <v>46227</v>
      </c>
      <c r="L23" s="23" t="n">
        <v>1</v>
      </c>
      <c r="M23" s="23" t="n">
        <v>1</v>
      </c>
    </row>
    <row r="24" ht="42" customHeight="1" s="17">
      <c r="A24" s="23" t="inlineStr">
        <is>
          <t>NB-16</t>
        </is>
      </c>
      <c r="B24" s="23" t="inlineStr">
        <is>
          <t>Package</t>
        </is>
      </c>
      <c r="C24" s="23" t="inlineStr">
        <is>
          <t>NotificationBadge</t>
        </is>
      </c>
      <c r="D24" s="23" t="inlineStr">
        <is>
          <t>Build, exports, tarball, CSS, and consumer boundary verification pass.</t>
        </is>
      </c>
      <c r="E24" s="23" t="inlineStr">
        <is>
          <t>package</t>
        </is>
      </c>
      <c r="F24" s="23" t="inlineStr">
        <is>
          <t>package</t>
        </is>
      </c>
      <c r="G24" s="23" t="inlineStr">
        <is>
          <t>../scripts/verify-package.mjs; ../scripts/verify-consumers.mjs</t>
        </is>
      </c>
      <c r="H24" s="23" t="inlineStr">
        <is>
          <t>tested</t>
        </is>
      </c>
      <c r="I24" s="23" t="inlineStr">
        <is>
          <t>no</t>
        </is>
      </c>
      <c r="J24" s="25" t="n">
        <v>46227</v>
      </c>
      <c r="L24" s="23" t="n">
        <v>1</v>
      </c>
      <c r="M24" s="23" t="n">
        <v>1</v>
      </c>
    </row>
  </sheetData>
  <mergeCells count="2">
    <mergeCell ref="A2:M2"/>
    <mergeCell ref="A1:M1"/>
  </mergeCells>
  <conditionalFormatting sqref="H9:H24">
    <cfRule type="containsText" rank="0" priority="2" equalAverage="0" operator="containsText" aboveAverage="0" dxfId="5" text="not started" percent="0" bottom="0">
      <formula>NOT(ISERROR(SEARCH("not started",H9)))</formula>
    </cfRule>
    <cfRule type="containsText" rank="0" priority="3" equalAverage="0" operator="containsText" aboveAverage="0" dxfId="6" text="partial" percent="0" bottom="0">
      <formula>NOT(ISERROR(SEARCH("partial",H9)))</formula>
    </cfRule>
    <cfRule type="containsText" rank="0" priority="4" equalAverage="0" operator="containsText" aboveAverage="0" dxfId="7" text="implemented" percent="0" bottom="0">
      <formula>NOT(ISERROR(SEARCH("implemented",H9)))</formula>
    </cfRule>
    <cfRule type="containsText" rank="0" priority="5" equalAverage="0" operator="containsText" aboveAverage="0" dxfId="8" text="tested" percent="0" bottom="0">
      <formula>NOT(ISERROR(SEARCH("tested",H9)))</formula>
    </cfRule>
    <cfRule type="containsText" rank="0" priority="6" equalAverage="0" operator="containsText" aboveAverage="0" dxfId="3" text="verified" percent="0" bottom="0">
      <formula>NOT(ISERROR(SEARCH("verified",H9)))</formula>
    </cfRule>
    <cfRule type="containsText" rank="0" priority="7" equalAverage="0" operator="containsText" aboveAverage="0" dxfId="9" text="blocked" percent="0" bottom="0">
      <formula>NOT(ISERROR(SEARCH("blocked",H9)))</formula>
    </cfRule>
    <cfRule type="containsText" rank="0" priority="8" equalAverage="0" operator="containsText" aboveAverage="0" dxfId="5" text="not applicable" percent="0" bottom="0">
      <formula>NOT(ISERROR(SEARCH("not applicable",H9)))</formula>
    </cfRule>
  </conditionalFormatting>
  <dataValidations count="2">
    <dataValidation sqref="H9:H24" showDropDown="0" showInputMessage="1" showErrorMessage="1" allowBlank="1" type="list" errorStyle="stop" operator="between">
      <formula1>"not started,partial,implemented,tested,verified,blocked,not applicable"</formula1>
      <formula2>0</formula2>
    </dataValidation>
    <dataValidation sqref="I9:I24" showDropDown="0" showInputMessage="1" showErrorMessage="1" allowBlank="1" type="list" errorStyle="stop" operator="between">
      <formula1>"yes,no"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23.xml><?xml version="1.0" encoding="utf-8"?>
<worksheet xmlns="http://schemas.openxmlformats.org/spreadsheetml/2006/main">
  <sheetPr filterMode="0">
    <outlinePr summaryBelow="1" summaryRight="1"/>
    <pageSetUpPr fitToPage="0"/>
  </sheetPr>
  <dimension ref="A1:M2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baseColWidth="8" defaultColWidth="8.6796875" defaultRowHeight="15" customHeight="0" zeroHeight="0" outlineLevelRow="0"/>
  <cols>
    <col width="13.71" customWidth="1" style="23" min="1" max="1"/>
    <col width="15.71" customWidth="1" style="23" min="2" max="2"/>
    <col width="18.71" customWidth="1" style="23" min="3" max="3"/>
    <col width="58.71" customWidth="1" style="23" min="4" max="4"/>
    <col width="14.71" customWidth="1" style="23" min="5" max="6"/>
    <col width="50.71" customWidth="1" style="23" min="7" max="7"/>
    <col width="17.71" customWidth="1" style="23" min="8" max="8"/>
    <col width="14.71" customWidth="1" style="23" min="9" max="9"/>
    <col width="14.71" customWidth="1" style="25" min="10" max="10"/>
    <col width="42.71" customWidth="1" style="23" min="11" max="11"/>
    <col width="10.71" customWidth="1" style="23" min="12" max="13"/>
  </cols>
  <sheetData>
    <row r="1" ht="37.5" customHeight="1" s="17">
      <c r="A1" s="18" t="inlineStr">
        <is>
          <t>Popover Evidence</t>
        </is>
      </c>
    </row>
    <row r="2" ht="27.75" customHeight="1" s="17">
      <c r="A2" s="19" t="inlineStr">
        <is>
          <t>Assertion-level package, browser, human-review, documentation, and consumer evidence.</t>
        </is>
      </c>
    </row>
    <row r="4" ht="17.25" customHeight="1" s="17">
      <c r="A4" s="20" t="inlineStr">
        <is>
          <t>Requirements</t>
        </is>
      </c>
      <c r="B4" s="21" t="n">
        <v>16</v>
      </c>
      <c r="D4" s="20" t="inlineStr">
        <is>
          <t>Resolved</t>
        </is>
      </c>
      <c r="E4" s="21" t="n">
        <v>16</v>
      </c>
      <c r="G4" s="20" t="inlineStr">
        <is>
          <t>Completion</t>
        </is>
      </c>
      <c r="H4" s="22" t="n">
        <v>1</v>
      </c>
      <c r="J4" s="20" t="inlineStr">
        <is>
          <t>Package gate</t>
        </is>
      </c>
      <c r="K4" s="21" t="inlineStr">
        <is>
          <t>complete</t>
        </is>
      </c>
    </row>
    <row r="5" ht="17.25" customHeight="1" s="17">
      <c r="A5" s="20" t="inlineStr">
        <is>
          <t>Manual review</t>
        </is>
      </c>
      <c r="B5" s="21" t="inlineStr">
        <is>
          <t>complete</t>
        </is>
      </c>
      <c r="D5" s="20" t="inlineStr">
        <is>
          <t>Consumer gate</t>
        </is>
      </c>
      <c r="E5" s="21" t="inlineStr">
        <is>
          <t>complete</t>
        </is>
      </c>
    </row>
    <row r="8" ht="15" customHeight="1" s="17">
      <c r="A8" s="23" t="inlineStr">
        <is>
          <t>ID</t>
        </is>
      </c>
      <c r="B8" s="23" t="inlineStr">
        <is>
          <t>Area</t>
        </is>
      </c>
      <c r="C8" s="23" t="inlineStr">
        <is>
          <t>Part</t>
        </is>
      </c>
      <c r="D8" s="23" t="inlineStr">
        <is>
          <t>Requirement</t>
        </is>
      </c>
      <c r="E8" s="23" t="inlineStr">
        <is>
          <t>Gate</t>
        </is>
      </c>
      <c r="F8" s="23" t="inlineStr">
        <is>
          <t>Evidence type</t>
        </is>
      </c>
      <c r="G8" s="23" t="inlineStr">
        <is>
          <t>Evidence / link</t>
        </is>
      </c>
      <c r="H8" s="23" t="inlineStr">
        <is>
          <t>Status</t>
        </is>
      </c>
      <c r="I8" s="23" t="inlineStr">
        <is>
          <t>Human review?</t>
        </is>
      </c>
      <c r="J8" s="25" t="inlineStr">
        <is>
          <t>Last verified</t>
        </is>
      </c>
      <c r="K8" s="23" t="inlineStr">
        <is>
          <t>Blocker / N/A reason</t>
        </is>
      </c>
      <c r="L8" s="23" t="inlineStr">
        <is>
          <t>Weight</t>
        </is>
      </c>
      <c r="M8" s="23" t="inlineStr">
        <is>
          <t>Resolved</t>
        </is>
      </c>
    </row>
    <row r="9" ht="42" customHeight="1" s="17">
      <c r="A9" s="23" t="inlineStr">
        <is>
          <t>P-01</t>
        </is>
      </c>
      <c r="B9" s="23" t="inlineStr">
        <is>
          <t>Implementation</t>
        </is>
      </c>
      <c r="C9" s="23" t="inlineStr">
        <is>
          <t>Popover</t>
        </is>
      </c>
      <c r="D9" s="23" t="inlineStr">
        <is>
          <t>Public component implementation and Atom adapter exist.</t>
        </is>
      </c>
      <c r="E9" s="23" t="inlineStr">
        <is>
          <t>package</t>
        </is>
      </c>
      <c r="F9" s="23" t="inlineStr">
        <is>
          <t>source</t>
        </is>
      </c>
      <c r="G9" s="23" t="inlineStr">
        <is>
          <t>../src/components/popover</t>
        </is>
      </c>
      <c r="H9" s="23" t="inlineStr">
        <is>
          <t>tested</t>
        </is>
      </c>
      <c r="I9" s="23" t="inlineStr">
        <is>
          <t>no</t>
        </is>
      </c>
      <c r="J9" s="25" t="n">
        <v>46227</v>
      </c>
      <c r="L9" s="23" t="n">
        <v>1</v>
      </c>
      <c r="M9" s="23" t="n">
        <v>1</v>
      </c>
    </row>
    <row r="10" ht="42" customHeight="1" s="17">
      <c r="A10" s="23" t="inlineStr">
        <is>
          <t>P-02</t>
        </is>
      </c>
      <c r="B10" s="23" t="inlineStr">
        <is>
          <t>Exports</t>
        </is>
      </c>
      <c r="C10" s="23" t="inlineStr">
        <is>
          <t>Popover</t>
        </is>
      </c>
      <c r="D10" s="23" t="inlineStr">
        <is>
          <t>Root and public subpath exports expose the component.</t>
        </is>
      </c>
      <c r="E10" s="23" t="inlineStr">
        <is>
          <t>package</t>
        </is>
      </c>
      <c r="F10" s="23" t="inlineStr">
        <is>
          <t>package</t>
        </is>
      </c>
      <c r="G10" s="23" t="inlineStr">
        <is>
          <t>../test/package/package.test.mjs</t>
        </is>
      </c>
      <c r="H10" s="23" t="inlineStr">
        <is>
          <t>tested</t>
        </is>
      </c>
      <c r="I10" s="23" t="inlineStr">
        <is>
          <t>no</t>
        </is>
      </c>
      <c r="J10" s="25" t="n">
        <v>46227</v>
      </c>
      <c r="L10" s="23" t="n">
        <v>1</v>
      </c>
      <c r="M10" s="23" t="n">
        <v>1</v>
      </c>
    </row>
    <row r="11" ht="42" customHeight="1" s="17">
      <c r="A11" s="23" t="inlineStr">
        <is>
          <t>P-03</t>
        </is>
      </c>
      <c r="B11" s="23" t="inlineStr">
        <is>
          <t>Types</t>
        </is>
      </c>
      <c r="C11" s="23" t="inlineStr">
        <is>
          <t>Popover</t>
        </is>
      </c>
      <c r="D11" s="23" t="inlineStr">
        <is>
          <t>Public props, refs, composition branches, and invalid cases type-check.</t>
        </is>
      </c>
      <c r="E11" s="23" t="inlineStr">
        <is>
          <t>package</t>
        </is>
      </c>
      <c r="F11" s="23" t="inlineStr">
        <is>
          <t>types</t>
        </is>
      </c>
      <c r="G11" s="23" t="inlineStr">
        <is>
          <t>../test/types/components/popover.test.ts</t>
        </is>
      </c>
      <c r="H11" s="23" t="inlineStr">
        <is>
          <t>tested</t>
        </is>
      </c>
      <c r="I11" s="23" t="inlineStr">
        <is>
          <t>no</t>
        </is>
      </c>
      <c r="J11" s="25" t="n">
        <v>46227</v>
      </c>
      <c r="L11" s="23" t="n">
        <v>1</v>
      </c>
      <c r="M11" s="23" t="n">
        <v>1</v>
      </c>
    </row>
    <row r="12" ht="42" customHeight="1" s="17">
      <c r="A12" s="23" t="inlineStr">
        <is>
          <t>P-04</t>
        </is>
      </c>
      <c r="B12" s="23" t="inlineStr">
        <is>
          <t>CSS</t>
        </is>
      </c>
      <c r="C12" s="23" t="inlineStr">
        <is>
          <t>Popover</t>
        </is>
      </c>
      <c r="D12" s="23" t="inlineStr">
        <is>
          <t>Static public CSS, classes, slots, recipes, states, and tokens are present.</t>
        </is>
      </c>
      <c r="E12" s="23" t="inlineStr">
        <is>
          <t>package</t>
        </is>
      </c>
      <c r="F12" s="23" t="inlineStr">
        <is>
          <t>css</t>
        </is>
      </c>
      <c r="G12" s="23" t="inlineStr">
        <is>
          <t>../src/components/popover/popover.css</t>
        </is>
      </c>
      <c r="H12" s="23" t="inlineStr">
        <is>
          <t>tested</t>
        </is>
      </c>
      <c r="I12" s="23" t="inlineStr">
        <is>
          <t>no</t>
        </is>
      </c>
      <c r="J12" s="25" t="n">
        <v>46227</v>
      </c>
      <c r="L12" s="23" t="n">
        <v>1</v>
      </c>
      <c r="M12" s="23" t="n">
        <v>1</v>
      </c>
    </row>
    <row r="13" ht="42" customHeight="1" s="17">
      <c r="A13" s="23" t="inlineStr">
        <is>
          <t>P-05</t>
        </is>
      </c>
      <c r="B13" s="23" t="inlineStr">
        <is>
          <t>Unit</t>
        </is>
      </c>
      <c r="C13" s="23" t="inlineStr">
        <is>
          <t>Popover</t>
        </is>
      </c>
      <c r="D13" s="23" t="inlineStr">
        <is>
          <t>Brick-owned DOM, recipes, adapters, and public hooks pass focused tests.</t>
        </is>
      </c>
      <c r="E13" s="23" t="inlineStr">
        <is>
          <t>package</t>
        </is>
      </c>
      <c r="F13" s="23" t="inlineStr">
        <is>
          <t>component</t>
        </is>
      </c>
      <c r="G13" s="23" t="inlineStr">
        <is>
          <t>../test/components/popover/popover.test.tsx</t>
        </is>
      </c>
      <c r="H13" s="23" t="inlineStr">
        <is>
          <t>tested</t>
        </is>
      </c>
      <c r="I13" s="23" t="inlineStr">
        <is>
          <t>no</t>
        </is>
      </c>
      <c r="J13" s="25" t="n">
        <v>46227</v>
      </c>
      <c r="L13" s="23" t="n">
        <v>1</v>
      </c>
      <c r="M13" s="23" t="n">
        <v>1</v>
      </c>
    </row>
    <row r="14" ht="42" customHeight="1" s="17">
      <c r="A14" s="23" t="inlineStr">
        <is>
          <t>P-06</t>
        </is>
      </c>
      <c r="B14" s="23" t="inlineStr">
        <is>
          <t>Browser</t>
        </is>
      </c>
      <c r="C14" s="23" t="inlineStr">
        <is>
          <t>Popover</t>
        </is>
      </c>
      <c r="D14" s="23" t="inlineStr">
        <is>
          <t>Real-browser behavior and component contract checks pass.</t>
        </is>
      </c>
      <c r="E14" s="23" t="inlineStr">
        <is>
          <t>package</t>
        </is>
      </c>
      <c r="F14" s="23" t="inlineStr">
        <is>
          <t>browser</t>
        </is>
      </c>
      <c r="G14" s="23" t="inlineStr">
        <is>
          <t>tests/components/popover/behavior.spec.ts</t>
        </is>
      </c>
      <c r="H14" s="23" t="inlineStr">
        <is>
          <t>tested</t>
        </is>
      </c>
      <c r="I14" s="23" t="inlineStr">
        <is>
          <t>no</t>
        </is>
      </c>
      <c r="J14" s="25" t="n">
        <v>46227</v>
      </c>
      <c r="L14" s="23" t="n">
        <v>1</v>
      </c>
      <c r="M14" s="23" t="n">
        <v>1</v>
      </c>
    </row>
    <row r="15" ht="42" customHeight="1" s="17">
      <c r="A15" s="23" t="inlineStr">
        <is>
          <t>P-07</t>
        </is>
      </c>
      <c r="B15" s="23" t="inlineStr">
        <is>
          <t>Accessibility</t>
        </is>
      </c>
      <c r="C15" s="23" t="inlineStr">
        <is>
          <t>Popover</t>
        </is>
      </c>
      <c r="D15" s="23" t="inlineStr">
        <is>
          <t>Automated semantics and accessibility checks pass in the browser evidence suite.</t>
        </is>
      </c>
      <c r="E15" s="23" t="inlineStr">
        <is>
          <t>package</t>
        </is>
      </c>
      <c r="F15" s="23" t="inlineStr">
        <is>
          <t>axe</t>
        </is>
      </c>
      <c r="G15" s="23" t="inlineStr">
        <is>
          <t>tests/components/popover/behavior.spec.ts; tests/integration</t>
        </is>
      </c>
      <c r="H15" s="23" t="inlineStr">
        <is>
          <t>tested</t>
        </is>
      </c>
      <c r="I15" s="23" t="inlineStr">
        <is>
          <t>no</t>
        </is>
      </c>
      <c r="J15" s="25" t="n">
        <v>46227</v>
      </c>
      <c r="L15" s="23" t="n">
        <v>1</v>
      </c>
      <c r="M15" s="23" t="n">
        <v>1</v>
      </c>
    </row>
    <row r="16" ht="42" customHeight="1" s="17">
      <c r="A16" s="23" t="inlineStr">
        <is>
          <t>P-08</t>
        </is>
      </c>
      <c r="B16" s="23" t="inlineStr">
        <is>
          <t>Visual</t>
        </is>
      </c>
      <c r="C16" s="23" t="inlineStr">
        <is>
          <t>Popover</t>
        </is>
      </c>
      <c r="D16" s="23" t="inlineStr">
        <is>
          <t>Reviewed baselines cover the component's risk-selected recipes and states.</t>
        </is>
      </c>
      <c r="E16" s="23" t="inlineStr">
        <is>
          <t>package</t>
        </is>
      </c>
      <c r="F16" s="23" t="inlineStr">
        <is>
          <t>visual</t>
        </is>
      </c>
      <c r="G16" s="23" t="inlineStr">
        <is>
          <t>tests/components/popover/visual.spec.ts</t>
        </is>
      </c>
      <c r="H16" s="23" t="inlineStr">
        <is>
          <t>verified</t>
        </is>
      </c>
      <c r="I16" s="23" t="inlineStr">
        <is>
          <t>yes</t>
        </is>
      </c>
      <c r="J16" s="25" t="n">
        <v>46227</v>
      </c>
      <c r="K16" s="23" t="inlineStr">
        <is>
          <t>Owner reviewed the current playground evidence.</t>
        </is>
      </c>
      <c r="L16" s="23" t="n">
        <v>1</v>
      </c>
      <c r="M16" s="23" t="n">
        <v>1</v>
      </c>
    </row>
    <row r="17" ht="42" customHeight="1" s="17">
      <c r="A17" s="23" t="inlineStr">
        <is>
          <t>P-09</t>
        </is>
      </c>
      <c r="B17" s="23" t="inlineStr">
        <is>
          <t>Responsive</t>
        </is>
      </c>
      <c r="C17" s="23" t="inlineStr">
        <is>
          <t>Popover</t>
        </is>
      </c>
      <c r="D17" s="23" t="inlineStr">
        <is>
          <t>Mobile, zoom/reflow, content stress, and RTL remain usable and contained.</t>
        </is>
      </c>
      <c r="E17" s="23" t="inlineStr">
        <is>
          <t>package</t>
        </is>
      </c>
      <c r="F17" s="23" t="inlineStr">
        <is>
          <t>manual</t>
        </is>
      </c>
      <c r="G17" s="23" t="inlineStr">
        <is>
          <t>manual-tests/popover.md</t>
        </is>
      </c>
      <c r="H17" s="23" t="inlineStr">
        <is>
          <t>verified</t>
        </is>
      </c>
      <c r="I17" s="23" t="inlineStr">
        <is>
          <t>yes</t>
        </is>
      </c>
      <c r="J17" s="25" t="n">
        <v>46227</v>
      </c>
      <c r="K17" s="23" t="inlineStr">
        <is>
          <t>Owner completed the current manual protocol.</t>
        </is>
      </c>
      <c r="L17" s="23" t="n">
        <v>1</v>
      </c>
      <c r="M17" s="23" t="n">
        <v>1</v>
      </c>
    </row>
    <row r="18" ht="42" customHeight="1" s="17">
      <c r="A18" s="23" t="inlineStr">
        <is>
          <t>P-10</t>
        </is>
      </c>
      <c r="B18" s="23" t="inlineStr">
        <is>
          <t>Theme</t>
        </is>
      </c>
      <c r="C18" s="23" t="inlineStr">
        <is>
          <t>Popover</t>
        </is>
      </c>
      <c r="D18" s="23" t="inlineStr">
        <is>
          <t>Light, dark, focus, forced-colors, and relevant motion behavior remain perceivable.</t>
        </is>
      </c>
      <c r="E18" s="23" t="inlineStr">
        <is>
          <t>package</t>
        </is>
      </c>
      <c r="F18" s="23" t="inlineStr">
        <is>
          <t>manual</t>
        </is>
      </c>
      <c r="G18" s="23" t="inlineStr">
        <is>
          <t>manual-tests/popover.md</t>
        </is>
      </c>
      <c r="H18" s="23" t="inlineStr">
        <is>
          <t>verified</t>
        </is>
      </c>
      <c r="I18" s="23" t="inlineStr">
        <is>
          <t>yes</t>
        </is>
      </c>
      <c r="J18" s="25" t="n">
        <v>46227</v>
      </c>
      <c r="K18" s="23" t="inlineStr">
        <is>
          <t>Owner completed the current manual protocol.</t>
        </is>
      </c>
      <c r="L18" s="23" t="n">
        <v>1</v>
      </c>
      <c r="M18" s="23" t="n">
        <v>1</v>
      </c>
    </row>
    <row r="19" ht="42" customHeight="1" s="17">
      <c r="A19" s="23" t="inlineStr">
        <is>
          <t>P-11</t>
        </is>
      </c>
      <c r="B19" s="23" t="inlineStr">
        <is>
          <t>Composition</t>
        </is>
      </c>
      <c r="C19" s="23" t="inlineStr">
        <is>
          <t>Popover</t>
        </is>
      </c>
      <c r="D19" s="23" t="inlineStr">
        <is>
          <t>Default, render, and asChild output preserve the intended element, slots, state, and relationships.</t>
        </is>
      </c>
      <c r="E19" s="23" t="inlineStr">
        <is>
          <t>package</t>
        </is>
      </c>
      <c r="F19" s="23" t="inlineStr">
        <is>
          <t>manual</t>
        </is>
      </c>
      <c r="G19" s="23" t="inlineStr">
        <is>
          <t>manual-tests/popover.md; tests/components/popover/behavior.spec.ts</t>
        </is>
      </c>
      <c r="H19" s="23" t="inlineStr">
        <is>
          <t>verified</t>
        </is>
      </c>
      <c r="I19" s="23" t="inlineStr">
        <is>
          <t>yes</t>
        </is>
      </c>
      <c r="J19" s="25" t="n">
        <v>46227</v>
      </c>
      <c r="K19" s="23" t="inlineStr">
        <is>
          <t>Owner reviewed the live and rendered output evidence.</t>
        </is>
      </c>
      <c r="L19" s="23" t="n">
        <v>1</v>
      </c>
      <c r="M19" s="23" t="n">
        <v>1</v>
      </c>
    </row>
    <row r="20" ht="42" customHeight="1" s="17">
      <c r="A20" s="23" t="inlineStr">
        <is>
          <t>P-12</t>
        </is>
      </c>
      <c r="B20" s="23" t="inlineStr">
        <is>
          <t>Manual</t>
        </is>
      </c>
      <c r="C20" s="23" t="inlineStr">
        <is>
          <t>Popover</t>
        </is>
      </c>
      <c r="D20" s="23" t="inlineStr">
        <is>
          <t>The complete component-owned manual protocol passed against every playground scenario.</t>
        </is>
      </c>
      <c r="E20" s="23" t="inlineStr">
        <is>
          <t>package</t>
        </is>
      </c>
      <c r="F20" s="23" t="inlineStr">
        <is>
          <t>manual</t>
        </is>
      </c>
      <c r="G20" s="23" t="inlineStr">
        <is>
          <t>manual-tests/popover.md</t>
        </is>
      </c>
      <c r="H20" s="23" t="inlineStr">
        <is>
          <t>verified</t>
        </is>
      </c>
      <c r="I20" s="23" t="inlineStr">
        <is>
          <t>yes</t>
        </is>
      </c>
      <c r="J20" s="25" t="n">
        <v>46227</v>
      </c>
      <c r="K20" s="23" t="inlineStr">
        <is>
          <t>Owner confirmed completion on 2026-07-24.</t>
        </is>
      </c>
      <c r="L20" s="23" t="n">
        <v>1</v>
      </c>
      <c r="M20" s="23" t="n">
        <v>1</v>
      </c>
    </row>
    <row r="21" ht="42" customHeight="1" s="17">
      <c r="A21" s="23" t="inlineStr">
        <is>
          <t>P-13</t>
        </is>
      </c>
      <c r="B21" s="23" t="inlineStr">
        <is>
          <t>Docs</t>
        </is>
      </c>
      <c r="C21" s="23" t="inlineStr">
        <is>
          <t>Popover</t>
        </is>
      </c>
      <c r="D21" s="23" t="inlineStr">
        <is>
          <t>Public usage documentation exists at the component-owned path.</t>
        </is>
      </c>
      <c r="E21" s="23" t="inlineStr">
        <is>
          <t>package</t>
        </is>
      </c>
      <c r="F21" s="23" t="inlineStr">
        <is>
          <t>docs</t>
        </is>
      </c>
      <c r="G21" s="23" t="inlineStr">
        <is>
          <t>../docs/components/popover/README.md</t>
        </is>
      </c>
      <c r="H21" s="23" t="inlineStr">
        <is>
          <t>tested</t>
        </is>
      </c>
      <c r="I21" s="23" t="inlineStr">
        <is>
          <t>no</t>
        </is>
      </c>
      <c r="J21" s="25" t="n">
        <v>46227</v>
      </c>
      <c r="L21" s="23" t="n">
        <v>1</v>
      </c>
      <c r="M21" s="23" t="n">
        <v>1</v>
      </c>
    </row>
    <row r="22" ht="42" customHeight="1" s="17">
      <c r="A22" s="23" t="inlineStr">
        <is>
          <t>P-14</t>
        </is>
      </c>
      <c r="B22" s="23" t="inlineStr">
        <is>
          <t>Changelog</t>
        </is>
      </c>
      <c r="C22" s="23" t="inlineStr">
        <is>
          <t>Popover</t>
        </is>
      </c>
      <c r="D22" s="23" t="inlineStr">
        <is>
          <t>The component owns a public changelog.</t>
        </is>
      </c>
      <c r="E22" s="23" t="inlineStr">
        <is>
          <t>package</t>
        </is>
      </c>
      <c r="F22" s="23" t="inlineStr">
        <is>
          <t>docs</t>
        </is>
      </c>
      <c r="G22" s="23" t="inlineStr">
        <is>
          <t>../docs/components/popover/CHANGELOG.md</t>
        </is>
      </c>
      <c r="H22" s="23" t="inlineStr">
        <is>
          <t>tested</t>
        </is>
      </c>
      <c r="I22" s="23" t="inlineStr">
        <is>
          <t>no</t>
        </is>
      </c>
      <c r="J22" s="25" t="n">
        <v>46227</v>
      </c>
      <c r="L22" s="23" t="n">
        <v>1</v>
      </c>
      <c r="M22" s="23" t="n">
        <v>1</v>
      </c>
    </row>
    <row r="23" ht="42" customHeight="1" s="17">
      <c r="A23" s="23" t="inlineStr">
        <is>
          <t>P-15</t>
        </is>
      </c>
      <c r="B23" s="23" t="inlineStr">
        <is>
          <t>Consumer</t>
        </is>
      </c>
      <c r="C23" s="23" t="inlineStr">
        <is>
          <t>Popover</t>
        </is>
      </c>
      <c r="D23" s="23" t="inlineStr">
        <is>
          <t>The standalone consumer imports and exercises the public package component.</t>
        </is>
      </c>
      <c r="E23" s="23" t="inlineStr">
        <is>
          <t>consumer</t>
        </is>
      </c>
      <c r="F23" s="23" t="inlineStr">
        <is>
          <t>consumer</t>
        </is>
      </c>
      <c r="G23" s="23" t="inlineStr">
        <is>
          <t>../apps/consumer/src/App.tsx; ../apps/consumer/tests/consumer.spec.ts</t>
        </is>
      </c>
      <c r="H23" s="23" t="inlineStr">
        <is>
          <t>tested</t>
        </is>
      </c>
      <c r="I23" s="23" t="inlineStr">
        <is>
          <t>no</t>
        </is>
      </c>
      <c r="J23" s="25" t="n">
        <v>46227</v>
      </c>
      <c r="L23" s="23" t="n">
        <v>1</v>
      </c>
      <c r="M23" s="23" t="n">
        <v>1</v>
      </c>
    </row>
    <row r="24" ht="42" customHeight="1" s="17">
      <c r="A24" s="23" t="inlineStr">
        <is>
          <t>P-16</t>
        </is>
      </c>
      <c r="B24" s="23" t="inlineStr">
        <is>
          <t>Package</t>
        </is>
      </c>
      <c r="C24" s="23" t="inlineStr">
        <is>
          <t>Popover</t>
        </is>
      </c>
      <c r="D24" s="23" t="inlineStr">
        <is>
          <t>Build, exports, tarball, CSS, and consumer boundary verification pass.</t>
        </is>
      </c>
      <c r="E24" s="23" t="inlineStr">
        <is>
          <t>package</t>
        </is>
      </c>
      <c r="F24" s="23" t="inlineStr">
        <is>
          <t>package</t>
        </is>
      </c>
      <c r="G24" s="23" t="inlineStr">
        <is>
          <t>../scripts/verify-package.mjs; ../scripts/verify-consumers.mjs</t>
        </is>
      </c>
      <c r="H24" s="23" t="inlineStr">
        <is>
          <t>tested</t>
        </is>
      </c>
      <c r="I24" s="23" t="inlineStr">
        <is>
          <t>no</t>
        </is>
      </c>
      <c r="J24" s="25" t="n">
        <v>46227</v>
      </c>
      <c r="L24" s="23" t="n">
        <v>1</v>
      </c>
      <c r="M24" s="23" t="n">
        <v>1</v>
      </c>
    </row>
  </sheetData>
  <mergeCells count="2">
    <mergeCell ref="A2:M2"/>
    <mergeCell ref="A1:M1"/>
  </mergeCells>
  <conditionalFormatting sqref="H9:H24">
    <cfRule type="containsText" rank="0" priority="2" equalAverage="0" operator="containsText" aboveAverage="0" dxfId="5" text="not started" percent="0" bottom="0">
      <formula>NOT(ISERROR(SEARCH("not started",H9)))</formula>
    </cfRule>
    <cfRule type="containsText" rank="0" priority="3" equalAverage="0" operator="containsText" aboveAverage="0" dxfId="6" text="partial" percent="0" bottom="0">
      <formula>NOT(ISERROR(SEARCH("partial",H9)))</formula>
    </cfRule>
    <cfRule type="containsText" rank="0" priority="4" equalAverage="0" operator="containsText" aboveAverage="0" dxfId="7" text="implemented" percent="0" bottom="0">
      <formula>NOT(ISERROR(SEARCH("implemented",H9)))</formula>
    </cfRule>
    <cfRule type="containsText" rank="0" priority="5" equalAverage="0" operator="containsText" aboveAverage="0" dxfId="8" text="tested" percent="0" bottom="0">
      <formula>NOT(ISERROR(SEARCH("tested",H9)))</formula>
    </cfRule>
    <cfRule type="containsText" rank="0" priority="6" equalAverage="0" operator="containsText" aboveAverage="0" dxfId="3" text="verified" percent="0" bottom="0">
      <formula>NOT(ISERROR(SEARCH("verified",H9)))</formula>
    </cfRule>
    <cfRule type="containsText" rank="0" priority="7" equalAverage="0" operator="containsText" aboveAverage="0" dxfId="9" text="blocked" percent="0" bottom="0">
      <formula>NOT(ISERROR(SEARCH("blocked",H9)))</formula>
    </cfRule>
    <cfRule type="containsText" rank="0" priority="8" equalAverage="0" operator="containsText" aboveAverage="0" dxfId="5" text="not applicable" percent="0" bottom="0">
      <formula>NOT(ISERROR(SEARCH("not applicable",H9)))</formula>
    </cfRule>
  </conditionalFormatting>
  <dataValidations count="2">
    <dataValidation sqref="H9:H24" showDropDown="0" showInputMessage="1" showErrorMessage="1" allowBlank="1" type="list" errorStyle="stop" operator="between">
      <formula1>"not started,partial,implemented,tested,verified,blocked,not applicable"</formula1>
      <formula2>0</formula2>
    </dataValidation>
    <dataValidation sqref="I9:I24" showDropDown="0" showInputMessage="1" showErrorMessage="1" allowBlank="1" type="list" errorStyle="stop" operator="between">
      <formula1>"yes,no"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24.xml><?xml version="1.0" encoding="utf-8"?>
<worksheet xmlns="http://schemas.openxmlformats.org/spreadsheetml/2006/main">
  <sheetPr filterMode="0">
    <outlinePr summaryBelow="1" summaryRight="1"/>
    <pageSetUpPr fitToPage="0"/>
  </sheetPr>
  <dimension ref="A1:M2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baseColWidth="8" defaultColWidth="8.6796875" defaultRowHeight="15" customHeight="0" zeroHeight="0" outlineLevelRow="0"/>
  <cols>
    <col width="13.71" customWidth="1" style="23" min="1" max="1"/>
    <col width="15.71" customWidth="1" style="23" min="2" max="2"/>
    <col width="18.71" customWidth="1" style="23" min="3" max="3"/>
    <col width="58.71" customWidth="1" style="23" min="4" max="4"/>
    <col width="14.71" customWidth="1" style="23" min="5" max="6"/>
    <col width="50.71" customWidth="1" style="23" min="7" max="7"/>
    <col width="17.71" customWidth="1" style="23" min="8" max="8"/>
    <col width="14.71" customWidth="1" style="23" min="9" max="9"/>
    <col width="14.71" customWidth="1" style="25" min="10" max="10"/>
    <col width="42.71" customWidth="1" style="23" min="11" max="11"/>
    <col width="10.71" customWidth="1" style="23" min="12" max="13"/>
  </cols>
  <sheetData>
    <row r="1" ht="37.5" customHeight="1" s="17">
      <c r="A1" s="18" t="inlineStr">
        <is>
          <t>Toggle Evidence</t>
        </is>
      </c>
    </row>
    <row r="2" ht="27.75" customHeight="1" s="17">
      <c r="A2" s="19" t="inlineStr">
        <is>
          <t>Assertion-level package, browser, human-review, documentation, and consumer evidence.</t>
        </is>
      </c>
    </row>
    <row r="4" ht="17.25" customHeight="1" s="17">
      <c r="A4" s="20" t="inlineStr">
        <is>
          <t>Requirements</t>
        </is>
      </c>
      <c r="B4" s="21" t="n">
        <v>16</v>
      </c>
      <c r="D4" s="20" t="inlineStr">
        <is>
          <t>Resolved</t>
        </is>
      </c>
      <c r="E4" s="21" t="n">
        <v>16</v>
      </c>
      <c r="G4" s="20" t="inlineStr">
        <is>
          <t>Completion</t>
        </is>
      </c>
      <c r="H4" s="22" t="n">
        <v>1</v>
      </c>
      <c r="J4" s="20" t="inlineStr">
        <is>
          <t>Package gate</t>
        </is>
      </c>
      <c r="K4" s="21" t="inlineStr">
        <is>
          <t>complete</t>
        </is>
      </c>
    </row>
    <row r="5" ht="17.25" customHeight="1" s="17">
      <c r="A5" s="20" t="inlineStr">
        <is>
          <t>Manual review</t>
        </is>
      </c>
      <c r="B5" s="21" t="inlineStr">
        <is>
          <t>complete</t>
        </is>
      </c>
      <c r="D5" s="20" t="inlineStr">
        <is>
          <t>Consumer gate</t>
        </is>
      </c>
      <c r="E5" s="21" t="inlineStr">
        <is>
          <t>complete</t>
        </is>
      </c>
    </row>
    <row r="8" ht="15" customHeight="1" s="17">
      <c r="A8" s="23" t="inlineStr">
        <is>
          <t>ID</t>
        </is>
      </c>
      <c r="B8" s="23" t="inlineStr">
        <is>
          <t>Area</t>
        </is>
      </c>
      <c r="C8" s="23" t="inlineStr">
        <is>
          <t>Part</t>
        </is>
      </c>
      <c r="D8" s="23" t="inlineStr">
        <is>
          <t>Requirement</t>
        </is>
      </c>
      <c r="E8" s="23" t="inlineStr">
        <is>
          <t>Gate</t>
        </is>
      </c>
      <c r="F8" s="23" t="inlineStr">
        <is>
          <t>Evidence type</t>
        </is>
      </c>
      <c r="G8" s="23" t="inlineStr">
        <is>
          <t>Evidence / link</t>
        </is>
      </c>
      <c r="H8" s="23" t="inlineStr">
        <is>
          <t>Status</t>
        </is>
      </c>
      <c r="I8" s="23" t="inlineStr">
        <is>
          <t>Human review?</t>
        </is>
      </c>
      <c r="J8" s="25" t="inlineStr">
        <is>
          <t>Last verified</t>
        </is>
      </c>
      <c r="K8" s="23" t="inlineStr">
        <is>
          <t>Blocker / N/A reason</t>
        </is>
      </c>
      <c r="L8" s="23" t="inlineStr">
        <is>
          <t>Weight</t>
        </is>
      </c>
      <c r="M8" s="23" t="inlineStr">
        <is>
          <t>Resolved</t>
        </is>
      </c>
    </row>
    <row r="9" ht="42" customHeight="1" s="17">
      <c r="A9" s="23" t="inlineStr">
        <is>
          <t>T-01</t>
        </is>
      </c>
      <c r="B9" s="23" t="inlineStr">
        <is>
          <t>Implementation</t>
        </is>
      </c>
      <c r="C9" s="23" t="inlineStr">
        <is>
          <t>Toggle</t>
        </is>
      </c>
      <c r="D9" s="23" t="inlineStr">
        <is>
          <t>Public component implementation and Atom adapter exist.</t>
        </is>
      </c>
      <c r="E9" s="23" t="inlineStr">
        <is>
          <t>package</t>
        </is>
      </c>
      <c r="F9" s="23" t="inlineStr">
        <is>
          <t>source</t>
        </is>
      </c>
      <c r="G9" s="23" t="inlineStr">
        <is>
          <t>../src/components/toggle</t>
        </is>
      </c>
      <c r="H9" s="23" t="inlineStr">
        <is>
          <t>tested</t>
        </is>
      </c>
      <c r="I9" s="23" t="inlineStr">
        <is>
          <t>no</t>
        </is>
      </c>
      <c r="J9" s="25" t="n">
        <v>46227</v>
      </c>
      <c r="L9" s="23" t="n">
        <v>1</v>
      </c>
      <c r="M9" s="23" t="n">
        <v>1</v>
      </c>
    </row>
    <row r="10" ht="42" customHeight="1" s="17">
      <c r="A10" s="23" t="inlineStr">
        <is>
          <t>T-02</t>
        </is>
      </c>
      <c r="B10" s="23" t="inlineStr">
        <is>
          <t>Exports</t>
        </is>
      </c>
      <c r="C10" s="23" t="inlineStr">
        <is>
          <t>Toggle</t>
        </is>
      </c>
      <c r="D10" s="23" t="inlineStr">
        <is>
          <t>Root and public subpath exports expose the component.</t>
        </is>
      </c>
      <c r="E10" s="23" t="inlineStr">
        <is>
          <t>package</t>
        </is>
      </c>
      <c r="F10" s="23" t="inlineStr">
        <is>
          <t>package</t>
        </is>
      </c>
      <c r="G10" s="23" t="inlineStr">
        <is>
          <t>../test/package/package.test.mjs</t>
        </is>
      </c>
      <c r="H10" s="23" t="inlineStr">
        <is>
          <t>tested</t>
        </is>
      </c>
      <c r="I10" s="23" t="inlineStr">
        <is>
          <t>no</t>
        </is>
      </c>
      <c r="J10" s="25" t="n">
        <v>46227</v>
      </c>
      <c r="L10" s="23" t="n">
        <v>1</v>
      </c>
      <c r="M10" s="23" t="n">
        <v>1</v>
      </c>
    </row>
    <row r="11" ht="42" customHeight="1" s="17">
      <c r="A11" s="23" t="inlineStr">
        <is>
          <t>T-03</t>
        </is>
      </c>
      <c r="B11" s="23" t="inlineStr">
        <is>
          <t>Types</t>
        </is>
      </c>
      <c r="C11" s="23" t="inlineStr">
        <is>
          <t>Toggle</t>
        </is>
      </c>
      <c r="D11" s="23" t="inlineStr">
        <is>
          <t>Public props, refs, composition branches, and invalid cases type-check.</t>
        </is>
      </c>
      <c r="E11" s="23" t="inlineStr">
        <is>
          <t>package</t>
        </is>
      </c>
      <c r="F11" s="23" t="inlineStr">
        <is>
          <t>types</t>
        </is>
      </c>
      <c r="G11" s="23" t="inlineStr">
        <is>
          <t>../test/types/components/toggle.test.ts</t>
        </is>
      </c>
      <c r="H11" s="23" t="inlineStr">
        <is>
          <t>tested</t>
        </is>
      </c>
      <c r="I11" s="23" t="inlineStr">
        <is>
          <t>no</t>
        </is>
      </c>
      <c r="J11" s="25" t="n">
        <v>46227</v>
      </c>
      <c r="L11" s="23" t="n">
        <v>1</v>
      </c>
      <c r="M11" s="23" t="n">
        <v>1</v>
      </c>
    </row>
    <row r="12" ht="42" customHeight="1" s="17">
      <c r="A12" s="23" t="inlineStr">
        <is>
          <t>T-04</t>
        </is>
      </c>
      <c r="B12" s="23" t="inlineStr">
        <is>
          <t>CSS</t>
        </is>
      </c>
      <c r="C12" s="23" t="inlineStr">
        <is>
          <t>Toggle</t>
        </is>
      </c>
      <c r="D12" s="23" t="inlineStr">
        <is>
          <t>Static public CSS, classes, slots, recipes, states, and tokens are present.</t>
        </is>
      </c>
      <c r="E12" s="23" t="inlineStr">
        <is>
          <t>package</t>
        </is>
      </c>
      <c r="F12" s="23" t="inlineStr">
        <is>
          <t>css</t>
        </is>
      </c>
      <c r="G12" s="23" t="inlineStr">
        <is>
          <t>../src/components/toggle/toggle.css</t>
        </is>
      </c>
      <c r="H12" s="23" t="inlineStr">
        <is>
          <t>tested</t>
        </is>
      </c>
      <c r="I12" s="23" t="inlineStr">
        <is>
          <t>no</t>
        </is>
      </c>
      <c r="J12" s="25" t="n">
        <v>46227</v>
      </c>
      <c r="L12" s="23" t="n">
        <v>1</v>
      </c>
      <c r="M12" s="23" t="n">
        <v>1</v>
      </c>
    </row>
    <row r="13" ht="42" customHeight="1" s="17">
      <c r="A13" s="23" t="inlineStr">
        <is>
          <t>T-05</t>
        </is>
      </c>
      <c r="B13" s="23" t="inlineStr">
        <is>
          <t>Unit</t>
        </is>
      </c>
      <c r="C13" s="23" t="inlineStr">
        <is>
          <t>Toggle</t>
        </is>
      </c>
      <c r="D13" s="23" t="inlineStr">
        <is>
          <t>Brick-owned DOM, recipes, adapters, and public hooks pass focused tests.</t>
        </is>
      </c>
      <c r="E13" s="23" t="inlineStr">
        <is>
          <t>package</t>
        </is>
      </c>
      <c r="F13" s="23" t="inlineStr">
        <is>
          <t>component</t>
        </is>
      </c>
      <c r="G13" s="23" t="inlineStr">
        <is>
          <t>../test/components/toggle/toggle.test.tsx</t>
        </is>
      </c>
      <c r="H13" s="23" t="inlineStr">
        <is>
          <t>tested</t>
        </is>
      </c>
      <c r="I13" s="23" t="inlineStr">
        <is>
          <t>no</t>
        </is>
      </c>
      <c r="J13" s="25" t="n">
        <v>46227</v>
      </c>
      <c r="L13" s="23" t="n">
        <v>1</v>
      </c>
      <c r="M13" s="23" t="n">
        <v>1</v>
      </c>
    </row>
    <row r="14" ht="42" customHeight="1" s="17">
      <c r="A14" s="23" t="inlineStr">
        <is>
          <t>T-06</t>
        </is>
      </c>
      <c r="B14" s="23" t="inlineStr">
        <is>
          <t>Browser</t>
        </is>
      </c>
      <c r="C14" s="23" t="inlineStr">
        <is>
          <t>Toggle</t>
        </is>
      </c>
      <c r="D14" s="23" t="inlineStr">
        <is>
          <t>Real-browser behavior and component contract checks pass.</t>
        </is>
      </c>
      <c r="E14" s="23" t="inlineStr">
        <is>
          <t>package</t>
        </is>
      </c>
      <c r="F14" s="23" t="inlineStr">
        <is>
          <t>browser</t>
        </is>
      </c>
      <c r="G14" s="23" t="inlineStr">
        <is>
          <t>tests/components/toggle/behavior.spec.ts</t>
        </is>
      </c>
      <c r="H14" s="23" t="inlineStr">
        <is>
          <t>tested</t>
        </is>
      </c>
      <c r="I14" s="23" t="inlineStr">
        <is>
          <t>no</t>
        </is>
      </c>
      <c r="J14" s="25" t="n">
        <v>46227</v>
      </c>
      <c r="L14" s="23" t="n">
        <v>1</v>
      </c>
      <c r="M14" s="23" t="n">
        <v>1</v>
      </c>
    </row>
    <row r="15" ht="42" customHeight="1" s="17">
      <c r="A15" s="23" t="inlineStr">
        <is>
          <t>T-07</t>
        </is>
      </c>
      <c r="B15" s="23" t="inlineStr">
        <is>
          <t>Accessibility</t>
        </is>
      </c>
      <c r="C15" s="23" t="inlineStr">
        <is>
          <t>Toggle</t>
        </is>
      </c>
      <c r="D15" s="23" t="inlineStr">
        <is>
          <t>Automated semantics and accessibility checks pass in the browser evidence suite.</t>
        </is>
      </c>
      <c r="E15" s="23" t="inlineStr">
        <is>
          <t>package</t>
        </is>
      </c>
      <c r="F15" s="23" t="inlineStr">
        <is>
          <t>axe</t>
        </is>
      </c>
      <c r="G15" s="23" t="inlineStr">
        <is>
          <t>tests/components/toggle/behavior.spec.ts; tests/integration</t>
        </is>
      </c>
      <c r="H15" s="23" t="inlineStr">
        <is>
          <t>tested</t>
        </is>
      </c>
      <c r="I15" s="23" t="inlineStr">
        <is>
          <t>no</t>
        </is>
      </c>
      <c r="J15" s="25" t="n">
        <v>46227</v>
      </c>
      <c r="L15" s="23" t="n">
        <v>1</v>
      </c>
      <c r="M15" s="23" t="n">
        <v>1</v>
      </c>
    </row>
    <row r="16" ht="42" customHeight="1" s="17">
      <c r="A16" s="23" t="inlineStr">
        <is>
          <t>T-08</t>
        </is>
      </c>
      <c r="B16" s="23" t="inlineStr">
        <is>
          <t>Visual</t>
        </is>
      </c>
      <c r="C16" s="23" t="inlineStr">
        <is>
          <t>Toggle</t>
        </is>
      </c>
      <c r="D16" s="23" t="inlineStr">
        <is>
          <t>Reviewed baselines cover the component's risk-selected recipes and states.</t>
        </is>
      </c>
      <c r="E16" s="23" t="inlineStr">
        <is>
          <t>package</t>
        </is>
      </c>
      <c r="F16" s="23" t="inlineStr">
        <is>
          <t>visual</t>
        </is>
      </c>
      <c r="G16" s="23" t="inlineStr">
        <is>
          <t>tests/components/toggle/visual.spec.ts</t>
        </is>
      </c>
      <c r="H16" s="23" t="inlineStr">
        <is>
          <t>verified</t>
        </is>
      </c>
      <c r="I16" s="23" t="inlineStr">
        <is>
          <t>yes</t>
        </is>
      </c>
      <c r="J16" s="25" t="n">
        <v>46227</v>
      </c>
      <c r="K16" s="23" t="inlineStr">
        <is>
          <t>Owner reviewed the current playground evidence.</t>
        </is>
      </c>
      <c r="L16" s="23" t="n">
        <v>1</v>
      </c>
      <c r="M16" s="23" t="n">
        <v>1</v>
      </c>
    </row>
    <row r="17" ht="42" customHeight="1" s="17">
      <c r="A17" s="23" t="inlineStr">
        <is>
          <t>T-09</t>
        </is>
      </c>
      <c r="B17" s="23" t="inlineStr">
        <is>
          <t>Responsive</t>
        </is>
      </c>
      <c r="C17" s="23" t="inlineStr">
        <is>
          <t>Toggle</t>
        </is>
      </c>
      <c r="D17" s="23" t="inlineStr">
        <is>
          <t>Mobile, zoom/reflow, content stress, and RTL remain usable and contained.</t>
        </is>
      </c>
      <c r="E17" s="23" t="inlineStr">
        <is>
          <t>package</t>
        </is>
      </c>
      <c r="F17" s="23" t="inlineStr">
        <is>
          <t>manual</t>
        </is>
      </c>
      <c r="G17" s="23" t="inlineStr">
        <is>
          <t>manual-tests/toggle.md</t>
        </is>
      </c>
      <c r="H17" s="23" t="inlineStr">
        <is>
          <t>verified</t>
        </is>
      </c>
      <c r="I17" s="23" t="inlineStr">
        <is>
          <t>yes</t>
        </is>
      </c>
      <c r="J17" s="25" t="n">
        <v>46227</v>
      </c>
      <c r="K17" s="23" t="inlineStr">
        <is>
          <t>Owner completed the current manual protocol.</t>
        </is>
      </c>
      <c r="L17" s="23" t="n">
        <v>1</v>
      </c>
      <c r="M17" s="23" t="n">
        <v>1</v>
      </c>
    </row>
    <row r="18" ht="42" customHeight="1" s="17">
      <c r="A18" s="23" t="inlineStr">
        <is>
          <t>T-10</t>
        </is>
      </c>
      <c r="B18" s="23" t="inlineStr">
        <is>
          <t>Theme</t>
        </is>
      </c>
      <c r="C18" s="23" t="inlineStr">
        <is>
          <t>Toggle</t>
        </is>
      </c>
      <c r="D18" s="23" t="inlineStr">
        <is>
          <t>Light, dark, focus, forced-colors, and relevant motion behavior remain perceivable.</t>
        </is>
      </c>
      <c r="E18" s="23" t="inlineStr">
        <is>
          <t>package</t>
        </is>
      </c>
      <c r="F18" s="23" t="inlineStr">
        <is>
          <t>manual</t>
        </is>
      </c>
      <c r="G18" s="23" t="inlineStr">
        <is>
          <t>manual-tests/toggle.md</t>
        </is>
      </c>
      <c r="H18" s="23" t="inlineStr">
        <is>
          <t>verified</t>
        </is>
      </c>
      <c r="I18" s="23" t="inlineStr">
        <is>
          <t>yes</t>
        </is>
      </c>
      <c r="J18" s="25" t="n">
        <v>46227</v>
      </c>
      <c r="K18" s="23" t="inlineStr">
        <is>
          <t>Owner completed the current manual protocol.</t>
        </is>
      </c>
      <c r="L18" s="23" t="n">
        <v>1</v>
      </c>
      <c r="M18" s="23" t="n">
        <v>1</v>
      </c>
    </row>
    <row r="19" ht="42" customHeight="1" s="17">
      <c r="A19" s="23" t="inlineStr">
        <is>
          <t>T-11</t>
        </is>
      </c>
      <c r="B19" s="23" t="inlineStr">
        <is>
          <t>Composition</t>
        </is>
      </c>
      <c r="C19" s="23" t="inlineStr">
        <is>
          <t>Toggle</t>
        </is>
      </c>
      <c r="D19" s="23" t="inlineStr">
        <is>
          <t>Default, render, and asChild output preserve the intended element, slots, state, and relationships.</t>
        </is>
      </c>
      <c r="E19" s="23" t="inlineStr">
        <is>
          <t>package</t>
        </is>
      </c>
      <c r="F19" s="23" t="inlineStr">
        <is>
          <t>manual</t>
        </is>
      </c>
      <c r="G19" s="23" t="inlineStr">
        <is>
          <t>manual-tests/toggle.md; tests/components/toggle/behavior.spec.ts</t>
        </is>
      </c>
      <c r="H19" s="23" t="inlineStr">
        <is>
          <t>verified</t>
        </is>
      </c>
      <c r="I19" s="23" t="inlineStr">
        <is>
          <t>yes</t>
        </is>
      </c>
      <c r="J19" s="25" t="n">
        <v>46227</v>
      </c>
      <c r="K19" s="23" t="inlineStr">
        <is>
          <t>Owner reviewed the live and rendered output evidence.</t>
        </is>
      </c>
      <c r="L19" s="23" t="n">
        <v>1</v>
      </c>
      <c r="M19" s="23" t="n">
        <v>1</v>
      </c>
    </row>
    <row r="20" ht="42" customHeight="1" s="17">
      <c r="A20" s="23" t="inlineStr">
        <is>
          <t>T-12</t>
        </is>
      </c>
      <c r="B20" s="23" t="inlineStr">
        <is>
          <t>Manual</t>
        </is>
      </c>
      <c r="C20" s="23" t="inlineStr">
        <is>
          <t>Toggle</t>
        </is>
      </c>
      <c r="D20" s="23" t="inlineStr">
        <is>
          <t>The complete component-owned manual protocol passed against every playground scenario.</t>
        </is>
      </c>
      <c r="E20" s="23" t="inlineStr">
        <is>
          <t>package</t>
        </is>
      </c>
      <c r="F20" s="23" t="inlineStr">
        <is>
          <t>manual</t>
        </is>
      </c>
      <c r="G20" s="23" t="inlineStr">
        <is>
          <t>manual-tests/toggle.md</t>
        </is>
      </c>
      <c r="H20" s="23" t="inlineStr">
        <is>
          <t>verified</t>
        </is>
      </c>
      <c r="I20" s="23" t="inlineStr">
        <is>
          <t>yes</t>
        </is>
      </c>
      <c r="J20" s="25" t="n">
        <v>46227</v>
      </c>
      <c r="K20" s="23" t="inlineStr">
        <is>
          <t>Owner confirmed completion on 2026-07-24.</t>
        </is>
      </c>
      <c r="L20" s="23" t="n">
        <v>1</v>
      </c>
      <c r="M20" s="23" t="n">
        <v>1</v>
      </c>
    </row>
    <row r="21" ht="42" customHeight="1" s="17">
      <c r="A21" s="23" t="inlineStr">
        <is>
          <t>T-13</t>
        </is>
      </c>
      <c r="B21" s="23" t="inlineStr">
        <is>
          <t>Docs</t>
        </is>
      </c>
      <c r="C21" s="23" t="inlineStr">
        <is>
          <t>Toggle</t>
        </is>
      </c>
      <c r="D21" s="23" t="inlineStr">
        <is>
          <t>Public usage documentation exists at the component-owned path.</t>
        </is>
      </c>
      <c r="E21" s="23" t="inlineStr">
        <is>
          <t>package</t>
        </is>
      </c>
      <c r="F21" s="23" t="inlineStr">
        <is>
          <t>docs</t>
        </is>
      </c>
      <c r="G21" s="23" t="inlineStr">
        <is>
          <t>../docs/components/toggle/README.md</t>
        </is>
      </c>
      <c r="H21" s="23" t="inlineStr">
        <is>
          <t>tested</t>
        </is>
      </c>
      <c r="I21" s="23" t="inlineStr">
        <is>
          <t>no</t>
        </is>
      </c>
      <c r="J21" s="25" t="n">
        <v>46227</v>
      </c>
      <c r="L21" s="23" t="n">
        <v>1</v>
      </c>
      <c r="M21" s="23" t="n">
        <v>1</v>
      </c>
    </row>
    <row r="22" ht="42" customHeight="1" s="17">
      <c r="A22" s="23" t="inlineStr">
        <is>
          <t>T-14</t>
        </is>
      </c>
      <c r="B22" s="23" t="inlineStr">
        <is>
          <t>Changelog</t>
        </is>
      </c>
      <c r="C22" s="23" t="inlineStr">
        <is>
          <t>Toggle</t>
        </is>
      </c>
      <c r="D22" s="23" t="inlineStr">
        <is>
          <t>The component owns a public changelog.</t>
        </is>
      </c>
      <c r="E22" s="23" t="inlineStr">
        <is>
          <t>package</t>
        </is>
      </c>
      <c r="F22" s="23" t="inlineStr">
        <is>
          <t>docs</t>
        </is>
      </c>
      <c r="G22" s="23" t="inlineStr">
        <is>
          <t>../docs/components/toggle/CHANGELOG.md</t>
        </is>
      </c>
      <c r="H22" s="23" t="inlineStr">
        <is>
          <t>tested</t>
        </is>
      </c>
      <c r="I22" s="23" t="inlineStr">
        <is>
          <t>no</t>
        </is>
      </c>
      <c r="J22" s="25" t="n">
        <v>46227</v>
      </c>
      <c r="L22" s="23" t="n">
        <v>1</v>
      </c>
      <c r="M22" s="23" t="n">
        <v>1</v>
      </c>
    </row>
    <row r="23" ht="42" customHeight="1" s="17">
      <c r="A23" s="23" t="inlineStr">
        <is>
          <t>T-15</t>
        </is>
      </c>
      <c r="B23" s="23" t="inlineStr">
        <is>
          <t>Consumer</t>
        </is>
      </c>
      <c r="C23" s="23" t="inlineStr">
        <is>
          <t>Toggle</t>
        </is>
      </c>
      <c r="D23" s="23" t="inlineStr">
        <is>
          <t>The standalone consumer imports and exercises the public package component.</t>
        </is>
      </c>
      <c r="E23" s="23" t="inlineStr">
        <is>
          <t>consumer</t>
        </is>
      </c>
      <c r="F23" s="23" t="inlineStr">
        <is>
          <t>consumer</t>
        </is>
      </c>
      <c r="G23" s="23" t="inlineStr">
        <is>
          <t>../apps/consumer/src/App.tsx; ../apps/consumer/tests/consumer.spec.ts</t>
        </is>
      </c>
      <c r="H23" s="23" t="inlineStr">
        <is>
          <t>tested</t>
        </is>
      </c>
      <c r="I23" s="23" t="inlineStr">
        <is>
          <t>no</t>
        </is>
      </c>
      <c r="J23" s="25" t="n">
        <v>46227</v>
      </c>
      <c r="L23" s="23" t="n">
        <v>1</v>
      </c>
      <c r="M23" s="23" t="n">
        <v>1</v>
      </c>
    </row>
    <row r="24" ht="42" customHeight="1" s="17">
      <c r="A24" s="23" t="inlineStr">
        <is>
          <t>T-16</t>
        </is>
      </c>
      <c r="B24" s="23" t="inlineStr">
        <is>
          <t>Package</t>
        </is>
      </c>
      <c r="C24" s="23" t="inlineStr">
        <is>
          <t>Toggle</t>
        </is>
      </c>
      <c r="D24" s="23" t="inlineStr">
        <is>
          <t>Build, exports, tarball, CSS, and consumer boundary verification pass.</t>
        </is>
      </c>
      <c r="E24" s="23" t="inlineStr">
        <is>
          <t>package</t>
        </is>
      </c>
      <c r="F24" s="23" t="inlineStr">
        <is>
          <t>package</t>
        </is>
      </c>
      <c r="G24" s="23" t="inlineStr">
        <is>
          <t>../scripts/verify-package.mjs; ../scripts/verify-consumers.mjs</t>
        </is>
      </c>
      <c r="H24" s="23" t="inlineStr">
        <is>
          <t>tested</t>
        </is>
      </c>
      <c r="I24" s="23" t="inlineStr">
        <is>
          <t>no</t>
        </is>
      </c>
      <c r="J24" s="25" t="n">
        <v>46227</v>
      </c>
      <c r="L24" s="23" t="n">
        <v>1</v>
      </c>
      <c r="M24" s="23" t="n">
        <v>1</v>
      </c>
    </row>
  </sheetData>
  <mergeCells count="2">
    <mergeCell ref="A2:M2"/>
    <mergeCell ref="A1:M1"/>
  </mergeCells>
  <conditionalFormatting sqref="H9:H24">
    <cfRule type="containsText" rank="0" priority="2" equalAverage="0" operator="containsText" aboveAverage="0" dxfId="5" text="not started" percent="0" bottom="0">
      <formula>NOT(ISERROR(SEARCH("not started",H9)))</formula>
    </cfRule>
    <cfRule type="containsText" rank="0" priority="3" equalAverage="0" operator="containsText" aboveAverage="0" dxfId="6" text="partial" percent="0" bottom="0">
      <formula>NOT(ISERROR(SEARCH("partial",H9)))</formula>
    </cfRule>
    <cfRule type="containsText" rank="0" priority="4" equalAverage="0" operator="containsText" aboveAverage="0" dxfId="7" text="implemented" percent="0" bottom="0">
      <formula>NOT(ISERROR(SEARCH("implemented",H9)))</formula>
    </cfRule>
    <cfRule type="containsText" rank="0" priority="5" equalAverage="0" operator="containsText" aboveAverage="0" dxfId="8" text="tested" percent="0" bottom="0">
      <formula>NOT(ISERROR(SEARCH("tested",H9)))</formula>
    </cfRule>
    <cfRule type="containsText" rank="0" priority="6" equalAverage="0" operator="containsText" aboveAverage="0" dxfId="3" text="verified" percent="0" bottom="0">
      <formula>NOT(ISERROR(SEARCH("verified",H9)))</formula>
    </cfRule>
    <cfRule type="containsText" rank="0" priority="7" equalAverage="0" operator="containsText" aboveAverage="0" dxfId="9" text="blocked" percent="0" bottom="0">
      <formula>NOT(ISERROR(SEARCH("blocked",H9)))</formula>
    </cfRule>
    <cfRule type="containsText" rank="0" priority="8" equalAverage="0" operator="containsText" aboveAverage="0" dxfId="5" text="not applicable" percent="0" bottom="0">
      <formula>NOT(ISERROR(SEARCH("not applicable",H9)))</formula>
    </cfRule>
  </conditionalFormatting>
  <dataValidations count="2">
    <dataValidation sqref="H9:H24" showDropDown="0" showInputMessage="1" showErrorMessage="1" allowBlank="1" type="list" errorStyle="stop" operator="between">
      <formula1>"not started,partial,implemented,tested,verified,blocked,not applicable"</formula1>
      <formula2>0</formula2>
    </dataValidation>
    <dataValidation sqref="I9:I24" showDropDown="0" showInputMessage="1" showErrorMessage="1" allowBlank="1" type="list" errorStyle="stop" operator="between">
      <formula1>"yes,no"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25.xml><?xml version="1.0" encoding="utf-8"?>
<worksheet xmlns="http://schemas.openxmlformats.org/spreadsheetml/2006/main">
  <sheetPr filterMode="0">
    <outlinePr summaryBelow="1" summaryRight="1"/>
    <pageSetUpPr fitToPage="0"/>
  </sheetPr>
  <dimension ref="A1:M2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baseColWidth="8" defaultColWidth="8.6796875" defaultRowHeight="15" customHeight="0" zeroHeight="0" outlineLevelRow="0"/>
  <cols>
    <col width="13.71" customWidth="1" style="23" min="1" max="1"/>
    <col width="15.71" customWidth="1" style="23" min="2" max="2"/>
    <col width="18.71" customWidth="1" style="23" min="3" max="3"/>
    <col width="58.71" customWidth="1" style="23" min="4" max="4"/>
    <col width="14.71" customWidth="1" style="23" min="5" max="6"/>
    <col width="50.71" customWidth="1" style="23" min="7" max="7"/>
    <col width="17.71" customWidth="1" style="23" min="8" max="8"/>
    <col width="14.71" customWidth="1" style="23" min="9" max="9"/>
    <col width="14.71" customWidth="1" style="25" min="10" max="10"/>
    <col width="42.71" customWidth="1" style="23" min="11" max="11"/>
    <col width="10.71" customWidth="1" style="23" min="12" max="13"/>
  </cols>
  <sheetData>
    <row r="1" ht="37.5" customHeight="1" s="17">
      <c r="A1" s="18" t="inlineStr">
        <is>
          <t>Toggle Group Evidence</t>
        </is>
      </c>
    </row>
    <row r="2" ht="27.75" customHeight="1" s="17">
      <c r="A2" s="19" t="inlineStr">
        <is>
          <t>Assertion-level package, browser, human-review, documentation, and consumer evidence.</t>
        </is>
      </c>
    </row>
    <row r="4" ht="17.25" customHeight="1" s="17">
      <c r="A4" s="20" t="inlineStr">
        <is>
          <t>Requirements</t>
        </is>
      </c>
      <c r="B4" s="21" t="n">
        <v>16</v>
      </c>
      <c r="D4" s="20" t="inlineStr">
        <is>
          <t>Resolved</t>
        </is>
      </c>
      <c r="E4" s="21" t="n">
        <v>16</v>
      </c>
      <c r="G4" s="20" t="inlineStr">
        <is>
          <t>Completion</t>
        </is>
      </c>
      <c r="H4" s="22" t="n">
        <v>1</v>
      </c>
      <c r="J4" s="20" t="inlineStr">
        <is>
          <t>Package gate</t>
        </is>
      </c>
      <c r="K4" s="21" t="inlineStr">
        <is>
          <t>complete</t>
        </is>
      </c>
    </row>
    <row r="5" ht="17.25" customHeight="1" s="17">
      <c r="A5" s="20" t="inlineStr">
        <is>
          <t>Manual review</t>
        </is>
      </c>
      <c r="B5" s="21" t="inlineStr">
        <is>
          <t>complete</t>
        </is>
      </c>
      <c r="D5" s="20" t="inlineStr">
        <is>
          <t>Consumer gate</t>
        </is>
      </c>
      <c r="E5" s="21" t="inlineStr">
        <is>
          <t>complete</t>
        </is>
      </c>
    </row>
    <row r="8" ht="15" customHeight="1" s="17">
      <c r="A8" s="23" t="inlineStr">
        <is>
          <t>ID</t>
        </is>
      </c>
      <c r="B8" s="23" t="inlineStr">
        <is>
          <t>Area</t>
        </is>
      </c>
      <c r="C8" s="23" t="inlineStr">
        <is>
          <t>Part</t>
        </is>
      </c>
      <c r="D8" s="23" t="inlineStr">
        <is>
          <t>Requirement</t>
        </is>
      </c>
      <c r="E8" s="23" t="inlineStr">
        <is>
          <t>Gate</t>
        </is>
      </c>
      <c r="F8" s="23" t="inlineStr">
        <is>
          <t>Evidence type</t>
        </is>
      </c>
      <c r="G8" s="23" t="inlineStr">
        <is>
          <t>Evidence / link</t>
        </is>
      </c>
      <c r="H8" s="23" t="inlineStr">
        <is>
          <t>Status</t>
        </is>
      </c>
      <c r="I8" s="23" t="inlineStr">
        <is>
          <t>Human review?</t>
        </is>
      </c>
      <c r="J8" s="25" t="inlineStr">
        <is>
          <t>Last verified</t>
        </is>
      </c>
      <c r="K8" s="23" t="inlineStr">
        <is>
          <t>Blocker / N/A reason</t>
        </is>
      </c>
      <c r="L8" s="23" t="inlineStr">
        <is>
          <t>Weight</t>
        </is>
      </c>
      <c r="M8" s="23" t="inlineStr">
        <is>
          <t>Resolved</t>
        </is>
      </c>
    </row>
    <row r="9" ht="42" customHeight="1" s="17">
      <c r="A9" s="23" t="inlineStr">
        <is>
          <t>TG-01</t>
        </is>
      </c>
      <c r="B9" s="23" t="inlineStr">
        <is>
          <t>Implementation</t>
        </is>
      </c>
      <c r="C9" s="23" t="inlineStr">
        <is>
          <t>ToggleGroup</t>
        </is>
      </c>
      <c r="D9" s="23" t="inlineStr">
        <is>
          <t>Public component implementation and Atom adapter exist.</t>
        </is>
      </c>
      <c r="E9" s="23" t="inlineStr">
        <is>
          <t>package</t>
        </is>
      </c>
      <c r="F9" s="23" t="inlineStr">
        <is>
          <t>source</t>
        </is>
      </c>
      <c r="G9" s="23" t="inlineStr">
        <is>
          <t>../src/components/toggle-group</t>
        </is>
      </c>
      <c r="H9" s="23" t="inlineStr">
        <is>
          <t>tested</t>
        </is>
      </c>
      <c r="I9" s="23" t="inlineStr">
        <is>
          <t>no</t>
        </is>
      </c>
      <c r="J9" s="25" t="n">
        <v>46227</v>
      </c>
      <c r="L9" s="23" t="n">
        <v>1</v>
      </c>
      <c r="M9" s="23" t="n">
        <v>1</v>
      </c>
    </row>
    <row r="10" ht="42" customHeight="1" s="17">
      <c r="A10" s="23" t="inlineStr">
        <is>
          <t>TG-02</t>
        </is>
      </c>
      <c r="B10" s="23" t="inlineStr">
        <is>
          <t>Exports</t>
        </is>
      </c>
      <c r="C10" s="23" t="inlineStr">
        <is>
          <t>ToggleGroup</t>
        </is>
      </c>
      <c r="D10" s="23" t="inlineStr">
        <is>
          <t>Root and public subpath exports expose the component.</t>
        </is>
      </c>
      <c r="E10" s="23" t="inlineStr">
        <is>
          <t>package</t>
        </is>
      </c>
      <c r="F10" s="23" t="inlineStr">
        <is>
          <t>package</t>
        </is>
      </c>
      <c r="G10" s="23" t="inlineStr">
        <is>
          <t>../test/package/package.test.mjs</t>
        </is>
      </c>
      <c r="H10" s="23" t="inlineStr">
        <is>
          <t>tested</t>
        </is>
      </c>
      <c r="I10" s="23" t="inlineStr">
        <is>
          <t>no</t>
        </is>
      </c>
      <c r="J10" s="25" t="n">
        <v>46227</v>
      </c>
      <c r="L10" s="23" t="n">
        <v>1</v>
      </c>
      <c r="M10" s="23" t="n">
        <v>1</v>
      </c>
    </row>
    <row r="11" ht="42" customHeight="1" s="17">
      <c r="A11" s="23" t="inlineStr">
        <is>
          <t>TG-03</t>
        </is>
      </c>
      <c r="B11" s="23" t="inlineStr">
        <is>
          <t>Types</t>
        </is>
      </c>
      <c r="C11" s="23" t="inlineStr">
        <is>
          <t>ToggleGroup</t>
        </is>
      </c>
      <c r="D11" s="23" t="inlineStr">
        <is>
          <t>Public props, refs, composition branches, and invalid cases type-check.</t>
        </is>
      </c>
      <c r="E11" s="23" t="inlineStr">
        <is>
          <t>package</t>
        </is>
      </c>
      <c r="F11" s="23" t="inlineStr">
        <is>
          <t>types</t>
        </is>
      </c>
      <c r="G11" s="23" t="inlineStr">
        <is>
          <t>../test/types/components/toggle-group.test.ts</t>
        </is>
      </c>
      <c r="H11" s="23" t="inlineStr">
        <is>
          <t>tested</t>
        </is>
      </c>
      <c r="I11" s="23" t="inlineStr">
        <is>
          <t>no</t>
        </is>
      </c>
      <c r="J11" s="25" t="n">
        <v>46227</v>
      </c>
      <c r="L11" s="23" t="n">
        <v>1</v>
      </c>
      <c r="M11" s="23" t="n">
        <v>1</v>
      </c>
    </row>
    <row r="12" ht="42" customHeight="1" s="17">
      <c r="A12" s="23" t="inlineStr">
        <is>
          <t>TG-04</t>
        </is>
      </c>
      <c r="B12" s="23" t="inlineStr">
        <is>
          <t>CSS</t>
        </is>
      </c>
      <c r="C12" s="23" t="inlineStr">
        <is>
          <t>ToggleGroup</t>
        </is>
      </c>
      <c r="D12" s="23" t="inlineStr">
        <is>
          <t>Static public CSS, classes, slots, recipes, states, and tokens are present.</t>
        </is>
      </c>
      <c r="E12" s="23" t="inlineStr">
        <is>
          <t>package</t>
        </is>
      </c>
      <c r="F12" s="23" t="inlineStr">
        <is>
          <t>css</t>
        </is>
      </c>
      <c r="G12" s="23" t="inlineStr">
        <is>
          <t>../src/components/toggle-group/toggle-group.css</t>
        </is>
      </c>
      <c r="H12" s="23" t="inlineStr">
        <is>
          <t>tested</t>
        </is>
      </c>
      <c r="I12" s="23" t="inlineStr">
        <is>
          <t>no</t>
        </is>
      </c>
      <c r="J12" s="25" t="n">
        <v>46227</v>
      </c>
      <c r="L12" s="23" t="n">
        <v>1</v>
      </c>
      <c r="M12" s="23" t="n">
        <v>1</v>
      </c>
    </row>
    <row r="13" ht="42" customHeight="1" s="17">
      <c r="A13" s="23" t="inlineStr">
        <is>
          <t>TG-05</t>
        </is>
      </c>
      <c r="B13" s="23" t="inlineStr">
        <is>
          <t>Unit</t>
        </is>
      </c>
      <c r="C13" s="23" t="inlineStr">
        <is>
          <t>ToggleGroup</t>
        </is>
      </c>
      <c r="D13" s="23" t="inlineStr">
        <is>
          <t>Brick-owned DOM, recipes, adapters, and public hooks pass focused tests.</t>
        </is>
      </c>
      <c r="E13" s="23" t="inlineStr">
        <is>
          <t>package</t>
        </is>
      </c>
      <c r="F13" s="23" t="inlineStr">
        <is>
          <t>component</t>
        </is>
      </c>
      <c r="G13" s="23" t="inlineStr">
        <is>
          <t>../test/components/toggle-group/toggle-group.test.tsx</t>
        </is>
      </c>
      <c r="H13" s="23" t="inlineStr">
        <is>
          <t>tested</t>
        </is>
      </c>
      <c r="I13" s="23" t="inlineStr">
        <is>
          <t>no</t>
        </is>
      </c>
      <c r="J13" s="25" t="n">
        <v>46227</v>
      </c>
      <c r="L13" s="23" t="n">
        <v>1</v>
      </c>
      <c r="M13" s="23" t="n">
        <v>1</v>
      </c>
    </row>
    <row r="14" ht="42" customHeight="1" s="17">
      <c r="A14" s="23" t="inlineStr">
        <is>
          <t>TG-06</t>
        </is>
      </c>
      <c r="B14" s="23" t="inlineStr">
        <is>
          <t>Browser</t>
        </is>
      </c>
      <c r="C14" s="23" t="inlineStr">
        <is>
          <t>ToggleGroup</t>
        </is>
      </c>
      <c r="D14" s="23" t="inlineStr">
        <is>
          <t>Real-browser behavior and component contract checks pass.</t>
        </is>
      </c>
      <c r="E14" s="23" t="inlineStr">
        <is>
          <t>package</t>
        </is>
      </c>
      <c r="F14" s="23" t="inlineStr">
        <is>
          <t>browser</t>
        </is>
      </c>
      <c r="G14" s="23" t="inlineStr">
        <is>
          <t>tests/components/toggle-group/behavior.spec.ts</t>
        </is>
      </c>
      <c r="H14" s="23" t="inlineStr">
        <is>
          <t>tested</t>
        </is>
      </c>
      <c r="I14" s="23" t="inlineStr">
        <is>
          <t>no</t>
        </is>
      </c>
      <c r="J14" s="25" t="n">
        <v>46227</v>
      </c>
      <c r="L14" s="23" t="n">
        <v>1</v>
      </c>
      <c r="M14" s="23" t="n">
        <v>1</v>
      </c>
    </row>
    <row r="15" ht="42" customHeight="1" s="17">
      <c r="A15" s="23" t="inlineStr">
        <is>
          <t>TG-07</t>
        </is>
      </c>
      <c r="B15" s="23" t="inlineStr">
        <is>
          <t>Accessibility</t>
        </is>
      </c>
      <c r="C15" s="23" t="inlineStr">
        <is>
          <t>ToggleGroup</t>
        </is>
      </c>
      <c r="D15" s="23" t="inlineStr">
        <is>
          <t>Automated semantics and accessibility checks pass in the browser evidence suite.</t>
        </is>
      </c>
      <c r="E15" s="23" t="inlineStr">
        <is>
          <t>package</t>
        </is>
      </c>
      <c r="F15" s="23" t="inlineStr">
        <is>
          <t>axe</t>
        </is>
      </c>
      <c r="G15" s="23" t="inlineStr">
        <is>
          <t>tests/components/toggle-group/behavior.spec.ts; tests/integration</t>
        </is>
      </c>
      <c r="H15" s="23" t="inlineStr">
        <is>
          <t>tested</t>
        </is>
      </c>
      <c r="I15" s="23" t="inlineStr">
        <is>
          <t>no</t>
        </is>
      </c>
      <c r="J15" s="25" t="n">
        <v>46227</v>
      </c>
      <c r="L15" s="23" t="n">
        <v>1</v>
      </c>
      <c r="M15" s="23" t="n">
        <v>1</v>
      </c>
    </row>
    <row r="16" ht="42" customHeight="1" s="17">
      <c r="A16" s="23" t="inlineStr">
        <is>
          <t>TG-08</t>
        </is>
      </c>
      <c r="B16" s="23" t="inlineStr">
        <is>
          <t>Visual</t>
        </is>
      </c>
      <c r="C16" s="23" t="inlineStr">
        <is>
          <t>ToggleGroup</t>
        </is>
      </c>
      <c r="D16" s="23" t="inlineStr">
        <is>
          <t>Reviewed baselines cover the component's risk-selected recipes and states.</t>
        </is>
      </c>
      <c r="E16" s="23" t="inlineStr">
        <is>
          <t>package</t>
        </is>
      </c>
      <c r="F16" s="23" t="inlineStr">
        <is>
          <t>visual</t>
        </is>
      </c>
      <c r="G16" s="23" t="inlineStr">
        <is>
          <t>tests/components/toggle-group/visual.spec.ts</t>
        </is>
      </c>
      <c r="H16" s="23" t="inlineStr">
        <is>
          <t>verified</t>
        </is>
      </c>
      <c r="I16" s="23" t="inlineStr">
        <is>
          <t>yes</t>
        </is>
      </c>
      <c r="J16" s="25" t="n">
        <v>46227</v>
      </c>
      <c r="K16" s="23" t="inlineStr">
        <is>
          <t>Owner reviewed the current playground evidence.</t>
        </is>
      </c>
      <c r="L16" s="23" t="n">
        <v>1</v>
      </c>
      <c r="M16" s="23" t="n">
        <v>1</v>
      </c>
    </row>
    <row r="17" ht="42" customHeight="1" s="17">
      <c r="A17" s="23" t="inlineStr">
        <is>
          <t>TG-09</t>
        </is>
      </c>
      <c r="B17" s="23" t="inlineStr">
        <is>
          <t>Responsive</t>
        </is>
      </c>
      <c r="C17" s="23" t="inlineStr">
        <is>
          <t>ToggleGroup</t>
        </is>
      </c>
      <c r="D17" s="23" t="inlineStr">
        <is>
          <t>Mobile, zoom/reflow, content stress, and RTL remain usable and contained.</t>
        </is>
      </c>
      <c r="E17" s="23" t="inlineStr">
        <is>
          <t>package</t>
        </is>
      </c>
      <c r="F17" s="23" t="inlineStr">
        <is>
          <t>manual</t>
        </is>
      </c>
      <c r="G17" s="23" t="inlineStr">
        <is>
          <t>manual-tests/toggle-group.md</t>
        </is>
      </c>
      <c r="H17" s="23" t="inlineStr">
        <is>
          <t>verified</t>
        </is>
      </c>
      <c r="I17" s="23" t="inlineStr">
        <is>
          <t>yes</t>
        </is>
      </c>
      <c r="J17" s="25" t="n">
        <v>46227</v>
      </c>
      <c r="K17" s="23" t="inlineStr">
        <is>
          <t>Owner completed the current manual protocol.</t>
        </is>
      </c>
      <c r="L17" s="23" t="n">
        <v>1</v>
      </c>
      <c r="M17" s="23" t="n">
        <v>1</v>
      </c>
    </row>
    <row r="18" ht="42" customHeight="1" s="17">
      <c r="A18" s="23" t="inlineStr">
        <is>
          <t>TG-10</t>
        </is>
      </c>
      <c r="B18" s="23" t="inlineStr">
        <is>
          <t>Theme</t>
        </is>
      </c>
      <c r="C18" s="23" t="inlineStr">
        <is>
          <t>ToggleGroup</t>
        </is>
      </c>
      <c r="D18" s="23" t="inlineStr">
        <is>
          <t>Light, dark, focus, forced-colors, and relevant motion behavior remain perceivable.</t>
        </is>
      </c>
      <c r="E18" s="23" t="inlineStr">
        <is>
          <t>package</t>
        </is>
      </c>
      <c r="F18" s="23" t="inlineStr">
        <is>
          <t>manual</t>
        </is>
      </c>
      <c r="G18" s="23" t="inlineStr">
        <is>
          <t>manual-tests/toggle-group.md</t>
        </is>
      </c>
      <c r="H18" s="23" t="inlineStr">
        <is>
          <t>verified</t>
        </is>
      </c>
      <c r="I18" s="23" t="inlineStr">
        <is>
          <t>yes</t>
        </is>
      </c>
      <c r="J18" s="25" t="n">
        <v>46227</v>
      </c>
      <c r="K18" s="23" t="inlineStr">
        <is>
          <t>Owner completed the current manual protocol.</t>
        </is>
      </c>
      <c r="L18" s="23" t="n">
        <v>1</v>
      </c>
      <c r="M18" s="23" t="n">
        <v>1</v>
      </c>
    </row>
    <row r="19" ht="42" customHeight="1" s="17">
      <c r="A19" s="23" t="inlineStr">
        <is>
          <t>TG-11</t>
        </is>
      </c>
      <c r="B19" s="23" t="inlineStr">
        <is>
          <t>Composition</t>
        </is>
      </c>
      <c r="C19" s="23" t="inlineStr">
        <is>
          <t>ToggleGroup</t>
        </is>
      </c>
      <c r="D19" s="23" t="inlineStr">
        <is>
          <t>Default, render, and asChild output preserve the intended element, slots, state, and relationships.</t>
        </is>
      </c>
      <c r="E19" s="23" t="inlineStr">
        <is>
          <t>package</t>
        </is>
      </c>
      <c r="F19" s="23" t="inlineStr">
        <is>
          <t>manual</t>
        </is>
      </c>
      <c r="G19" s="23" t="inlineStr">
        <is>
          <t>manual-tests/toggle-group.md; tests/components/toggle-group/behavior.spec.ts</t>
        </is>
      </c>
      <c r="H19" s="23" t="inlineStr">
        <is>
          <t>verified</t>
        </is>
      </c>
      <c r="I19" s="23" t="inlineStr">
        <is>
          <t>yes</t>
        </is>
      </c>
      <c r="J19" s="25" t="n">
        <v>46227</v>
      </c>
      <c r="K19" s="23" t="inlineStr">
        <is>
          <t>Owner reviewed the live and rendered output evidence.</t>
        </is>
      </c>
      <c r="L19" s="23" t="n">
        <v>1</v>
      </c>
      <c r="M19" s="23" t="n">
        <v>1</v>
      </c>
    </row>
    <row r="20" ht="42" customHeight="1" s="17">
      <c r="A20" s="23" t="inlineStr">
        <is>
          <t>TG-12</t>
        </is>
      </c>
      <c r="B20" s="23" t="inlineStr">
        <is>
          <t>Manual</t>
        </is>
      </c>
      <c r="C20" s="23" t="inlineStr">
        <is>
          <t>ToggleGroup</t>
        </is>
      </c>
      <c r="D20" s="23" t="inlineStr">
        <is>
          <t>The complete component-owned manual protocol passed against every playground scenario.</t>
        </is>
      </c>
      <c r="E20" s="23" t="inlineStr">
        <is>
          <t>package</t>
        </is>
      </c>
      <c r="F20" s="23" t="inlineStr">
        <is>
          <t>manual</t>
        </is>
      </c>
      <c r="G20" s="23" t="inlineStr">
        <is>
          <t>manual-tests/toggle-group.md</t>
        </is>
      </c>
      <c r="H20" s="23" t="inlineStr">
        <is>
          <t>verified</t>
        </is>
      </c>
      <c r="I20" s="23" t="inlineStr">
        <is>
          <t>yes</t>
        </is>
      </c>
      <c r="J20" s="25" t="n">
        <v>46227</v>
      </c>
      <c r="K20" s="23" t="inlineStr">
        <is>
          <t>Owner confirmed completion on 2026-07-24.</t>
        </is>
      </c>
      <c r="L20" s="23" t="n">
        <v>1</v>
      </c>
      <c r="M20" s="23" t="n">
        <v>1</v>
      </c>
    </row>
    <row r="21" ht="42" customHeight="1" s="17">
      <c r="A21" s="23" t="inlineStr">
        <is>
          <t>TG-13</t>
        </is>
      </c>
      <c r="B21" s="23" t="inlineStr">
        <is>
          <t>Docs</t>
        </is>
      </c>
      <c r="C21" s="23" t="inlineStr">
        <is>
          <t>ToggleGroup</t>
        </is>
      </c>
      <c r="D21" s="23" t="inlineStr">
        <is>
          <t>Public usage documentation exists at the component-owned path.</t>
        </is>
      </c>
      <c r="E21" s="23" t="inlineStr">
        <is>
          <t>package</t>
        </is>
      </c>
      <c r="F21" s="23" t="inlineStr">
        <is>
          <t>docs</t>
        </is>
      </c>
      <c r="G21" s="23" t="inlineStr">
        <is>
          <t>../docs/components/toggle-group/README.md</t>
        </is>
      </c>
      <c r="H21" s="23" t="inlineStr">
        <is>
          <t>tested</t>
        </is>
      </c>
      <c r="I21" s="23" t="inlineStr">
        <is>
          <t>no</t>
        </is>
      </c>
      <c r="J21" s="25" t="n">
        <v>46227</v>
      </c>
      <c r="L21" s="23" t="n">
        <v>1</v>
      </c>
      <c r="M21" s="23" t="n">
        <v>1</v>
      </c>
    </row>
    <row r="22" ht="42" customHeight="1" s="17">
      <c r="A22" s="23" t="inlineStr">
        <is>
          <t>TG-14</t>
        </is>
      </c>
      <c r="B22" s="23" t="inlineStr">
        <is>
          <t>Changelog</t>
        </is>
      </c>
      <c r="C22" s="23" t="inlineStr">
        <is>
          <t>ToggleGroup</t>
        </is>
      </c>
      <c r="D22" s="23" t="inlineStr">
        <is>
          <t>The component owns a public changelog.</t>
        </is>
      </c>
      <c r="E22" s="23" t="inlineStr">
        <is>
          <t>package</t>
        </is>
      </c>
      <c r="F22" s="23" t="inlineStr">
        <is>
          <t>docs</t>
        </is>
      </c>
      <c r="G22" s="23" t="inlineStr">
        <is>
          <t>../docs/components/toggle-group/CHANGELOG.md</t>
        </is>
      </c>
      <c r="H22" s="23" t="inlineStr">
        <is>
          <t>tested</t>
        </is>
      </c>
      <c r="I22" s="23" t="inlineStr">
        <is>
          <t>no</t>
        </is>
      </c>
      <c r="J22" s="25" t="n">
        <v>46227</v>
      </c>
      <c r="L22" s="23" t="n">
        <v>1</v>
      </c>
      <c r="M22" s="23" t="n">
        <v>1</v>
      </c>
    </row>
    <row r="23" ht="42" customHeight="1" s="17">
      <c r="A23" s="23" t="inlineStr">
        <is>
          <t>TG-15</t>
        </is>
      </c>
      <c r="B23" s="23" t="inlineStr">
        <is>
          <t>Consumer</t>
        </is>
      </c>
      <c r="C23" s="23" t="inlineStr">
        <is>
          <t>ToggleGroup</t>
        </is>
      </c>
      <c r="D23" s="23" t="inlineStr">
        <is>
          <t>The standalone consumer imports and exercises the public package component.</t>
        </is>
      </c>
      <c r="E23" s="23" t="inlineStr">
        <is>
          <t>consumer</t>
        </is>
      </c>
      <c r="F23" s="23" t="inlineStr">
        <is>
          <t>consumer</t>
        </is>
      </c>
      <c r="G23" s="23" t="inlineStr">
        <is>
          <t>../apps/consumer/src/App.tsx; ../apps/consumer/tests/consumer.spec.ts</t>
        </is>
      </c>
      <c r="H23" s="23" t="inlineStr">
        <is>
          <t>tested</t>
        </is>
      </c>
      <c r="I23" s="23" t="inlineStr">
        <is>
          <t>no</t>
        </is>
      </c>
      <c r="J23" s="25" t="n">
        <v>46227</v>
      </c>
      <c r="L23" s="23" t="n">
        <v>1</v>
      </c>
      <c r="M23" s="23" t="n">
        <v>1</v>
      </c>
    </row>
    <row r="24" ht="42" customHeight="1" s="17">
      <c r="A24" s="23" t="inlineStr">
        <is>
          <t>TG-16</t>
        </is>
      </c>
      <c r="B24" s="23" t="inlineStr">
        <is>
          <t>Package</t>
        </is>
      </c>
      <c r="C24" s="23" t="inlineStr">
        <is>
          <t>ToggleGroup</t>
        </is>
      </c>
      <c r="D24" s="23" t="inlineStr">
        <is>
          <t>Build, exports, tarball, CSS, and consumer boundary verification pass.</t>
        </is>
      </c>
      <c r="E24" s="23" t="inlineStr">
        <is>
          <t>package</t>
        </is>
      </c>
      <c r="F24" s="23" t="inlineStr">
        <is>
          <t>package</t>
        </is>
      </c>
      <c r="G24" s="23" t="inlineStr">
        <is>
          <t>../scripts/verify-package.mjs; ../scripts/verify-consumers.mjs</t>
        </is>
      </c>
      <c r="H24" s="23" t="inlineStr">
        <is>
          <t>tested</t>
        </is>
      </c>
      <c r="I24" s="23" t="inlineStr">
        <is>
          <t>no</t>
        </is>
      </c>
      <c r="J24" s="25" t="n">
        <v>46227</v>
      </c>
      <c r="L24" s="23" t="n">
        <v>1</v>
      </c>
      <c r="M24" s="23" t="n">
        <v>1</v>
      </c>
    </row>
  </sheetData>
  <mergeCells count="2">
    <mergeCell ref="A2:M2"/>
    <mergeCell ref="A1:M1"/>
  </mergeCells>
  <conditionalFormatting sqref="H9:H24">
    <cfRule type="containsText" rank="0" priority="2" equalAverage="0" operator="containsText" aboveAverage="0" dxfId="5" text="not started" percent="0" bottom="0">
      <formula>NOT(ISERROR(SEARCH("not started",H9)))</formula>
    </cfRule>
    <cfRule type="containsText" rank="0" priority="3" equalAverage="0" operator="containsText" aboveAverage="0" dxfId="6" text="partial" percent="0" bottom="0">
      <formula>NOT(ISERROR(SEARCH("partial",H9)))</formula>
    </cfRule>
    <cfRule type="containsText" rank="0" priority="4" equalAverage="0" operator="containsText" aboveAverage="0" dxfId="7" text="implemented" percent="0" bottom="0">
      <formula>NOT(ISERROR(SEARCH("implemented",H9)))</formula>
    </cfRule>
    <cfRule type="containsText" rank="0" priority="5" equalAverage="0" operator="containsText" aboveAverage="0" dxfId="8" text="tested" percent="0" bottom="0">
      <formula>NOT(ISERROR(SEARCH("tested",H9)))</formula>
    </cfRule>
    <cfRule type="containsText" rank="0" priority="6" equalAverage="0" operator="containsText" aboveAverage="0" dxfId="3" text="verified" percent="0" bottom="0">
      <formula>NOT(ISERROR(SEARCH("verified",H9)))</formula>
    </cfRule>
    <cfRule type="containsText" rank="0" priority="7" equalAverage="0" operator="containsText" aboveAverage="0" dxfId="9" text="blocked" percent="0" bottom="0">
      <formula>NOT(ISERROR(SEARCH("blocked",H9)))</formula>
    </cfRule>
    <cfRule type="containsText" rank="0" priority="8" equalAverage="0" operator="containsText" aboveAverage="0" dxfId="5" text="not applicable" percent="0" bottom="0">
      <formula>NOT(ISERROR(SEARCH("not applicable",H9)))</formula>
    </cfRule>
  </conditionalFormatting>
  <dataValidations count="2">
    <dataValidation sqref="H9:H24" showDropDown="0" showInputMessage="1" showErrorMessage="1" allowBlank="1" type="list" errorStyle="stop" operator="between">
      <formula1>"not started,partial,implemented,tested,verified,blocked,not applicable"</formula1>
      <formula2>0</formula2>
    </dataValidation>
    <dataValidation sqref="I9:I24" showDropDown="0" showInputMessage="1" showErrorMessage="1" allowBlank="1" type="list" errorStyle="stop" operator="between">
      <formula1>"yes,no"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26.xml><?xml version="1.0" encoding="utf-8"?>
<worksheet xmlns="http://schemas.openxmlformats.org/spreadsheetml/2006/main">
  <sheetPr filterMode="0">
    <outlinePr summaryBelow="1" summaryRight="1"/>
    <pageSetUpPr fitToPage="0"/>
  </sheetPr>
  <dimension ref="A1:M24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baseColWidth="8" defaultColWidth="8.6796875" defaultRowHeight="15" customHeight="0" zeroHeight="0" outlineLevelRow="0"/>
  <cols>
    <col width="13.71" customWidth="1" style="23" min="1" max="1"/>
    <col width="15.71" customWidth="1" style="23" min="2" max="2"/>
    <col width="18.71" customWidth="1" style="23" min="3" max="3"/>
    <col width="58.71" customWidth="1" style="23" min="4" max="4"/>
    <col width="14.71" customWidth="1" style="23" min="5" max="6"/>
    <col width="50.71" customWidth="1" style="23" min="7" max="7"/>
    <col width="17.71" customWidth="1" style="23" min="8" max="8"/>
    <col width="14.71" customWidth="1" style="23" min="9" max="9"/>
    <col width="14.71" customWidth="1" style="25" min="10" max="10"/>
    <col width="42.71" customWidth="1" style="23" min="11" max="11"/>
    <col width="10.71" customWidth="1" style="23" min="12" max="13"/>
  </cols>
  <sheetData>
    <row r="1" ht="37.5" customHeight="1" s="17">
      <c r="A1" s="18" t="inlineStr">
        <is>
          <t>Stack Evidence</t>
        </is>
      </c>
    </row>
    <row r="2" ht="27.75" customHeight="1" s="17">
      <c r="A2" s="19" t="inlineStr">
        <is>
          <t>Assertion-level package, browser, human-review, documentation, and consumer evidence.</t>
        </is>
      </c>
    </row>
    <row r="4" ht="17.25" customHeight="1" s="17">
      <c r="A4" s="20" t="inlineStr">
        <is>
          <t>Requirements</t>
        </is>
      </c>
      <c r="B4" s="21">
        <f>COUNTA(A9:A24)</f>
        <v/>
      </c>
      <c r="D4" s="20" t="inlineStr">
        <is>
          <t>Resolved</t>
        </is>
      </c>
      <c r="E4" s="21">
        <f>SUM(M9:M24)</f>
        <v/>
      </c>
      <c r="G4" s="20" t="inlineStr">
        <is>
          <t>Completion</t>
        </is>
      </c>
      <c r="H4" s="22">
        <f>IF(B4=0,0,E4/B4)</f>
        <v/>
      </c>
      <c r="J4" s="20" t="inlineStr">
        <is>
          <t>Package gate</t>
        </is>
      </c>
      <c r="K4" s="21">
        <f>IF(COUNTIFS(E9:E24,"package",M9:M24,0)&gt;0,"open","complete")</f>
        <v/>
      </c>
    </row>
    <row r="5" ht="17.25" customHeight="1" s="17">
      <c r="A5" s="20" t="inlineStr">
        <is>
          <t>Manual review</t>
        </is>
      </c>
      <c r="B5" s="21">
        <f>IF(COUNTIFS(I9:I24,"yes",M9:M24,0)&gt;0,"open","complete")</f>
        <v/>
      </c>
      <c r="D5" s="20" t="inlineStr">
        <is>
          <t>Consumer gate</t>
        </is>
      </c>
      <c r="E5" s="21">
        <f>IF(COUNTIFS(E9:E24,"consumer",M9:M24,0)&gt;0,"open","complete")</f>
        <v/>
      </c>
    </row>
    <row r="8" ht="15" customHeight="1" s="17">
      <c r="A8" s="23" t="inlineStr">
        <is>
          <t>ID</t>
        </is>
      </c>
      <c r="B8" s="23" t="inlineStr">
        <is>
          <t>Area</t>
        </is>
      </c>
      <c r="C8" s="23" t="inlineStr">
        <is>
          <t>Part</t>
        </is>
      </c>
      <c r="D8" s="23" t="inlineStr">
        <is>
          <t>Requirement</t>
        </is>
      </c>
      <c r="E8" s="23" t="inlineStr">
        <is>
          <t>Gate</t>
        </is>
      </c>
      <c r="F8" s="23" t="inlineStr">
        <is>
          <t>Evidence type</t>
        </is>
      </c>
      <c r="G8" s="23" t="inlineStr">
        <is>
          <t>Evidence / link</t>
        </is>
      </c>
      <c r="H8" s="23" t="inlineStr">
        <is>
          <t>Status</t>
        </is>
      </c>
      <c r="I8" s="23" t="inlineStr">
        <is>
          <t>Human review?</t>
        </is>
      </c>
      <c r="J8" s="25" t="inlineStr">
        <is>
          <t>Last verified</t>
        </is>
      </c>
      <c r="K8" s="23" t="inlineStr">
        <is>
          <t>Blocker / N/A reason</t>
        </is>
      </c>
      <c r="L8" s="23" t="inlineStr">
        <is>
          <t>Weight</t>
        </is>
      </c>
      <c r="M8" s="23" t="inlineStr">
        <is>
          <t>Resolved</t>
        </is>
      </c>
    </row>
    <row r="9" ht="54" customHeight="1" s="17">
      <c r="A9" s="26" t="inlineStr">
        <is>
          <t>S-01</t>
        </is>
      </c>
      <c r="B9" s="26" t="inlineStr">
        <is>
          <t>Implementation</t>
        </is>
      </c>
      <c r="C9" s="26" t="inlineStr">
        <is>
          <t>Stack</t>
        </is>
      </c>
      <c r="D9" s="27" t="inlineStr">
        <is>
          <t>Stack, HStack, and VStack share one semantic root implementation with stable hooks and refs.</t>
        </is>
      </c>
      <c r="E9" s="26" t="inlineStr">
        <is>
          <t>package</t>
        </is>
      </c>
      <c r="F9" s="26" t="inlineStr">
        <is>
          <t>source</t>
        </is>
      </c>
      <c r="G9" s="27" t="inlineStr">
        <is>
          <t>../src/components/stack</t>
        </is>
      </c>
      <c r="H9" s="26" t="inlineStr">
        <is>
          <t>tested</t>
        </is>
      </c>
      <c r="I9" s="26" t="inlineStr">
        <is>
          <t>no</t>
        </is>
      </c>
      <c r="J9" s="28" t="n">
        <v>46227</v>
      </c>
      <c r="K9" s="27" t="n"/>
      <c r="L9" s="26" t="n">
        <v>1</v>
      </c>
      <c r="M9" s="26">
        <f>IF(OR(AND(I9="yes",H9="verified"),AND(I9="no",OR(H9="tested",H9="verified")),AND(H9="not applicable",K9&lt;&gt;"")),1,0)</f>
        <v/>
      </c>
    </row>
    <row r="10" ht="54" customHeight="1" s="17">
      <c r="A10" s="26" t="inlineStr">
        <is>
          <t>S-02</t>
        </is>
      </c>
      <c r="B10" s="26" t="inlineStr">
        <is>
          <t>Exports</t>
        </is>
      </c>
      <c r="C10" s="26" t="inlineStr">
        <is>
          <t>Stack family</t>
        </is>
      </c>
      <c r="D10" s="27" t="inlineStr">
        <is>
          <t>Root and public Stack subpath exports expose all three runtimes and public types.</t>
        </is>
      </c>
      <c r="E10" s="26" t="inlineStr">
        <is>
          <t>package</t>
        </is>
      </c>
      <c r="F10" s="26" t="inlineStr">
        <is>
          <t>package</t>
        </is>
      </c>
      <c r="G10" s="27" t="inlineStr">
        <is>
          <t>../test/package/package.test.mjs</t>
        </is>
      </c>
      <c r="H10" s="26" t="inlineStr">
        <is>
          <t>tested</t>
        </is>
      </c>
      <c r="I10" s="26" t="inlineStr">
        <is>
          <t>no</t>
        </is>
      </c>
      <c r="J10" s="28" t="n">
        <v>46227</v>
      </c>
      <c r="K10" s="27" t="n"/>
      <c r="L10" s="26" t="n">
        <v>1</v>
      </c>
      <c r="M10" s="26">
        <f>IF(OR(AND(I10="yes",H10="verified"),AND(I10="no",OR(H10="tested",H10="verified")),AND(H10="not applicable",K10&lt;&gt;"")),1,0)</f>
        <v/>
      </c>
    </row>
    <row r="11" ht="54" customHeight="1" s="17">
      <c r="A11" s="26" t="inlineStr">
        <is>
          <t>S-03</t>
        </is>
      </c>
      <c r="B11" s="26" t="inlineStr">
        <is>
          <t>Types</t>
        </is>
      </c>
      <c r="C11" s="26" t="inlineStr">
        <is>
          <t>Stack family</t>
        </is>
      </c>
      <c r="D11" s="27" t="inlineStr">
        <is>
          <t>Hosts, direction, gap, alignment, distribution, wrapping, native props, refs, and exclusions type-check.</t>
        </is>
      </c>
      <c r="E11" s="26" t="inlineStr">
        <is>
          <t>package</t>
        </is>
      </c>
      <c r="F11" s="26" t="inlineStr">
        <is>
          <t>types</t>
        </is>
      </c>
      <c r="G11" s="27" t="inlineStr">
        <is>
          <t>../test/types/components/stack.test.ts</t>
        </is>
      </c>
      <c r="H11" s="26" t="inlineStr">
        <is>
          <t>tested</t>
        </is>
      </c>
      <c r="I11" s="26" t="inlineStr">
        <is>
          <t>no</t>
        </is>
      </c>
      <c r="J11" s="28" t="n">
        <v>46227</v>
      </c>
      <c r="K11" s="27" t="n"/>
      <c r="L11" s="26" t="n">
        <v>1</v>
      </c>
      <c r="M11" s="26">
        <f>IF(OR(AND(I11="yes",H11="verified"),AND(I11="no",OR(H11="tested",H11="verified")),AND(H11="not applicable",K11&lt;&gt;"")),1,0)</f>
        <v/>
      </c>
    </row>
    <row r="12" ht="54" customHeight="1" s="17">
      <c r="A12" s="26" t="inlineStr">
        <is>
          <t>S-04</t>
        </is>
      </c>
      <c r="B12" s="26" t="inlineStr">
        <is>
          <t>CSS</t>
        </is>
      </c>
      <c r="C12" s="26" t="inlineStr">
        <is>
          <t>Root</t>
        </is>
      </c>
      <c r="D12" s="27" t="inlineStr">
        <is>
          <t>Static CSS ships flex layout, zero-through-six tokenized gaps, logical alignment, distribution, wrapping, and min-inline containment.</t>
        </is>
      </c>
      <c r="E12" s="26" t="inlineStr">
        <is>
          <t>package</t>
        </is>
      </c>
      <c r="F12" s="26" t="inlineStr">
        <is>
          <t>css</t>
        </is>
      </c>
      <c r="G12" s="27" t="inlineStr">
        <is>
          <t>../src/components/stack/stack.css; ../src/styles/tokens.tokens.json</t>
        </is>
      </c>
      <c r="H12" s="26" t="inlineStr">
        <is>
          <t>tested</t>
        </is>
      </c>
      <c r="I12" s="26" t="inlineStr">
        <is>
          <t>no</t>
        </is>
      </c>
      <c r="J12" s="28" t="n">
        <v>46227</v>
      </c>
      <c r="K12" s="27" t="n"/>
      <c r="L12" s="26" t="n">
        <v>1</v>
      </c>
      <c r="M12" s="26">
        <f>IF(OR(AND(I12="yes",H12="verified"),AND(I12="no",OR(H12="tested",H12="verified")),AND(H12="not applicable",K12&lt;&gt;"")),1,0)</f>
        <v/>
      </c>
    </row>
    <row r="13" ht="54" customHeight="1" s="17">
      <c r="A13" s="26" t="inlineStr">
        <is>
          <t>S-05</t>
        </is>
      </c>
      <c r="B13" s="26" t="inlineStr">
        <is>
          <t>Unit</t>
        </is>
      </c>
      <c r="C13" s="26" t="inlineStr">
        <is>
          <t>Stack family</t>
        </is>
      </c>
      <c r="D13" s="27" t="inlineStr">
        <is>
          <t>Defaults, family direction locks, every closed recipe, semantic hosts, native pass-through, hooks, events, and refs pass focused tests.</t>
        </is>
      </c>
      <c r="E13" s="26" t="inlineStr">
        <is>
          <t>package</t>
        </is>
      </c>
      <c r="F13" s="26" t="inlineStr">
        <is>
          <t>component</t>
        </is>
      </c>
      <c r="G13" s="27" t="inlineStr">
        <is>
          <t>../test/components/stack/stack.test.tsx</t>
        </is>
      </c>
      <c r="H13" s="26" t="inlineStr">
        <is>
          <t>tested</t>
        </is>
      </c>
      <c r="I13" s="26" t="inlineStr">
        <is>
          <t>no</t>
        </is>
      </c>
      <c r="J13" s="28" t="n">
        <v>46227</v>
      </c>
      <c r="K13" s="27" t="n"/>
      <c r="L13" s="26" t="n">
        <v>1</v>
      </c>
      <c r="M13" s="26">
        <f>IF(OR(AND(I13="yes",H13="verified"),AND(I13="no",OR(H13="tested",H13="verified")),AND(H13="not applicable",K13&lt;&gt;"")),1,0)</f>
        <v/>
      </c>
    </row>
    <row r="14" ht="54" customHeight="1" s="17">
      <c r="A14" s="26" t="inlineStr">
        <is>
          <t>S-06</t>
        </is>
      </c>
      <c r="B14" s="26" t="inlineStr">
        <is>
          <t>Browser</t>
        </is>
      </c>
      <c r="C14" s="26" t="inlineStr">
        <is>
          <t>Stack family</t>
        </is>
      </c>
      <c r="D14" s="27" t="inlineStr">
        <is>
          <t>Real-browser axes, exact gaps, alignment, distribution, wrapping, containment, semantics, refs, output, and customization pass.</t>
        </is>
      </c>
      <c r="E14" s="26" t="inlineStr">
        <is>
          <t>package</t>
        </is>
      </c>
      <c r="F14" s="26" t="inlineStr">
        <is>
          <t>browser</t>
        </is>
      </c>
      <c r="G14" s="27" t="inlineStr">
        <is>
          <t>tests/components/stack/behavior.spec.ts</t>
        </is>
      </c>
      <c r="H14" s="26" t="inlineStr">
        <is>
          <t>tested</t>
        </is>
      </c>
      <c r="I14" s="26" t="inlineStr">
        <is>
          <t>no</t>
        </is>
      </c>
      <c r="J14" s="28" t="n">
        <v>46227</v>
      </c>
      <c r="K14" s="27" t="n"/>
      <c r="L14" s="26" t="n">
        <v>1</v>
      </c>
      <c r="M14" s="26">
        <f>IF(OR(AND(I14="yes",H14="verified"),AND(I14="no",OR(H14="tested",H14="verified")),AND(H14="not applicable",K14&lt;&gt;"")),1,0)</f>
        <v/>
      </c>
    </row>
    <row r="15" ht="54" customHeight="1" s="17">
      <c r="A15" s="26" t="inlineStr">
        <is>
          <t>S-07</t>
        </is>
      </c>
      <c r="B15" s="26" t="inlineStr">
        <is>
          <t>Accessibility</t>
        </is>
      </c>
      <c r="C15" s="26" t="inlineStr">
        <is>
          <t>Root</t>
        </is>
      </c>
      <c r="D15" s="27" t="inlineStr">
        <is>
          <t>Source order, semantic hosts, RTL logic, reflow containment, and axe checks pass without Stack adding roles or names.</t>
        </is>
      </c>
      <c r="E15" s="26" t="inlineStr">
        <is>
          <t>package</t>
        </is>
      </c>
      <c r="F15" s="26" t="inlineStr">
        <is>
          <t>axe</t>
        </is>
      </c>
      <c r="G15" s="27" t="inlineStr">
        <is>
          <t>tests/components/stack/behavior.spec.ts</t>
        </is>
      </c>
      <c r="H15" s="26" t="inlineStr">
        <is>
          <t>tested</t>
        </is>
      </c>
      <c r="I15" s="26" t="inlineStr">
        <is>
          <t>no</t>
        </is>
      </c>
      <c r="J15" s="28" t="n">
        <v>46227</v>
      </c>
      <c r="K15" s="27" t="n"/>
      <c r="L15" s="26" t="n">
        <v>1</v>
      </c>
      <c r="M15" s="26">
        <f>IF(OR(AND(I15="yes",H15="verified"),AND(I15="no",OR(H15="tested",H15="verified")),AND(H15="not applicable",K15&lt;&gt;"")),1,0)</f>
        <v/>
      </c>
    </row>
    <row r="16" ht="54" customHeight="1" s="17">
      <c r="A16" s="26" t="inlineStr">
        <is>
          <t>S-08</t>
        </is>
      </c>
      <c r="B16" s="26" t="inlineStr">
        <is>
          <t>Visual</t>
        </is>
      </c>
      <c r="C16" s="26" t="inlineStr">
        <is>
          <t>Stack family</t>
        </is>
      </c>
      <c r="D16" s="27" t="inlineStr">
        <is>
          <t>Reviewed baselines cover defaults, family directions, gaps, alignment, wrapping, dark appearance, mobile RTL, and forced colors.</t>
        </is>
      </c>
      <c r="E16" s="26" t="inlineStr">
        <is>
          <t>package</t>
        </is>
      </c>
      <c r="F16" s="26" t="inlineStr">
        <is>
          <t>visual</t>
        </is>
      </c>
      <c r="G16" s="27" t="inlineStr">
        <is>
          <t>tests/components/stack/visual.spec.ts</t>
        </is>
      </c>
      <c r="H16" s="26" t="inlineStr">
        <is>
          <t>verified</t>
        </is>
      </c>
      <c r="I16" s="26" t="inlineStr">
        <is>
          <t>yes</t>
        </is>
      </c>
      <c r="J16" s="28" t="n">
        <v>46227</v>
      </c>
      <c r="K16" s="27" t="inlineStr">
        <is>
          <t>Current Stack playground and visual baselines were reviewed during implementation.</t>
        </is>
      </c>
      <c r="L16" s="26" t="n">
        <v>1</v>
      </c>
      <c r="M16" s="26">
        <f>IF(OR(AND(I16="yes",H16="verified"),AND(I16="no",OR(H16="tested",H16="verified")),AND(H16="not applicable",K16&lt;&gt;"")),1,0)</f>
        <v/>
      </c>
    </row>
    <row r="17" ht="54" customHeight="1" s="17">
      <c r="A17" s="26" t="inlineStr">
        <is>
          <t>S-09</t>
        </is>
      </c>
      <c r="B17" s="26" t="inlineStr">
        <is>
          <t>Responsive</t>
        </is>
      </c>
      <c r="C17" s="26" t="inlineStr">
        <is>
          <t>Stack family</t>
        </is>
      </c>
      <c r="D17" s="27" t="inlineStr">
        <is>
          <t>Physical mobile, 200%/400% zoom, constrained wrapping, long content, and RTL remain readable and contained.</t>
        </is>
      </c>
      <c r="E17" s="26" t="inlineStr">
        <is>
          <t>package</t>
        </is>
      </c>
      <c r="F17" s="26" t="inlineStr">
        <is>
          <t>manual</t>
        </is>
      </c>
      <c r="G17" s="27" t="inlineStr">
        <is>
          <t>manual-tests/stack.md</t>
        </is>
      </c>
      <c r="H17" s="26" t="inlineStr">
        <is>
          <t>implemented</t>
        </is>
      </c>
      <c r="I17" s="26" t="inlineStr">
        <is>
          <t>yes</t>
        </is>
      </c>
      <c r="J17" s="28" t="n"/>
      <c r="K17" s="27" t="inlineStr">
        <is>
          <t>Automated reflow and RTL evidence passes; the human manual run is intentionally pending.</t>
        </is>
      </c>
      <c r="L17" s="26" t="n">
        <v>1</v>
      </c>
      <c r="M17" s="26">
        <f>IF(OR(AND(I17="yes",H17="verified"),AND(I17="no",OR(H17="tested",H17="verified")),AND(H17="not applicable",K17&lt;&gt;"")),1,0)</f>
        <v/>
      </c>
    </row>
    <row r="18" ht="54" customHeight="1" s="17">
      <c r="A18" s="26" t="inlineStr">
        <is>
          <t>S-10</t>
        </is>
      </c>
      <c r="B18" s="26" t="inlineStr">
        <is>
          <t>Theme</t>
        </is>
      </c>
      <c r="C18" s="26" t="inlineStr">
        <is>
          <t>Root</t>
        </is>
      </c>
      <c r="D18" s="27" t="inlineStr">
        <is>
          <t>Light, dark, forced-colors, focus-bearing children, and text-spacing stress retain understandable layout.</t>
        </is>
      </c>
      <c r="E18" s="26" t="inlineStr">
        <is>
          <t>package</t>
        </is>
      </c>
      <c r="F18" s="26" t="inlineStr">
        <is>
          <t>manual</t>
        </is>
      </c>
      <c r="G18" s="27" t="inlineStr">
        <is>
          <t>manual-tests/stack.md; tests/components/stack/visual.spec.ts</t>
        </is>
      </c>
      <c r="H18" s="26" t="inlineStr">
        <is>
          <t>implemented</t>
        </is>
      </c>
      <c r="I18" s="26" t="inlineStr">
        <is>
          <t>yes</t>
        </is>
      </c>
      <c r="J18" s="28" t="n"/>
      <c r="K18" s="27" t="inlineStr">
        <is>
          <t>Automated appearance evidence passes; complete human appearance review is pending.</t>
        </is>
      </c>
      <c r="L18" s="26" t="n">
        <v>1</v>
      </c>
      <c r="M18" s="26">
        <f>IF(OR(AND(I18="yes",H18="verified"),AND(I18="no",OR(H18="tested",H18="verified")),AND(H18="not applicable",K18&lt;&gt;"")),1,0)</f>
        <v/>
      </c>
    </row>
    <row r="19" ht="54" customHeight="1" s="17">
      <c r="A19" s="26" t="inlineStr">
        <is>
          <t>S-11</t>
        </is>
      </c>
      <c r="B19" s="26" t="inlineStr">
        <is>
          <t>Semantics</t>
        </is>
      </c>
      <c r="C19" s="26" t="inlineStr">
        <is>
          <t>Root</t>
        </is>
      </c>
      <c r="D19" s="27" t="inlineStr">
        <is>
          <t>Every supported semantic host, authored native attribute, DOM order, and rendered-output example match the public contract.</t>
        </is>
      </c>
      <c r="E19" s="26" t="inlineStr">
        <is>
          <t>package</t>
        </is>
      </c>
      <c r="F19" s="26" t="inlineStr">
        <is>
          <t>browser</t>
        </is>
      </c>
      <c r="G19" s="27" t="inlineStr">
        <is>
          <t>tests/components/stack/behavior.spec.ts</t>
        </is>
      </c>
      <c r="H19" s="26" t="inlineStr">
        <is>
          <t>tested</t>
        </is>
      </c>
      <c r="I19" s="26" t="inlineStr">
        <is>
          <t>no</t>
        </is>
      </c>
      <c r="J19" s="28" t="n">
        <v>46227</v>
      </c>
      <c r="K19" s="27" t="n"/>
      <c r="L19" s="26" t="n">
        <v>1</v>
      </c>
      <c r="M19" s="26">
        <f>IF(OR(AND(I19="yes",H19="verified"),AND(I19="no",OR(H19="tested",H19="verified")),AND(H19="not applicable",K19&lt;&gt;"")),1,0)</f>
        <v/>
      </c>
    </row>
    <row r="20" ht="54" customHeight="1" s="17">
      <c r="A20" s="26" t="inlineStr">
        <is>
          <t>S-12</t>
        </is>
      </c>
      <c r="B20" s="26" t="inlineStr">
        <is>
          <t>Manual</t>
        </is>
      </c>
      <c r="C20" s="26" t="inlineStr">
        <is>
          <t>Stack family</t>
        </is>
      </c>
      <c r="D20" s="27" t="inlineStr">
        <is>
          <t>The component-owned manual protocol passes every Stack playground scenario.</t>
        </is>
      </c>
      <c r="E20" s="26" t="inlineStr">
        <is>
          <t>package</t>
        </is>
      </c>
      <c r="F20" s="26" t="inlineStr">
        <is>
          <t>manual</t>
        </is>
      </c>
      <c r="G20" s="27" t="inlineStr">
        <is>
          <t>manual-tests/stack.md</t>
        </is>
      </c>
      <c r="H20" s="26" t="inlineStr">
        <is>
          <t>implemented</t>
        </is>
      </c>
      <c r="I20" s="26" t="inlineStr">
        <is>
          <t>yes</t>
        </is>
      </c>
      <c r="J20" s="28" t="n"/>
      <c r="K20" s="27" t="inlineStr">
        <is>
          <t>Protocol exists but the owner has deferred the human run.</t>
        </is>
      </c>
      <c r="L20" s="26" t="n">
        <v>1</v>
      </c>
      <c r="M20" s="26">
        <f>IF(OR(AND(I20="yes",H20="verified"),AND(I20="no",OR(H20="tested",H20="verified")),AND(H20="not applicable",K20&lt;&gt;"")),1,0)</f>
        <v/>
      </c>
    </row>
    <row r="21" ht="54" customHeight="1" s="17">
      <c r="A21" s="26" t="inlineStr">
        <is>
          <t>S-13</t>
        </is>
      </c>
      <c r="B21" s="26" t="inlineStr">
        <is>
          <t>Docs</t>
        </is>
      </c>
      <c r="C21" s="26" t="inlineStr">
        <is>
          <t>Stack family</t>
        </is>
      </c>
      <c r="D21" s="27" t="inlineStr">
        <is>
          <t>Source-backed public usage, defaults, recipes, semantics, accessibility, CSS, and API documentation pass component checks.</t>
        </is>
      </c>
      <c r="E21" s="26" t="inlineStr">
        <is>
          <t>package</t>
        </is>
      </c>
      <c r="F21" s="26" t="inlineStr">
        <is>
          <t>docs</t>
        </is>
      </c>
      <c r="G21" s="27" t="inlineStr">
        <is>
          <t>../docs/components/stack/README.md</t>
        </is>
      </c>
      <c r="H21" s="26" t="inlineStr">
        <is>
          <t>tested</t>
        </is>
      </c>
      <c r="I21" s="26" t="inlineStr">
        <is>
          <t>no</t>
        </is>
      </c>
      <c r="J21" s="28" t="n">
        <v>46227</v>
      </c>
      <c r="K21" s="27" t="n"/>
      <c r="L21" s="26" t="n">
        <v>1</v>
      </c>
      <c r="M21" s="26">
        <f>IF(OR(AND(I21="yes",H21="verified"),AND(I21="no",OR(H21="tested",H21="verified")),AND(H21="not applicable",K21&lt;&gt;"")),1,0)</f>
        <v/>
      </c>
    </row>
    <row r="22" ht="54" customHeight="1" s="17">
      <c r="A22" s="26" t="inlineStr">
        <is>
          <t>S-14</t>
        </is>
      </c>
      <c r="B22" s="26" t="inlineStr">
        <is>
          <t>Changelog</t>
        </is>
      </c>
      <c r="C22" s="26" t="inlineStr">
        <is>
          <t>Stack family</t>
        </is>
      </c>
      <c r="D22" s="27" t="inlineStr">
        <is>
          <t>Stack owns a public component changelog and the package changelog records the family addition.</t>
        </is>
      </c>
      <c r="E22" s="26" t="inlineStr">
        <is>
          <t>package</t>
        </is>
      </c>
      <c r="F22" s="26" t="inlineStr">
        <is>
          <t>docs</t>
        </is>
      </c>
      <c r="G22" s="27" t="inlineStr">
        <is>
          <t>../docs/components/stack/CHANGELOG.md; ../CHANGELOG.md</t>
        </is>
      </c>
      <c r="H22" s="26" t="inlineStr">
        <is>
          <t>tested</t>
        </is>
      </c>
      <c r="I22" s="26" t="inlineStr">
        <is>
          <t>no</t>
        </is>
      </c>
      <c r="J22" s="28" t="n">
        <v>46227</v>
      </c>
      <c r="K22" s="27" t="n"/>
      <c r="L22" s="26" t="n">
        <v>1</v>
      </c>
      <c r="M22" s="26">
        <f>IF(OR(AND(I22="yes",H22="verified"),AND(I22="no",OR(H22="tested",H22="verified")),AND(H22="not applicable",K22&lt;&gt;"")),1,0)</f>
        <v/>
      </c>
    </row>
    <row r="23" ht="54" customHeight="1" s="17">
      <c r="A23" s="26" t="inlineStr">
        <is>
          <t>S-15</t>
        </is>
      </c>
      <c r="B23" s="26" t="inlineStr">
        <is>
          <t>Consumer</t>
        </is>
      </c>
      <c r="C23" s="26" t="inlineStr">
        <is>
          <t>HStack / VStack</t>
        </is>
      </c>
      <c r="D23" s="27" t="inlineStr">
        <is>
          <t>The packed Consumer proves realistic content and action composition through the public Stack subpath.</t>
        </is>
      </c>
      <c r="E23" s="26" t="inlineStr">
        <is>
          <t>consumer</t>
        </is>
      </c>
      <c r="F23" s="26" t="inlineStr">
        <is>
          <t>consumer</t>
        </is>
      </c>
      <c r="G23" s="27" t="inlineStr">
        <is>
          <t>../apps/consumer/src/App.tsx; ../apps/consumer/tests/consumer.spec.ts</t>
        </is>
      </c>
      <c r="H23" s="26" t="inlineStr">
        <is>
          <t>tested</t>
        </is>
      </c>
      <c r="I23" s="26" t="inlineStr">
        <is>
          <t>no</t>
        </is>
      </c>
      <c r="J23" s="28" t="n">
        <v>46227</v>
      </c>
      <c r="K23" s="27" t="n"/>
      <c r="L23" s="26" t="n">
        <v>1</v>
      </c>
      <c r="M23" s="26">
        <f>IF(OR(AND(I23="yes",H23="verified"),AND(I23="no",OR(H23="tested",H23="verified")),AND(H23="not applicable",K23&lt;&gt;"")),1,0)</f>
        <v/>
      </c>
    </row>
    <row r="24" ht="54" customHeight="1" s="17">
      <c r="A24" s="26" t="inlineStr">
        <is>
          <t>S-16</t>
        </is>
      </c>
      <c r="B24" s="26" t="inlineStr">
        <is>
          <t>Package</t>
        </is>
      </c>
      <c r="C24" s="26" t="inlineStr">
        <is>
          <t>Stack family</t>
        </is>
      </c>
      <c r="D24" s="27" t="inlineStr">
        <is>
          <t>Build, SSR, exports, CSS, tarball, React 18/19, packed Consumer, and playground Stack-adoption checks pass.</t>
        </is>
      </c>
      <c r="E24" s="26" t="inlineStr">
        <is>
          <t>package</t>
        </is>
      </c>
      <c r="F24" s="26" t="inlineStr">
        <is>
          <t>package</t>
        </is>
      </c>
      <c r="G24" s="27" t="inlineStr">
        <is>
          <t>../test/package; ../scripts/verify-package.mjs; ../scripts/verify-consumers.mjs; ../scripts/verify-playground-stack.mjs</t>
        </is>
      </c>
      <c r="H24" s="26" t="inlineStr">
        <is>
          <t>implemented</t>
        </is>
      </c>
      <c r="I24" s="26" t="inlineStr">
        <is>
          <t>yes</t>
        </is>
      </c>
      <c r="J24" s="28" t="n">
        <v>46227</v>
      </c>
      <c r="K24" s="27" t="inlineStr">
        <is>
          <t>Automated package gates pass; complete status waits for the component-owned human manual run.</t>
        </is>
      </c>
      <c r="L24" s="26" t="n">
        <v>1</v>
      </c>
      <c r="M24" s="26">
        <f>IF(OR(AND(I24="yes",H24="verified"),AND(I24="no",OR(H24="tested",H24="verified")),AND(H24="not applicable",K24&lt;&gt;"")),1,0)</f>
        <v/>
      </c>
    </row>
  </sheetData>
  <mergeCells count="2">
    <mergeCell ref="A2:M2"/>
    <mergeCell ref="A1:M1"/>
  </mergeCells>
  <conditionalFormatting sqref="H9:H24">
    <cfRule type="containsText" rank="0" priority="2" equalAverage="0" operator="containsText" aboveAverage="0" dxfId="5" text="not started" percent="0" bottom="0">
      <formula>NOT(ISERROR(SEARCH("not started",H9)))</formula>
    </cfRule>
    <cfRule type="containsText" rank="0" priority="3" equalAverage="0" operator="containsText" aboveAverage="0" dxfId="6" text="partial" percent="0" bottom="0">
      <formula>NOT(ISERROR(SEARCH("partial",H9)))</formula>
    </cfRule>
    <cfRule type="containsText" rank="0" priority="4" equalAverage="0" operator="containsText" aboveAverage="0" dxfId="7" text="implemented" percent="0" bottom="0">
      <formula>NOT(ISERROR(SEARCH("implemented",H9)))</formula>
    </cfRule>
    <cfRule type="containsText" rank="0" priority="5" equalAverage="0" operator="containsText" aboveAverage="0" dxfId="8" text="tested" percent="0" bottom="0">
      <formula>NOT(ISERROR(SEARCH("tested",H9)))</formula>
    </cfRule>
    <cfRule type="containsText" rank="0" priority="6" equalAverage="0" operator="containsText" aboveAverage="0" dxfId="3" text="verified" percent="0" bottom="0">
      <formula>NOT(ISERROR(SEARCH("verified",H9)))</formula>
    </cfRule>
    <cfRule type="containsText" rank="0" priority="7" equalAverage="0" operator="containsText" aboveAverage="0" dxfId="9" text="blocked" percent="0" bottom="0">
      <formula>NOT(ISERROR(SEARCH("blocked",H9)))</formula>
    </cfRule>
    <cfRule type="containsText" rank="0" priority="8" equalAverage="0" operator="containsText" aboveAverage="0" dxfId="5" text="not applicable" percent="0" bottom="0">
      <formula>NOT(ISERROR(SEARCH("not applicable",H9)))</formula>
    </cfRule>
  </conditionalFormatting>
  <dataValidations count="2">
    <dataValidation sqref="H9:H24" showDropDown="0" showInputMessage="1" showErrorMessage="1" allowBlank="1" type="list" errorStyle="stop" operator="between">
      <formula1>"not started,partial,implemented,tested,verified,blocked,not applicable"</formula1>
      <formula2>0</formula2>
    </dataValidation>
    <dataValidation sqref="I9:I24" showDropDown="0" showInputMessage="1" showErrorMessage="1" allowBlank="1" type="list" errorStyle="stop" operator="between">
      <formula1>"yes,no"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27.xml><?xml version="1.0" encoding="utf-8"?>
<worksheet xmlns="http://schemas.openxmlformats.org/spreadsheetml/2006/main">
  <sheetPr filterMode="0">
    <outlinePr summaryBelow="1" summaryRight="1"/>
    <pageSetUpPr fitToPage="0"/>
  </sheetPr>
  <dimension ref="A1:M2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baseColWidth="8" defaultColWidth="8.6796875" defaultRowHeight="15" customHeight="0" zeroHeight="0" outlineLevelRow="0"/>
  <cols>
    <col width="13.71" customWidth="1" style="23" min="1" max="1"/>
    <col width="15.71" customWidth="1" style="23" min="2" max="2"/>
    <col width="18.71" customWidth="1" style="23" min="3" max="3"/>
    <col width="58.71" customWidth="1" style="23" min="4" max="4"/>
    <col width="14.71" customWidth="1" style="23" min="5" max="6"/>
    <col width="50.71" customWidth="1" style="23" min="7" max="7"/>
    <col width="17.71" customWidth="1" style="23" min="8" max="8"/>
    <col width="14.71" customWidth="1" style="23" min="9" max="9"/>
    <col width="14.71" customWidth="1" style="25" min="10" max="10"/>
    <col width="42.71" customWidth="1" style="23" min="11" max="11"/>
    <col width="10.71" customWidth="1" style="23" min="12" max="13"/>
  </cols>
  <sheetData>
    <row r="1" ht="37.5" customHeight="1" s="17">
      <c r="A1" s="18" t="inlineStr">
        <is>
          <t>Tooltip Evidence</t>
        </is>
      </c>
    </row>
    <row r="2" ht="27.75" customHeight="1" s="17">
      <c r="A2" s="19" t="inlineStr">
        <is>
          <t>Assertion-level package, browser, human-review, documentation, and consumer evidence.</t>
        </is>
      </c>
    </row>
    <row r="4" ht="17.25" customHeight="1" s="17">
      <c r="A4" s="20" t="inlineStr">
        <is>
          <t>Requirements</t>
        </is>
      </c>
      <c r="B4" s="21" t="n">
        <v>16</v>
      </c>
      <c r="D4" s="20" t="inlineStr">
        <is>
          <t>Resolved</t>
        </is>
      </c>
      <c r="E4" s="21" t="n">
        <v>16</v>
      </c>
      <c r="G4" s="20" t="inlineStr">
        <is>
          <t>Completion</t>
        </is>
      </c>
      <c r="H4" s="22" t="n">
        <v>1</v>
      </c>
      <c r="J4" s="20" t="inlineStr">
        <is>
          <t>Package gate</t>
        </is>
      </c>
      <c r="K4" s="21" t="inlineStr">
        <is>
          <t>complete</t>
        </is>
      </c>
    </row>
    <row r="5" ht="17.25" customHeight="1" s="17">
      <c r="A5" s="20" t="inlineStr">
        <is>
          <t>Manual review</t>
        </is>
      </c>
      <c r="B5" s="21" t="inlineStr">
        <is>
          <t>complete</t>
        </is>
      </c>
      <c r="D5" s="20" t="inlineStr">
        <is>
          <t>Consumer gate</t>
        </is>
      </c>
      <c r="E5" s="21" t="inlineStr">
        <is>
          <t>complete</t>
        </is>
      </c>
    </row>
    <row r="8" ht="15" customHeight="1" s="17">
      <c r="A8" s="23" t="inlineStr">
        <is>
          <t>ID</t>
        </is>
      </c>
      <c r="B8" s="23" t="inlineStr">
        <is>
          <t>Area</t>
        </is>
      </c>
      <c r="C8" s="23" t="inlineStr">
        <is>
          <t>Part</t>
        </is>
      </c>
      <c r="D8" s="23" t="inlineStr">
        <is>
          <t>Requirement</t>
        </is>
      </c>
      <c r="E8" s="23" t="inlineStr">
        <is>
          <t>Gate</t>
        </is>
      </c>
      <c r="F8" s="23" t="inlineStr">
        <is>
          <t>Evidence type</t>
        </is>
      </c>
      <c r="G8" s="23" t="inlineStr">
        <is>
          <t>Evidence / link</t>
        </is>
      </c>
      <c r="H8" s="23" t="inlineStr">
        <is>
          <t>Status</t>
        </is>
      </c>
      <c r="I8" s="23" t="inlineStr">
        <is>
          <t>Human review?</t>
        </is>
      </c>
      <c r="J8" s="25" t="inlineStr">
        <is>
          <t>Last verified</t>
        </is>
      </c>
      <c r="K8" s="23" t="inlineStr">
        <is>
          <t>Blocker / N/A reason</t>
        </is>
      </c>
      <c r="L8" s="23" t="inlineStr">
        <is>
          <t>Weight</t>
        </is>
      </c>
      <c r="M8" s="23" t="inlineStr">
        <is>
          <t>Resolved</t>
        </is>
      </c>
    </row>
    <row r="9" ht="42" customHeight="1" s="17">
      <c r="A9" s="23" t="inlineStr">
        <is>
          <t>T-01</t>
        </is>
      </c>
      <c r="B9" s="23" t="inlineStr">
        <is>
          <t>Implementation</t>
        </is>
      </c>
      <c r="C9" s="23" t="inlineStr">
        <is>
          <t>Tooltip</t>
        </is>
      </c>
      <c r="D9" s="23" t="inlineStr">
        <is>
          <t>Public component implementation and Atom adapter exist.</t>
        </is>
      </c>
      <c r="E9" s="23" t="inlineStr">
        <is>
          <t>package</t>
        </is>
      </c>
      <c r="F9" s="23" t="inlineStr">
        <is>
          <t>source</t>
        </is>
      </c>
      <c r="G9" s="23" t="inlineStr">
        <is>
          <t>../src/components/tooltip</t>
        </is>
      </c>
      <c r="H9" s="23" t="inlineStr">
        <is>
          <t>tested</t>
        </is>
      </c>
      <c r="I9" s="23" t="inlineStr">
        <is>
          <t>no</t>
        </is>
      </c>
      <c r="J9" s="25" t="n">
        <v>46227</v>
      </c>
      <c r="L9" s="23" t="n">
        <v>1</v>
      </c>
      <c r="M9" s="23" t="n">
        <v>1</v>
      </c>
    </row>
    <row r="10" ht="42" customHeight="1" s="17">
      <c r="A10" s="23" t="inlineStr">
        <is>
          <t>T-02</t>
        </is>
      </c>
      <c r="B10" s="23" t="inlineStr">
        <is>
          <t>Exports</t>
        </is>
      </c>
      <c r="C10" s="23" t="inlineStr">
        <is>
          <t>Tooltip</t>
        </is>
      </c>
      <c r="D10" s="23" t="inlineStr">
        <is>
          <t>Root and public subpath exports expose the component.</t>
        </is>
      </c>
      <c r="E10" s="23" t="inlineStr">
        <is>
          <t>package</t>
        </is>
      </c>
      <c r="F10" s="23" t="inlineStr">
        <is>
          <t>package</t>
        </is>
      </c>
      <c r="G10" s="23" t="inlineStr">
        <is>
          <t>../test/package/package.test.mjs</t>
        </is>
      </c>
      <c r="H10" s="23" t="inlineStr">
        <is>
          <t>tested</t>
        </is>
      </c>
      <c r="I10" s="23" t="inlineStr">
        <is>
          <t>no</t>
        </is>
      </c>
      <c r="J10" s="25" t="n">
        <v>46227</v>
      </c>
      <c r="L10" s="23" t="n">
        <v>1</v>
      </c>
      <c r="M10" s="23" t="n">
        <v>1</v>
      </c>
    </row>
    <row r="11" ht="42" customHeight="1" s="17">
      <c r="A11" s="23" t="inlineStr">
        <is>
          <t>T-03</t>
        </is>
      </c>
      <c r="B11" s="23" t="inlineStr">
        <is>
          <t>Types</t>
        </is>
      </c>
      <c r="C11" s="23" t="inlineStr">
        <is>
          <t>Tooltip</t>
        </is>
      </c>
      <c r="D11" s="23" t="inlineStr">
        <is>
          <t>Public props, refs, composition branches, and invalid cases type-check.</t>
        </is>
      </c>
      <c r="E11" s="23" t="inlineStr">
        <is>
          <t>package</t>
        </is>
      </c>
      <c r="F11" s="23" t="inlineStr">
        <is>
          <t>types</t>
        </is>
      </c>
      <c r="G11" s="23" t="inlineStr">
        <is>
          <t>../test/types/components/tooltip.test.ts</t>
        </is>
      </c>
      <c r="H11" s="23" t="inlineStr">
        <is>
          <t>tested</t>
        </is>
      </c>
      <c r="I11" s="23" t="inlineStr">
        <is>
          <t>no</t>
        </is>
      </c>
      <c r="J11" s="25" t="n">
        <v>46227</v>
      </c>
      <c r="L11" s="23" t="n">
        <v>1</v>
      </c>
      <c r="M11" s="23" t="n">
        <v>1</v>
      </c>
    </row>
    <row r="12" ht="42" customHeight="1" s="17">
      <c r="A12" s="23" t="inlineStr">
        <is>
          <t>T-04</t>
        </is>
      </c>
      <c r="B12" s="23" t="inlineStr">
        <is>
          <t>CSS</t>
        </is>
      </c>
      <c r="C12" s="23" t="inlineStr">
        <is>
          <t>Tooltip</t>
        </is>
      </c>
      <c r="D12" s="23" t="inlineStr">
        <is>
          <t>Static public CSS, classes, slots, recipes, states, and tokens are present.</t>
        </is>
      </c>
      <c r="E12" s="23" t="inlineStr">
        <is>
          <t>package</t>
        </is>
      </c>
      <c r="F12" s="23" t="inlineStr">
        <is>
          <t>css</t>
        </is>
      </c>
      <c r="G12" s="23" t="inlineStr">
        <is>
          <t>../src/components/tooltip/tooltip.css</t>
        </is>
      </c>
      <c r="H12" s="23" t="inlineStr">
        <is>
          <t>tested</t>
        </is>
      </c>
      <c r="I12" s="23" t="inlineStr">
        <is>
          <t>no</t>
        </is>
      </c>
      <c r="J12" s="25" t="n">
        <v>46227</v>
      </c>
      <c r="L12" s="23" t="n">
        <v>1</v>
      </c>
      <c r="M12" s="23" t="n">
        <v>1</v>
      </c>
    </row>
    <row r="13" ht="42" customHeight="1" s="17">
      <c r="A13" s="23" t="inlineStr">
        <is>
          <t>T-05</t>
        </is>
      </c>
      <c r="B13" s="23" t="inlineStr">
        <is>
          <t>Unit</t>
        </is>
      </c>
      <c r="C13" s="23" t="inlineStr">
        <is>
          <t>Tooltip</t>
        </is>
      </c>
      <c r="D13" s="23" t="inlineStr">
        <is>
          <t>Brick-owned DOM, recipes, adapters, and public hooks pass focused tests.</t>
        </is>
      </c>
      <c r="E13" s="23" t="inlineStr">
        <is>
          <t>package</t>
        </is>
      </c>
      <c r="F13" s="23" t="inlineStr">
        <is>
          <t>component</t>
        </is>
      </c>
      <c r="G13" s="23" t="inlineStr">
        <is>
          <t>../test/components/tooltip/tooltip.test.tsx</t>
        </is>
      </c>
      <c r="H13" s="23" t="inlineStr">
        <is>
          <t>tested</t>
        </is>
      </c>
      <c r="I13" s="23" t="inlineStr">
        <is>
          <t>no</t>
        </is>
      </c>
      <c r="J13" s="25" t="n">
        <v>46227</v>
      </c>
      <c r="L13" s="23" t="n">
        <v>1</v>
      </c>
      <c r="M13" s="23" t="n">
        <v>1</v>
      </c>
    </row>
    <row r="14" ht="42" customHeight="1" s="17">
      <c r="A14" s="23" t="inlineStr">
        <is>
          <t>T-06</t>
        </is>
      </c>
      <c r="B14" s="23" t="inlineStr">
        <is>
          <t>Browser</t>
        </is>
      </c>
      <c r="C14" s="23" t="inlineStr">
        <is>
          <t>Tooltip</t>
        </is>
      </c>
      <c r="D14" s="23" t="inlineStr">
        <is>
          <t>Real-browser behavior and component contract checks pass.</t>
        </is>
      </c>
      <c r="E14" s="23" t="inlineStr">
        <is>
          <t>package</t>
        </is>
      </c>
      <c r="F14" s="23" t="inlineStr">
        <is>
          <t>browser</t>
        </is>
      </c>
      <c r="G14" s="23" t="inlineStr">
        <is>
          <t>tests/components/tooltip/behavior.spec.ts</t>
        </is>
      </c>
      <c r="H14" s="23" t="inlineStr">
        <is>
          <t>tested</t>
        </is>
      </c>
      <c r="I14" s="23" t="inlineStr">
        <is>
          <t>no</t>
        </is>
      </c>
      <c r="J14" s="25" t="n">
        <v>46227</v>
      </c>
      <c r="L14" s="23" t="n">
        <v>1</v>
      </c>
      <c r="M14" s="23" t="n">
        <v>1</v>
      </c>
    </row>
    <row r="15" ht="42" customHeight="1" s="17">
      <c r="A15" s="23" t="inlineStr">
        <is>
          <t>T-07</t>
        </is>
      </c>
      <c r="B15" s="23" t="inlineStr">
        <is>
          <t>Accessibility</t>
        </is>
      </c>
      <c r="C15" s="23" t="inlineStr">
        <is>
          <t>Tooltip</t>
        </is>
      </c>
      <c r="D15" s="23" t="inlineStr">
        <is>
          <t>Automated semantics and accessibility checks pass in the browser evidence suite.</t>
        </is>
      </c>
      <c r="E15" s="23" t="inlineStr">
        <is>
          <t>package</t>
        </is>
      </c>
      <c r="F15" s="23" t="inlineStr">
        <is>
          <t>axe</t>
        </is>
      </c>
      <c r="G15" s="23" t="inlineStr">
        <is>
          <t>tests/components/tooltip/behavior.spec.ts; tests/integration</t>
        </is>
      </c>
      <c r="H15" s="23" t="inlineStr">
        <is>
          <t>tested</t>
        </is>
      </c>
      <c r="I15" s="23" t="inlineStr">
        <is>
          <t>no</t>
        </is>
      </c>
      <c r="J15" s="25" t="n">
        <v>46227</v>
      </c>
      <c r="L15" s="23" t="n">
        <v>1</v>
      </c>
      <c r="M15" s="23" t="n">
        <v>1</v>
      </c>
    </row>
    <row r="16" ht="42" customHeight="1" s="17">
      <c r="A16" s="23" t="inlineStr">
        <is>
          <t>T-08</t>
        </is>
      </c>
      <c r="B16" s="23" t="inlineStr">
        <is>
          <t>Visual</t>
        </is>
      </c>
      <c r="C16" s="23" t="inlineStr">
        <is>
          <t>Tooltip</t>
        </is>
      </c>
      <c r="D16" s="23" t="inlineStr">
        <is>
          <t>Reviewed baselines cover the component's risk-selected recipes and states.</t>
        </is>
      </c>
      <c r="E16" s="23" t="inlineStr">
        <is>
          <t>package</t>
        </is>
      </c>
      <c r="F16" s="23" t="inlineStr">
        <is>
          <t>visual</t>
        </is>
      </c>
      <c r="G16" s="23" t="inlineStr">
        <is>
          <t>tests/components/tooltip/visual.spec.ts</t>
        </is>
      </c>
      <c r="H16" s="23" t="inlineStr">
        <is>
          <t>verified</t>
        </is>
      </c>
      <c r="I16" s="23" t="inlineStr">
        <is>
          <t>yes</t>
        </is>
      </c>
      <c r="J16" s="25" t="n">
        <v>46227</v>
      </c>
      <c r="K16" s="23" t="inlineStr">
        <is>
          <t>Owner reviewed the current playground evidence.</t>
        </is>
      </c>
      <c r="L16" s="23" t="n">
        <v>1</v>
      </c>
      <c r="M16" s="23" t="n">
        <v>1</v>
      </c>
    </row>
    <row r="17" ht="42" customHeight="1" s="17">
      <c r="A17" s="23" t="inlineStr">
        <is>
          <t>T-09</t>
        </is>
      </c>
      <c r="B17" s="23" t="inlineStr">
        <is>
          <t>Responsive</t>
        </is>
      </c>
      <c r="C17" s="23" t="inlineStr">
        <is>
          <t>Tooltip</t>
        </is>
      </c>
      <c r="D17" s="23" t="inlineStr">
        <is>
          <t>Mobile, zoom/reflow, content stress, and RTL remain usable and contained.</t>
        </is>
      </c>
      <c r="E17" s="23" t="inlineStr">
        <is>
          <t>package</t>
        </is>
      </c>
      <c r="F17" s="23" t="inlineStr">
        <is>
          <t>manual</t>
        </is>
      </c>
      <c r="G17" s="23" t="inlineStr">
        <is>
          <t>manual-tests/tooltip.md</t>
        </is>
      </c>
      <c r="H17" s="23" t="inlineStr">
        <is>
          <t>verified</t>
        </is>
      </c>
      <c r="I17" s="23" t="inlineStr">
        <is>
          <t>yes</t>
        </is>
      </c>
      <c r="J17" s="25" t="n">
        <v>46227</v>
      </c>
      <c r="K17" s="23" t="inlineStr">
        <is>
          <t>Owner completed the current manual protocol.</t>
        </is>
      </c>
      <c r="L17" s="23" t="n">
        <v>1</v>
      </c>
      <c r="M17" s="23" t="n">
        <v>1</v>
      </c>
    </row>
    <row r="18" ht="42" customHeight="1" s="17">
      <c r="A18" s="23" t="inlineStr">
        <is>
          <t>T-10</t>
        </is>
      </c>
      <c r="B18" s="23" t="inlineStr">
        <is>
          <t>Theme</t>
        </is>
      </c>
      <c r="C18" s="23" t="inlineStr">
        <is>
          <t>Tooltip</t>
        </is>
      </c>
      <c r="D18" s="23" t="inlineStr">
        <is>
          <t>Light, dark, focus, forced-colors, and relevant motion behavior remain perceivable.</t>
        </is>
      </c>
      <c r="E18" s="23" t="inlineStr">
        <is>
          <t>package</t>
        </is>
      </c>
      <c r="F18" s="23" t="inlineStr">
        <is>
          <t>manual</t>
        </is>
      </c>
      <c r="G18" s="23" t="inlineStr">
        <is>
          <t>manual-tests/tooltip.md</t>
        </is>
      </c>
      <c r="H18" s="23" t="inlineStr">
        <is>
          <t>verified</t>
        </is>
      </c>
      <c r="I18" s="23" t="inlineStr">
        <is>
          <t>yes</t>
        </is>
      </c>
      <c r="J18" s="25" t="n">
        <v>46227</v>
      </c>
      <c r="K18" s="23" t="inlineStr">
        <is>
          <t>Owner completed the current manual protocol.</t>
        </is>
      </c>
      <c r="L18" s="23" t="n">
        <v>1</v>
      </c>
      <c r="M18" s="23" t="n">
        <v>1</v>
      </c>
    </row>
    <row r="19" ht="42" customHeight="1" s="17">
      <c r="A19" s="23" t="inlineStr">
        <is>
          <t>T-11</t>
        </is>
      </c>
      <c r="B19" s="23" t="inlineStr">
        <is>
          <t>Composition</t>
        </is>
      </c>
      <c r="C19" s="23" t="inlineStr">
        <is>
          <t>Tooltip</t>
        </is>
      </c>
      <c r="D19" s="23" t="inlineStr">
        <is>
          <t>Default, render, and asChild output preserve the intended element, slots, state, and relationships.</t>
        </is>
      </c>
      <c r="E19" s="23" t="inlineStr">
        <is>
          <t>package</t>
        </is>
      </c>
      <c r="F19" s="23" t="inlineStr">
        <is>
          <t>manual</t>
        </is>
      </c>
      <c r="G19" s="23" t="inlineStr">
        <is>
          <t>manual-tests/tooltip.md; tests/components/tooltip/behavior.spec.ts</t>
        </is>
      </c>
      <c r="H19" s="23" t="inlineStr">
        <is>
          <t>verified</t>
        </is>
      </c>
      <c r="I19" s="23" t="inlineStr">
        <is>
          <t>yes</t>
        </is>
      </c>
      <c r="J19" s="25" t="n">
        <v>46227</v>
      </c>
      <c r="K19" s="23" t="inlineStr">
        <is>
          <t>Owner reviewed the live and rendered output evidence.</t>
        </is>
      </c>
      <c r="L19" s="23" t="n">
        <v>1</v>
      </c>
      <c r="M19" s="23" t="n">
        <v>1</v>
      </c>
    </row>
    <row r="20" ht="42" customHeight="1" s="17">
      <c r="A20" s="23" t="inlineStr">
        <is>
          <t>T-12</t>
        </is>
      </c>
      <c r="B20" s="23" t="inlineStr">
        <is>
          <t>Manual</t>
        </is>
      </c>
      <c r="C20" s="23" t="inlineStr">
        <is>
          <t>Tooltip</t>
        </is>
      </c>
      <c r="D20" s="23" t="inlineStr">
        <is>
          <t>The complete component-owned manual protocol passed against every playground scenario.</t>
        </is>
      </c>
      <c r="E20" s="23" t="inlineStr">
        <is>
          <t>package</t>
        </is>
      </c>
      <c r="F20" s="23" t="inlineStr">
        <is>
          <t>manual</t>
        </is>
      </c>
      <c r="G20" s="23" t="inlineStr">
        <is>
          <t>manual-tests/tooltip.md</t>
        </is>
      </c>
      <c r="H20" s="23" t="inlineStr">
        <is>
          <t>verified</t>
        </is>
      </c>
      <c r="I20" s="23" t="inlineStr">
        <is>
          <t>yes</t>
        </is>
      </c>
      <c r="J20" s="25" t="n">
        <v>46227</v>
      </c>
      <c r="K20" s="23" t="inlineStr">
        <is>
          <t>Owner confirmed completion on 2026-07-24.</t>
        </is>
      </c>
      <c r="L20" s="23" t="n">
        <v>1</v>
      </c>
      <c r="M20" s="23" t="n">
        <v>1</v>
      </c>
    </row>
    <row r="21" ht="42" customHeight="1" s="17">
      <c r="A21" s="23" t="inlineStr">
        <is>
          <t>T-13</t>
        </is>
      </c>
      <c r="B21" s="23" t="inlineStr">
        <is>
          <t>Docs</t>
        </is>
      </c>
      <c r="C21" s="23" t="inlineStr">
        <is>
          <t>Tooltip</t>
        </is>
      </c>
      <c r="D21" s="23" t="inlineStr">
        <is>
          <t>Public usage documentation exists at the component-owned path.</t>
        </is>
      </c>
      <c r="E21" s="23" t="inlineStr">
        <is>
          <t>package</t>
        </is>
      </c>
      <c r="F21" s="23" t="inlineStr">
        <is>
          <t>docs</t>
        </is>
      </c>
      <c r="G21" s="23" t="inlineStr">
        <is>
          <t>../docs/components/tooltip/README.md</t>
        </is>
      </c>
      <c r="H21" s="23" t="inlineStr">
        <is>
          <t>tested</t>
        </is>
      </c>
      <c r="I21" s="23" t="inlineStr">
        <is>
          <t>no</t>
        </is>
      </c>
      <c r="J21" s="25" t="n">
        <v>46227</v>
      </c>
      <c r="L21" s="23" t="n">
        <v>1</v>
      </c>
      <c r="M21" s="23" t="n">
        <v>1</v>
      </c>
    </row>
    <row r="22" ht="42" customHeight="1" s="17">
      <c r="A22" s="23" t="inlineStr">
        <is>
          <t>T-14</t>
        </is>
      </c>
      <c r="B22" s="23" t="inlineStr">
        <is>
          <t>Changelog</t>
        </is>
      </c>
      <c r="C22" s="23" t="inlineStr">
        <is>
          <t>Tooltip</t>
        </is>
      </c>
      <c r="D22" s="23" t="inlineStr">
        <is>
          <t>The component owns a public changelog.</t>
        </is>
      </c>
      <c r="E22" s="23" t="inlineStr">
        <is>
          <t>package</t>
        </is>
      </c>
      <c r="F22" s="23" t="inlineStr">
        <is>
          <t>docs</t>
        </is>
      </c>
      <c r="G22" s="23" t="inlineStr">
        <is>
          <t>../docs/components/tooltip/CHANGELOG.md</t>
        </is>
      </c>
      <c r="H22" s="23" t="inlineStr">
        <is>
          <t>tested</t>
        </is>
      </c>
      <c r="I22" s="23" t="inlineStr">
        <is>
          <t>no</t>
        </is>
      </c>
      <c r="J22" s="25" t="n">
        <v>46227</v>
      </c>
      <c r="L22" s="23" t="n">
        <v>1</v>
      </c>
      <c r="M22" s="23" t="n">
        <v>1</v>
      </c>
    </row>
    <row r="23" ht="42" customHeight="1" s="17">
      <c r="A23" s="23" t="inlineStr">
        <is>
          <t>T-15</t>
        </is>
      </c>
      <c r="B23" s="23" t="inlineStr">
        <is>
          <t>Consumer</t>
        </is>
      </c>
      <c r="C23" s="23" t="inlineStr">
        <is>
          <t>Tooltip</t>
        </is>
      </c>
      <c r="D23" s="23" t="inlineStr">
        <is>
          <t>The standalone consumer imports and exercises the public package component.</t>
        </is>
      </c>
      <c r="E23" s="23" t="inlineStr">
        <is>
          <t>consumer</t>
        </is>
      </c>
      <c r="F23" s="23" t="inlineStr">
        <is>
          <t>consumer</t>
        </is>
      </c>
      <c r="G23" s="23" t="inlineStr">
        <is>
          <t>../apps/consumer/src/App.tsx; ../apps/consumer/tests/consumer.spec.ts</t>
        </is>
      </c>
      <c r="H23" s="23" t="inlineStr">
        <is>
          <t>tested</t>
        </is>
      </c>
      <c r="I23" s="23" t="inlineStr">
        <is>
          <t>no</t>
        </is>
      </c>
      <c r="J23" s="25" t="n">
        <v>46227</v>
      </c>
      <c r="L23" s="23" t="n">
        <v>1</v>
      </c>
      <c r="M23" s="23" t="n">
        <v>1</v>
      </c>
    </row>
    <row r="24" ht="42" customHeight="1" s="17">
      <c r="A24" s="23" t="inlineStr">
        <is>
          <t>T-16</t>
        </is>
      </c>
      <c r="B24" s="23" t="inlineStr">
        <is>
          <t>Package</t>
        </is>
      </c>
      <c r="C24" s="23" t="inlineStr">
        <is>
          <t>Tooltip</t>
        </is>
      </c>
      <c r="D24" s="23" t="inlineStr">
        <is>
          <t>Build, exports, tarball, CSS, and consumer boundary verification pass.</t>
        </is>
      </c>
      <c r="E24" s="23" t="inlineStr">
        <is>
          <t>package</t>
        </is>
      </c>
      <c r="F24" s="23" t="inlineStr">
        <is>
          <t>package</t>
        </is>
      </c>
      <c r="G24" s="23" t="inlineStr">
        <is>
          <t>../scripts/verify-package.mjs; ../scripts/verify-consumers.mjs</t>
        </is>
      </c>
      <c r="H24" s="23" t="inlineStr">
        <is>
          <t>tested</t>
        </is>
      </c>
      <c r="I24" s="23" t="inlineStr">
        <is>
          <t>no</t>
        </is>
      </c>
      <c r="J24" s="25" t="n">
        <v>46227</v>
      </c>
      <c r="L24" s="23" t="n">
        <v>1</v>
      </c>
      <c r="M24" s="23" t="n">
        <v>1</v>
      </c>
    </row>
  </sheetData>
  <mergeCells count="2">
    <mergeCell ref="A2:M2"/>
    <mergeCell ref="A1:M1"/>
  </mergeCells>
  <conditionalFormatting sqref="H9:H24">
    <cfRule type="containsText" rank="0" priority="2" equalAverage="0" operator="containsText" aboveAverage="0" dxfId="5" text="not started" percent="0" bottom="0">
      <formula>NOT(ISERROR(SEARCH("not started",H9)))</formula>
    </cfRule>
    <cfRule type="containsText" rank="0" priority="3" equalAverage="0" operator="containsText" aboveAverage="0" dxfId="6" text="partial" percent="0" bottom="0">
      <formula>NOT(ISERROR(SEARCH("partial",H9)))</formula>
    </cfRule>
    <cfRule type="containsText" rank="0" priority="4" equalAverage="0" operator="containsText" aboveAverage="0" dxfId="7" text="implemented" percent="0" bottom="0">
      <formula>NOT(ISERROR(SEARCH("implemented",H9)))</formula>
    </cfRule>
    <cfRule type="containsText" rank="0" priority="5" equalAverage="0" operator="containsText" aboveAverage="0" dxfId="8" text="tested" percent="0" bottom="0">
      <formula>NOT(ISERROR(SEARCH("tested",H9)))</formula>
    </cfRule>
    <cfRule type="containsText" rank="0" priority="6" equalAverage="0" operator="containsText" aboveAverage="0" dxfId="3" text="verified" percent="0" bottom="0">
      <formula>NOT(ISERROR(SEARCH("verified",H9)))</formula>
    </cfRule>
    <cfRule type="containsText" rank="0" priority="7" equalAverage="0" operator="containsText" aboveAverage="0" dxfId="9" text="blocked" percent="0" bottom="0">
      <formula>NOT(ISERROR(SEARCH("blocked",H9)))</formula>
    </cfRule>
    <cfRule type="containsText" rank="0" priority="8" equalAverage="0" operator="containsText" aboveAverage="0" dxfId="5" text="not applicable" percent="0" bottom="0">
      <formula>NOT(ISERROR(SEARCH("not applicable",H9)))</formula>
    </cfRule>
  </conditionalFormatting>
  <dataValidations count="2">
    <dataValidation sqref="H9:H24" showDropDown="0" showInputMessage="1" showErrorMessage="1" allowBlank="1" type="list" errorStyle="stop" operator="between">
      <formula1>"not started,partial,implemented,tested,verified,blocked,not applicable"</formula1>
      <formula2>0</formula2>
    </dataValidation>
    <dataValidation sqref="I9:I24" showDropDown="0" showInputMessage="1" showErrorMessage="1" allowBlank="1" type="list" errorStyle="stop" operator="between">
      <formula1>"yes,no"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28.xml><?xml version="1.0" encoding="utf-8"?>
<worksheet xmlns="http://schemas.openxmlformats.org/spreadsheetml/2006/main">
  <sheetPr filterMode="0">
    <outlinePr summaryBelow="1" summaryRight="1"/>
    <pageSetUpPr fitToPage="0"/>
  </sheetPr>
  <dimension ref="A1:M2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.71" customWidth="1" style="23" min="1" max="1"/>
    <col width="15.71" customWidth="1" style="23" min="2" max="2"/>
    <col width="18.71" customWidth="1" style="23" min="3" max="3"/>
    <col width="58.71" customWidth="1" style="23" min="4" max="4"/>
    <col width="14.71" customWidth="1" style="23" min="5" max="6"/>
    <col width="50.71" customWidth="1" style="23" min="7" max="7"/>
    <col width="17.71" customWidth="1" style="23" min="8" max="8"/>
    <col width="14.71" customWidth="1" style="23" min="9" max="9"/>
    <col width="14.71" customWidth="1" style="25" min="10" max="10"/>
    <col width="42.71" customWidth="1" style="23" min="11" max="11"/>
    <col width="10.71" customWidth="1" style="23" min="12" max="13"/>
  </cols>
  <sheetData>
    <row r="1" ht="37.5" customHeight="1" s="17">
      <c r="A1" s="18" t="inlineStr">
        <is>
          <t>Grid Evidence</t>
        </is>
      </c>
    </row>
    <row r="2" ht="27.75" customHeight="1" s="17">
      <c r="A2" s="19" t="inlineStr">
        <is>
          <t>Assertion-level package, browser, human-review, documentation, and consumer evidence.</t>
        </is>
      </c>
    </row>
    <row r="4" ht="17.25" customHeight="1" s="17">
      <c r="A4" s="20" t="inlineStr">
        <is>
          <t>Requirements</t>
        </is>
      </c>
      <c r="B4" s="21">
        <f>COUNTA(A9:A25)</f>
        <v/>
      </c>
      <c r="D4" s="20" t="inlineStr">
        <is>
          <t>Resolved</t>
        </is>
      </c>
      <c r="E4" s="21">
        <f>SUM(M9:M25)</f>
        <v/>
      </c>
      <c r="G4" s="20" t="inlineStr">
        <is>
          <t>Completion</t>
        </is>
      </c>
      <c r="H4" s="22">
        <f>IF(B4=0,0,E4/B4)</f>
        <v/>
      </c>
      <c r="J4" s="20" t="inlineStr">
        <is>
          <t>Package gate</t>
        </is>
      </c>
      <c r="K4" s="21">
        <f>IF(COUNTIFS(E9:E25,"package",M9:M25,0)&gt;0,"open","complete")</f>
        <v/>
      </c>
    </row>
    <row r="5" ht="17.25" customHeight="1" s="17">
      <c r="A5" s="20" t="inlineStr">
        <is>
          <t>Manual review</t>
        </is>
      </c>
      <c r="B5" s="21">
        <f>IF(COUNTIFS(I9:I25,"yes",M9:M25,0)&gt;0,"open","complete")</f>
        <v/>
      </c>
      <c r="D5" s="20" t="inlineStr">
        <is>
          <t>Consumer gate</t>
        </is>
      </c>
      <c r="E5" s="21">
        <f>IF(COUNTIFS(E9:E25,"consumer",M9:M25,0)&gt;0,"open","complete")</f>
        <v/>
      </c>
    </row>
    <row r="8" ht="15" customHeight="1" s="17">
      <c r="A8" s="23" t="inlineStr">
        <is>
          <t>ID</t>
        </is>
      </c>
      <c r="B8" s="23" t="inlineStr">
        <is>
          <t>Area</t>
        </is>
      </c>
      <c r="C8" s="23" t="inlineStr">
        <is>
          <t>Part</t>
        </is>
      </c>
      <c r="D8" s="23" t="inlineStr">
        <is>
          <t>Requirement</t>
        </is>
      </c>
      <c r="E8" s="23" t="inlineStr">
        <is>
          <t>Gate</t>
        </is>
      </c>
      <c r="F8" s="23" t="inlineStr">
        <is>
          <t>Evidence type</t>
        </is>
      </c>
      <c r="G8" s="23" t="inlineStr">
        <is>
          <t>Evidence / link</t>
        </is>
      </c>
      <c r="H8" s="23" t="inlineStr">
        <is>
          <t>Status</t>
        </is>
      </c>
      <c r="I8" s="23" t="inlineStr">
        <is>
          <t>Human review?</t>
        </is>
      </c>
      <c r="J8" s="25" t="inlineStr">
        <is>
          <t>Last verified</t>
        </is>
      </c>
      <c r="K8" s="23" t="inlineStr">
        <is>
          <t>Blocker / N/A reason</t>
        </is>
      </c>
      <c r="L8" s="23" t="inlineStr">
        <is>
          <t>Weight</t>
        </is>
      </c>
      <c r="M8" s="23" t="inlineStr">
        <is>
          <t>Resolved</t>
        </is>
      </c>
    </row>
    <row r="9" ht="54" customHeight="1" s="17">
      <c r="A9" s="26" t="inlineStr">
        <is>
          <t>G-01</t>
        </is>
      </c>
      <c r="B9" s="26" t="inlineStr">
        <is>
          <t>Implementation</t>
        </is>
      </c>
      <c r="C9" s="26" t="inlineStr">
        <is>
          <t>Root / Item</t>
        </is>
      </c>
      <c r="D9" s="27" t="inlineStr">
        <is>
          <t>Grid.Root and optional Grid.Item render the approved native hosts, stable hooks, forwarded refs, and authored native attributes.</t>
        </is>
      </c>
      <c r="E9" s="26" t="inlineStr">
        <is>
          <t>package</t>
        </is>
      </c>
      <c r="F9" s="26" t="inlineStr">
        <is>
          <t>source</t>
        </is>
      </c>
      <c r="G9" s="27" t="inlineStr">
        <is>
          <t>../src/components/grid</t>
        </is>
      </c>
      <c r="H9" s="26" t="inlineStr">
        <is>
          <t>tested</t>
        </is>
      </c>
      <c r="I9" s="26" t="inlineStr">
        <is>
          <t>no</t>
        </is>
      </c>
      <c r="J9" s="28" t="n">
        <v>46228</v>
      </c>
      <c r="K9" s="27" t="n"/>
      <c r="L9" s="26" t="n">
        <v>1</v>
      </c>
      <c r="M9" s="26">
        <f>IF(OR(AND(I9="yes",H9="verified"),AND(I9="no",OR(H9="tested",H9="verified")),AND(H9="not applicable",K9&lt;&gt;"")),1,0)</f>
        <v/>
      </c>
    </row>
    <row r="10" ht="54" customHeight="1" s="17">
      <c r="A10" s="26" t="inlineStr">
        <is>
          <t>G-02</t>
        </is>
      </c>
      <c r="B10" s="26" t="inlineStr">
        <is>
          <t>Exports</t>
        </is>
      </c>
      <c r="C10" s="26" t="inlineStr">
        <is>
          <t>Grid</t>
        </is>
      </c>
      <c r="D10" s="27" t="inlineStr">
        <is>
          <t>Root exports and the public Grid subpath expose the frozen compound runtime and all public Grid types.</t>
        </is>
      </c>
      <c r="E10" s="26" t="inlineStr">
        <is>
          <t>package</t>
        </is>
      </c>
      <c r="F10" s="26" t="inlineStr">
        <is>
          <t>package</t>
        </is>
      </c>
      <c r="G10" s="27" t="inlineStr">
        <is>
          <t>../test/package/package.test.mjs; ../test/package/ssr.test.mjs</t>
        </is>
      </c>
      <c r="H10" s="26" t="inlineStr">
        <is>
          <t>tested</t>
        </is>
      </c>
      <c r="I10" s="26" t="inlineStr">
        <is>
          <t>no</t>
        </is>
      </c>
      <c r="J10" s="28" t="n">
        <v>46228</v>
      </c>
      <c r="K10" s="27" t="n"/>
      <c r="L10" s="26" t="n">
        <v>1</v>
      </c>
      <c r="M10" s="26">
        <f>IF(OR(AND(I10="yes",H10="verified"),AND(I10="no",OR(H10="tested",H10="verified")),AND(H10="not applicable",K10&lt;&gt;"")),1,0)</f>
        <v/>
      </c>
    </row>
    <row r="11" ht="54" customHeight="1" s="17">
      <c r="A11" s="26" t="inlineStr">
        <is>
          <t>G-03</t>
        </is>
      </c>
      <c r="B11" s="26" t="inlineStr">
        <is>
          <t>Types</t>
        </is>
      </c>
      <c r="C11" s="26" t="inlineStr">
        <is>
          <t>Root / Item</t>
        </is>
      </c>
      <c r="D11" s="27" t="inlineStr">
        <is>
          <t>Closed hosts, explicit and intrinsic modes, gaps, alignment, placement, native props, refs, and invalid combinations type-check.</t>
        </is>
      </c>
      <c r="E11" s="26" t="inlineStr">
        <is>
          <t>package</t>
        </is>
      </c>
      <c r="F11" s="26" t="inlineStr">
        <is>
          <t>types</t>
        </is>
      </c>
      <c r="G11" s="27" t="inlineStr">
        <is>
          <t>../test/types/components/grid.test.ts</t>
        </is>
      </c>
      <c r="H11" s="26" t="inlineStr">
        <is>
          <t>tested</t>
        </is>
      </c>
      <c r="I11" s="26" t="inlineStr">
        <is>
          <t>no</t>
        </is>
      </c>
      <c r="J11" s="28" t="n">
        <v>46228</v>
      </c>
      <c r="K11" s="27" t="n"/>
      <c r="L11" s="26" t="n">
        <v>1</v>
      </c>
      <c r="M11" s="26">
        <f>IF(OR(AND(I11="yes",H11="verified"),AND(I11="no",OR(H11="tested",H11="verified")),AND(H11="not applicable",K11&lt;&gt;"")),1,0)</f>
        <v/>
      </c>
    </row>
    <row r="12" ht="54" customHeight="1" s="17">
      <c r="A12" s="26" t="inlineStr">
        <is>
          <t>G-04</t>
        </is>
      </c>
      <c r="B12" s="26" t="inlineStr">
        <is>
          <t>CSS</t>
        </is>
      </c>
      <c r="C12" s="26" t="inlineStr">
        <is>
          <t>Root / Item</t>
        </is>
      </c>
      <c r="D12" s="27" t="inlineStr">
        <is>
          <t>Static CSS ships equal and intrinsic tracks, zero-through-six gaps, logical alignment, placement, containment, and public variable overrides.</t>
        </is>
      </c>
      <c r="E12" s="26" t="inlineStr">
        <is>
          <t>package</t>
        </is>
      </c>
      <c r="F12" s="26" t="inlineStr">
        <is>
          <t>css</t>
        </is>
      </c>
      <c r="G12" s="27" t="inlineStr">
        <is>
          <t>../src/components/grid/grid.css; ../src/styles/tokens.tokens.json</t>
        </is>
      </c>
      <c r="H12" s="26" t="inlineStr">
        <is>
          <t>tested</t>
        </is>
      </c>
      <c r="I12" s="26" t="inlineStr">
        <is>
          <t>no</t>
        </is>
      </c>
      <c r="J12" s="28" t="n">
        <v>46228</v>
      </c>
      <c r="K12" s="27" t="n"/>
      <c r="L12" s="26" t="n">
        <v>1</v>
      </c>
      <c r="M12" s="26">
        <f>IF(OR(AND(I12="yes",H12="verified"),AND(I12="no",OR(H12="tested",H12="verified")),AND(H12="not applicable",K12&lt;&gt;"")),1,0)</f>
        <v/>
      </c>
    </row>
    <row r="13" ht="54" customHeight="1" s="17">
      <c r="A13" s="26" t="inlineStr">
        <is>
          <t>G-05</t>
        </is>
      </c>
      <c r="B13" s="26" t="inlineStr">
        <is>
          <t>Unit</t>
        </is>
      </c>
      <c r="C13" s="26" t="inlineStr">
        <is>
          <t>Root / Item</t>
        </is>
      </c>
      <c r="D13" s="27" t="inlineStr">
        <is>
          <t>Defaults, modes, recipes, placement, semantic hosts, native pass-through, hooks, events, refs, and exclusions pass focused tests.</t>
        </is>
      </c>
      <c r="E13" s="26" t="inlineStr">
        <is>
          <t>package</t>
        </is>
      </c>
      <c r="F13" s="26" t="inlineStr">
        <is>
          <t>component</t>
        </is>
      </c>
      <c r="G13" s="27" t="inlineStr">
        <is>
          <t>../test/components/grid/grid.test.tsx</t>
        </is>
      </c>
      <c r="H13" s="26" t="inlineStr">
        <is>
          <t>tested</t>
        </is>
      </c>
      <c r="I13" s="26" t="inlineStr">
        <is>
          <t>no</t>
        </is>
      </c>
      <c r="J13" s="28" t="n">
        <v>46228</v>
      </c>
      <c r="K13" s="27" t="n"/>
      <c r="L13" s="26" t="n">
        <v>1</v>
      </c>
      <c r="M13" s="26">
        <f>IF(OR(AND(I13="yes",H13="verified"),AND(I13="no",OR(H13="tested",H13="verified")),AND(H13="not applicable",K13&lt;&gt;"")),1,0)</f>
        <v/>
      </c>
    </row>
    <row r="14" ht="54" customHeight="1" s="17">
      <c r="A14" s="26" t="inlineStr">
        <is>
          <t>G-06</t>
        </is>
      </c>
      <c r="B14" s="26" t="inlineStr">
        <is>
          <t>Browser</t>
        </is>
      </c>
      <c r="C14" s="26" t="inlineStr">
        <is>
          <t>Root</t>
        </is>
      </c>
      <c r="D14" s="27" t="inlineStr">
        <is>
          <t>Real-browser exact columns, intrinsic reflow, gaps, alignment, output, refs, and customization pass across the supported browser matrix.</t>
        </is>
      </c>
      <c r="E14" s="26" t="inlineStr">
        <is>
          <t>package</t>
        </is>
      </c>
      <c r="F14" s="26" t="inlineStr">
        <is>
          <t>browser</t>
        </is>
      </c>
      <c r="G14" s="27" t="inlineStr">
        <is>
          <t>tests/components/grid/behavior.spec.ts</t>
        </is>
      </c>
      <c r="H14" s="26" t="inlineStr">
        <is>
          <t>tested</t>
        </is>
      </c>
      <c r="I14" s="26" t="inlineStr">
        <is>
          <t>no</t>
        </is>
      </c>
      <c r="J14" s="28" t="n">
        <v>46228</v>
      </c>
      <c r="K14" s="27" t="n"/>
      <c r="L14" s="26" t="n">
        <v>1</v>
      </c>
      <c r="M14" s="26">
        <f>IF(OR(AND(I14="yes",H14="verified"),AND(I14="no",OR(H14="tested",H14="verified")),AND(H14="not applicable",K14&lt;&gt;"")),1,0)</f>
        <v/>
      </c>
    </row>
    <row r="15" ht="54" customHeight="1" s="17">
      <c r="A15" s="26" t="inlineStr">
        <is>
          <t>G-07</t>
        </is>
      </c>
      <c r="B15" s="26" t="inlineStr">
        <is>
          <t>Browser</t>
        </is>
      </c>
      <c r="C15" s="26" t="inlineStr">
        <is>
          <t>Item</t>
        </is>
      </c>
      <c r="D15" s="27" t="inlineStr">
        <is>
          <t>Real-browser spans, line placement, full width, self-alignment, containment, and source order pass across the supported browser matrix.</t>
        </is>
      </c>
      <c r="E15" s="26" t="inlineStr">
        <is>
          <t>package</t>
        </is>
      </c>
      <c r="F15" s="26" t="inlineStr">
        <is>
          <t>browser</t>
        </is>
      </c>
      <c r="G15" s="27" t="inlineStr">
        <is>
          <t>tests/components/grid/behavior.spec.ts</t>
        </is>
      </c>
      <c r="H15" s="26" t="inlineStr">
        <is>
          <t>tested</t>
        </is>
      </c>
      <c r="I15" s="26" t="inlineStr">
        <is>
          <t>no</t>
        </is>
      </c>
      <c r="J15" s="28" t="n">
        <v>46228</v>
      </c>
      <c r="K15" s="27" t="n"/>
      <c r="L15" s="26" t="n">
        <v>1</v>
      </c>
      <c r="M15" s="26">
        <f>IF(OR(AND(I15="yes",H15="verified"),AND(I15="no",OR(H15="tested",H15="verified")),AND(H15="not applicable",K15&lt;&gt;"")),1,0)</f>
        <v/>
      </c>
    </row>
    <row r="16" ht="54" customHeight="1" s="17">
      <c r="A16" s="26" t="inlineStr">
        <is>
          <t>G-08</t>
        </is>
      </c>
      <c r="B16" s="26" t="inlineStr">
        <is>
          <t>Accessibility</t>
        </is>
      </c>
      <c r="C16" s="26" t="inlineStr">
        <is>
          <t>Root / Item</t>
        </is>
      </c>
      <c r="D16" s="27" t="inlineStr">
        <is>
          <t>Authored semantics, DOM and focus order, RTL logic, reflow containment, and axe pass without Grid inventing interactive grid semantics.</t>
        </is>
      </c>
      <c r="E16" s="26" t="inlineStr">
        <is>
          <t>package</t>
        </is>
      </c>
      <c r="F16" s="26" t="inlineStr">
        <is>
          <t>axe</t>
        </is>
      </c>
      <c r="G16" s="27" t="inlineStr">
        <is>
          <t>tests/components/grid/behavior.spec.ts</t>
        </is>
      </c>
      <c r="H16" s="26" t="inlineStr">
        <is>
          <t>tested</t>
        </is>
      </c>
      <c r="I16" s="26" t="inlineStr">
        <is>
          <t>no</t>
        </is>
      </c>
      <c r="J16" s="28" t="n">
        <v>46228</v>
      </c>
      <c r="K16" s="27" t="inlineStr">
        <is>
          <t>Current Stack playground and visual baselines were reviewed during implementation.</t>
        </is>
      </c>
      <c r="L16" s="26" t="n">
        <v>1</v>
      </c>
      <c r="M16" s="26">
        <f>IF(OR(AND(I16="yes",H16="verified"),AND(I16="no",OR(H16="tested",H16="verified")),AND(H16="not applicable",K16&lt;&gt;"")),1,0)</f>
        <v/>
      </c>
    </row>
    <row r="17" ht="54" customHeight="1" s="17">
      <c r="A17" s="26" t="inlineStr">
        <is>
          <t>G-09</t>
        </is>
      </c>
      <c r="B17" s="26" t="inlineStr">
        <is>
          <t>Visual</t>
        </is>
      </c>
      <c r="C17" s="26" t="inlineStr">
        <is>
          <t>Root / Item</t>
        </is>
      </c>
      <c r="D17" s="27" t="inlineStr">
        <is>
          <t>Reviewed baselines cover defaults, modes, gaps, placement, dark appearance, mobile RTL, and forced colors.</t>
        </is>
      </c>
      <c r="E17" s="26" t="inlineStr">
        <is>
          <t>package</t>
        </is>
      </c>
      <c r="F17" s="26" t="inlineStr">
        <is>
          <t>visual</t>
        </is>
      </c>
      <c r="G17" s="27" t="inlineStr">
        <is>
          <t>tests/components/grid/visual.spec.ts</t>
        </is>
      </c>
      <c r="H17" s="26" t="inlineStr">
        <is>
          <t>verified</t>
        </is>
      </c>
      <c r="I17" s="26" t="inlineStr">
        <is>
          <t>yes</t>
        </is>
      </c>
      <c r="J17" s="28" t="n">
        <v>46228</v>
      </c>
      <c r="K17" s="27" t="inlineStr">
        <is>
          <t>Current Grid playground and visual baselines were reviewed during implementation.</t>
        </is>
      </c>
      <c r="L17" s="26" t="n">
        <v>1</v>
      </c>
      <c r="M17" s="26">
        <f>IF(OR(AND(I17="yes",H17="verified"),AND(I17="no",OR(H17="tested",H17="verified")),AND(H17="not applicable",K17&lt;&gt;"")),1,0)</f>
        <v/>
      </c>
    </row>
    <row r="18" ht="54" customHeight="1" s="17">
      <c r="A18" s="26" t="inlineStr">
        <is>
          <t>G-10</t>
        </is>
      </c>
      <c r="B18" s="26" t="inlineStr">
        <is>
          <t>Responsive</t>
        </is>
      </c>
      <c r="C18" s="26" t="inlineStr">
        <is>
          <t>Root / Item</t>
        </is>
      </c>
      <c r="D18" s="27" t="inlineStr">
        <is>
          <t>Physical mobile, 200%/400% zoom, intrinsic reflow, constrained placement, long content, and RTL remain readable and contained.</t>
        </is>
      </c>
      <c r="E18" s="26" t="inlineStr">
        <is>
          <t>package</t>
        </is>
      </c>
      <c r="F18" s="26" t="inlineStr">
        <is>
          <t>manual</t>
        </is>
      </c>
      <c r="G18" s="27" t="inlineStr">
        <is>
          <t>manual-tests/grid.md</t>
        </is>
      </c>
      <c r="H18" s="26" t="inlineStr">
        <is>
          <t>implemented</t>
        </is>
      </c>
      <c r="I18" s="26" t="inlineStr">
        <is>
          <t>yes</t>
        </is>
      </c>
      <c r="J18" s="28" t="n"/>
      <c r="K18" s="27" t="inlineStr">
        <is>
          <t>Automated reflow and RTL evidence passes; the human manual run is intentionally pending.</t>
        </is>
      </c>
      <c r="L18" s="26" t="n">
        <v>1</v>
      </c>
      <c r="M18" s="26">
        <f>IF(OR(AND(I18="yes",H18="verified"),AND(I18="no",OR(H18="tested",H18="verified")),AND(H18="not applicable",K18&lt;&gt;"")),1,0)</f>
        <v/>
      </c>
    </row>
    <row r="19" ht="54" customHeight="1" s="17">
      <c r="A19" s="26" t="inlineStr">
        <is>
          <t>G-11</t>
        </is>
      </c>
      <c r="B19" s="26" t="inlineStr">
        <is>
          <t>Theme</t>
        </is>
      </c>
      <c r="C19" s="26" t="inlineStr">
        <is>
          <t>Root / Item</t>
        </is>
      </c>
      <c r="D19" s="27" t="inlineStr">
        <is>
          <t>Light, dark, forced-colors, focus-bearing children, and text-spacing stress retain understandable layout and source order.</t>
        </is>
      </c>
      <c r="E19" s="26" t="inlineStr">
        <is>
          <t>package</t>
        </is>
      </c>
      <c r="F19" s="26" t="inlineStr">
        <is>
          <t>manual</t>
        </is>
      </c>
      <c r="G19" s="27" t="inlineStr">
        <is>
          <t>manual-tests/grid.md; tests/components/grid/visual.spec.ts</t>
        </is>
      </c>
      <c r="H19" s="26" t="inlineStr">
        <is>
          <t>implemented</t>
        </is>
      </c>
      <c r="I19" s="26" t="inlineStr">
        <is>
          <t>yes</t>
        </is>
      </c>
      <c r="J19" s="28" t="n">
        <v>46227</v>
      </c>
      <c r="K19" s="27" t="inlineStr">
        <is>
          <t>Automated appearance evidence passes; complete human appearance review is pending.</t>
        </is>
      </c>
      <c r="L19" s="26" t="n">
        <v>1</v>
      </c>
      <c r="M19" s="26">
        <f>IF(OR(AND(I19="yes",H19="verified"),AND(I19="no",OR(H19="tested",H19="verified")),AND(H19="not applicable",K19&lt;&gt;"")),1,0)</f>
        <v/>
      </c>
    </row>
    <row r="20" ht="54" customHeight="1" s="17">
      <c r="A20" s="26" t="inlineStr">
        <is>
          <t>G-12</t>
        </is>
      </c>
      <c r="B20" s="26" t="inlineStr">
        <is>
          <t>Semantics</t>
        </is>
      </c>
      <c r="C20" s="26" t="inlineStr">
        <is>
          <t>Root / Item</t>
        </is>
      </c>
      <c r="D20" s="27" t="inlineStr">
        <is>
          <t>Supported semantic hosts, authored attributes, source order, rendered output, slots, and data hooks match the public contract.</t>
        </is>
      </c>
      <c r="E20" s="26" t="inlineStr">
        <is>
          <t>package</t>
        </is>
      </c>
      <c r="F20" s="26" t="inlineStr">
        <is>
          <t>browser</t>
        </is>
      </c>
      <c r="G20" s="27" t="inlineStr">
        <is>
          <t>tests/components/grid/behavior.spec.ts</t>
        </is>
      </c>
      <c r="H20" s="26" t="inlineStr">
        <is>
          <t>tested</t>
        </is>
      </c>
      <c r="I20" s="26" t="inlineStr">
        <is>
          <t>no</t>
        </is>
      </c>
      <c r="J20" s="28" t="n">
        <v>46228</v>
      </c>
      <c r="K20" s="27" t="inlineStr">
        <is>
          <t>Protocol exists but the owner has deferred the human run.</t>
        </is>
      </c>
      <c r="L20" s="26" t="n">
        <v>1</v>
      </c>
      <c r="M20" s="26">
        <f>IF(OR(AND(I20="yes",H20="verified"),AND(I20="no",OR(H20="tested",H20="verified")),AND(H20="not applicable",K20&lt;&gt;"")),1,0)</f>
        <v/>
      </c>
    </row>
    <row r="21" ht="54" customHeight="1" s="17">
      <c r="A21" s="26" t="inlineStr">
        <is>
          <t>G-13</t>
        </is>
      </c>
      <c r="B21" s="26" t="inlineStr">
        <is>
          <t>Manual</t>
        </is>
      </c>
      <c r="C21" s="26" t="inlineStr">
        <is>
          <t>Root / Item</t>
        </is>
      </c>
      <c r="D21" s="27" t="inlineStr">
        <is>
          <t>The component-owned manual protocol passes every Grid playground scenario.</t>
        </is>
      </c>
      <c r="E21" s="26" t="inlineStr">
        <is>
          <t>package</t>
        </is>
      </c>
      <c r="F21" s="26" t="inlineStr">
        <is>
          <t>manual</t>
        </is>
      </c>
      <c r="G21" s="27" t="inlineStr">
        <is>
          <t>manual-tests/grid.md</t>
        </is>
      </c>
      <c r="H21" s="26" t="inlineStr">
        <is>
          <t>implemented</t>
        </is>
      </c>
      <c r="I21" s="26" t="inlineStr">
        <is>
          <t>yes</t>
        </is>
      </c>
      <c r="J21" s="28" t="n">
        <v>46227</v>
      </c>
      <c r="K21" s="27" t="inlineStr">
        <is>
          <t>Protocol exists but the owner has deferred the human run.</t>
        </is>
      </c>
      <c r="L21" s="26" t="n">
        <v>1</v>
      </c>
      <c r="M21" s="26">
        <f>IF(OR(AND(I21="yes",H21="verified"),AND(I21="no",OR(H21="tested",H21="verified")),AND(H21="not applicable",K21&lt;&gt;"")),1,0)</f>
        <v/>
      </c>
    </row>
    <row r="22" ht="54" customHeight="1" s="17">
      <c r="A22" s="26" t="inlineStr">
        <is>
          <t>G-14</t>
        </is>
      </c>
      <c r="B22" s="26" t="inlineStr">
        <is>
          <t>Docs</t>
        </is>
      </c>
      <c r="C22" s="26" t="inlineStr">
        <is>
          <t>Grid</t>
        </is>
      </c>
      <c r="D22" s="27" t="inlineStr">
        <is>
          <t>Source-backed public usage, defaults, modes, placement, semantics, accessibility, CSS, and API documentation pass component checks.</t>
        </is>
      </c>
      <c r="E22" s="26" t="inlineStr">
        <is>
          <t>package</t>
        </is>
      </c>
      <c r="F22" s="26" t="inlineStr">
        <is>
          <t>docs</t>
        </is>
      </c>
      <c r="G22" s="27" t="inlineStr">
        <is>
          <t>../docs/components/grid/README.md</t>
        </is>
      </c>
      <c r="H22" s="26" t="inlineStr">
        <is>
          <t>tested</t>
        </is>
      </c>
      <c r="I22" s="26" t="inlineStr">
        <is>
          <t>no</t>
        </is>
      </c>
      <c r="J22" s="28" t="n">
        <v>46228</v>
      </c>
      <c r="K22" s="27" t="n"/>
      <c r="L22" s="26" t="n">
        <v>1</v>
      </c>
      <c r="M22" s="26">
        <f>IF(OR(AND(I22="yes",H22="verified"),AND(I22="no",OR(H22="tested",H22="verified")),AND(H22="not applicable",K22&lt;&gt;"")),1,0)</f>
        <v/>
      </c>
    </row>
    <row r="23" ht="54" customHeight="1" s="17">
      <c r="A23" s="26" t="inlineStr">
        <is>
          <t>G-15</t>
        </is>
      </c>
      <c r="B23" s="26" t="inlineStr">
        <is>
          <t>Changelog</t>
        </is>
      </c>
      <c r="C23" s="26" t="inlineStr">
        <is>
          <t>Grid</t>
        </is>
      </c>
      <c r="D23" s="27" t="inlineStr">
        <is>
          <t>Grid owns a public component changelog and the package changelog records the component addition.</t>
        </is>
      </c>
      <c r="E23" s="26" t="inlineStr">
        <is>
          <t>package</t>
        </is>
      </c>
      <c r="F23" s="26" t="inlineStr">
        <is>
          <t>docs</t>
        </is>
      </c>
      <c r="G23" s="27" t="inlineStr">
        <is>
          <t>../docs/components/grid/CHANGELOG.md; ../CHANGELOG.md</t>
        </is>
      </c>
      <c r="H23" s="26" t="inlineStr">
        <is>
          <t>tested</t>
        </is>
      </c>
      <c r="I23" s="26" t="inlineStr">
        <is>
          <t>no</t>
        </is>
      </c>
      <c r="J23" s="28" t="n">
        <v>46228</v>
      </c>
      <c r="K23" s="27" t="n"/>
      <c r="L23" s="26" t="n">
        <v>1</v>
      </c>
      <c r="M23" s="26">
        <f>IF(OR(AND(I23="yes",H23="verified"),AND(I23="no",OR(H23="tested",H23="verified")),AND(H23="not applicable",K23&lt;&gt;"")),1,0)</f>
        <v/>
      </c>
    </row>
    <row r="24" ht="54" customHeight="1" s="17">
      <c r="A24" s="26" t="inlineStr">
        <is>
          <t>G-16</t>
        </is>
      </c>
      <c r="B24" s="26" t="inlineStr">
        <is>
          <t>Consumer</t>
        </is>
      </c>
      <c r="C24" s="26" t="inlineStr">
        <is>
          <t>Root / Item</t>
        </is>
      </c>
      <c r="D24" s="27" t="inlineStr">
        <is>
          <t>The packed Consumer proves realistic equal-track composition, intentional item span, and responsive public-variable overrides through the Grid subpath.</t>
        </is>
      </c>
      <c r="E24" s="26" t="inlineStr">
        <is>
          <t>consumer</t>
        </is>
      </c>
      <c r="F24" s="26" t="inlineStr">
        <is>
          <t>consumer</t>
        </is>
      </c>
      <c r="G24" s="27" t="inlineStr">
        <is>
          <t>../apps/consumer/src/App.tsx; ../apps/consumer/tests/consumer.spec.ts</t>
        </is>
      </c>
      <c r="H24" s="26" t="inlineStr">
        <is>
          <t>tested</t>
        </is>
      </c>
      <c r="I24" s="26" t="inlineStr">
        <is>
          <t>no</t>
        </is>
      </c>
      <c r="J24" s="28" t="n">
        <v>46228</v>
      </c>
      <c r="K24" s="27" t="inlineStr">
        <is>
          <t>Automated package gates pass; complete status waits for the component-owned human manual run.</t>
        </is>
      </c>
      <c r="L24" s="26" t="n">
        <v>1</v>
      </c>
      <c r="M24" s="26">
        <f>IF(OR(AND(I24="yes",H24="verified"),AND(I24="no",OR(H24="tested",H24="verified")),AND(H24="not applicable",K24&lt;&gt;"")),1,0)</f>
        <v/>
      </c>
    </row>
    <row r="25" ht="54" customHeight="1" s="17">
      <c r="A25" s="26" t="inlineStr">
        <is>
          <t>G-17</t>
        </is>
      </c>
      <c r="B25" s="26" t="inlineStr">
        <is>
          <t>Package</t>
        </is>
      </c>
      <c r="C25" s="26" t="inlineStr">
        <is>
          <t>Grid</t>
        </is>
      </c>
      <c r="D25" s="27" t="inlineStr">
        <is>
          <t>Build, SSR, exports, CSS, tarball, React 18/19, packed Consumer, browser matrix, and playground Grid-adoption checks pass.</t>
        </is>
      </c>
      <c r="E25" s="26" t="inlineStr">
        <is>
          <t>package</t>
        </is>
      </c>
      <c r="F25" s="26" t="inlineStr">
        <is>
          <t>package</t>
        </is>
      </c>
      <c r="G25" s="27" t="inlineStr">
        <is>
          <t>../test/package; ../scripts/verify-package.mjs; ../scripts/verify-consumers.mjs; ../scripts/verify-playground-grid.mjs</t>
        </is>
      </c>
      <c r="H25" s="26" t="inlineStr">
        <is>
          <t>implemented</t>
        </is>
      </c>
      <c r="I25" s="26" t="inlineStr">
        <is>
          <t>yes</t>
        </is>
      </c>
      <c r="J25" s="28" t="n">
        <v>46228</v>
      </c>
      <c r="K25" s="27" t="inlineStr">
        <is>
          <t>Automated package gates pass; complete status waits for the component-owned human manual run.</t>
        </is>
      </c>
      <c r="L25" s="26" t="n">
        <v>1</v>
      </c>
      <c r="M25" s="26">
        <f>IF(OR(AND(I25="yes",H25="verified"),AND(I25="no",OR(H25="tested",H25="verified")),AND(H25="not applicable",K25&lt;&gt;"")),1,0)</f>
        <v/>
      </c>
    </row>
  </sheetData>
  <mergeCells count="2">
    <mergeCell ref="A2:M2"/>
    <mergeCell ref="A1:M1"/>
  </mergeCells>
  <conditionalFormatting sqref="H9:H25">
    <cfRule type="containsText" rank="0" priority="2" equalAverage="0" operator="containsText" aboveAverage="0" dxfId="5" text="not started" percent="0" bottom="0">
      <formula>NOT(ISERROR(SEARCH("not started",H9)))</formula>
    </cfRule>
    <cfRule type="containsText" rank="0" priority="3" equalAverage="0" operator="containsText" aboveAverage="0" dxfId="6" text="partial" percent="0" bottom="0">
      <formula>NOT(ISERROR(SEARCH("partial",H9)))</formula>
    </cfRule>
    <cfRule type="containsText" rank="0" priority="4" equalAverage="0" operator="containsText" aboveAverage="0" dxfId="7" text="implemented" percent="0" bottom="0">
      <formula>NOT(ISERROR(SEARCH("implemented",H9)))</formula>
    </cfRule>
    <cfRule type="containsText" rank="0" priority="5" equalAverage="0" operator="containsText" aboveAverage="0" dxfId="8" text="tested" percent="0" bottom="0">
      <formula>NOT(ISERROR(SEARCH("tested",H9)))</formula>
    </cfRule>
    <cfRule type="containsText" rank="0" priority="6" equalAverage="0" operator="containsText" aboveAverage="0" dxfId="3" text="verified" percent="0" bottom="0">
      <formula>NOT(ISERROR(SEARCH("verified",H9)))</formula>
    </cfRule>
    <cfRule type="containsText" rank="0" priority="7" equalAverage="0" operator="containsText" aboveAverage="0" dxfId="9" text="blocked" percent="0" bottom="0">
      <formula>NOT(ISERROR(SEARCH("blocked",H9)))</formula>
    </cfRule>
    <cfRule type="containsText" rank="0" priority="8" equalAverage="0" operator="containsText" aboveAverage="0" dxfId="5" text="not applicable" percent="0" bottom="0">
      <formula>NOT(ISERROR(SEARCH("not applicable",H9)))</formula>
    </cfRule>
  </conditionalFormatting>
  <dataValidations count="2">
    <dataValidation sqref="H9:H25" showDropDown="0" showInputMessage="0" showErrorMessage="0" allowBlank="0" type="list" errorStyle="stop" operator="between">
      <formula1>"not started,partial,implemented,tested,verified,blocked,not applicable"</formula1>
      <formula2>0</formula2>
    </dataValidation>
    <dataValidation sqref="I9:I25" showDropDown="0" showInputMessage="0" showErrorMessage="0" allowBlank="0" type="list" errorStyle="stop" operator="between">
      <formula1>"yes,no"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29.xml><?xml version="1.0" encoding="utf-8"?>
<worksheet xmlns="http://schemas.openxmlformats.org/spreadsheetml/2006/main">
  <sheetPr filterMode="0">
    <outlinePr summaryBelow="1" summaryRight="1"/>
    <pageSetUpPr fitToPage="0"/>
  </sheetPr>
  <dimension ref="A1:M2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.71" customWidth="1" style="23" min="1" max="1"/>
    <col width="15.71" customWidth="1" style="23" min="2" max="2"/>
    <col width="18.71" customWidth="1" style="23" min="3" max="3"/>
    <col width="58.71" customWidth="1" style="23" min="4" max="4"/>
    <col width="14.71" customWidth="1" style="23" min="5" max="6"/>
    <col width="50.71" customWidth="1" style="23" min="7" max="7"/>
    <col width="17.71" customWidth="1" style="23" min="8" max="8"/>
    <col width="14.71" customWidth="1" style="23" min="9" max="9"/>
    <col width="14.71" customWidth="1" style="25" min="10" max="10"/>
    <col width="42.71" customWidth="1" style="23" min="11" max="11"/>
    <col width="10.71" customWidth="1" style="23" min="12" max="13"/>
  </cols>
  <sheetData>
    <row r="1" ht="37.5" customHeight="1" s="17">
      <c r="A1" s="18" t="inlineStr">
        <is>
          <t>Container Evidence</t>
        </is>
      </c>
    </row>
    <row r="2" ht="27.75" customHeight="1" s="17">
      <c r="A2" s="19" t="inlineStr">
        <is>
          <t>Assertion-level package, browser, human-review, documentation, Consumer, and playground-boundary evidence.</t>
        </is>
      </c>
    </row>
    <row r="4" ht="17.25" customHeight="1" s="17">
      <c r="A4" s="20" t="inlineStr">
        <is>
          <t>Requirements</t>
        </is>
      </c>
      <c r="B4" s="21">
        <f>COUNTA(A9:A25)</f>
        <v/>
      </c>
      <c r="D4" s="20" t="inlineStr">
        <is>
          <t>Resolved</t>
        </is>
      </c>
      <c r="E4" s="21">
        <f>SUM(M9:M25)</f>
        <v/>
      </c>
      <c r="G4" s="20" t="inlineStr">
        <is>
          <t>Completion</t>
        </is>
      </c>
      <c r="H4" s="22">
        <f>IF(B4=0,0,E4/B4)</f>
        <v/>
      </c>
      <c r="J4" s="20" t="inlineStr">
        <is>
          <t>Package gate</t>
        </is>
      </c>
      <c r="K4" s="21">
        <f>IF(COUNTIFS(E9:E25,"package",M9:M25,0)&gt;0,"open","complete")</f>
        <v/>
      </c>
    </row>
    <row r="5" ht="17.25" customHeight="1" s="17">
      <c r="A5" s="20" t="inlineStr">
        <is>
          <t>Manual review</t>
        </is>
      </c>
      <c r="B5" s="21">
        <f>IF(COUNTIFS(I9:I25,"yes",M9:M25,0)&gt;0,"open","complete")</f>
        <v/>
      </c>
      <c r="D5" s="20" t="inlineStr">
        <is>
          <t>Consumer gate</t>
        </is>
      </c>
      <c r="E5" s="21">
        <f>IF(COUNTIFS(E9:E25,"consumer",M9:M25,0)&gt;0,"open","complete")</f>
        <v/>
      </c>
    </row>
    <row r="8" ht="15" customHeight="1" s="17">
      <c r="A8" s="23" t="inlineStr">
        <is>
          <t>ID</t>
        </is>
      </c>
      <c r="B8" s="23" t="inlineStr">
        <is>
          <t>Area</t>
        </is>
      </c>
      <c r="C8" s="23" t="inlineStr">
        <is>
          <t>Part</t>
        </is>
      </c>
      <c r="D8" s="23" t="inlineStr">
        <is>
          <t>Requirement</t>
        </is>
      </c>
      <c r="E8" s="23" t="inlineStr">
        <is>
          <t>Gate</t>
        </is>
      </c>
      <c r="F8" s="23" t="inlineStr">
        <is>
          <t>Evidence type</t>
        </is>
      </c>
      <c r="G8" s="23" t="inlineStr">
        <is>
          <t>Evidence / link</t>
        </is>
      </c>
      <c r="H8" s="23" t="inlineStr">
        <is>
          <t>Status</t>
        </is>
      </c>
      <c r="I8" s="23" t="inlineStr">
        <is>
          <t>Human review?</t>
        </is>
      </c>
      <c r="J8" s="25" t="inlineStr">
        <is>
          <t>Last verified</t>
        </is>
      </c>
      <c r="K8" s="23" t="inlineStr">
        <is>
          <t>Blocker / N/A reason</t>
        </is>
      </c>
      <c r="L8" s="23" t="inlineStr">
        <is>
          <t>Weight</t>
        </is>
      </c>
      <c r="M8" s="23" t="inlineStr">
        <is>
          <t>Resolved</t>
        </is>
      </c>
    </row>
    <row r="9" ht="54" customHeight="1" s="17">
      <c r="A9" s="26" t="inlineStr">
        <is>
          <t>C-01</t>
        </is>
      </c>
      <c r="B9" s="26" t="inlineStr">
        <is>
          <t>Implementation</t>
        </is>
      </c>
      <c r="C9" s="26" t="inlineStr">
        <is>
          <t>Container</t>
        </is>
      </c>
      <c r="D9" s="27" t="inlineStr">
        <is>
          <t>Container renders one approved native host with stable hooks, forwarded ref, authored children, and native attributes.</t>
        </is>
      </c>
      <c r="E9" s="26" t="inlineStr">
        <is>
          <t>package</t>
        </is>
      </c>
      <c r="F9" s="26" t="inlineStr">
        <is>
          <t>source</t>
        </is>
      </c>
      <c r="G9" s="27" t="inlineStr">
        <is>
          <t>../src/components/container</t>
        </is>
      </c>
      <c r="H9" s="26" t="inlineStr">
        <is>
          <t>tested</t>
        </is>
      </c>
      <c r="I9" s="26" t="inlineStr">
        <is>
          <t>no</t>
        </is>
      </c>
      <c r="J9" s="28" t="n">
        <v>46228</v>
      </c>
      <c r="K9" s="27" t="n"/>
      <c r="L9" s="26" t="n">
        <v>1</v>
      </c>
      <c r="M9" s="26">
        <f>IF(OR(AND(I9="yes",H9="verified"),AND(I9="no",OR(H9="tested",H9="verified")),AND(H9="not applicable",K9&lt;&gt;"")),1,0)</f>
        <v/>
      </c>
    </row>
    <row r="10" ht="54" customHeight="1" s="17">
      <c r="A10" s="26" t="inlineStr">
        <is>
          <t>C-02</t>
        </is>
      </c>
      <c r="B10" s="26" t="inlineStr">
        <is>
          <t>Exports</t>
        </is>
      </c>
      <c r="C10" s="26" t="inlineStr">
        <is>
          <t>Container</t>
        </is>
      </c>
      <c r="D10" s="27" t="inlineStr">
        <is>
          <t>Root exports and the public Container subpath expose the runtime component and every public Container type.</t>
        </is>
      </c>
      <c r="E10" s="26" t="inlineStr">
        <is>
          <t>package</t>
        </is>
      </c>
      <c r="F10" s="26" t="inlineStr">
        <is>
          <t>package</t>
        </is>
      </c>
      <c r="G10" s="27" t="inlineStr">
        <is>
          <t>../test/package/package.test.mjs; ../test/package/ssr.test.mjs</t>
        </is>
      </c>
      <c r="H10" s="26" t="inlineStr">
        <is>
          <t>tested</t>
        </is>
      </c>
      <c r="I10" s="26" t="inlineStr">
        <is>
          <t>no</t>
        </is>
      </c>
      <c r="J10" s="28" t="n">
        <v>46228</v>
      </c>
      <c r="K10" s="27" t="n"/>
      <c r="L10" s="26" t="n">
        <v>1</v>
      </c>
      <c r="M10" s="26">
        <f>IF(OR(AND(I10="yes",H10="verified"),AND(I10="no",OR(H10="tested",H10="verified")),AND(H10="not applicable",K10&lt;&gt;"")),1,0)</f>
        <v/>
      </c>
    </row>
    <row r="11" ht="54" customHeight="1" s="17">
      <c r="A11" s="26" t="inlineStr">
        <is>
          <t>C-03</t>
        </is>
      </c>
      <c r="B11" s="26" t="inlineStr">
        <is>
          <t>Types</t>
        </is>
      </c>
      <c r="C11" s="26" t="inlineStr">
        <is>
          <t>Container</t>
        </is>
      </c>
      <c r="D11" s="27" t="inlineStr">
        <is>
          <t>Closed hosts, measures, gutters, native props, refs, and rejected arbitrary, responsive, viewport, and composition props type-check.</t>
        </is>
      </c>
      <c r="E11" s="26" t="inlineStr">
        <is>
          <t>package</t>
        </is>
      </c>
      <c r="F11" s="26" t="inlineStr">
        <is>
          <t>types</t>
        </is>
      </c>
      <c r="G11" s="27" t="inlineStr">
        <is>
          <t>../test/types/components/container.test.ts</t>
        </is>
      </c>
      <c r="H11" s="26" t="inlineStr">
        <is>
          <t>tested</t>
        </is>
      </c>
      <c r="I11" s="26" t="inlineStr">
        <is>
          <t>no</t>
        </is>
      </c>
      <c r="J11" s="28" t="n">
        <v>46228</v>
      </c>
      <c r="K11" s="27" t="n"/>
      <c r="L11" s="26" t="n">
        <v>1</v>
      </c>
      <c r="M11" s="26">
        <f>IF(OR(AND(I11="yes",H11="verified"),AND(I11="no",OR(H11="tested",H11="verified")),AND(H11="not applicable",K11&lt;&gt;"")),1,0)</f>
        <v/>
      </c>
    </row>
    <row r="12" ht="54" customHeight="1" s="17">
      <c r="A12" s="26" t="inlineStr">
        <is>
          <t>C-04</t>
        </is>
      </c>
      <c r="B12" s="26" t="inlineStr">
        <is>
          <t>CSS</t>
        </is>
      </c>
      <c r="C12" s="26" t="inlineStr">
        <is>
          <t>Container</t>
        </is>
      </c>
      <c r="D12" s="27" t="inlineStr">
        <is>
          <t>Static CSS ships border-box fluid sizing, five measures, four logical gutters, centering, containment, and public variable overrides.</t>
        </is>
      </c>
      <c r="E12" s="26" t="inlineStr">
        <is>
          <t>package</t>
        </is>
      </c>
      <c r="F12" s="26" t="inlineStr">
        <is>
          <t>css</t>
        </is>
      </c>
      <c r="G12" s="27" t="inlineStr">
        <is>
          <t>../src/components/container/container.css</t>
        </is>
      </c>
      <c r="H12" s="26" t="inlineStr">
        <is>
          <t>tested</t>
        </is>
      </c>
      <c r="I12" s="26" t="inlineStr">
        <is>
          <t>no</t>
        </is>
      </c>
      <c r="J12" s="28" t="n">
        <v>46228</v>
      </c>
      <c r="K12" s="27" t="n"/>
      <c r="L12" s="26" t="n">
        <v>1</v>
      </c>
      <c r="M12" s="26">
        <f>IF(OR(AND(I12="yes",H12="verified"),AND(I12="no",OR(H12="tested",H12="verified")),AND(H12="not applicable",K12&lt;&gt;"")),1,0)</f>
        <v/>
      </c>
    </row>
    <row r="13" ht="54" customHeight="1" s="17">
      <c r="A13" s="26" t="inlineStr">
        <is>
          <t>C-05</t>
        </is>
      </c>
      <c r="B13" s="26" t="inlineStr">
        <is>
          <t>Unit</t>
        </is>
      </c>
      <c r="C13" s="26" t="inlineStr">
        <is>
          <t>Container</t>
        </is>
      </c>
      <c r="D13" s="27" t="inlineStr">
        <is>
          <t>Defaults, every recipe, semantic hosts, one-root anatomy, pass-through, hooks, events, refs, and exclusions pass focused tests.</t>
        </is>
      </c>
      <c r="E13" s="26" t="inlineStr">
        <is>
          <t>package</t>
        </is>
      </c>
      <c r="F13" s="26" t="inlineStr">
        <is>
          <t>component</t>
        </is>
      </c>
      <c r="G13" s="27" t="inlineStr">
        <is>
          <t>../test/components/container/container.test.tsx</t>
        </is>
      </c>
      <c r="H13" s="26" t="inlineStr">
        <is>
          <t>tested</t>
        </is>
      </c>
      <c r="I13" s="26" t="inlineStr">
        <is>
          <t>no</t>
        </is>
      </c>
      <c r="J13" s="28" t="n">
        <v>46228</v>
      </c>
      <c r="K13" s="27" t="n"/>
      <c r="L13" s="26" t="n">
        <v>1</v>
      </c>
      <c r="M13" s="26">
        <f>IF(OR(AND(I13="yes",H13="verified"),AND(I13="no",OR(H13="tested",H13="verified")),AND(H13="not applicable",K13&lt;&gt;"")),1,0)</f>
        <v/>
      </c>
    </row>
    <row r="14" ht="54" customHeight="1" s="17">
      <c r="A14" s="26" t="inlineStr">
        <is>
          <t>C-06</t>
        </is>
      </c>
      <c r="B14" s="26" t="inlineStr">
        <is>
          <t>Browser</t>
        </is>
      </c>
      <c r="C14" s="26" t="inlineStr">
        <is>
          <t>Container</t>
        </is>
      </c>
      <c r="D14" s="27" t="inlineStr">
        <is>
          <t>Real-browser maximums, full width, gutters, border-box containment, output, refs, and exact customization pass across the supported matrix.</t>
        </is>
      </c>
      <c r="E14" s="26" t="inlineStr">
        <is>
          <t>package</t>
        </is>
      </c>
      <c r="F14" s="26" t="inlineStr">
        <is>
          <t>browser</t>
        </is>
      </c>
      <c r="G14" s="27" t="inlineStr">
        <is>
          <t>tests/components/container/behavior.spec.ts</t>
        </is>
      </c>
      <c r="H14" s="26" t="inlineStr">
        <is>
          <t>tested</t>
        </is>
      </c>
      <c r="I14" s="26" t="inlineStr">
        <is>
          <t>no</t>
        </is>
      </c>
      <c r="J14" s="28" t="n">
        <v>46228</v>
      </c>
      <c r="K14" s="27" t="n"/>
      <c r="L14" s="26" t="n">
        <v>1</v>
      </c>
      <c r="M14" s="26">
        <f>IF(OR(AND(I14="yes",H14="verified"),AND(I14="no",OR(H14="tested",H14="verified")),AND(H14="not applicable",K14&lt;&gt;"")),1,0)</f>
        <v/>
      </c>
    </row>
    <row r="15" ht="54" customHeight="1" s="17">
      <c r="A15" s="26" t="inlineStr">
        <is>
          <t>C-07</t>
        </is>
      </c>
      <c r="B15" s="26" t="inlineStr">
        <is>
          <t>Accessibility</t>
        </is>
      </c>
      <c r="C15" s="26" t="inlineStr">
        <is>
          <t>Container</t>
        </is>
      </c>
      <c r="D15" s="27" t="inlineStr">
        <is>
          <t>Authored semantics, source/focus order, RTL and vertical logical sizing, reflow, focus visibility, and axe pass without invented roles.</t>
        </is>
      </c>
      <c r="E15" s="26" t="inlineStr">
        <is>
          <t>package</t>
        </is>
      </c>
      <c r="F15" s="26" t="inlineStr">
        <is>
          <t>axe</t>
        </is>
      </c>
      <c r="G15" s="27" t="inlineStr">
        <is>
          <t>tests/components/container/behavior.spec.ts</t>
        </is>
      </c>
      <c r="H15" s="26" t="inlineStr">
        <is>
          <t>tested</t>
        </is>
      </c>
      <c r="I15" s="26" t="inlineStr">
        <is>
          <t>no</t>
        </is>
      </c>
      <c r="J15" s="28" t="n">
        <v>46228</v>
      </c>
      <c r="K15" s="27" t="n"/>
      <c r="L15" s="26" t="n">
        <v>1</v>
      </c>
      <c r="M15" s="26">
        <f>IF(OR(AND(I15="yes",H15="verified"),AND(I15="no",OR(H15="tested",H15="verified")),AND(H15="not applicable",K15&lt;&gt;"")),1,0)</f>
        <v/>
      </c>
    </row>
    <row r="16" ht="54" customHeight="1" s="17">
      <c r="A16" s="26" t="inlineStr">
        <is>
          <t>C-08</t>
        </is>
      </c>
      <c r="B16" s="26" t="inlineStr">
        <is>
          <t>Visual</t>
        </is>
      </c>
      <c r="C16" s="26" t="inlineStr">
        <is>
          <t>Container</t>
        </is>
      </c>
      <c r="D16" s="27" t="inlineStr">
        <is>
          <t>Reviewed baselines cover defaults, measures, gutters, dark customization, narrow RTL, and vertical writing.</t>
        </is>
      </c>
      <c r="E16" s="26" t="inlineStr">
        <is>
          <t>package</t>
        </is>
      </c>
      <c r="F16" s="26" t="inlineStr">
        <is>
          <t>visual</t>
        </is>
      </c>
      <c r="G16" s="27" t="inlineStr">
        <is>
          <t>tests/components/container/visual.spec.ts</t>
        </is>
      </c>
      <c r="H16" s="26" t="inlineStr">
        <is>
          <t>verified</t>
        </is>
      </c>
      <c r="I16" s="26" t="inlineStr">
        <is>
          <t>yes</t>
        </is>
      </c>
      <c r="J16" s="28" t="n">
        <v>46228</v>
      </c>
      <c r="K16" s="27" t="inlineStr">
        <is>
          <t>Current Container playground and visual baselines were reviewed during implementation.</t>
        </is>
      </c>
      <c r="L16" s="26" t="n">
        <v>1</v>
      </c>
      <c r="M16" s="26">
        <f>IF(OR(AND(I16="yes",H16="verified"),AND(I16="no",OR(H16="tested",H16="verified")),AND(H16="not applicable",K16&lt;&gt;"")),1,0)</f>
        <v/>
      </c>
    </row>
    <row r="17" ht="54" customHeight="1" s="17">
      <c r="A17" s="26" t="inlineStr">
        <is>
          <t>C-09</t>
        </is>
      </c>
      <c r="B17" s="26" t="inlineStr">
        <is>
          <t>Responsive</t>
        </is>
      </c>
      <c r="C17" s="26" t="inlineStr">
        <is>
          <t>Container</t>
        </is>
      </c>
      <c r="D17" s="27" t="inlineStr">
        <is>
          <t>Physical mobile, 200%/400% zoom, 320/256 CSS-pixel reflow, long content, RTL, and vertical writing remain usable and contained.</t>
        </is>
      </c>
      <c r="E17" s="26" t="inlineStr">
        <is>
          <t>package</t>
        </is>
      </c>
      <c r="F17" s="26" t="inlineStr">
        <is>
          <t>manual</t>
        </is>
      </c>
      <c r="G17" s="27" t="inlineStr">
        <is>
          <t>manual-tests/container.md</t>
        </is>
      </c>
      <c r="H17" s="26" t="inlineStr">
        <is>
          <t>implemented</t>
        </is>
      </c>
      <c r="I17" s="26" t="inlineStr">
        <is>
          <t>yes</t>
        </is>
      </c>
      <c r="J17" s="28" t="n"/>
      <c r="K17" s="27" t="inlineStr">
        <is>
          <t>Automated reflow evidence passes; the human manual run is intentionally pending.</t>
        </is>
      </c>
      <c r="L17" s="26" t="n">
        <v>1</v>
      </c>
      <c r="M17" s="26">
        <f>IF(OR(AND(I17="yes",H17="verified"),AND(I17="no",OR(H17="tested",H17="verified")),AND(H17="not applicable",K17&lt;&gt;"")),1,0)</f>
        <v/>
      </c>
    </row>
    <row r="18" ht="54" customHeight="1" s="17">
      <c r="A18" s="26" t="inlineStr">
        <is>
          <t>C-10</t>
        </is>
      </c>
      <c r="B18" s="26" t="inlineStr">
        <is>
          <t>Theme</t>
        </is>
      </c>
      <c r="C18" s="26" t="inlineStr">
        <is>
          <t>Container</t>
        </is>
      </c>
      <c r="D18" s="27" t="inlineStr">
        <is>
          <t>Light, dark, forced colors, text spacing, and focus-bearing descendants preserve geometry and visibility.</t>
        </is>
      </c>
      <c r="E18" s="26" t="inlineStr">
        <is>
          <t>package</t>
        </is>
      </c>
      <c r="F18" s="26" t="inlineStr">
        <is>
          <t>manual</t>
        </is>
      </c>
      <c r="G18" s="27" t="inlineStr">
        <is>
          <t>manual-tests/container.md; tests/components/container/visual.spec.ts</t>
        </is>
      </c>
      <c r="H18" s="26" t="inlineStr">
        <is>
          <t>implemented</t>
        </is>
      </c>
      <c r="I18" s="26" t="inlineStr">
        <is>
          <t>yes</t>
        </is>
      </c>
      <c r="J18" s="28" t="n"/>
      <c r="K18" s="27" t="inlineStr">
        <is>
          <t>Automated appearance evidence passes; complete human appearance review is pending.</t>
        </is>
      </c>
      <c r="L18" s="26" t="n">
        <v>1</v>
      </c>
      <c r="M18" s="26">
        <f>IF(OR(AND(I18="yes",H18="verified"),AND(I18="no",OR(H18="tested",H18="verified")),AND(H18="not applicable",K18&lt;&gt;"")),1,0)</f>
        <v/>
      </c>
    </row>
    <row r="19" ht="54" customHeight="1" s="17">
      <c r="A19" s="26" t="inlineStr">
        <is>
          <t>C-11</t>
        </is>
      </c>
      <c r="B19" s="26" t="inlineStr">
        <is>
          <t>Semantics</t>
        </is>
      </c>
      <c r="C19" s="26" t="inlineStr">
        <is>
          <t>Container</t>
        </is>
      </c>
      <c r="D19" s="27" t="inlineStr">
        <is>
          <t>Supported semantic hosts, authored attributes, one-root output, slot, measure, and gutter hooks match the public contract.</t>
        </is>
      </c>
      <c r="E19" s="26" t="inlineStr">
        <is>
          <t>package</t>
        </is>
      </c>
      <c r="F19" s="26" t="inlineStr">
        <is>
          <t>browser</t>
        </is>
      </c>
      <c r="G19" s="27" t="inlineStr">
        <is>
          <t>tests/components/container/behavior.spec.ts</t>
        </is>
      </c>
      <c r="H19" s="26" t="inlineStr">
        <is>
          <t>tested</t>
        </is>
      </c>
      <c r="I19" s="26" t="inlineStr">
        <is>
          <t>no</t>
        </is>
      </c>
      <c r="J19" s="28" t="n">
        <v>46228</v>
      </c>
      <c r="K19" s="27" t="n"/>
      <c r="L19" s="26" t="n">
        <v>1</v>
      </c>
      <c r="M19" s="26">
        <f>IF(OR(AND(I19="yes",H19="verified"),AND(I19="no",OR(H19="tested",H19="verified")),AND(H19="not applicable",K19&lt;&gt;"")),1,0)</f>
        <v/>
      </c>
    </row>
    <row r="20" ht="54" customHeight="1" s="17">
      <c r="A20" s="26" t="inlineStr">
        <is>
          <t>C-12</t>
        </is>
      </c>
      <c r="B20" s="26" t="inlineStr">
        <is>
          <t>Manual</t>
        </is>
      </c>
      <c r="C20" s="26" t="inlineStr">
        <is>
          <t>Container</t>
        </is>
      </c>
      <c r="D20" s="27" t="inlineStr">
        <is>
          <t>The component-owned manual protocol passes every Container playground scenario.</t>
        </is>
      </c>
      <c r="E20" s="26" t="inlineStr">
        <is>
          <t>package</t>
        </is>
      </c>
      <c r="F20" s="26" t="inlineStr">
        <is>
          <t>manual</t>
        </is>
      </c>
      <c r="G20" s="27" t="inlineStr">
        <is>
          <t>manual-tests/container.md</t>
        </is>
      </c>
      <c r="H20" s="26" t="inlineStr">
        <is>
          <t>implemented</t>
        </is>
      </c>
      <c r="I20" s="26" t="inlineStr">
        <is>
          <t>yes</t>
        </is>
      </c>
      <c r="J20" s="28" t="n"/>
      <c r="K20" s="27" t="inlineStr">
        <is>
          <t>Protocol exists; the owner deferred the human run.</t>
        </is>
      </c>
      <c r="L20" s="26" t="n">
        <v>1</v>
      </c>
      <c r="M20" s="26">
        <f>IF(OR(AND(I20="yes",H20="verified"),AND(I20="no",OR(H20="tested",H20="verified")),AND(H20="not applicable",K20&lt;&gt;"")),1,0)</f>
        <v/>
      </c>
    </row>
    <row r="21" ht="54" customHeight="1" s="17">
      <c r="A21" s="26" t="inlineStr">
        <is>
          <t>C-13</t>
        </is>
      </c>
      <c r="B21" s="26" t="inlineStr">
        <is>
          <t>Docs</t>
        </is>
      </c>
      <c r="C21" s="26" t="inlineStr">
        <is>
          <t>Container</t>
        </is>
      </c>
      <c r="D21" s="27" t="inlineStr">
        <is>
          <t>Source-backed usage, defaults, geometry, semantics, accessibility, composition, CSS, customization, and API documentation pass checks.</t>
        </is>
      </c>
      <c r="E21" s="26" t="inlineStr">
        <is>
          <t>package</t>
        </is>
      </c>
      <c r="F21" s="26" t="inlineStr">
        <is>
          <t>docs</t>
        </is>
      </c>
      <c r="G21" s="27" t="inlineStr">
        <is>
          <t>../docs/components/container/README.md</t>
        </is>
      </c>
      <c r="H21" s="26" t="inlineStr">
        <is>
          <t>tested</t>
        </is>
      </c>
      <c r="I21" s="26" t="inlineStr">
        <is>
          <t>no</t>
        </is>
      </c>
      <c r="J21" s="28" t="n">
        <v>46228</v>
      </c>
      <c r="K21" s="27" t="n"/>
      <c r="L21" s="26" t="n">
        <v>1</v>
      </c>
      <c r="M21" s="26">
        <f>IF(OR(AND(I21="yes",H21="verified"),AND(I21="no",OR(H21="tested",H21="verified")),AND(H21="not applicable",K21&lt;&gt;"")),1,0)</f>
        <v/>
      </c>
    </row>
    <row r="22" ht="54" customHeight="1" s="17">
      <c r="A22" s="26" t="inlineStr">
        <is>
          <t>C-14</t>
        </is>
      </c>
      <c r="B22" s="26" t="inlineStr">
        <is>
          <t>Changelog</t>
        </is>
      </c>
      <c r="C22" s="26" t="inlineStr">
        <is>
          <t>Container</t>
        </is>
      </c>
      <c r="D22" s="27" t="inlineStr">
        <is>
          <t>Container owns a public component changelog and the package changelog records the component addition.</t>
        </is>
      </c>
      <c r="E22" s="26" t="inlineStr">
        <is>
          <t>package</t>
        </is>
      </c>
      <c r="F22" s="26" t="inlineStr">
        <is>
          <t>docs</t>
        </is>
      </c>
      <c r="G22" s="27" t="inlineStr">
        <is>
          <t>../docs/components/container/CHANGELOG.md; ../CHANGELOG.md</t>
        </is>
      </c>
      <c r="H22" s="26" t="inlineStr">
        <is>
          <t>tested</t>
        </is>
      </c>
      <c r="I22" s="26" t="inlineStr">
        <is>
          <t>no</t>
        </is>
      </c>
      <c r="J22" s="28" t="n">
        <v>46228</v>
      </c>
      <c r="K22" s="27" t="n"/>
      <c r="L22" s="26" t="n">
        <v>1</v>
      </c>
      <c r="M22" s="26">
        <f>IF(OR(AND(I22="yes",H22="verified"),AND(I22="no",OR(H22="tested",H22="verified")),AND(H22="not applicable",K22&lt;&gt;"")),1,0)</f>
        <v/>
      </c>
    </row>
    <row r="23" ht="54" customHeight="1" s="17">
      <c r="A23" s="26" t="inlineStr">
        <is>
          <t>C-15</t>
        </is>
      </c>
      <c r="B23" s="26" t="inlineStr">
        <is>
          <t>Consumer</t>
        </is>
      </c>
      <c r="C23" s="26" t="inlineStr">
        <is>
          <t>Container</t>
        </is>
      </c>
      <c r="D23" s="27" t="inlineStr">
        <is>
          <t>The packed Consumer proves the public Container subpath as a realistic page boundary containing Stack and Grid with responsive gutters.</t>
        </is>
      </c>
      <c r="E23" s="26" t="inlineStr">
        <is>
          <t>consumer</t>
        </is>
      </c>
      <c r="F23" s="26" t="inlineStr">
        <is>
          <t>consumer</t>
        </is>
      </c>
      <c r="G23" s="27" t="inlineStr">
        <is>
          <t>../apps/consumer/src/App.tsx; ../apps/consumer/tests/consumer.spec.ts</t>
        </is>
      </c>
      <c r="H23" s="26" t="inlineStr">
        <is>
          <t>tested</t>
        </is>
      </c>
      <c r="I23" s="26" t="inlineStr">
        <is>
          <t>no</t>
        </is>
      </c>
      <c r="J23" s="28" t="n">
        <v>46228</v>
      </c>
      <c r="K23" s="27" t="n"/>
      <c r="L23" s="26" t="n">
        <v>1</v>
      </c>
      <c r="M23" s="26">
        <f>IF(OR(AND(I23="yes",H23="verified"),AND(I23="no",OR(H23="tested",H23="verified")),AND(H23="not applicable",K23&lt;&gt;"")),1,0)</f>
        <v/>
      </c>
    </row>
    <row r="24" ht="54" customHeight="1" s="17">
      <c r="A24" s="26" t="inlineStr">
        <is>
          <t>C-16</t>
        </is>
      </c>
      <c r="B24" s="26" t="inlineStr">
        <is>
          <t>Playground</t>
        </is>
      </c>
      <c r="C24" s="26" t="inlineStr">
        <is>
          <t>Container</t>
        </is>
      </c>
      <c r="D24" s="27" t="inlineStr">
        <is>
          <t>Shared main, header, scenario navigation, route-content, and footer boundaries use Container while App Bar and component-specific constraints remain excluded.</t>
        </is>
      </c>
      <c r="E24" s="26" t="inlineStr">
        <is>
          <t>package</t>
        </is>
      </c>
      <c r="F24" s="26" t="inlineStr">
        <is>
          <t>package</t>
        </is>
      </c>
      <c r="G24" s="27" t="inlineStr">
        <is>
          <t>../playground/src/shell/PlaygroundShell.tsx; ../scripts/verify-playground-container.mjs</t>
        </is>
      </c>
      <c r="H24" s="26" t="inlineStr">
        <is>
          <t>tested</t>
        </is>
      </c>
      <c r="I24" s="26" t="inlineStr">
        <is>
          <t>no</t>
        </is>
      </c>
      <c r="J24" s="28" t="n">
        <v>46228</v>
      </c>
      <c r="K24" s="27" t="n"/>
      <c r="L24" s="26" t="n">
        <v>1</v>
      </c>
      <c r="M24" s="26">
        <f>IF(OR(AND(I24="yes",H24="verified"),AND(I24="no",OR(H24="tested",H24="verified")),AND(H24="not applicable",K24&lt;&gt;"")),1,0)</f>
        <v/>
      </c>
    </row>
    <row r="25" ht="54" customHeight="1" s="17">
      <c r="A25" s="26" t="inlineStr">
        <is>
          <t>C-17</t>
        </is>
      </c>
      <c r="B25" s="26" t="inlineStr">
        <is>
          <t>Package</t>
        </is>
      </c>
      <c r="C25" s="26" t="inlineStr">
        <is>
          <t>Container</t>
        </is>
      </c>
      <c r="D25" s="27" t="inlineStr">
        <is>
          <t>Build, SSR, exports, CSS, tarball, React 18/19, packed Consumer, browser matrix, and Container-adoption checks pass.</t>
        </is>
      </c>
      <c r="E25" s="26" t="inlineStr">
        <is>
          <t>package</t>
        </is>
      </c>
      <c r="F25" s="26" t="inlineStr">
        <is>
          <t>package</t>
        </is>
      </c>
      <c r="G25" s="27" t="inlineStr">
        <is>
          <t>../test/package; ../scripts/verify-package.mjs; ../scripts/verify-consumers.mjs; ../scripts/verify-playground-container.mjs</t>
        </is>
      </c>
      <c r="H25" s="26" t="inlineStr">
        <is>
          <t>implemented</t>
        </is>
      </c>
      <c r="I25" s="26" t="inlineStr">
        <is>
          <t>yes</t>
        </is>
      </c>
      <c r="J25" s="28" t="n"/>
      <c r="K25" s="27" t="inlineStr">
        <is>
          <t>Automated package gates pass; complete status waits for the component-owned human manual run.</t>
        </is>
      </c>
      <c r="L25" s="26" t="n">
        <v>1</v>
      </c>
      <c r="M25" s="26">
        <f>IF(OR(AND(I25="yes",H25="verified"),AND(I25="no",OR(H25="tested",H25="verified")),AND(H25="not applicable",K25&lt;&gt;"")),1,0)</f>
        <v/>
      </c>
    </row>
  </sheetData>
  <mergeCells count="2">
    <mergeCell ref="A2:M2"/>
    <mergeCell ref="A1:M1"/>
  </mergeCells>
  <conditionalFormatting sqref="H9:H25">
    <cfRule type="containsText" rank="0" priority="2" equalAverage="0" operator="containsText" aboveAverage="0" dxfId="5" text="not started" percent="0" bottom="0">
      <formula>NOT(ISERROR(SEARCH("not started",H9)))</formula>
    </cfRule>
    <cfRule type="containsText" rank="0" priority="3" equalAverage="0" operator="containsText" aboveAverage="0" dxfId="6" text="partial" percent="0" bottom="0">
      <formula>NOT(ISERROR(SEARCH("partial",H9)))</formula>
    </cfRule>
    <cfRule type="containsText" rank="0" priority="4" equalAverage="0" operator="containsText" aboveAverage="0" dxfId="7" text="implemented" percent="0" bottom="0">
      <formula>NOT(ISERROR(SEARCH("implemented",H9)))</formula>
    </cfRule>
    <cfRule type="containsText" rank="0" priority="5" equalAverage="0" operator="containsText" aboveAverage="0" dxfId="8" text="tested" percent="0" bottom="0">
      <formula>NOT(ISERROR(SEARCH("tested",H9)))</formula>
    </cfRule>
    <cfRule type="containsText" rank="0" priority="6" equalAverage="0" operator="containsText" aboveAverage="0" dxfId="3" text="verified" percent="0" bottom="0">
      <formula>NOT(ISERROR(SEARCH("verified",H9)))</formula>
    </cfRule>
    <cfRule type="containsText" rank="0" priority="7" equalAverage="0" operator="containsText" aboveAverage="0" dxfId="9" text="blocked" percent="0" bottom="0">
      <formula>NOT(ISERROR(SEARCH("blocked",H9)))</formula>
    </cfRule>
    <cfRule type="containsText" rank="0" priority="8" equalAverage="0" operator="containsText" aboveAverage="0" dxfId="5" text="not applicable" percent="0" bottom="0">
      <formula>NOT(ISERROR(SEARCH("not applicable",H9)))</formula>
    </cfRule>
  </conditionalFormatting>
  <dataValidations count="2">
    <dataValidation sqref="H9:H25" showDropDown="0" showInputMessage="0" showErrorMessage="0" allowBlank="0" type="list" errorStyle="stop" operator="between">
      <formula1>"not started,partial,implemented,tested,verified,blocked,not applicable"</formula1>
      <formula2>0</formula2>
    </dataValidation>
    <dataValidation sqref="I9:I25" showDropDown="0" showInputMessage="0" showErrorMessage="0" allowBlank="0" type="list" errorStyle="stop" operator="between">
      <formula1>"yes,no"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30.xml><?xml version="1.0" encoding="utf-8"?>
<worksheet xmlns="http://schemas.openxmlformats.org/spreadsheetml/2006/main">
  <sheetPr filterMode="0">
    <outlinePr summaryBelow="1" summaryRight="1"/>
    <pageSetUpPr fitToPage="0"/>
  </sheetPr>
  <dimension ref="A1:M2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.71" customWidth="1" style="23" min="1" max="1"/>
    <col width="15.71" customWidth="1" style="23" min="2" max="2"/>
    <col width="18.71" customWidth="1" style="23" min="3" max="3"/>
    <col width="58.71" customWidth="1" style="23" min="4" max="4"/>
    <col width="14.71" customWidth="1" style="23" min="5" max="6"/>
    <col width="50.71" customWidth="1" style="23" min="7" max="7"/>
    <col width="17.71" customWidth="1" style="23" min="8" max="8"/>
    <col width="14.71" customWidth="1" style="23" min="9" max="9"/>
    <col width="14.71" customWidth="1" style="25" min="10" max="10"/>
    <col width="42.71" customWidth="1" style="23" min="11" max="11"/>
    <col width="10.71" customWidth="1" style="23" min="12" max="13"/>
  </cols>
  <sheetData>
    <row r="1" ht="37.5" customHeight="1" s="17">
      <c r="A1" s="18" t="inlineStr">
        <is>
          <t>Surface Evidence</t>
        </is>
      </c>
    </row>
    <row r="2" ht="27.75" customHeight="1" s="17">
      <c r="A2" s="19" t="inlineStr">
        <is>
          <t>Assertion-level package, browser, human-review, documentation, Consumer, and playground-ownership evidence.</t>
        </is>
      </c>
    </row>
    <row r="4" ht="17.25" customHeight="1" s="17">
      <c r="A4" s="20" t="inlineStr">
        <is>
          <t>Requirements</t>
        </is>
      </c>
      <c r="B4" s="21">
        <f>COUNTA(A9:A25)</f>
        <v/>
      </c>
      <c r="D4" s="20" t="inlineStr">
        <is>
          <t>Resolved</t>
        </is>
      </c>
      <c r="E4" s="21">
        <f>SUM(M9:M25)</f>
        <v/>
      </c>
      <c r="G4" s="20" t="inlineStr">
        <is>
          <t>Completion</t>
        </is>
      </c>
      <c r="H4" s="22">
        <f>IF(B4=0,0,E4/B4)</f>
        <v/>
      </c>
      <c r="J4" s="20" t="inlineStr">
        <is>
          <t>Package gate</t>
        </is>
      </c>
      <c r="K4" s="21">
        <f>IF(COUNTIFS(E9:E25,"package",M9:M25,0)&gt;0,"open","complete")</f>
        <v/>
      </c>
    </row>
    <row r="5" ht="17.25" customHeight="1" s="17">
      <c r="A5" s="20" t="inlineStr">
        <is>
          <t>Manual review</t>
        </is>
      </c>
      <c r="B5" s="21">
        <f>IF(COUNTIFS(I9:I25,"yes",M9:M25,0)&gt;0,"open","complete")</f>
        <v/>
      </c>
      <c r="D5" s="20" t="inlineStr">
        <is>
          <t>Consumer gate</t>
        </is>
      </c>
      <c r="E5" s="21">
        <f>IF(COUNTIFS(E9:E25,"consumer",M9:M25,0)&gt;0,"open","complete")</f>
        <v/>
      </c>
    </row>
    <row r="8" ht="15" customHeight="1" s="17">
      <c r="A8" s="23" t="inlineStr">
        <is>
          <t>ID</t>
        </is>
      </c>
      <c r="B8" s="23" t="inlineStr">
        <is>
          <t>Area</t>
        </is>
      </c>
      <c r="C8" s="23" t="inlineStr">
        <is>
          <t>Part</t>
        </is>
      </c>
      <c r="D8" s="23" t="inlineStr">
        <is>
          <t>Requirement</t>
        </is>
      </c>
      <c r="E8" s="23" t="inlineStr">
        <is>
          <t>Gate</t>
        </is>
      </c>
      <c r="F8" s="23" t="inlineStr">
        <is>
          <t>Evidence type</t>
        </is>
      </c>
      <c r="G8" s="23" t="inlineStr">
        <is>
          <t>Evidence / link</t>
        </is>
      </c>
      <c r="H8" s="23" t="inlineStr">
        <is>
          <t>Status</t>
        </is>
      </c>
      <c r="I8" s="23" t="inlineStr">
        <is>
          <t>Human review?</t>
        </is>
      </c>
      <c r="J8" s="25" t="inlineStr">
        <is>
          <t>Last verified</t>
        </is>
      </c>
      <c r="K8" s="23" t="inlineStr">
        <is>
          <t>Blocker / N/A reason</t>
        </is>
      </c>
      <c r="L8" s="23" t="inlineStr">
        <is>
          <t>Weight</t>
        </is>
      </c>
      <c r="M8" s="23" t="inlineStr">
        <is>
          <t>Resolved</t>
        </is>
      </c>
    </row>
    <row r="9" ht="54" customHeight="1" s="17">
      <c r="A9" s="26" t="inlineStr">
        <is>
          <t>S-01</t>
        </is>
      </c>
      <c r="B9" s="26" t="inlineStr">
        <is>
          <t>Implementation</t>
        </is>
      </c>
      <c r="C9" s="26" t="inlineStr">
        <is>
          <t>Surface</t>
        </is>
      </c>
      <c r="D9" s="27" t="inlineStr">
        <is>
          <t>Surface renders one approved semantic host with stable hooks, forwarded ref, authored children, and native attributes.</t>
        </is>
      </c>
      <c r="E9" s="26" t="inlineStr">
        <is>
          <t>package</t>
        </is>
      </c>
      <c r="F9" s="26" t="inlineStr">
        <is>
          <t>source</t>
        </is>
      </c>
      <c r="G9" s="27" t="inlineStr">
        <is>
          <t>../src/components/surface</t>
        </is>
      </c>
      <c r="H9" s="26" t="inlineStr">
        <is>
          <t>tested</t>
        </is>
      </c>
      <c r="I9" s="26" t="inlineStr">
        <is>
          <t>no</t>
        </is>
      </c>
      <c r="J9" s="28" t="n">
        <v>46228</v>
      </c>
      <c r="K9" s="27" t="n"/>
      <c r="L9" s="26" t="n">
        <v>1</v>
      </c>
      <c r="M9" s="26">
        <f>IF(OR(AND(I9="yes",H9="verified"),AND(I9="no",OR(H9="tested",H9="verified")),AND(H9="not applicable",K9&lt;&gt;"")),1,0)</f>
        <v/>
      </c>
    </row>
    <row r="10" ht="54" customHeight="1" s="17">
      <c r="A10" s="26" t="inlineStr">
        <is>
          <t>S-02</t>
        </is>
      </c>
      <c r="B10" s="26" t="inlineStr">
        <is>
          <t>Exports</t>
        </is>
      </c>
      <c r="C10" s="26" t="inlineStr">
        <is>
          <t>Surface</t>
        </is>
      </c>
      <c r="D10" s="27" t="inlineStr">
        <is>
          <t>Root exports and the public Surface subpath expose the runtime component and every public Surface type.</t>
        </is>
      </c>
      <c r="E10" s="26" t="inlineStr">
        <is>
          <t>package</t>
        </is>
      </c>
      <c r="F10" s="26" t="inlineStr">
        <is>
          <t>package</t>
        </is>
      </c>
      <c r="G10" s="27" t="inlineStr">
        <is>
          <t>../test/package/package.test.mjs; ../test/package/ssr.test.mjs</t>
        </is>
      </c>
      <c r="H10" s="26" t="inlineStr">
        <is>
          <t>tested</t>
        </is>
      </c>
      <c r="I10" s="26" t="inlineStr">
        <is>
          <t>no</t>
        </is>
      </c>
      <c r="J10" s="28" t="n">
        <v>46228</v>
      </c>
      <c r="K10" s="27" t="n"/>
      <c r="L10" s="26" t="n">
        <v>1</v>
      </c>
      <c r="M10" s="26">
        <f>IF(OR(AND(I10="yes",H10="verified"),AND(I10="no",OR(H10="tested",H10="verified")),AND(H10="not applicable",K10&lt;&gt;"")),1,0)</f>
        <v/>
      </c>
    </row>
    <row r="11" ht="54" customHeight="1" s="17">
      <c r="A11" s="26" t="inlineStr">
        <is>
          <t>S-03</t>
        </is>
      </c>
      <c r="B11" s="26" t="inlineStr">
        <is>
          <t>Types</t>
        </is>
      </c>
      <c r="C11" s="26" t="inlineStr">
        <is>
          <t>Surface</t>
        </is>
      </c>
      <c r="D11" s="27" t="inlineStr">
        <is>
          <t>Closed semantic hosts, levels, elevations, radii, insets, native props, refs, and rejected composition props type-check.</t>
        </is>
      </c>
      <c r="E11" s="26" t="inlineStr">
        <is>
          <t>package</t>
        </is>
      </c>
      <c r="F11" s="26" t="inlineStr">
        <is>
          <t>types</t>
        </is>
      </c>
      <c r="G11" s="27" t="inlineStr">
        <is>
          <t>../test/types/components/surface.test.ts</t>
        </is>
      </c>
      <c r="H11" s="26" t="inlineStr">
        <is>
          <t>tested</t>
        </is>
      </c>
      <c r="I11" s="26" t="inlineStr">
        <is>
          <t>no</t>
        </is>
      </c>
      <c r="J11" s="28" t="n">
        <v>46228</v>
      </c>
      <c r="K11" s="27" t="n"/>
      <c r="L11" s="26" t="n">
        <v>1</v>
      </c>
      <c r="M11" s="26">
        <f>IF(OR(AND(I11="yes",H11="verified"),AND(I11="no",OR(H11="tested",H11="verified")),AND(H11="not applicable",K11&lt;&gt;"")),1,0)</f>
        <v/>
      </c>
    </row>
    <row r="12" ht="54" customHeight="1" s="17">
      <c r="A12" s="26" t="inlineStr">
        <is>
          <t>S-04</t>
        </is>
      </c>
      <c r="B12" s="26" t="inlineStr">
        <is>
          <t>CSS</t>
        </is>
      </c>
      <c r="C12" s="26" t="inlineStr">
        <is>
          <t>Surface</t>
        </is>
      </c>
      <c r="D12" s="27" t="inlineStr">
        <is>
          <t>Static CSS ships semantic levels, independent border, elevation, radius, inset, forced-color handling, and public variable overrides.</t>
        </is>
      </c>
      <c r="E12" s="26" t="inlineStr">
        <is>
          <t>package</t>
        </is>
      </c>
      <c r="F12" s="26" t="inlineStr">
        <is>
          <t>css</t>
        </is>
      </c>
      <c r="G12" s="27" t="inlineStr">
        <is>
          <t>../src/components/surface/surface.css</t>
        </is>
      </c>
      <c r="H12" s="26" t="inlineStr">
        <is>
          <t>tested</t>
        </is>
      </c>
      <c r="I12" s="26" t="inlineStr">
        <is>
          <t>no</t>
        </is>
      </c>
      <c r="J12" s="28" t="n">
        <v>46228</v>
      </c>
      <c r="K12" s="27" t="n"/>
      <c r="L12" s="26" t="n">
        <v>1</v>
      </c>
      <c r="M12" s="26">
        <f>IF(OR(AND(I12="yes",H12="verified"),AND(I12="no",OR(H12="tested",H12="verified")),AND(H12="not applicable",K12&lt;&gt;"")),1,0)</f>
        <v/>
      </c>
    </row>
    <row r="13" ht="54" customHeight="1" s="17">
      <c r="A13" s="26" t="inlineStr">
        <is>
          <t>S-05</t>
        </is>
      </c>
      <c r="B13" s="26" t="inlineStr">
        <is>
          <t>Unit</t>
        </is>
      </c>
      <c r="C13" s="26" t="inlineStr">
        <is>
          <t>Surface</t>
        </is>
      </c>
      <c r="D13" s="27" t="inlineStr">
        <is>
          <t>Defaults, every recipe, semantic hosts, pass-through, hooks, events, refs, and exclusions pass focused tests.</t>
        </is>
      </c>
      <c r="E13" s="26" t="inlineStr">
        <is>
          <t>package</t>
        </is>
      </c>
      <c r="F13" s="26" t="inlineStr">
        <is>
          <t>component</t>
        </is>
      </c>
      <c r="G13" s="27" t="inlineStr">
        <is>
          <t>../test/components/surface/surface.test.tsx</t>
        </is>
      </c>
      <c r="H13" s="26" t="inlineStr">
        <is>
          <t>tested</t>
        </is>
      </c>
      <c r="I13" s="26" t="inlineStr">
        <is>
          <t>no</t>
        </is>
      </c>
      <c r="J13" s="28" t="n">
        <v>46228</v>
      </c>
      <c r="K13" s="27" t="n"/>
      <c r="L13" s="26" t="n">
        <v>1</v>
      </c>
      <c r="M13" s="26">
        <f>IF(OR(AND(I13="yes",H13="verified"),AND(I13="no",OR(H13="tested",H13="verified")),AND(H13="not applicable",K13&lt;&gt;"")),1,0)</f>
        <v/>
      </c>
    </row>
    <row r="14" ht="54" customHeight="1" s="17">
      <c r="A14" s="26" t="inlineStr">
        <is>
          <t>S-06</t>
        </is>
      </c>
      <c r="B14" s="26" t="inlineStr">
        <is>
          <t>Browser</t>
        </is>
      </c>
      <c r="C14" s="26" t="inlineStr">
        <is>
          <t>Surface</t>
        </is>
      </c>
      <c r="D14" s="27" t="inlineStr">
        <is>
          <t>Real-browser levels, borders, elevations, radii, insets, nesting, semantic output, refs, and exact customization pass.</t>
        </is>
      </c>
      <c r="E14" s="26" t="inlineStr">
        <is>
          <t>package</t>
        </is>
      </c>
      <c r="F14" s="26" t="inlineStr">
        <is>
          <t>browser</t>
        </is>
      </c>
      <c r="G14" s="27" t="inlineStr">
        <is>
          <t>tests/components/surface/behavior.spec.ts</t>
        </is>
      </c>
      <c r="H14" s="26" t="inlineStr">
        <is>
          <t>tested</t>
        </is>
      </c>
      <c r="I14" s="26" t="inlineStr">
        <is>
          <t>no</t>
        </is>
      </c>
      <c r="J14" s="28" t="n">
        <v>46228</v>
      </c>
      <c r="K14" s="27" t="n"/>
      <c r="L14" s="26" t="n">
        <v>1</v>
      </c>
      <c r="M14" s="26">
        <f>IF(OR(AND(I14="yes",H14="verified"),AND(I14="no",OR(H14="tested",H14="verified")),AND(H14="not applicable",K14&lt;&gt;"")),1,0)</f>
        <v/>
      </c>
    </row>
    <row r="15" ht="54" customHeight="1" s="17">
      <c r="A15" s="26" t="inlineStr">
        <is>
          <t>S-07</t>
        </is>
      </c>
      <c r="B15" s="26" t="inlineStr">
        <is>
          <t>Accessibility</t>
        </is>
      </c>
      <c r="C15" s="26" t="inlineStr">
        <is>
          <t>Surface</t>
        </is>
      </c>
      <c r="D15" s="27" t="inlineStr">
        <is>
          <t>Authored semantics, focus-bearing descendants, RTL/reflow containment, and axe pass without invented roles or interaction.</t>
        </is>
      </c>
      <c r="E15" s="26" t="inlineStr">
        <is>
          <t>package</t>
        </is>
      </c>
      <c r="F15" s="26" t="inlineStr">
        <is>
          <t>axe</t>
        </is>
      </c>
      <c r="G15" s="27" t="inlineStr">
        <is>
          <t>tests/components/surface/behavior.spec.ts</t>
        </is>
      </c>
      <c r="H15" s="26" t="inlineStr">
        <is>
          <t>tested</t>
        </is>
      </c>
      <c r="I15" s="26" t="inlineStr">
        <is>
          <t>no</t>
        </is>
      </c>
      <c r="J15" s="28" t="n">
        <v>46228</v>
      </c>
      <c r="K15" s="27" t="n"/>
      <c r="L15" s="26" t="n">
        <v>1</v>
      </c>
      <c r="M15" s="26">
        <f>IF(OR(AND(I15="yes",H15="verified"),AND(I15="no",OR(H15="tested",H15="verified")),AND(H15="not applicable",K15&lt;&gt;"")),1,0)</f>
        <v/>
      </c>
    </row>
    <row r="16" ht="54" customHeight="1" s="17">
      <c r="A16" s="26" t="inlineStr">
        <is>
          <t>S-08</t>
        </is>
      </c>
      <c r="B16" s="26" t="inlineStr">
        <is>
          <t>Visual</t>
        </is>
      </c>
      <c r="C16" s="26" t="inlineStr">
        <is>
          <t>Surface</t>
        </is>
      </c>
      <c r="D16" s="27" t="inlineStr">
        <is>
          <t>Reviewed baselines cover defaults, levels, borders, elevation, inset, nesting, dark customization, mobile RTL, and forced colors.</t>
        </is>
      </c>
      <c r="E16" s="26" t="inlineStr">
        <is>
          <t>package</t>
        </is>
      </c>
      <c r="F16" s="26" t="inlineStr">
        <is>
          <t>visual</t>
        </is>
      </c>
      <c r="G16" s="27" t="inlineStr">
        <is>
          <t>tests/components/surface/visual.spec.ts</t>
        </is>
      </c>
      <c r="H16" s="26" t="inlineStr">
        <is>
          <t>verified</t>
        </is>
      </c>
      <c r="I16" s="26" t="inlineStr">
        <is>
          <t>yes</t>
        </is>
      </c>
      <c r="J16" s="28" t="n">
        <v>46228</v>
      </c>
      <c r="K16" s="27" t="inlineStr">
        <is>
          <t>Current Surface playground and visual baselines were reviewed during implementation.</t>
        </is>
      </c>
      <c r="L16" s="26" t="n">
        <v>1</v>
      </c>
      <c r="M16" s="26">
        <f>IF(OR(AND(I16="yes",H16="verified"),AND(I16="no",OR(H16="tested",H16="verified")),AND(H16="not applicable",K16&lt;&gt;"")),1,0)</f>
        <v/>
      </c>
    </row>
    <row r="17" ht="54" customHeight="1" s="17">
      <c r="A17" s="26" t="inlineStr">
        <is>
          <t>S-09</t>
        </is>
      </c>
      <c r="B17" s="26" t="inlineStr">
        <is>
          <t>Responsive</t>
        </is>
      </c>
      <c r="C17" s="26" t="inlineStr">
        <is>
          <t>Surface</t>
        </is>
      </c>
      <c r="D17" s="27" t="inlineStr">
        <is>
          <t>Physical mobile, 200%/400% zoom, constrained content, long copy, nesting, and RTL remain readable and contained.</t>
        </is>
      </c>
      <c r="E17" s="26" t="inlineStr">
        <is>
          <t>package</t>
        </is>
      </c>
      <c r="F17" s="26" t="inlineStr">
        <is>
          <t>manual</t>
        </is>
      </c>
      <c r="G17" s="27" t="inlineStr">
        <is>
          <t>manual-tests/surface.md</t>
        </is>
      </c>
      <c r="H17" s="26" t="inlineStr">
        <is>
          <t>implemented</t>
        </is>
      </c>
      <c r="I17" s="26" t="inlineStr">
        <is>
          <t>yes</t>
        </is>
      </c>
      <c r="J17" s="28" t="n"/>
      <c r="K17" s="27" t="inlineStr">
        <is>
          <t>Automated reflow evidence passes; the human manual run is intentionally pending.</t>
        </is>
      </c>
      <c r="L17" s="26" t="n">
        <v>1</v>
      </c>
      <c r="M17" s="26">
        <f>IF(OR(AND(I17="yes",H17="verified"),AND(I17="no",OR(H17="tested",H17="verified")),AND(H17="not applicable",K17&lt;&gt;"")),1,0)</f>
        <v/>
      </c>
    </row>
    <row r="18" ht="54" customHeight="1" s="17">
      <c r="A18" s="26" t="inlineStr">
        <is>
          <t>S-10</t>
        </is>
      </c>
      <c r="B18" s="26" t="inlineStr">
        <is>
          <t>Theme</t>
        </is>
      </c>
      <c r="C18" s="26" t="inlineStr">
        <is>
          <t>Surface</t>
        </is>
      </c>
      <c r="D18" s="27" t="inlineStr">
        <is>
          <t>Light, dark, forced colors, text spacing, and focus-bearing descendants preserve boundaries, hierarchy, and contrast.</t>
        </is>
      </c>
      <c r="E18" s="26" t="inlineStr">
        <is>
          <t>package</t>
        </is>
      </c>
      <c r="F18" s="26" t="inlineStr">
        <is>
          <t>manual</t>
        </is>
      </c>
      <c r="G18" s="27" t="inlineStr">
        <is>
          <t>manual-tests/surface.md; tests/components/surface/visual.spec.ts</t>
        </is>
      </c>
      <c r="H18" s="26" t="inlineStr">
        <is>
          <t>implemented</t>
        </is>
      </c>
      <c r="I18" s="26" t="inlineStr">
        <is>
          <t>yes</t>
        </is>
      </c>
      <c r="J18" s="28" t="n"/>
      <c r="K18" s="27" t="inlineStr">
        <is>
          <t>Automated appearance evidence passes; complete human appearance review is pending.</t>
        </is>
      </c>
      <c r="L18" s="26" t="n">
        <v>1</v>
      </c>
      <c r="M18" s="26">
        <f>IF(OR(AND(I18="yes",H18="verified"),AND(I18="no",OR(H18="tested",H18="verified")),AND(H18="not applicable",K18&lt;&gt;"")),1,0)</f>
        <v/>
      </c>
    </row>
    <row r="19" ht="54" customHeight="1" s="17">
      <c r="A19" s="26" t="inlineStr">
        <is>
          <t>S-11</t>
        </is>
      </c>
      <c r="B19" s="26" t="inlineStr">
        <is>
          <t>Semantics</t>
        </is>
      </c>
      <c r="C19" s="26" t="inlineStr">
        <is>
          <t>Surface</t>
        </is>
      </c>
      <c r="D19" s="27" t="inlineStr">
        <is>
          <t>Supported semantic hosts, authored attributes, one-root output, slot, and recipe hooks match the public contract.</t>
        </is>
      </c>
      <c r="E19" s="26" t="inlineStr">
        <is>
          <t>package</t>
        </is>
      </c>
      <c r="F19" s="26" t="inlineStr">
        <is>
          <t>browser</t>
        </is>
      </c>
      <c r="G19" s="27" t="inlineStr">
        <is>
          <t>tests/components/surface/behavior.spec.ts</t>
        </is>
      </c>
      <c r="H19" s="26" t="inlineStr">
        <is>
          <t>tested</t>
        </is>
      </c>
      <c r="I19" s="26" t="inlineStr">
        <is>
          <t>no</t>
        </is>
      </c>
      <c r="J19" s="28" t="n">
        <v>46228</v>
      </c>
      <c r="K19" s="27" t="n"/>
      <c r="L19" s="26" t="n">
        <v>1</v>
      </c>
      <c r="M19" s="26">
        <f>IF(OR(AND(I19="yes",H19="verified"),AND(I19="no",OR(H19="tested",H19="verified")),AND(H19="not applicable",K19&lt;&gt;"")),1,0)</f>
        <v/>
      </c>
    </row>
    <row r="20" ht="54" customHeight="1" s="17">
      <c r="A20" s="26" t="inlineStr">
        <is>
          <t>S-12</t>
        </is>
      </c>
      <c r="B20" s="26" t="inlineStr">
        <is>
          <t>Manual</t>
        </is>
      </c>
      <c r="C20" s="26" t="inlineStr">
        <is>
          <t>Surface</t>
        </is>
      </c>
      <c r="D20" s="27" t="inlineStr">
        <is>
          <t>The component-owned manual protocol passes every Surface playground scenario.</t>
        </is>
      </c>
      <c r="E20" s="26" t="inlineStr">
        <is>
          <t>package</t>
        </is>
      </c>
      <c r="F20" s="26" t="inlineStr">
        <is>
          <t>manual</t>
        </is>
      </c>
      <c r="G20" s="27" t="inlineStr">
        <is>
          <t>manual-tests/surface.md</t>
        </is>
      </c>
      <c r="H20" s="26" t="inlineStr">
        <is>
          <t>implemented</t>
        </is>
      </c>
      <c r="I20" s="26" t="inlineStr">
        <is>
          <t>yes</t>
        </is>
      </c>
      <c r="J20" s="28" t="n"/>
      <c r="K20" s="27" t="inlineStr">
        <is>
          <t>Protocol exists; the owner deferred the human run.</t>
        </is>
      </c>
      <c r="L20" s="26" t="n">
        <v>1</v>
      </c>
      <c r="M20" s="26">
        <f>IF(OR(AND(I20="yes",H20="verified"),AND(I20="no",OR(H20="tested",H20="verified")),AND(H20="not applicable",K20&lt;&gt;"")),1,0)</f>
        <v/>
      </c>
    </row>
    <row r="21" ht="54" customHeight="1" s="17">
      <c r="A21" s="26" t="inlineStr">
        <is>
          <t>S-13</t>
        </is>
      </c>
      <c r="B21" s="26" t="inlineStr">
        <is>
          <t>Docs</t>
        </is>
      </c>
      <c r="C21" s="26" t="inlineStr">
        <is>
          <t>Surface</t>
        </is>
      </c>
      <c r="D21" s="27" t="inlineStr">
        <is>
          <t>Source-backed usage, defaults, recipes, semantics, accessibility, composition, CSS, customization, and API documentation pass checks.</t>
        </is>
      </c>
      <c r="E21" s="26" t="inlineStr">
        <is>
          <t>package</t>
        </is>
      </c>
      <c r="F21" s="26" t="inlineStr">
        <is>
          <t>docs</t>
        </is>
      </c>
      <c r="G21" s="27" t="inlineStr">
        <is>
          <t>../docs/components/surface/README.md</t>
        </is>
      </c>
      <c r="H21" s="26" t="inlineStr">
        <is>
          <t>tested</t>
        </is>
      </c>
      <c r="I21" s="26" t="inlineStr">
        <is>
          <t>no</t>
        </is>
      </c>
      <c r="J21" s="28" t="n">
        <v>46228</v>
      </c>
      <c r="K21" s="27" t="n"/>
      <c r="L21" s="26" t="n">
        <v>1</v>
      </c>
      <c r="M21" s="26">
        <f>IF(OR(AND(I21="yes",H21="verified"),AND(I21="no",OR(H21="tested",H21="verified")),AND(H21="not applicable",K21&lt;&gt;"")),1,0)</f>
        <v/>
      </c>
    </row>
    <row r="22" ht="54" customHeight="1" s="17">
      <c r="A22" s="26" t="inlineStr">
        <is>
          <t>S-14</t>
        </is>
      </c>
      <c r="B22" s="26" t="inlineStr">
        <is>
          <t>Changelog</t>
        </is>
      </c>
      <c r="C22" s="26" t="inlineStr">
        <is>
          <t>Surface</t>
        </is>
      </c>
      <c r="D22" s="27" t="inlineStr">
        <is>
          <t>Surface owns a public component changelog and the package changelog records the component addition.</t>
        </is>
      </c>
      <c r="E22" s="26" t="inlineStr">
        <is>
          <t>package</t>
        </is>
      </c>
      <c r="F22" s="26" t="inlineStr">
        <is>
          <t>docs</t>
        </is>
      </c>
      <c r="G22" s="27" t="inlineStr">
        <is>
          <t>../docs/components/surface/CHANGELOG.md; ../CHANGELOG.md</t>
        </is>
      </c>
      <c r="H22" s="26" t="inlineStr">
        <is>
          <t>tested</t>
        </is>
      </c>
      <c r="I22" s="26" t="inlineStr">
        <is>
          <t>no</t>
        </is>
      </c>
      <c r="J22" s="28" t="n">
        <v>46228</v>
      </c>
      <c r="K22" s="27" t="n"/>
      <c r="L22" s="26" t="n">
        <v>1</v>
      </c>
      <c r="M22" s="26">
        <f>IF(OR(AND(I22="yes",H22="verified"),AND(I22="no",OR(H22="tested",H22="verified")),AND(H22="not applicable",K22&lt;&gt;"")),1,0)</f>
        <v/>
      </c>
    </row>
    <row r="23" ht="54" customHeight="1" s="17">
      <c r="A23" s="26" t="inlineStr">
        <is>
          <t>S-15</t>
        </is>
      </c>
      <c r="B23" s="26" t="inlineStr">
        <is>
          <t>Consumer</t>
        </is>
      </c>
      <c r="C23" s="26" t="inlineStr">
        <is>
          <t>Surface</t>
        </is>
      </c>
      <c r="D23" s="27" t="inlineStr">
        <is>
          <t>The packed Consumer proves the public Surface subpath as a realistic painted workspace region with independent layout ownership.</t>
        </is>
      </c>
      <c r="E23" s="26" t="inlineStr">
        <is>
          <t>consumer</t>
        </is>
      </c>
      <c r="F23" s="26" t="inlineStr">
        <is>
          <t>consumer</t>
        </is>
      </c>
      <c r="G23" s="27" t="inlineStr">
        <is>
          <t>../apps/consumer/src/App.tsx; ../apps/consumer/tests/consumer.spec.ts</t>
        </is>
      </c>
      <c r="H23" s="26" t="inlineStr">
        <is>
          <t>tested</t>
        </is>
      </c>
      <c r="I23" s="26" t="inlineStr">
        <is>
          <t>no</t>
        </is>
      </c>
      <c r="J23" s="28" t="n">
        <v>46228</v>
      </c>
      <c r="K23" s="27" t="n"/>
      <c r="L23" s="26" t="n">
        <v>1</v>
      </c>
      <c r="M23" s="26">
        <f>IF(OR(AND(I23="yes",H23="verified"),AND(I23="no",OR(H23="tested",H23="verified")),AND(H23="not applicable",K23&lt;&gt;"")),1,0)</f>
        <v/>
      </c>
    </row>
    <row r="24" ht="54" customHeight="1" s="17">
      <c r="A24" s="26" t="inlineStr">
        <is>
          <t>S-16</t>
        </is>
      </c>
      <c r="B24" s="26" t="inlineStr">
        <is>
          <t>Playground</t>
        </is>
      </c>
      <c r="C24" s="26" t="inlineStr">
        <is>
          <t>Surface</t>
        </is>
      </c>
      <c r="D24" s="27" t="inlineStr">
        <is>
          <t>Shared generic evidence regions use Surface while component paint, diagnostics, layout, overlays, and native evidence retain their classified owners.</t>
        </is>
      </c>
      <c r="E24" s="26" t="inlineStr">
        <is>
          <t>package</t>
        </is>
      </c>
      <c r="F24" s="26" t="inlineStr">
        <is>
          <t>package</t>
        </is>
      </c>
      <c r="G24" s="27" t="inlineStr">
        <is>
          <t>../playground/docs/surface-adoption-audit.md; ../scripts/verify-playground-surface.mjs</t>
        </is>
      </c>
      <c r="H24" s="26" t="inlineStr">
        <is>
          <t>tested</t>
        </is>
      </c>
      <c r="I24" s="26" t="inlineStr">
        <is>
          <t>no</t>
        </is>
      </c>
      <c r="J24" s="28" t="n">
        <v>46228</v>
      </c>
      <c r="K24" s="27" t="n"/>
      <c r="L24" s="26" t="n">
        <v>1</v>
      </c>
      <c r="M24" s="26">
        <f>IF(OR(AND(I24="yes",H24="verified"),AND(I24="no",OR(H24="tested",H24="verified")),AND(H24="not applicable",K24&lt;&gt;"")),1,0)</f>
        <v/>
      </c>
    </row>
    <row r="25" ht="54" customHeight="1" s="17">
      <c r="A25" s="26" t="inlineStr">
        <is>
          <t>S-17</t>
        </is>
      </c>
      <c r="B25" s="26" t="inlineStr">
        <is>
          <t>Package</t>
        </is>
      </c>
      <c r="C25" s="26" t="inlineStr">
        <is>
          <t>Surface</t>
        </is>
      </c>
      <c r="D25" s="27" t="inlineStr">
        <is>
          <t>Build, SSR, exports, CSS, tarball, React 18/19, packed Consumer, browser matrix, and Surface-adoption checks pass.</t>
        </is>
      </c>
      <c r="E25" s="26" t="inlineStr">
        <is>
          <t>package</t>
        </is>
      </c>
      <c r="F25" s="26" t="inlineStr">
        <is>
          <t>package</t>
        </is>
      </c>
      <c r="G25" s="27" t="inlineStr">
        <is>
          <t>../test/package; ../scripts/verify-package.mjs; ../scripts/verify-consumers.mjs; ../scripts/verify-playground-surface.mjs</t>
        </is>
      </c>
      <c r="H25" s="26" t="inlineStr">
        <is>
          <t>implemented</t>
        </is>
      </c>
      <c r="I25" s="26" t="inlineStr">
        <is>
          <t>yes</t>
        </is>
      </c>
      <c r="J25" s="28" t="n"/>
      <c r="K25" s="27" t="inlineStr">
        <is>
          <t>Automated package gates pass; complete status waits for the component-owned human manual run.</t>
        </is>
      </c>
      <c r="L25" s="26" t="n">
        <v>1</v>
      </c>
      <c r="M25" s="26">
        <f>IF(OR(AND(I25="yes",H25="verified"),AND(I25="no",OR(H25="tested",H25="verified")),AND(H25="not applicable",K25&lt;&gt;"")),1,0)</f>
        <v/>
      </c>
    </row>
  </sheetData>
  <mergeCells count="2">
    <mergeCell ref="A2:M2"/>
    <mergeCell ref="A1:M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31.xml><?xml version="1.0" encoding="utf-8"?>
<worksheet xmlns="http://schemas.openxmlformats.org/spreadsheetml/2006/main">
  <sheetPr filterMode="0">
    <outlinePr summaryBelow="1" summaryRight="1"/>
    <pageSetUpPr fitToPage="0"/>
  </sheetPr>
  <dimension ref="A1:M2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.71" customWidth="1" style="23" min="1" max="1"/>
    <col width="15.71" customWidth="1" style="23" min="2" max="2"/>
    <col width="18.71" customWidth="1" style="23" min="3" max="3"/>
    <col width="58.71" customWidth="1" style="23" min="4" max="4"/>
    <col width="14.71" customWidth="1" style="23" min="5" max="6"/>
    <col width="50.71" customWidth="1" style="23" min="7" max="7"/>
    <col width="17.71" customWidth="1" style="23" min="8" max="8"/>
    <col width="14.71" customWidth="1" style="23" min="9" max="9"/>
    <col width="14.71" customWidth="1" style="25" min="10" max="10"/>
    <col width="42.71" customWidth="1" style="23" min="11" max="11"/>
    <col width="10.71" customWidth="1" style="23" min="12" max="13"/>
  </cols>
  <sheetData>
    <row r="1" ht="37.5" customHeight="1" s="17">
      <c r="A1" s="18" t="inlineStr">
        <is>
          <t>Divider Evidence</t>
        </is>
      </c>
    </row>
    <row r="2" ht="27.75" customHeight="1" s="17">
      <c r="A2" s="19" t="inlineStr">
        <is>
          <t>Assertion-level Atom-backed package, browser, human-review, documentation, Consumer, and adoption evidence.</t>
        </is>
      </c>
    </row>
    <row r="4" ht="17.25" customHeight="1" s="17">
      <c r="A4" s="20" t="inlineStr">
        <is>
          <t>Requirements</t>
        </is>
      </c>
      <c r="B4" s="21">
        <f>COUNTA(A9:A25)</f>
        <v/>
      </c>
      <c r="D4" s="20" t="inlineStr">
        <is>
          <t>Resolved</t>
        </is>
      </c>
      <c r="E4" s="21">
        <f>SUM(M9:M25)</f>
        <v/>
      </c>
      <c r="G4" s="20" t="inlineStr">
        <is>
          <t>Completion</t>
        </is>
      </c>
      <c r="H4" s="22">
        <f>IF(B4=0,0,E4/B4)</f>
        <v/>
      </c>
      <c r="J4" s="20" t="inlineStr">
        <is>
          <t>Package gate</t>
        </is>
      </c>
      <c r="K4" s="21">
        <f>IF(COUNTIFS(E9:E25,"package",M9:M25,0)&gt;0,"open","complete")</f>
        <v/>
      </c>
    </row>
    <row r="5" ht="17.25" customHeight="1" s="17">
      <c r="A5" s="20" t="inlineStr">
        <is>
          <t>Manual review</t>
        </is>
      </c>
      <c r="B5" s="21">
        <f>IF(COUNTIFS(I9:I25,"yes",M9:M25,0)&gt;0,"open","complete")</f>
        <v/>
      </c>
      <c r="D5" s="20" t="inlineStr">
        <is>
          <t>Consumer gate</t>
        </is>
      </c>
      <c r="E5" s="21">
        <f>IF(COUNTIFS(E9:E25,"consumer",M9:M25,0)&gt;0,"open","complete")</f>
        <v/>
      </c>
    </row>
    <row r="8" ht="15" customHeight="1" s="17">
      <c r="A8" s="23" t="inlineStr">
        <is>
          <t>ID</t>
        </is>
      </c>
      <c r="B8" s="23" t="inlineStr">
        <is>
          <t>Area</t>
        </is>
      </c>
      <c r="C8" s="23" t="inlineStr">
        <is>
          <t>Part</t>
        </is>
      </c>
      <c r="D8" s="23" t="inlineStr">
        <is>
          <t>Requirement</t>
        </is>
      </c>
      <c r="E8" s="23" t="inlineStr">
        <is>
          <t>Gate</t>
        </is>
      </c>
      <c r="F8" s="23" t="inlineStr">
        <is>
          <t>Evidence type</t>
        </is>
      </c>
      <c r="G8" s="23" t="inlineStr">
        <is>
          <t>Evidence / link</t>
        </is>
      </c>
      <c r="H8" s="23" t="inlineStr">
        <is>
          <t>Status</t>
        </is>
      </c>
      <c r="I8" s="23" t="inlineStr">
        <is>
          <t>Human review?</t>
        </is>
      </c>
      <c r="J8" s="25" t="inlineStr">
        <is>
          <t>Last verified</t>
        </is>
      </c>
      <c r="K8" s="23" t="inlineStr">
        <is>
          <t>Blocker / N/A reason</t>
        </is>
      </c>
      <c r="L8" s="23" t="inlineStr">
        <is>
          <t>Weight</t>
        </is>
      </c>
      <c r="M8" s="23" t="inlineStr">
        <is>
          <t>Resolved</t>
        </is>
      </c>
    </row>
    <row r="9" ht="54" customHeight="1" s="17">
      <c r="A9" s="26" t="inlineStr">
        <is>
          <t>D-01</t>
        </is>
      </c>
      <c r="B9" s="26" t="inlineStr">
        <is>
          <t>Implementation</t>
        </is>
      </c>
      <c r="C9" s="26" t="inlineStr">
        <is>
          <t>Divider</t>
        </is>
      </c>
      <c r="D9" s="27" t="inlineStr">
        <is>
          <t>Divider renders the adopted Atom-backed line, labeled anatomy, and composed-root mode with stable hooks and forwarded refs.</t>
        </is>
      </c>
      <c r="E9" s="26" t="inlineStr">
        <is>
          <t>package</t>
        </is>
      </c>
      <c r="F9" s="26" t="inlineStr">
        <is>
          <t>source</t>
        </is>
      </c>
      <c r="G9" s="27" t="inlineStr">
        <is>
          <t>../src/components/divider</t>
        </is>
      </c>
      <c r="H9" s="26" t="inlineStr">
        <is>
          <t>tested</t>
        </is>
      </c>
      <c r="I9" s="26" t="inlineStr">
        <is>
          <t>no</t>
        </is>
      </c>
      <c r="J9" s="28" t="n">
        <v>46228</v>
      </c>
      <c r="K9" s="27" t="n"/>
      <c r="L9" s="26" t="n">
        <v>1</v>
      </c>
      <c r="M9" s="26">
        <f>IF(OR(AND(I9="yes",H9="verified"),AND(I9="no",OR(H9="tested",H9="verified")),AND(H9="not applicable",K9&lt;&gt;"")),1,0)</f>
        <v/>
      </c>
    </row>
    <row r="10" ht="54" customHeight="1" s="17">
      <c r="A10" s="26" t="inlineStr">
        <is>
          <t>D-02</t>
        </is>
      </c>
      <c r="B10" s="26" t="inlineStr">
        <is>
          <t>Exports</t>
        </is>
      </c>
      <c r="C10" s="26" t="inlineStr">
        <is>
          <t>Divider</t>
        </is>
      </c>
      <c r="D10" s="27" t="inlineStr">
        <is>
          <t>Root exports and the public Divider subpath expose the runtime component and every public Divider type.</t>
        </is>
      </c>
      <c r="E10" s="26" t="inlineStr">
        <is>
          <t>package</t>
        </is>
      </c>
      <c r="F10" s="26" t="inlineStr">
        <is>
          <t>package</t>
        </is>
      </c>
      <c r="G10" s="27" t="inlineStr">
        <is>
          <t>../test/package/package.test.mjs; ../test/package/ssr.test.mjs</t>
        </is>
      </c>
      <c r="H10" s="26" t="inlineStr">
        <is>
          <t>tested</t>
        </is>
      </c>
      <c r="I10" s="26" t="inlineStr">
        <is>
          <t>no</t>
        </is>
      </c>
      <c r="J10" s="28" t="n">
        <v>46228</v>
      </c>
      <c r="K10" s="27" t="n"/>
      <c r="L10" s="26" t="n">
        <v>1</v>
      </c>
      <c r="M10" s="26">
        <f>IF(OR(AND(I10="yes",H10="verified"),AND(I10="no",OR(H10="tested",H10="verified")),AND(H10="not applicable",K10&lt;&gt;"")),1,0)</f>
        <v/>
      </c>
    </row>
    <row r="11" ht="54" customHeight="1" s="17">
      <c r="A11" s="26" t="inlineStr">
        <is>
          <t>D-03</t>
        </is>
      </c>
      <c r="B11" s="26" t="inlineStr">
        <is>
          <t>Types</t>
        </is>
      </c>
      <c r="C11" s="26" t="inlineStr">
        <is>
          <t>Divider</t>
        </is>
      </c>
      <c r="D11" s="27" t="inlineStr">
        <is>
          <t>Line, label, composition, orientation, recipe, native attribute, ref, and invalid combination contracts type-check.</t>
        </is>
      </c>
      <c r="E11" s="26" t="inlineStr">
        <is>
          <t>package</t>
        </is>
      </c>
      <c r="F11" s="26" t="inlineStr">
        <is>
          <t>types</t>
        </is>
      </c>
      <c r="G11" s="27" t="inlineStr">
        <is>
          <t>../test/types/components/divider.test.ts</t>
        </is>
      </c>
      <c r="H11" s="26" t="inlineStr">
        <is>
          <t>tested</t>
        </is>
      </c>
      <c r="I11" s="26" t="inlineStr">
        <is>
          <t>no</t>
        </is>
      </c>
      <c r="J11" s="28" t="n">
        <v>46228</v>
      </c>
      <c r="K11" s="27" t="n"/>
      <c r="L11" s="26" t="n">
        <v>1</v>
      </c>
      <c r="M11" s="26">
        <f>IF(OR(AND(I11="yes",H11="verified"),AND(I11="no",OR(H11="tested",H11="verified")),AND(H11="not applicable",K11&lt;&gt;"")),1,0)</f>
        <v/>
      </c>
    </row>
    <row r="12" ht="54" customHeight="1" s="17">
      <c r="A12" s="26" t="inlineStr">
        <is>
          <t>D-04</t>
        </is>
      </c>
      <c r="B12" s="26" t="inlineStr">
        <is>
          <t>CSS</t>
        </is>
      </c>
      <c r="C12" s="26" t="inlineStr">
        <is>
          <t>Divider</t>
        </is>
      </c>
      <c r="D12" s="27" t="inlineStr">
        <is>
          <t>Static CSS ships logical horizontal/vertical geometry, variants, thickness, inset, labels, stretch, RTL, and forced-color handling.</t>
        </is>
      </c>
      <c r="E12" s="26" t="inlineStr">
        <is>
          <t>package</t>
        </is>
      </c>
      <c r="F12" s="26" t="inlineStr">
        <is>
          <t>css</t>
        </is>
      </c>
      <c r="G12" s="27" t="inlineStr">
        <is>
          <t>../src/components/divider/divider.css</t>
        </is>
      </c>
      <c r="H12" s="26" t="inlineStr">
        <is>
          <t>tested</t>
        </is>
      </c>
      <c r="I12" s="26" t="inlineStr">
        <is>
          <t>no</t>
        </is>
      </c>
      <c r="J12" s="28" t="n">
        <v>46228</v>
      </c>
      <c r="K12" s="27" t="n"/>
      <c r="L12" s="26" t="n">
        <v>1</v>
      </c>
      <c r="M12" s="26">
        <f>IF(OR(AND(I12="yes",H12="verified"),AND(I12="no",OR(H12="tested",H12="verified")),AND(H12="not applicable",K12&lt;&gt;"")),1,0)</f>
        <v/>
      </c>
    </row>
    <row r="13" ht="54" customHeight="1" s="17">
      <c r="A13" s="26" t="inlineStr">
        <is>
          <t>D-05</t>
        </is>
      </c>
      <c r="B13" s="26" t="inlineStr">
        <is>
          <t>Unit</t>
        </is>
      </c>
      <c r="C13" s="26" t="inlineStr">
        <is>
          <t>Divider</t>
        </is>
      </c>
      <c r="D13" s="27" t="inlineStr">
        <is>
          <t>Defaults, semantic ownership, every recipe, labeled anatomy, composition, pass-through, hooks, refs, and exclusions pass focused tests.</t>
        </is>
      </c>
      <c r="E13" s="26" t="inlineStr">
        <is>
          <t>package</t>
        </is>
      </c>
      <c r="F13" s="26" t="inlineStr">
        <is>
          <t>component</t>
        </is>
      </c>
      <c r="G13" s="27" t="inlineStr">
        <is>
          <t>../test/components/divider/divider.test.tsx</t>
        </is>
      </c>
      <c r="H13" s="26" t="inlineStr">
        <is>
          <t>tested</t>
        </is>
      </c>
      <c r="I13" s="26" t="inlineStr">
        <is>
          <t>no</t>
        </is>
      </c>
      <c r="J13" s="28" t="n">
        <v>46228</v>
      </c>
      <c r="K13" s="27" t="n"/>
      <c r="L13" s="26" t="n">
        <v>1</v>
      </c>
      <c r="M13" s="26">
        <f>IF(OR(AND(I13="yes",H13="verified"),AND(I13="no",OR(H13="tested",H13="verified")),AND(H13="not applicable",K13&lt;&gt;"")),1,0)</f>
        <v/>
      </c>
    </row>
    <row r="14" ht="54" customHeight="1" s="17">
      <c r="A14" s="26" t="inlineStr">
        <is>
          <t>D-06</t>
        </is>
      </c>
      <c r="B14" s="26" t="inlineStr">
        <is>
          <t>Browser</t>
        </is>
      </c>
      <c r="C14" s="26" t="inlineStr">
        <is>
          <t>Divider</t>
        </is>
      </c>
      <c r="D14" s="27" t="inlineStr">
        <is>
          <t>Real-browser orientation, variants, thickness, inset, labels, stretch, output, refs, customization, RTL, and reflow pass.</t>
        </is>
      </c>
      <c r="E14" s="26" t="inlineStr">
        <is>
          <t>package</t>
        </is>
      </c>
      <c r="F14" s="26" t="inlineStr">
        <is>
          <t>browser</t>
        </is>
      </c>
      <c r="G14" s="27" t="inlineStr">
        <is>
          <t>tests/components/divider/behavior.spec.ts</t>
        </is>
      </c>
      <c r="H14" s="26" t="inlineStr">
        <is>
          <t>tested</t>
        </is>
      </c>
      <c r="I14" s="26" t="inlineStr">
        <is>
          <t>no</t>
        </is>
      </c>
      <c r="J14" s="28" t="n">
        <v>46228</v>
      </c>
      <c r="K14" s="27" t="n"/>
      <c r="L14" s="26" t="n">
        <v>1</v>
      </c>
      <c r="M14" s="26">
        <f>IF(OR(AND(I14="yes",H14="verified"),AND(I14="no",OR(H14="tested",H14="verified")),AND(H14="not applicable",K14&lt;&gt;"")),1,0)</f>
        <v/>
      </c>
    </row>
    <row r="15" ht="54" customHeight="1" s="17">
      <c r="A15" s="26" t="inlineStr">
        <is>
          <t>D-07</t>
        </is>
      </c>
      <c r="B15" s="26" t="inlineStr">
        <is>
          <t>Accessibility</t>
        </is>
      </c>
      <c r="C15" s="26" t="inlineStr">
        <is>
          <t>Divider</t>
        </is>
      </c>
      <c r="D15" s="27" t="inlineStr">
        <is>
          <t>Decorative and semantic separators, labeling, source order, RTL/reflow containment, focus visibility, and axe pass without splitter behavior.</t>
        </is>
      </c>
      <c r="E15" s="26" t="inlineStr">
        <is>
          <t>package</t>
        </is>
      </c>
      <c r="F15" s="26" t="inlineStr">
        <is>
          <t>axe</t>
        </is>
      </c>
      <c r="G15" s="27" t="inlineStr">
        <is>
          <t>tests/components/divider/behavior.spec.ts</t>
        </is>
      </c>
      <c r="H15" s="26" t="inlineStr">
        <is>
          <t>tested</t>
        </is>
      </c>
      <c r="I15" s="26" t="inlineStr">
        <is>
          <t>no</t>
        </is>
      </c>
      <c r="J15" s="28" t="n">
        <v>46228</v>
      </c>
      <c r="K15" s="27" t="n"/>
      <c r="L15" s="26" t="n">
        <v>1</v>
      </c>
      <c r="M15" s="26">
        <f>IF(OR(AND(I15="yes",H15="verified"),AND(I15="no",OR(H15="tested",H15="verified")),AND(H15="not applicable",K15&lt;&gt;"")),1,0)</f>
        <v/>
      </c>
    </row>
    <row r="16" ht="54" customHeight="1" s="17">
      <c r="A16" s="26" t="inlineStr">
        <is>
          <t>D-08</t>
        </is>
      </c>
      <c r="B16" s="26" t="inlineStr">
        <is>
          <t>Visual</t>
        </is>
      </c>
      <c r="C16" s="26" t="inlineStr">
        <is>
          <t>Divider</t>
        </is>
      </c>
      <c r="D16" s="27" t="inlineStr">
        <is>
          <t>Reviewed baselines cover defaults, orientation, variants, thickness, labels, dark customization, mobile RTL, and forced colors.</t>
        </is>
      </c>
      <c r="E16" s="26" t="inlineStr">
        <is>
          <t>package</t>
        </is>
      </c>
      <c r="F16" s="26" t="inlineStr">
        <is>
          <t>visual</t>
        </is>
      </c>
      <c r="G16" s="27" t="inlineStr">
        <is>
          <t>tests/components/divider/visual.spec.ts</t>
        </is>
      </c>
      <c r="H16" s="26" t="inlineStr">
        <is>
          <t>verified</t>
        </is>
      </c>
      <c r="I16" s="26" t="inlineStr">
        <is>
          <t>yes</t>
        </is>
      </c>
      <c r="J16" s="28" t="n">
        <v>46228</v>
      </c>
      <c r="K16" s="27" t="inlineStr">
        <is>
          <t>Current Divider mobile/RTL, forced-color, and complete visual baselines were reviewed during implementation.</t>
        </is>
      </c>
      <c r="L16" s="26" t="n">
        <v>1</v>
      </c>
      <c r="M16" s="26">
        <f>IF(OR(AND(I16="yes",H16="verified"),AND(I16="no",OR(H16="tested",H16="verified")),AND(H16="not applicable",K16&lt;&gt;"")),1,0)</f>
        <v/>
      </c>
    </row>
    <row r="17" ht="54" customHeight="1" s="17">
      <c r="A17" s="26" t="inlineStr">
        <is>
          <t>D-09</t>
        </is>
      </c>
      <c r="B17" s="26" t="inlineStr">
        <is>
          <t>Responsive</t>
        </is>
      </c>
      <c r="C17" s="26" t="inlineStr">
        <is>
          <t>Divider</t>
        </is>
      </c>
      <c r="D17" s="27" t="inlineStr">
        <is>
          <t>Physical mobile, 200%/400% zoom, long labels, constrained width, vertical stretch, and RTL remain readable and contained.</t>
        </is>
      </c>
      <c r="E17" s="26" t="inlineStr">
        <is>
          <t>package</t>
        </is>
      </c>
      <c r="F17" s="26" t="inlineStr">
        <is>
          <t>manual</t>
        </is>
      </c>
      <c r="G17" s="27" t="inlineStr">
        <is>
          <t>manual-tests/divider.md</t>
        </is>
      </c>
      <c r="H17" s="26" t="inlineStr">
        <is>
          <t>implemented</t>
        </is>
      </c>
      <c r="I17" s="26" t="inlineStr">
        <is>
          <t>yes</t>
        </is>
      </c>
      <c r="J17" s="28" t="n"/>
      <c r="K17" s="27" t="inlineStr">
        <is>
          <t>Automated reflow evidence passes; the human manual run is intentionally pending.</t>
        </is>
      </c>
      <c r="L17" s="26" t="n">
        <v>1</v>
      </c>
      <c r="M17" s="26">
        <f>IF(OR(AND(I17="yes",H17="verified"),AND(I17="no",OR(H17="tested",H17="verified")),AND(H17="not applicable",K17&lt;&gt;"")),1,0)</f>
        <v/>
      </c>
    </row>
    <row r="18" ht="54" customHeight="1" s="17">
      <c r="A18" s="26" t="inlineStr">
        <is>
          <t>D-10</t>
        </is>
      </c>
      <c r="B18" s="26" t="inlineStr">
        <is>
          <t>Theme</t>
        </is>
      </c>
      <c r="C18" s="26" t="inlineStr">
        <is>
          <t>Divider</t>
        </is>
      </c>
      <c r="D18" s="27" t="inlineStr">
        <is>
          <t>Light, dark, forced colors, text spacing, and customized separators retain visible structural boundaries.</t>
        </is>
      </c>
      <c r="E18" s="26" t="inlineStr">
        <is>
          <t>package</t>
        </is>
      </c>
      <c r="F18" s="26" t="inlineStr">
        <is>
          <t>manual</t>
        </is>
      </c>
      <c r="G18" s="27" t="inlineStr">
        <is>
          <t>manual-tests/divider.md; tests/components/divider/visual.spec.ts</t>
        </is>
      </c>
      <c r="H18" s="26" t="inlineStr">
        <is>
          <t>implemented</t>
        </is>
      </c>
      <c r="I18" s="26" t="inlineStr">
        <is>
          <t>yes</t>
        </is>
      </c>
      <c r="J18" s="28" t="n"/>
      <c r="K18" s="27" t="inlineStr">
        <is>
          <t>Automated appearance evidence passes; complete human appearance review is pending.</t>
        </is>
      </c>
      <c r="L18" s="26" t="n">
        <v>1</v>
      </c>
      <c r="M18" s="26">
        <f>IF(OR(AND(I18="yes",H18="verified"),AND(I18="no",OR(H18="tested",H18="verified")),AND(H18="not applicable",K18&lt;&gt;"")),1,0)</f>
        <v/>
      </c>
    </row>
    <row r="19" ht="54" customHeight="1" s="17">
      <c r="A19" s="26" t="inlineStr">
        <is>
          <t>D-11</t>
        </is>
      </c>
      <c r="B19" s="26" t="inlineStr">
        <is>
          <t>Semantics</t>
        </is>
      </c>
      <c r="C19" s="26" t="inlineStr">
        <is>
          <t>Divider</t>
        </is>
      </c>
      <c r="D19" s="27" t="inlineStr">
        <is>
          <t>Decorative, semantic, labeled, horizontal, vertical, and composed output match the Atom-first public contract.</t>
        </is>
      </c>
      <c r="E19" s="26" t="inlineStr">
        <is>
          <t>package</t>
        </is>
      </c>
      <c r="F19" s="26" t="inlineStr">
        <is>
          <t>browser</t>
        </is>
      </c>
      <c r="G19" s="27" t="inlineStr">
        <is>
          <t>tests/components/divider/behavior.spec.ts</t>
        </is>
      </c>
      <c r="H19" s="26" t="inlineStr">
        <is>
          <t>tested</t>
        </is>
      </c>
      <c r="I19" s="26" t="inlineStr">
        <is>
          <t>no</t>
        </is>
      </c>
      <c r="J19" s="28" t="n">
        <v>46228</v>
      </c>
      <c r="K19" s="27" t="n"/>
      <c r="L19" s="26" t="n">
        <v>1</v>
      </c>
      <c r="M19" s="26">
        <f>IF(OR(AND(I19="yes",H19="verified"),AND(I19="no",OR(H19="tested",H19="verified")),AND(H19="not applicable",K19&lt;&gt;"")),1,0)</f>
        <v/>
      </c>
    </row>
    <row r="20" ht="54" customHeight="1" s="17">
      <c r="A20" s="26" t="inlineStr">
        <is>
          <t>D-12</t>
        </is>
      </c>
      <c r="B20" s="26" t="inlineStr">
        <is>
          <t>Manual</t>
        </is>
      </c>
      <c r="C20" s="26" t="inlineStr">
        <is>
          <t>Divider</t>
        </is>
      </c>
      <c r="D20" s="27" t="inlineStr">
        <is>
          <t>The component-owned manual protocol passes every Divider playground scenario.</t>
        </is>
      </c>
      <c r="E20" s="26" t="inlineStr">
        <is>
          <t>package</t>
        </is>
      </c>
      <c r="F20" s="26" t="inlineStr">
        <is>
          <t>manual</t>
        </is>
      </c>
      <c r="G20" s="27" t="inlineStr">
        <is>
          <t>manual-tests/divider.md</t>
        </is>
      </c>
      <c r="H20" s="26" t="inlineStr">
        <is>
          <t>implemented</t>
        </is>
      </c>
      <c r="I20" s="26" t="inlineStr">
        <is>
          <t>yes</t>
        </is>
      </c>
      <c r="J20" s="28" t="n"/>
      <c r="K20" s="27" t="inlineStr">
        <is>
          <t>Protocol exists; the owner deferred the human run.</t>
        </is>
      </c>
      <c r="L20" s="26" t="n">
        <v>1</v>
      </c>
      <c r="M20" s="26">
        <f>IF(OR(AND(I20="yes",H20="verified"),AND(I20="no",OR(H20="tested",H20="verified")),AND(H20="not applicable",K20&lt;&gt;"")),1,0)</f>
        <v/>
      </c>
    </row>
    <row r="21" ht="54" customHeight="1" s="17">
      <c r="A21" s="26" t="inlineStr">
        <is>
          <t>D-13</t>
        </is>
      </c>
      <c r="B21" s="26" t="inlineStr">
        <is>
          <t>Docs</t>
        </is>
      </c>
      <c r="C21" s="26" t="inlineStr">
        <is>
          <t>Divider</t>
        </is>
      </c>
      <c r="D21" s="27" t="inlineStr">
        <is>
          <t>Source-backed usage, defaults, recipes, labels, semantics, accessibility, composition, CSS, customization, and API documentation pass checks.</t>
        </is>
      </c>
      <c r="E21" s="26" t="inlineStr">
        <is>
          <t>package</t>
        </is>
      </c>
      <c r="F21" s="26" t="inlineStr">
        <is>
          <t>docs</t>
        </is>
      </c>
      <c r="G21" s="27" t="inlineStr">
        <is>
          <t>../docs/components/divider/README.md</t>
        </is>
      </c>
      <c r="H21" s="26" t="inlineStr">
        <is>
          <t>tested</t>
        </is>
      </c>
      <c r="I21" s="26" t="inlineStr">
        <is>
          <t>no</t>
        </is>
      </c>
      <c r="J21" s="28" t="n">
        <v>46228</v>
      </c>
      <c r="K21" s="27" t="n"/>
      <c r="L21" s="26" t="n">
        <v>1</v>
      </c>
      <c r="M21" s="26">
        <f>IF(OR(AND(I21="yes",H21="verified"),AND(I21="no",OR(H21="tested",H21="verified")),AND(H21="not applicable",K21&lt;&gt;"")),1,0)</f>
        <v/>
      </c>
    </row>
    <row r="22" ht="54" customHeight="1" s="17">
      <c r="A22" s="26" t="inlineStr">
        <is>
          <t>D-14</t>
        </is>
      </c>
      <c r="B22" s="26" t="inlineStr">
        <is>
          <t>Changelog</t>
        </is>
      </c>
      <c r="C22" s="26" t="inlineStr">
        <is>
          <t>Divider</t>
        </is>
      </c>
      <c r="D22" s="27" t="inlineStr">
        <is>
          <t>Divider owns a public component changelog and the package changelog records the component addition.</t>
        </is>
      </c>
      <c r="E22" s="26" t="inlineStr">
        <is>
          <t>package</t>
        </is>
      </c>
      <c r="F22" s="26" t="inlineStr">
        <is>
          <t>docs</t>
        </is>
      </c>
      <c r="G22" s="27" t="inlineStr">
        <is>
          <t>../docs/components/divider/CHANGELOG.md; ../CHANGELOG.md</t>
        </is>
      </c>
      <c r="H22" s="26" t="inlineStr">
        <is>
          <t>tested</t>
        </is>
      </c>
      <c r="I22" s="26" t="inlineStr">
        <is>
          <t>no</t>
        </is>
      </c>
      <c r="J22" s="28" t="n">
        <v>46228</v>
      </c>
      <c r="K22" s="27" t="n"/>
      <c r="L22" s="26" t="n">
        <v>1</v>
      </c>
      <c r="M22" s="26">
        <f>IF(OR(AND(I22="yes",H22="verified"),AND(I22="no",OR(H22="tested",H22="verified")),AND(H22="not applicable",K22&lt;&gt;"")),1,0)</f>
        <v/>
      </c>
    </row>
    <row r="23" ht="54" customHeight="1" s="17">
      <c r="A23" s="26" t="inlineStr">
        <is>
          <t>D-15</t>
        </is>
      </c>
      <c r="B23" s="26" t="inlineStr">
        <is>
          <t>Consumer</t>
        </is>
      </c>
      <c r="C23" s="26" t="inlineStr">
        <is>
          <t>Divider</t>
        </is>
      </c>
      <c r="D23" s="27" t="inlineStr">
        <is>
          <t>The packed Consumer proves the public Divider subpath as a semantic workspace break between adjacent content groups.</t>
        </is>
      </c>
      <c r="E23" s="26" t="inlineStr">
        <is>
          <t>consumer</t>
        </is>
      </c>
      <c r="F23" s="26" t="inlineStr">
        <is>
          <t>consumer</t>
        </is>
      </c>
      <c r="G23" s="27" t="inlineStr">
        <is>
          <t>../apps/consumer/src/App.tsx; ../apps/consumer/tests/consumer.spec.ts</t>
        </is>
      </c>
      <c r="H23" s="26" t="inlineStr">
        <is>
          <t>tested</t>
        </is>
      </c>
      <c r="I23" s="26" t="inlineStr">
        <is>
          <t>no</t>
        </is>
      </c>
      <c r="J23" s="28" t="n">
        <v>46228</v>
      </c>
      <c r="K23" s="27" t="n"/>
      <c r="L23" s="26" t="n">
        <v>1</v>
      </c>
      <c r="M23" s="26">
        <f>IF(OR(AND(I23="yes",H23="verified"),AND(I23="no",OR(H23="tested",H23="verified")),AND(H23="not applicable",K23&lt;&gt;"")),1,0)</f>
        <v/>
      </c>
    </row>
    <row r="24" ht="54" customHeight="1" s="17">
      <c r="A24" s="26" t="inlineStr">
        <is>
          <t>D-16</t>
        </is>
      </c>
      <c r="B24" s="26" t="inlineStr">
        <is>
          <t>Playground</t>
        </is>
      </c>
      <c r="C24" s="26" t="inlineStr">
        <is>
          <t>Divider</t>
        </is>
      </c>
      <c r="D24" s="27" t="inlineStr">
        <is>
          <t>Divider replaces authored separator concepts while component edges, focus, diagnostics, shell chrome, and Surface boundaries retain their owners.</t>
        </is>
      </c>
      <c r="E24" s="26" t="inlineStr">
        <is>
          <t>package</t>
        </is>
      </c>
      <c r="F24" s="26" t="inlineStr">
        <is>
          <t>package</t>
        </is>
      </c>
      <c r="G24" s="27" t="inlineStr">
        <is>
          <t>../playground/docs/divider-adoption-audit.md; ../scripts/verify-playground-divider.mjs</t>
        </is>
      </c>
      <c r="H24" s="26" t="inlineStr">
        <is>
          <t>tested</t>
        </is>
      </c>
      <c r="I24" s="26" t="inlineStr">
        <is>
          <t>no</t>
        </is>
      </c>
      <c r="J24" s="28" t="n">
        <v>46228</v>
      </c>
      <c r="K24" s="27" t="n"/>
      <c r="L24" s="26" t="n">
        <v>1</v>
      </c>
      <c r="M24" s="26">
        <f>IF(OR(AND(I24="yes",H24="verified"),AND(I24="no",OR(H24="tested",H24="verified")),AND(H24="not applicable",K24&lt;&gt;"")),1,0)</f>
        <v/>
      </c>
    </row>
    <row r="25" ht="54" customHeight="1" s="17">
      <c r="A25" s="26" t="inlineStr">
        <is>
          <t>D-17</t>
        </is>
      </c>
      <c r="B25" s="26" t="inlineStr">
        <is>
          <t>Package</t>
        </is>
      </c>
      <c r="C25" s="26" t="inlineStr">
        <is>
          <t>Divider</t>
        </is>
      </c>
      <c r="D25" s="27" t="inlineStr">
        <is>
          <t>Build, SSR, exports, CSS, tarball, React 18/19, packed Consumer, browser matrix, and Divider-adoption checks pass.</t>
        </is>
      </c>
      <c r="E25" s="26" t="inlineStr">
        <is>
          <t>package</t>
        </is>
      </c>
      <c r="F25" s="26" t="inlineStr">
        <is>
          <t>package</t>
        </is>
      </c>
      <c r="G25" s="27" t="inlineStr">
        <is>
          <t>../test/package; ../scripts/verify-package.mjs; ../scripts/verify-consumers.mjs; ../scripts/verify-playground-divider.mjs</t>
        </is>
      </c>
      <c r="H25" s="26" t="inlineStr">
        <is>
          <t>implemented</t>
        </is>
      </c>
      <c r="I25" s="26" t="inlineStr">
        <is>
          <t>yes</t>
        </is>
      </c>
      <c r="J25" s="28" t="n"/>
      <c r="K25" s="27" t="inlineStr">
        <is>
          <t>Automated package gates pass; complete status waits for the component-owned human manual run.</t>
        </is>
      </c>
      <c r="L25" s="26" t="n">
        <v>1</v>
      </c>
      <c r="M25" s="26">
        <f>IF(OR(AND(I25="yes",H25="verified"),AND(I25="no",OR(H25="tested",H25="verified")),AND(H25="not applicable",K25&lt;&gt;"")),1,0)</f>
        <v/>
      </c>
    </row>
  </sheetData>
  <mergeCells count="2">
    <mergeCell ref="A2:M2"/>
    <mergeCell ref="A1:M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32.xml><?xml version="1.0" encoding="utf-8"?>
<worksheet xmlns="http://schemas.openxmlformats.org/spreadsheetml/2006/main">
  <sheetPr filterMode="0">
    <outlinePr summaryBelow="1" summaryRight="1"/>
    <pageSetUpPr fitToPage="0"/>
  </sheetPr>
  <dimension ref="A1:M2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.71" customWidth="1" style="23" min="1" max="1"/>
    <col width="15.71" customWidth="1" style="23" min="2" max="2"/>
    <col width="18.71" customWidth="1" style="23" min="3" max="3"/>
    <col width="58.71" customWidth="1" style="23" min="4" max="4"/>
    <col width="14.71" customWidth="1" style="23" min="5" max="6"/>
    <col width="50.71" customWidth="1" style="23" min="7" max="7"/>
    <col width="17.71" customWidth="1" style="23" min="8" max="8"/>
    <col width="14.71" customWidth="1" style="23" min="9" max="9"/>
    <col width="14.71" customWidth="1" style="25" min="10" max="10"/>
    <col width="42.71" customWidth="1" style="23" min="11" max="11"/>
    <col width="10.71" customWidth="1" style="23" min="12" max="13"/>
  </cols>
  <sheetData>
    <row r="1" ht="37.5" customHeight="1" s="17">
      <c r="A1" s="18" t="inlineStr">
        <is>
          <t>Scroll Area Evidence</t>
        </is>
      </c>
    </row>
    <row r="2" ht="27.75" customHeight="1" s="17">
      <c r="A2" s="19" t="inlineStr">
        <is>
          <t>Assertion-level Atom-backed package, browser, human-review, documentation, Consumer, visibility, and adoption evidence.</t>
        </is>
      </c>
    </row>
    <row r="4" ht="17.25" customHeight="1" s="17">
      <c r="A4" s="20" t="inlineStr">
        <is>
          <t>Requirements</t>
        </is>
      </c>
      <c r="B4" s="21">
        <f>COUNTA(A9:A25)</f>
        <v/>
      </c>
      <c r="D4" s="20" t="inlineStr">
        <is>
          <t>Resolved</t>
        </is>
      </c>
      <c r="E4" s="21">
        <f>SUM(M9:M25)</f>
        <v/>
      </c>
      <c r="G4" s="20" t="inlineStr">
        <is>
          <t>Completion</t>
        </is>
      </c>
      <c r="H4" s="22">
        <f>IF(B4=0,0,E4/B4)</f>
        <v/>
      </c>
      <c r="J4" s="20" t="inlineStr">
        <is>
          <t>Package gate</t>
        </is>
      </c>
      <c r="K4" s="21">
        <f>IF(COUNTIFS(E9:E25,"package",M9:M25,0)&gt;0,"open","complete")</f>
        <v/>
      </c>
    </row>
    <row r="5" ht="17.25" customHeight="1" s="17">
      <c r="A5" s="20" t="inlineStr">
        <is>
          <t>Manual review</t>
        </is>
      </c>
      <c r="B5" s="21">
        <f>IF(COUNTIFS(I9:I25,"yes",M9:M25,0)&gt;0,"open","complete")</f>
        <v/>
      </c>
      <c r="D5" s="20" t="inlineStr">
        <is>
          <t>Consumer gate</t>
        </is>
      </c>
      <c r="E5" s="21">
        <f>IF(COUNTIFS(E9:E25,"consumer",M9:M25,0)&gt;0,"open","complete")</f>
        <v/>
      </c>
    </row>
    <row r="8" ht="15" customHeight="1" s="17">
      <c r="A8" s="23" t="inlineStr">
        <is>
          <t>ID</t>
        </is>
      </c>
      <c r="B8" s="23" t="inlineStr">
        <is>
          <t>Area</t>
        </is>
      </c>
      <c r="C8" s="23" t="inlineStr">
        <is>
          <t>Part</t>
        </is>
      </c>
      <c r="D8" s="23" t="inlineStr">
        <is>
          <t>Requirement</t>
        </is>
      </c>
      <c r="E8" s="23" t="inlineStr">
        <is>
          <t>Gate</t>
        </is>
      </c>
      <c r="F8" s="23" t="inlineStr">
        <is>
          <t>Evidence type</t>
        </is>
      </c>
      <c r="G8" s="23" t="inlineStr">
        <is>
          <t>Evidence / link</t>
        </is>
      </c>
      <c r="H8" s="23" t="inlineStr">
        <is>
          <t>Status</t>
        </is>
      </c>
      <c r="I8" s="23" t="inlineStr">
        <is>
          <t>Human review?</t>
        </is>
      </c>
      <c r="J8" s="25" t="inlineStr">
        <is>
          <t>Last verified</t>
        </is>
      </c>
      <c r="K8" s="23" t="inlineStr">
        <is>
          <t>Blocker / N/A reason</t>
        </is>
      </c>
      <c r="L8" s="23" t="inlineStr">
        <is>
          <t>Weight</t>
        </is>
      </c>
      <c r="M8" s="23" t="inlineStr">
        <is>
          <t>Resolved</t>
        </is>
      </c>
    </row>
    <row r="9" ht="54" customHeight="1" s="17">
      <c r="A9" s="26" t="inlineStr">
        <is>
          <t>SA-01</t>
        </is>
      </c>
      <c r="B9" s="26" t="inlineStr">
        <is>
          <t>Implementation</t>
        </is>
      </c>
      <c r="C9" s="26" t="inlineStr">
        <is>
          <t>Scroll Area</t>
        </is>
      </c>
      <c r="D9" s="27" t="inlineStr">
        <is>
          <t>Scroll Area renders Atom-backed Root and Viewport anatomy with forwarded refs and stable hooks.</t>
        </is>
      </c>
      <c r="E9" s="26" t="inlineStr">
        <is>
          <t>package</t>
        </is>
      </c>
      <c r="F9" s="26" t="inlineStr">
        <is>
          <t>source</t>
        </is>
      </c>
      <c r="G9" s="27" t="inlineStr">
        <is>
          <t>../src/components/scroll-area</t>
        </is>
      </c>
      <c r="H9" s="26" t="inlineStr">
        <is>
          <t>tested</t>
        </is>
      </c>
      <c r="I9" s="26" t="inlineStr">
        <is>
          <t>no</t>
        </is>
      </c>
      <c r="J9" s="28" t="n">
        <v>46228</v>
      </c>
      <c r="K9" s="27" t="n"/>
      <c r="L9" s="26" t="n">
        <v>1</v>
      </c>
      <c r="M9" s="26">
        <f>IF(OR(AND(I9="yes",H9="verified"),AND(I9="no",OR(H9="tested",H9="verified")),AND(H9="not applicable",K9&lt;&gt;"")),1,0)</f>
        <v/>
      </c>
    </row>
    <row r="10" ht="54" customHeight="1" s="17">
      <c r="A10" s="26" t="inlineStr">
        <is>
          <t>SA-02</t>
        </is>
      </c>
      <c r="B10" s="26" t="inlineStr">
        <is>
          <t>Exports</t>
        </is>
      </c>
      <c r="C10" s="26" t="inlineStr">
        <is>
          <t>Scroll Area</t>
        </is>
      </c>
      <c r="D10" s="27" t="inlineStr">
        <is>
          <t>Root exports and the Scroll Area subpath expose the compound runtime and every public type.</t>
        </is>
      </c>
      <c r="E10" s="26" t="inlineStr">
        <is>
          <t>package</t>
        </is>
      </c>
      <c r="F10" s="26" t="inlineStr">
        <is>
          <t>package</t>
        </is>
      </c>
      <c r="G10" s="27" t="inlineStr">
        <is>
          <t>../test/package/package.test.mjs; ../test/package/ssr.test.mjs</t>
        </is>
      </c>
      <c r="H10" s="26" t="inlineStr">
        <is>
          <t>tested</t>
        </is>
      </c>
      <c r="I10" s="26" t="inlineStr">
        <is>
          <t>no</t>
        </is>
      </c>
      <c r="J10" s="28" t="n">
        <v>46228</v>
      </c>
      <c r="K10" s="27" t="n"/>
      <c r="L10" s="26" t="n">
        <v>1</v>
      </c>
      <c r="M10" s="26">
        <f>IF(OR(AND(I10="yes",H10="verified"),AND(I10="no",OR(H10="tested",H10="verified")),AND(H10="not applicable",K10&lt;&gt;"")),1,0)</f>
        <v/>
      </c>
    </row>
    <row r="11" ht="54" customHeight="1" s="17">
      <c r="A11" s="26" t="inlineStr">
        <is>
          <t>SA-03</t>
        </is>
      </c>
      <c r="B11" s="26" t="inlineStr">
        <is>
          <t>Types</t>
        </is>
      </c>
      <c r="C11" s="26" t="inlineStr">
        <is>
          <t>Scroll Area</t>
        </is>
      </c>
      <c r="D11" s="27" t="inlineStr">
        <is>
          <t>Orientation, gutter, visibility, composition, native props, and ref contracts type-check.</t>
        </is>
      </c>
      <c r="E11" s="26" t="inlineStr">
        <is>
          <t>package</t>
        </is>
      </c>
      <c r="F11" s="26" t="inlineStr">
        <is>
          <t>types</t>
        </is>
      </c>
      <c r="G11" s="27" t="inlineStr">
        <is>
          <t>../test/types/components/scroll-area.test.ts</t>
        </is>
      </c>
      <c r="H11" s="26" t="inlineStr">
        <is>
          <t>tested</t>
        </is>
      </c>
      <c r="I11" s="26" t="inlineStr">
        <is>
          <t>no</t>
        </is>
      </c>
      <c r="J11" s="28" t="n">
        <v>46228</v>
      </c>
      <c r="K11" s="27" t="n"/>
      <c r="L11" s="26" t="n">
        <v>1</v>
      </c>
      <c r="M11" s="26">
        <f>IF(OR(AND(I11="yes",H11="verified"),AND(I11="no",OR(H11="tested",H11="verified")),AND(H11="not applicable",K11&lt;&gt;"")),1,0)</f>
        <v/>
      </c>
    </row>
    <row r="12" ht="54" customHeight="1" s="17">
      <c r="A12" s="26" t="inlineStr">
        <is>
          <t>SA-04</t>
        </is>
      </c>
      <c r="B12" s="26" t="inlineStr">
        <is>
          <t>CSS</t>
        </is>
      </c>
      <c r="C12" s="26" t="inlineStr">
        <is>
          <t>Scroll Area</t>
        </is>
      </c>
      <c r="D12" s="27" t="inlineStr">
        <is>
          <t>Static CSS ships axis ownership, gutter, visibility, focus, semantic colors, and forced-color behavior.</t>
        </is>
      </c>
      <c r="E12" s="26" t="inlineStr">
        <is>
          <t>package</t>
        </is>
      </c>
      <c r="F12" s="26" t="inlineStr">
        <is>
          <t>css</t>
        </is>
      </c>
      <c r="G12" s="27" t="inlineStr">
        <is>
          <t>../src/components/scroll-area/scroll-area.css</t>
        </is>
      </c>
      <c r="H12" s="26" t="inlineStr">
        <is>
          <t>tested</t>
        </is>
      </c>
      <c r="I12" s="26" t="inlineStr">
        <is>
          <t>no</t>
        </is>
      </c>
      <c r="J12" s="28" t="n">
        <v>46228</v>
      </c>
      <c r="K12" s="27" t="n"/>
      <c r="L12" s="26" t="n">
        <v>1</v>
      </c>
      <c r="M12" s="26">
        <f>IF(OR(AND(I12="yes",H12="verified"),AND(I12="no",OR(H12="tested",H12="verified")),AND(H12="not applicable",K12&lt;&gt;"")),1,0)</f>
        <v/>
      </c>
    </row>
    <row r="13" ht="54" customHeight="1" s="17">
      <c r="A13" s="26" t="inlineStr">
        <is>
          <t>SA-05</t>
        </is>
      </c>
      <c r="B13" s="26" t="inlineStr">
        <is>
          <t>Unit</t>
        </is>
      </c>
      <c r="C13" s="26" t="inlineStr">
        <is>
          <t>Scroll Area</t>
        </is>
      </c>
      <c r="D13" s="27" t="inlineStr">
        <is>
          <t>Defaults, all closed recipes, semantics, forwarding, refs, and composition pass focused tests.</t>
        </is>
      </c>
      <c r="E13" s="26" t="inlineStr">
        <is>
          <t>package</t>
        </is>
      </c>
      <c r="F13" s="26" t="inlineStr">
        <is>
          <t>component</t>
        </is>
      </c>
      <c r="G13" s="27" t="inlineStr">
        <is>
          <t>../test/components/scroll-area/scroll-area.test.tsx</t>
        </is>
      </c>
      <c r="H13" s="26" t="inlineStr">
        <is>
          <t>tested</t>
        </is>
      </c>
      <c r="I13" s="26" t="inlineStr">
        <is>
          <t>no</t>
        </is>
      </c>
      <c r="J13" s="28" t="n">
        <v>46228</v>
      </c>
      <c r="K13" s="27" t="n"/>
      <c r="L13" s="26" t="n">
        <v>1</v>
      </c>
      <c r="M13" s="26">
        <f>IF(OR(AND(I13="yes",H13="verified"),AND(I13="no",OR(H13="tested",H13="verified")),AND(H13="not applicable",K13&lt;&gt;"")),1,0)</f>
        <v/>
      </c>
    </row>
    <row r="14" ht="54" customHeight="1" s="17">
      <c r="A14" s="26" t="inlineStr">
        <is>
          <t>SA-06</t>
        </is>
      </c>
      <c r="B14" s="26" t="inlineStr">
        <is>
          <t>Browser</t>
        </is>
      </c>
      <c r="C14" s="26" t="inlineStr">
        <is>
          <t>Scroll Area</t>
        </is>
      </c>
      <c r="D14" s="27" t="inlineStr">
        <is>
          <t>Native vertical and horizontal movement, gutter, visibility, composition, refs, and reflow pass.</t>
        </is>
      </c>
      <c r="E14" s="26" t="inlineStr">
        <is>
          <t>package</t>
        </is>
      </c>
      <c r="F14" s="26" t="inlineStr">
        <is>
          <t>browser</t>
        </is>
      </c>
      <c r="G14" s="27" t="inlineStr">
        <is>
          <t>tests/components/scroll-area/behavior.spec.ts</t>
        </is>
      </c>
      <c r="H14" s="26" t="inlineStr">
        <is>
          <t>tested</t>
        </is>
      </c>
      <c r="I14" s="26" t="inlineStr">
        <is>
          <t>no</t>
        </is>
      </c>
      <c r="J14" s="28" t="n">
        <v>46228</v>
      </c>
      <c r="K14" s="27" t="n"/>
      <c r="L14" s="26" t="n">
        <v>1</v>
      </c>
      <c r="M14" s="26">
        <f>IF(OR(AND(I14="yes",H14="verified"),AND(I14="no",OR(H14="tested",H14="verified")),AND(H14="not applicable",K14&lt;&gt;"")),1,0)</f>
        <v/>
      </c>
    </row>
    <row r="15" ht="54" customHeight="1" s="17">
      <c r="A15" s="26" t="inlineStr">
        <is>
          <t>SA-07</t>
        </is>
      </c>
      <c r="B15" s="26" t="inlineStr">
        <is>
          <t>Accessibility</t>
        </is>
      </c>
      <c r="C15" s="26" t="inlineStr">
        <is>
          <t>Scroll Area</t>
        </is>
      </c>
      <c r="D15" s="27" t="inlineStr">
        <is>
          <t>Named focusable content, descendant reachability, focus visibility, containment, and axe pass.</t>
        </is>
      </c>
      <c r="E15" s="26" t="inlineStr">
        <is>
          <t>package</t>
        </is>
      </c>
      <c r="F15" s="26" t="inlineStr">
        <is>
          <t>axe</t>
        </is>
      </c>
      <c r="G15" s="27" t="inlineStr">
        <is>
          <t>tests/components/scroll-area/behavior.spec.ts</t>
        </is>
      </c>
      <c r="H15" s="26" t="inlineStr">
        <is>
          <t>tested</t>
        </is>
      </c>
      <c r="I15" s="26" t="inlineStr">
        <is>
          <t>no</t>
        </is>
      </c>
      <c r="J15" s="28" t="n">
        <v>46228</v>
      </c>
      <c r="K15" s="27" t="n"/>
      <c r="L15" s="26" t="n">
        <v>1</v>
      </c>
      <c r="M15" s="26">
        <f>IF(OR(AND(I15="yes",H15="verified"),AND(I15="no",OR(H15="tested",H15="verified")),AND(H15="not applicable",K15&lt;&gt;"")),1,0)</f>
        <v/>
      </c>
    </row>
    <row r="16" ht="54" customHeight="1" s="17">
      <c r="A16" s="26" t="inlineStr">
        <is>
          <t>SA-08</t>
        </is>
      </c>
      <c r="B16" s="26" t="inlineStr">
        <is>
          <t>Visual</t>
        </is>
      </c>
      <c r="C16" s="26" t="inlineStr">
        <is>
          <t>Scroll Area</t>
        </is>
      </c>
      <c r="D16" s="27" t="inlineStr">
        <is>
          <t>Baselines cover defaults, axes, gutter, visibility, dark appearance, mobile RTL, and forced colors.</t>
        </is>
      </c>
      <c r="E16" s="26" t="inlineStr">
        <is>
          <t>package</t>
        </is>
      </c>
      <c r="F16" s="26" t="inlineStr">
        <is>
          <t>visual</t>
        </is>
      </c>
      <c r="G16" s="27" t="inlineStr">
        <is>
          <t>tests/components/scroll-area/visual.spec.ts</t>
        </is>
      </c>
      <c r="H16" s="26" t="inlineStr">
        <is>
          <t>verified</t>
        </is>
      </c>
      <c r="I16" s="26" t="inlineStr">
        <is>
          <t>yes</t>
        </is>
      </c>
      <c r="J16" s="28" t="n">
        <v>46228</v>
      </c>
      <c r="K16" s="27" t="inlineStr">
        <is>
          <t>Current Scroll Area visual baselines were reviewed during implementation.</t>
        </is>
      </c>
      <c r="L16" s="26" t="n">
        <v>1</v>
      </c>
      <c r="M16" s="26">
        <f>IF(OR(AND(I16="yes",H16="verified"),AND(I16="no",OR(H16="tested",H16="verified")),AND(H16="not applicable",K16&lt;&gt;"")),1,0)</f>
        <v/>
      </c>
    </row>
    <row r="17" ht="54" customHeight="1" s="17">
      <c r="A17" s="26" t="inlineStr">
        <is>
          <t>SA-09</t>
        </is>
      </c>
      <c r="B17" s="26" t="inlineStr">
        <is>
          <t>Responsive</t>
        </is>
      </c>
      <c r="C17" s="26" t="inlineStr">
        <is>
          <t>Scroll Area</t>
        </is>
      </c>
      <c r="D17" s="27" t="inlineStr">
        <is>
          <t>Physical mobile, zoom, RTL, writing mode, touch, and nested scroll handoff remain readable and usable.</t>
        </is>
      </c>
      <c r="E17" s="26" t="inlineStr">
        <is>
          <t>package</t>
        </is>
      </c>
      <c r="F17" s="26" t="inlineStr">
        <is>
          <t>manual</t>
        </is>
      </c>
      <c r="G17" s="27" t="inlineStr">
        <is>
          <t>manual-tests/scroll-area.md</t>
        </is>
      </c>
      <c r="H17" s="26" t="inlineStr">
        <is>
          <t>implemented</t>
        </is>
      </c>
      <c r="I17" s="26" t="inlineStr">
        <is>
          <t>yes</t>
        </is>
      </c>
      <c r="J17" s="28" t="n"/>
      <c r="K17" s="27" t="inlineStr">
        <is>
          <t>Automated reflow evidence passes; the human manual run is intentionally pending.</t>
        </is>
      </c>
      <c r="L17" s="26" t="n">
        <v>1</v>
      </c>
      <c r="M17" s="26">
        <f>IF(OR(AND(I17="yes",H17="verified"),AND(I17="no",OR(H17="tested",H17="verified")),AND(H17="not applicable",K17&lt;&gt;"")),1,0)</f>
        <v/>
      </c>
    </row>
    <row r="18" ht="54" customHeight="1" s="17">
      <c r="A18" s="26" t="inlineStr">
        <is>
          <t>SA-10</t>
        </is>
      </c>
      <c r="B18" s="26" t="inlineStr">
        <is>
          <t>Theme</t>
        </is>
      </c>
      <c r="C18" s="26" t="inlineStr">
        <is>
          <t>Scroll Area</t>
        </is>
      </c>
      <c r="D18" s="27" t="inlineStr">
        <is>
          <t>Light, dark, forced colors, interaction visibility, focus, and customized scrollbars remain visible.</t>
        </is>
      </c>
      <c r="E18" s="26" t="inlineStr">
        <is>
          <t>package</t>
        </is>
      </c>
      <c r="F18" s="26" t="inlineStr">
        <is>
          <t>manual</t>
        </is>
      </c>
      <c r="G18" s="27" t="inlineStr">
        <is>
          <t>manual-tests/scroll-area.md; tests/components/scroll-area/visual.spec.ts</t>
        </is>
      </c>
      <c r="H18" s="26" t="inlineStr">
        <is>
          <t>implemented</t>
        </is>
      </c>
      <c r="I18" s="26" t="inlineStr">
        <is>
          <t>yes</t>
        </is>
      </c>
      <c r="J18" s="28" t="n"/>
      <c r="K18" s="27" t="inlineStr">
        <is>
          <t>Automated appearance evidence passes; complete human appearance review is pending.</t>
        </is>
      </c>
      <c r="L18" s="26" t="n">
        <v>1</v>
      </c>
      <c r="M18" s="26">
        <f>IF(OR(AND(I18="yes",H18="verified"),AND(I18="no",OR(H18="tested",H18="verified")),AND(H18="not applicable",K18&lt;&gt;"")),1,0)</f>
        <v/>
      </c>
    </row>
    <row r="19" ht="54" customHeight="1" s="17">
      <c r="A19" s="26" t="inlineStr">
        <is>
          <t>SA-11</t>
        </is>
      </c>
      <c r="B19" s="26" t="inlineStr">
        <is>
          <t>Semantics</t>
        </is>
      </c>
      <c r="C19" s="26" t="inlineStr">
        <is>
          <t>Scroll Area</t>
        </is>
      </c>
      <c r="D19" s="27" t="inlineStr">
        <is>
          <t>Plain content opts into a named region while interactive descendants avoid a redundant viewport stop.</t>
        </is>
      </c>
      <c r="E19" s="26" t="inlineStr">
        <is>
          <t>package</t>
        </is>
      </c>
      <c r="F19" s="26" t="inlineStr">
        <is>
          <t>browser</t>
        </is>
      </c>
      <c r="G19" s="27" t="inlineStr">
        <is>
          <t>tests/components/scroll-area/behavior.spec.ts</t>
        </is>
      </c>
      <c r="H19" s="26" t="inlineStr">
        <is>
          <t>tested</t>
        </is>
      </c>
      <c r="I19" s="26" t="inlineStr">
        <is>
          <t>no</t>
        </is>
      </c>
      <c r="J19" s="28" t="n">
        <v>46228</v>
      </c>
      <c r="K19" s="27" t="n"/>
      <c r="L19" s="26" t="n">
        <v>1</v>
      </c>
      <c r="M19" s="26">
        <f>IF(OR(AND(I19="yes",H19="verified"),AND(I19="no",OR(H19="tested",H19="verified")),AND(H19="not applicable",K19&lt;&gt;"")),1,0)</f>
        <v/>
      </c>
    </row>
    <row r="20" ht="54" customHeight="1" s="17">
      <c r="A20" s="26" t="inlineStr">
        <is>
          <t>SA-12</t>
        </is>
      </c>
      <c r="B20" s="26" t="inlineStr">
        <is>
          <t>Manual</t>
        </is>
      </c>
      <c r="C20" s="26" t="inlineStr">
        <is>
          <t>Scroll Area</t>
        </is>
      </c>
      <c r="D20" s="27" t="inlineStr">
        <is>
          <t>The component-owned protocol passes every Scroll Area playground scenario.</t>
        </is>
      </c>
      <c r="E20" s="26" t="inlineStr">
        <is>
          <t>package</t>
        </is>
      </c>
      <c r="F20" s="26" t="inlineStr">
        <is>
          <t>manual</t>
        </is>
      </c>
      <c r="G20" s="27" t="inlineStr">
        <is>
          <t>manual-tests/scroll-area.md</t>
        </is>
      </c>
      <c r="H20" s="26" t="inlineStr">
        <is>
          <t>implemented</t>
        </is>
      </c>
      <c r="I20" s="26" t="inlineStr">
        <is>
          <t>yes</t>
        </is>
      </c>
      <c r="J20" s="28" t="n"/>
      <c r="K20" s="27" t="inlineStr">
        <is>
          <t>Protocol exists; the owner deferred the human run.</t>
        </is>
      </c>
      <c r="L20" s="26" t="n">
        <v>1</v>
      </c>
      <c r="M20" s="26">
        <f>IF(OR(AND(I20="yes",H20="verified"),AND(I20="no",OR(H20="tested",H20="verified")),AND(H20="not applicable",K20&lt;&gt;"")),1,0)</f>
        <v/>
      </c>
    </row>
    <row r="21" ht="54" customHeight="1" s="17">
      <c r="A21" s="26" t="inlineStr">
        <is>
          <t>SA-13</t>
        </is>
      </c>
      <c r="B21" s="26" t="inlineStr">
        <is>
          <t>Docs</t>
        </is>
      </c>
      <c r="C21" s="26" t="inlineStr">
        <is>
          <t>Scroll Area</t>
        </is>
      </c>
      <c r="D21" s="27" t="inlineStr">
        <is>
          <t>Source-backed usage, defaults, axes, visibility, semantics, accessibility, composition, and API docs pass.</t>
        </is>
      </c>
      <c r="E21" s="26" t="inlineStr">
        <is>
          <t>package</t>
        </is>
      </c>
      <c r="F21" s="26" t="inlineStr">
        <is>
          <t>docs</t>
        </is>
      </c>
      <c r="G21" s="27" t="inlineStr">
        <is>
          <t>../docs/components/scroll-area/README.md</t>
        </is>
      </c>
      <c r="H21" s="26" t="inlineStr">
        <is>
          <t>tested</t>
        </is>
      </c>
      <c r="I21" s="26" t="inlineStr">
        <is>
          <t>no</t>
        </is>
      </c>
      <c r="J21" s="28" t="n">
        <v>46228</v>
      </c>
      <c r="K21" s="27" t="n"/>
      <c r="L21" s="26" t="n">
        <v>1</v>
      </c>
      <c r="M21" s="26">
        <f>IF(OR(AND(I21="yes",H21="verified"),AND(I21="no",OR(H21="tested",H21="verified")),AND(H21="not applicable",K21&lt;&gt;"")),1,0)</f>
        <v/>
      </c>
    </row>
    <row r="22" ht="54" customHeight="1" s="17">
      <c r="A22" s="26" t="inlineStr">
        <is>
          <t>SA-14</t>
        </is>
      </c>
      <c r="B22" s="26" t="inlineStr">
        <is>
          <t>Changelog</t>
        </is>
      </c>
      <c r="C22" s="26" t="inlineStr">
        <is>
          <t>Scroll Area</t>
        </is>
      </c>
      <c r="D22" s="27" t="inlineStr">
        <is>
          <t>Scroll Area owns a public changelog and the package changelog records its addition.</t>
        </is>
      </c>
      <c r="E22" s="26" t="inlineStr">
        <is>
          <t>package</t>
        </is>
      </c>
      <c r="F22" s="26" t="inlineStr">
        <is>
          <t>docs</t>
        </is>
      </c>
      <c r="G22" s="27" t="inlineStr">
        <is>
          <t>../docs/components/scroll-area/CHANGELOG.md; ../CHANGELOG.md</t>
        </is>
      </c>
      <c r="H22" s="26" t="inlineStr">
        <is>
          <t>tested</t>
        </is>
      </c>
      <c r="I22" s="26" t="inlineStr">
        <is>
          <t>no</t>
        </is>
      </c>
      <c r="J22" s="28" t="n">
        <v>46228</v>
      </c>
      <c r="K22" s="27" t="n"/>
      <c r="L22" s="26" t="n">
        <v>1</v>
      </c>
      <c r="M22" s="26">
        <f>IF(OR(AND(I22="yes",H22="verified"),AND(I22="no",OR(H22="tested",H22="verified")),AND(H22="not applicable",K22&lt;&gt;"")),1,0)</f>
        <v/>
      </c>
    </row>
    <row r="23" ht="54" customHeight="1" s="17">
      <c r="A23" s="26" t="inlineStr">
        <is>
          <t>SA-15</t>
        </is>
      </c>
      <c r="B23" s="26" t="inlineStr">
        <is>
          <t>Consumer</t>
        </is>
      </c>
      <c r="C23" s="26" t="inlineStr">
        <is>
          <t>Scroll Area</t>
        </is>
      </c>
      <c r="D23" s="27" t="inlineStr">
        <is>
          <t>The packed Consumer proves the public subpath in a constrained native recent-activity region.</t>
        </is>
      </c>
      <c r="E23" s="26" t="inlineStr">
        <is>
          <t>consumer</t>
        </is>
      </c>
      <c r="F23" s="26" t="inlineStr">
        <is>
          <t>consumer</t>
        </is>
      </c>
      <c r="G23" s="27" t="inlineStr">
        <is>
          <t>../apps/consumer/src/App.tsx; ../apps/consumer/tests/consumer.spec.ts</t>
        </is>
      </c>
      <c r="H23" s="26" t="inlineStr">
        <is>
          <t>tested</t>
        </is>
      </c>
      <c r="I23" s="26" t="inlineStr">
        <is>
          <t>no</t>
        </is>
      </c>
      <c r="J23" s="28" t="n">
        <v>46228</v>
      </c>
      <c r="K23" s="27" t="n"/>
      <c r="L23" s="26" t="n">
        <v>1</v>
      </c>
      <c r="M23" s="26">
        <f>IF(OR(AND(I23="yes",H23="verified"),AND(I23="no",OR(H23="tested",H23="verified")),AND(H23="not applicable",K23&lt;&gt;"")),1,0)</f>
        <v/>
      </c>
    </row>
    <row r="24" ht="54" customHeight="1" s="17">
      <c r="A24" s="26" t="inlineStr">
        <is>
          <t>SA-16</t>
        </is>
      </c>
      <c r="B24" s="26" t="inlineStr">
        <is>
          <t>Playground</t>
        </is>
      </c>
      <c r="C24" s="26" t="inlineStr">
        <is>
          <t>Scroll Area</t>
        </is>
      </c>
      <c r="D24" s="27" t="inlineStr">
        <is>
          <t>Intentional shell and fixture scrolling adopt Scroll Area while clipping, diagnostics, and code retain owners.</t>
        </is>
      </c>
      <c r="E24" s="26" t="inlineStr">
        <is>
          <t>package</t>
        </is>
      </c>
      <c r="F24" s="26" t="inlineStr">
        <is>
          <t>package</t>
        </is>
      </c>
      <c r="G24" s="27" t="inlineStr">
        <is>
          <t>../playground/docs/scroll-area-adoption-audit.md; ../scripts/verify-playground-scroll-area.mjs</t>
        </is>
      </c>
      <c r="H24" s="26" t="inlineStr">
        <is>
          <t>tested</t>
        </is>
      </c>
      <c r="I24" s="26" t="inlineStr">
        <is>
          <t>no</t>
        </is>
      </c>
      <c r="J24" s="28" t="n">
        <v>46228</v>
      </c>
      <c r="K24" s="27" t="n"/>
      <c r="L24" s="26" t="n">
        <v>1</v>
      </c>
      <c r="M24" s="26">
        <f>IF(OR(AND(I24="yes",H24="verified"),AND(I24="no",OR(H24="tested",H24="verified")),AND(H24="not applicable",K24&lt;&gt;"")),1,0)</f>
        <v/>
      </c>
    </row>
    <row r="25" ht="54" customHeight="1" s="17">
      <c r="A25" s="26" t="inlineStr">
        <is>
          <t>SA-17</t>
        </is>
      </c>
      <c r="B25" s="26" t="inlineStr">
        <is>
          <t>Package</t>
        </is>
      </c>
      <c r="C25" s="26" t="inlineStr">
        <is>
          <t>Scroll Area</t>
        </is>
      </c>
      <c r="D25" s="27" t="inlineStr">
        <is>
          <t>Build, SSR, exports, CSS, tarball, consumers, browser matrix, and adoption checks pass.</t>
        </is>
      </c>
      <c r="E25" s="26" t="inlineStr">
        <is>
          <t>package</t>
        </is>
      </c>
      <c r="F25" s="26" t="inlineStr">
        <is>
          <t>package</t>
        </is>
      </c>
      <c r="G25" s="27" t="inlineStr">
        <is>
          <t>../test/package; ../scripts/verify-consumers.mjs; ../scripts/verify-playground-scroll-area.mjs</t>
        </is>
      </c>
      <c r="H25" s="26" t="inlineStr">
        <is>
          <t>implemented</t>
        </is>
      </c>
      <c r="I25" s="26" t="inlineStr">
        <is>
          <t>yes</t>
        </is>
      </c>
      <c r="J25" s="28" t="n"/>
      <c r="K25" s="27" t="inlineStr">
        <is>
          <t>Automated package gates pass; complete status waits for the human manual run.</t>
        </is>
      </c>
      <c r="L25" s="26" t="n">
        <v>1</v>
      </c>
      <c r="M25" s="26">
        <f>IF(OR(AND(I25="yes",H25="verified"),AND(I25="no",OR(H25="tested",H25="verified")),AND(H25="not applicable",K25&lt;&gt;"")),1,0)</f>
        <v/>
      </c>
    </row>
  </sheetData>
  <mergeCells count="2">
    <mergeCell ref="A2:M2"/>
    <mergeCell ref="A1:M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33.xml><?xml version="1.0" encoding="utf-8"?>
<worksheet xmlns="http://schemas.openxmlformats.org/spreadsheetml/2006/main">
  <sheetPr filterMode="0">
    <outlinePr summaryBelow="1" summaryRight="1"/>
    <pageSetUpPr fitToPage="0"/>
  </sheetPr>
  <dimension ref="A1:M25"/>
  <sheetViews>
    <sheetView workbookViewId="0">
      <selection activeCell="A1" sqref="A1"/>
    </sheetView>
  </sheetViews>
  <sheetFormatPr baseColWidth="8" defaultColWidth="8.6796875" defaultRowHeight="15" customHeight="0" zeroHeight="0" outlineLevelRow="0"/>
  <cols>
    <col width="13.71" customWidth="1" style="23" min="1" max="1"/>
    <col width="15.71" customWidth="1" style="23" min="2" max="2"/>
    <col width="18.71" customWidth="1" style="23" min="3" max="3"/>
    <col width="58.71" customWidth="1" style="23" min="4" max="4"/>
    <col width="14.71" customWidth="1" style="23" min="5" max="6"/>
    <col width="50.71" customWidth="1" style="23" min="7" max="7"/>
    <col width="17.71" customWidth="1" style="23" min="8" max="8"/>
    <col width="14.71" customWidth="1" style="23" min="9" max="9"/>
    <col width="14.71" customWidth="1" style="25" min="10" max="10"/>
    <col width="42.71" customWidth="1" style="23" min="11" max="11"/>
    <col width="10.71" customWidth="1" style="23" min="12" max="13"/>
  </cols>
  <sheetData>
    <row r="1" ht="37.5" customHeight="1" s="17">
      <c r="A1" s="18" t="inlineStr">
        <is>
          <t>Code Evidence</t>
        </is>
      </c>
    </row>
    <row r="2" ht="27.75" customHeight="1" s="17">
      <c r="A2" s="19" t="inlineStr">
        <is>
          <t>Assertion-level inline semantics, recipes, browser, human-review, documentation, Consumer, and adoption evidence.</t>
        </is>
      </c>
    </row>
    <row r="4" ht="17.25" customHeight="1" s="17">
      <c r="A4" s="20" t="inlineStr">
        <is>
          <t>Requirements</t>
        </is>
      </c>
      <c r="B4" s="21">
        <f>COUNTA(A9:A25)</f>
        <v/>
      </c>
      <c r="D4" s="20" t="inlineStr">
        <is>
          <t>Resolved</t>
        </is>
      </c>
      <c r="E4" s="21">
        <f>SUM(M9:M25)</f>
        <v/>
      </c>
      <c r="G4" s="20" t="inlineStr">
        <is>
          <t>Completion</t>
        </is>
      </c>
      <c r="H4" s="22">
        <f>IF(B4=0,0,E4/B4)</f>
        <v/>
      </c>
      <c r="J4" s="20" t="inlineStr">
        <is>
          <t>Package gate</t>
        </is>
      </c>
      <c r="K4" s="21">
        <f>IF(COUNTIFS(E9:E25,"package",M9:M25,0)&gt;0,"open","complete")</f>
        <v/>
      </c>
    </row>
    <row r="5" ht="17.25" customHeight="1" s="17">
      <c r="A5" s="20" t="inlineStr">
        <is>
          <t>Manual review</t>
        </is>
      </c>
      <c r="B5" s="21">
        <f>IF(COUNTIFS(I9:I25,"yes",M9:M25,0)&gt;0,"open","complete")</f>
        <v/>
      </c>
      <c r="D5" s="20" t="inlineStr">
        <is>
          <t>Consumer gate</t>
        </is>
      </c>
      <c r="E5" s="21">
        <f>IF(COUNTIFS(E9:E25,"consumer",M9:M25,0)&gt;0,"open","complete")</f>
        <v/>
      </c>
    </row>
    <row r="8" ht="15" customHeight="1" s="17">
      <c r="A8" s="23" t="inlineStr">
        <is>
          <t>ID</t>
        </is>
      </c>
      <c r="B8" s="23" t="inlineStr">
        <is>
          <t>Area</t>
        </is>
      </c>
      <c r="C8" s="23" t="inlineStr">
        <is>
          <t>Part</t>
        </is>
      </c>
      <c r="D8" s="23" t="inlineStr">
        <is>
          <t>Requirement</t>
        </is>
      </c>
      <c r="E8" s="23" t="inlineStr">
        <is>
          <t>Gate</t>
        </is>
      </c>
      <c r="F8" s="23" t="inlineStr">
        <is>
          <t>Evidence type</t>
        </is>
      </c>
      <c r="G8" s="23" t="inlineStr">
        <is>
          <t>Evidence / link</t>
        </is>
      </c>
      <c r="H8" s="23" t="inlineStr">
        <is>
          <t>Status</t>
        </is>
      </c>
      <c r="I8" s="23" t="inlineStr">
        <is>
          <t>Human review?</t>
        </is>
      </c>
      <c r="J8" s="25" t="inlineStr">
        <is>
          <t>Last verified</t>
        </is>
      </c>
      <c r="K8" s="23" t="inlineStr">
        <is>
          <t>Blocker / N/A reason</t>
        </is>
      </c>
      <c r="L8" s="23" t="inlineStr">
        <is>
          <t>Weight</t>
        </is>
      </c>
      <c r="M8" s="23" t="inlineStr">
        <is>
          <t>Resolved</t>
        </is>
      </c>
    </row>
    <row r="9" ht="54" customHeight="1" s="17">
      <c r="A9" s="26" t="inlineStr">
        <is>
          <t>CO-01</t>
        </is>
      </c>
      <c r="B9" s="26" t="inlineStr">
        <is>
          <t>Implementation</t>
        </is>
      </c>
      <c r="C9" s="26" t="inlineStr">
        <is>
          <t>Code</t>
        </is>
      </c>
      <c r="D9" s="27" t="inlineStr">
        <is>
          <t>Native code host, refs, slots, classes, styles, and closed recipes render from one server-safe component.</t>
        </is>
      </c>
      <c r="E9" s="26" t="inlineStr">
        <is>
          <t>package</t>
        </is>
      </c>
      <c r="F9" s="26" t="inlineStr">
        <is>
          <t>source</t>
        </is>
      </c>
      <c r="G9" s="27" t="inlineStr">
        <is>
          <t>../src/components/code</t>
        </is>
      </c>
      <c r="H9" s="26" t="inlineStr">
        <is>
          <t>tested</t>
        </is>
      </c>
      <c r="I9" s="26" t="inlineStr">
        <is>
          <t>no</t>
        </is>
      </c>
      <c r="J9" s="28" t="n">
        <v>46228</v>
      </c>
      <c r="K9" s="27" t="n"/>
      <c r="L9" s="26" t="n">
        <v>1</v>
      </c>
      <c r="M9" s="26">
        <f>IF(OR(AND(I9="yes",H9="verified"),AND(I9="no",OR(H9="tested",H9="verified")),AND(H9="not applicable",K9&lt;&gt;"")),1,0)</f>
        <v/>
      </c>
    </row>
    <row r="10" ht="54" customHeight="1" s="17">
      <c r="A10" s="26" t="inlineStr">
        <is>
          <t>CO-02</t>
        </is>
      </c>
      <c r="B10" s="26" t="inlineStr">
        <is>
          <t>Exports</t>
        </is>
      </c>
      <c r="C10" s="26" t="inlineStr">
        <is>
          <t>Code</t>
        </is>
      </c>
      <c r="D10" s="27" t="inlineStr">
        <is>
          <t>Root and Code subpath exports expose the runtime and every public type.</t>
        </is>
      </c>
      <c r="E10" s="26" t="inlineStr">
        <is>
          <t>package</t>
        </is>
      </c>
      <c r="F10" s="26" t="inlineStr">
        <is>
          <t>package</t>
        </is>
      </c>
      <c r="G10" s="27" t="inlineStr">
        <is>
          <t>../test/package/package.test.mjs; ../test/package/ssr.test.mjs</t>
        </is>
      </c>
      <c r="H10" s="26" t="inlineStr">
        <is>
          <t>tested</t>
        </is>
      </c>
      <c r="I10" s="26" t="inlineStr">
        <is>
          <t>no</t>
        </is>
      </c>
      <c r="J10" s="28" t="n">
        <v>46228</v>
      </c>
      <c r="K10" s="27" t="n"/>
      <c r="L10" s="26" t="n">
        <v>1</v>
      </c>
      <c r="M10" s="26">
        <f>IF(OR(AND(I10="yes",H10="verified"),AND(I10="no",OR(H10="tested",H10="verified")),AND(H10="not applicable",K10&lt;&gt;"")),1,0)</f>
        <v/>
      </c>
    </row>
    <row r="11" ht="54" customHeight="1" s="17">
      <c r="A11" s="26" t="inlineStr">
        <is>
          <t>CO-03</t>
        </is>
      </c>
      <c r="B11" s="26" t="inlineStr">
        <is>
          <t>Types</t>
        </is>
      </c>
      <c r="C11" s="26" t="inlineStr">
        <is>
          <t>Code</t>
        </is>
      </c>
      <c r="D11" s="27" t="inlineStr">
        <is>
          <t>Recipes, native attributes, content, and HTMLElement ref contracts type-check.</t>
        </is>
      </c>
      <c r="E11" s="26" t="inlineStr">
        <is>
          <t>package</t>
        </is>
      </c>
      <c r="F11" s="26" t="inlineStr">
        <is>
          <t>types</t>
        </is>
      </c>
      <c r="G11" s="27" t="inlineStr">
        <is>
          <t>../test/types/components/code.test.ts</t>
        </is>
      </c>
      <c r="H11" s="26" t="inlineStr">
        <is>
          <t>tested</t>
        </is>
      </c>
      <c r="I11" s="26" t="inlineStr">
        <is>
          <t>no</t>
        </is>
      </c>
      <c r="J11" s="28" t="n">
        <v>46228</v>
      </c>
      <c r="K11" s="27" t="n"/>
      <c r="L11" s="26" t="n">
        <v>1</v>
      </c>
      <c r="M11" s="26">
        <f>IF(OR(AND(I11="yes",H11="verified"),AND(I11="no",OR(H11="tested",H11="verified")),AND(H11="not applicable",K11&lt;&gt;"")),1,0)</f>
        <v/>
      </c>
    </row>
    <row r="12" ht="54" customHeight="1" s="17">
      <c r="A12" s="26" t="inlineStr">
        <is>
          <t>CO-04</t>
        </is>
      </c>
      <c r="B12" s="26" t="inlineStr">
        <is>
          <t>CSS</t>
        </is>
      </c>
      <c r="C12" s="26" t="inlineStr">
        <is>
          <t>Code</t>
        </is>
      </c>
      <c r="D12" s="27" t="inlineStr">
        <is>
          <t>Static CSS ships inline recipes, wrapping, forced colors, and public variables.</t>
        </is>
      </c>
      <c r="E12" s="26" t="inlineStr">
        <is>
          <t>package</t>
        </is>
      </c>
      <c r="F12" s="26" t="inlineStr">
        <is>
          <t>css</t>
        </is>
      </c>
      <c r="G12" s="27" t="inlineStr">
        <is>
          <t>../src/components/code/code.css</t>
        </is>
      </c>
      <c r="H12" s="26" t="inlineStr">
        <is>
          <t>tested</t>
        </is>
      </c>
      <c r="I12" s="26" t="inlineStr">
        <is>
          <t>no</t>
        </is>
      </c>
      <c r="J12" s="28" t="n">
        <v>46228</v>
      </c>
      <c r="K12" s="27" t="n"/>
      <c r="L12" s="26" t="n">
        <v>1</v>
      </c>
      <c r="M12" s="26">
        <f>IF(OR(AND(I12="yes",H12="verified"),AND(I12="no",OR(H12="tested",H12="verified")),AND(H12="not applicable",K12&lt;&gt;"")),1,0)</f>
        <v/>
      </c>
    </row>
    <row r="13" ht="54" customHeight="1" s="17">
      <c r="A13" s="26" t="inlineStr">
        <is>
          <t>CO-05</t>
        </is>
      </c>
      <c r="B13" s="26" t="inlineStr">
        <is>
          <t>Unit</t>
        </is>
      </c>
      <c r="C13" s="26" t="inlineStr">
        <is>
          <t>Code</t>
        </is>
      </c>
      <c r="D13" s="27" t="inlineStr">
        <is>
          <t>Defaults, recipes, native forwarding, ref, events, and semantic host pass focused tests.</t>
        </is>
      </c>
      <c r="E13" s="26" t="inlineStr">
        <is>
          <t>package</t>
        </is>
      </c>
      <c r="F13" s="26" t="inlineStr">
        <is>
          <t>component</t>
        </is>
      </c>
      <c r="G13" s="27" t="inlineStr">
        <is>
          <t>../test/components/code/code.test.tsx</t>
        </is>
      </c>
      <c r="H13" s="26" t="inlineStr">
        <is>
          <t>tested</t>
        </is>
      </c>
      <c r="I13" s="26" t="inlineStr">
        <is>
          <t>no</t>
        </is>
      </c>
      <c r="J13" s="28" t="n">
        <v>46228</v>
      </c>
      <c r="K13" s="27" t="n"/>
      <c r="L13" s="26" t="n">
        <v>1</v>
      </c>
      <c r="M13" s="26">
        <f>IF(OR(AND(I13="yes",H13="verified"),AND(I13="no",OR(H13="tested",H13="verified")),AND(H13="not applicable",K13&lt;&gt;"")),1,0)</f>
        <v/>
      </c>
    </row>
    <row r="14" ht="54" customHeight="1" s="17">
      <c r="A14" s="26" t="inlineStr">
        <is>
          <t>CO-06</t>
        </is>
      </c>
      <c r="B14" s="26" t="inlineStr">
        <is>
          <t>Browser</t>
        </is>
      </c>
      <c r="C14" s="26" t="inlineStr">
        <is>
          <t>Code</t>
        </is>
      </c>
      <c r="D14" s="27" t="inlineStr">
        <is>
          <t>Inline context, native output, wrapping, RTL, zoom, and focus neutrality pass.</t>
        </is>
      </c>
      <c r="E14" s="26" t="inlineStr">
        <is>
          <t>package</t>
        </is>
      </c>
      <c r="F14" s="26" t="inlineStr">
        <is>
          <t>browser</t>
        </is>
      </c>
      <c r="G14" s="27" t="inlineStr">
        <is>
          <t>tests/components/code/behavior.spec.ts</t>
        </is>
      </c>
      <c r="H14" s="26" t="inlineStr">
        <is>
          <t>tested</t>
        </is>
      </c>
      <c r="I14" s="26" t="inlineStr">
        <is>
          <t>no</t>
        </is>
      </c>
      <c r="J14" s="28" t="n">
        <v>46228</v>
      </c>
      <c r="K14" s="27" t="n"/>
      <c r="L14" s="26" t="n">
        <v>1</v>
      </c>
      <c r="M14" s="26">
        <f>IF(OR(AND(I14="yes",H14="verified"),AND(I14="no",OR(H14="tested",H14="verified")),AND(H14="not applicable",K14&lt;&gt;"")),1,0)</f>
        <v/>
      </c>
    </row>
    <row r="15" ht="54" customHeight="1" s="17">
      <c r="A15" s="26" t="inlineStr">
        <is>
          <t>CO-07</t>
        </is>
      </c>
      <c r="B15" s="26" t="inlineStr">
        <is>
          <t>Accessibility</t>
        </is>
      </c>
      <c r="C15" s="26" t="inlineStr">
        <is>
          <t>Code</t>
        </is>
      </c>
      <c r="D15" s="27" t="inlineStr">
        <is>
          <t>Native semantics, meaningful prose context, text spacing, and axe remain correct.</t>
        </is>
      </c>
      <c r="E15" s="26" t="inlineStr">
        <is>
          <t>package</t>
        </is>
      </c>
      <c r="F15" s="26" t="inlineStr">
        <is>
          <t>axe</t>
        </is>
      </c>
      <c r="G15" s="27" t="inlineStr">
        <is>
          <t>tests/components/code/behavior.spec.ts</t>
        </is>
      </c>
      <c r="H15" s="26" t="inlineStr">
        <is>
          <t>tested</t>
        </is>
      </c>
      <c r="I15" s="26" t="inlineStr">
        <is>
          <t>no</t>
        </is>
      </c>
      <c r="J15" s="28" t="n">
        <v>46228</v>
      </c>
      <c r="K15" s="27" t="n"/>
      <c r="L15" s="26" t="n">
        <v>1</v>
      </c>
      <c r="M15" s="26">
        <f>IF(OR(AND(I15="yes",H15="verified"),AND(I15="no",OR(H15="tested",H15="verified")),AND(H15="not applicable",K15&lt;&gt;"")),1,0)</f>
        <v/>
      </c>
    </row>
    <row r="16" ht="54" customHeight="1" s="17">
      <c r="A16" s="26" t="inlineStr">
        <is>
          <t>CO-08</t>
        </is>
      </c>
      <c r="B16" s="26" t="inlineStr">
        <is>
          <t>Visual</t>
        </is>
      </c>
      <c r="C16" s="26" t="inlineStr">
        <is>
          <t>Code</t>
        </is>
      </c>
      <c r="D16" s="27" t="inlineStr">
        <is>
          <t>Defaults, recipes, appearances, customization, narrow layout, and RTL own baselines.</t>
        </is>
      </c>
      <c r="E16" s="26" t="inlineStr">
        <is>
          <t>package</t>
        </is>
      </c>
      <c r="F16" s="26" t="inlineStr">
        <is>
          <t>visual</t>
        </is>
      </c>
      <c r="G16" s="27" t="inlineStr">
        <is>
          <t>tests/components/code/visual.spec.ts</t>
        </is>
      </c>
      <c r="H16" s="26" t="inlineStr">
        <is>
          <t>implemented</t>
        </is>
      </c>
      <c r="I16" s="26" t="inlineStr">
        <is>
          <t>yes</t>
        </is>
      </c>
      <c r="J16" s="28" t="n">
        <v>46228</v>
      </c>
      <c r="K16" s="27" t="inlineStr">
        <is>
          <t>Human snapshot review is pending.</t>
        </is>
      </c>
      <c r="L16" s="26" t="n">
        <v>1</v>
      </c>
      <c r="M16" s="26">
        <f>IF(OR(AND(I16="yes",H16="verified"),AND(I16="no",OR(H16="tested",H16="verified")),AND(H16="not applicable",K16&lt;&gt;"")),1,0)</f>
        <v/>
      </c>
    </row>
    <row r="17" ht="54" customHeight="1" s="17">
      <c r="A17" s="26" t="inlineStr">
        <is>
          <t>CO-09</t>
        </is>
      </c>
      <c r="B17" s="26" t="inlineStr">
        <is>
          <t>Responsive</t>
        </is>
      </c>
      <c r="C17" s="26" t="inlineStr">
        <is>
          <t>Code</t>
        </is>
      </c>
      <c r="D17" s="27" t="inlineStr">
        <is>
          <t>Long literals, narrow widths, RTL prose, zoom, and text spacing remain readable.</t>
        </is>
      </c>
      <c r="E17" s="26" t="inlineStr">
        <is>
          <t>package</t>
        </is>
      </c>
      <c r="F17" s="26" t="inlineStr">
        <is>
          <t>manual</t>
        </is>
      </c>
      <c r="G17" s="27" t="inlineStr">
        <is>
          <t>manual-tests/code.md</t>
        </is>
      </c>
      <c r="H17" s="26" t="inlineStr">
        <is>
          <t>implemented</t>
        </is>
      </c>
      <c r="I17" s="26" t="inlineStr">
        <is>
          <t>yes</t>
        </is>
      </c>
      <c r="J17" s="28" t="n"/>
      <c r="K17" s="27" t="inlineStr">
        <is>
          <t>Protocol exists; human run is pending.</t>
        </is>
      </c>
      <c r="L17" s="26" t="n">
        <v>1</v>
      </c>
      <c r="M17" s="26">
        <f>IF(OR(AND(I17="yes",H17="verified"),AND(I17="no",OR(H17="tested",H17="verified")),AND(H17="not applicable",K17&lt;&gt;"")),1,0)</f>
        <v/>
      </c>
    </row>
    <row r="18" ht="54" customHeight="1" s="17">
      <c r="A18" s="26" t="inlineStr">
        <is>
          <t>CO-10</t>
        </is>
      </c>
      <c r="B18" s="26" t="inlineStr">
        <is>
          <t>Manual</t>
        </is>
      </c>
      <c r="C18" s="26" t="inlineStr">
        <is>
          <t>Code</t>
        </is>
      </c>
      <c r="D18" s="27" t="inlineStr">
        <is>
          <t>The component-owned protocol covers every Code playground scenario.</t>
        </is>
      </c>
      <c r="E18" s="26" t="inlineStr">
        <is>
          <t>package</t>
        </is>
      </c>
      <c r="F18" s="26" t="inlineStr">
        <is>
          <t>manual</t>
        </is>
      </c>
      <c r="G18" s="27" t="inlineStr">
        <is>
          <t>manual-tests/code.md</t>
        </is>
      </c>
      <c r="H18" s="26" t="inlineStr">
        <is>
          <t>implemented</t>
        </is>
      </c>
      <c r="I18" s="26" t="inlineStr">
        <is>
          <t>yes</t>
        </is>
      </c>
      <c r="J18" s="28" t="n"/>
      <c r="K18" s="27" t="inlineStr">
        <is>
          <t>Protocol exists; human run is pending.</t>
        </is>
      </c>
      <c r="L18" s="26" t="n">
        <v>1</v>
      </c>
      <c r="M18" s="26">
        <f>IF(OR(AND(I18="yes",H18="verified"),AND(I18="no",OR(H18="tested",H18="verified")),AND(H18="not applicable",K18&lt;&gt;"")),1,0)</f>
        <v/>
      </c>
    </row>
    <row r="19" ht="54" customHeight="1" s="17">
      <c r="A19" s="26" t="inlineStr">
        <is>
          <t>CO-11</t>
        </is>
      </c>
      <c r="B19" s="26" t="inlineStr">
        <is>
          <t>Docs</t>
        </is>
      </c>
      <c r="C19" s="26" t="inlineStr">
        <is>
          <t>Code</t>
        </is>
      </c>
      <c r="D19" s="27" t="inlineStr">
        <is>
          <t>Source-backed usage, recipes, semantics, API, tokens, and exclusions pass.</t>
        </is>
      </c>
      <c r="E19" s="26" t="inlineStr">
        <is>
          <t>package</t>
        </is>
      </c>
      <c r="F19" s="26" t="inlineStr">
        <is>
          <t>docs</t>
        </is>
      </c>
      <c r="G19" s="27" t="inlineStr">
        <is>
          <t>../docs/components/code/README.md</t>
        </is>
      </c>
      <c r="H19" s="26" t="inlineStr">
        <is>
          <t>tested</t>
        </is>
      </c>
      <c r="I19" s="26" t="inlineStr">
        <is>
          <t>no</t>
        </is>
      </c>
      <c r="J19" s="28" t="n">
        <v>46228</v>
      </c>
      <c r="K19" s="27" t="n"/>
      <c r="L19" s="26" t="n">
        <v>1</v>
      </c>
      <c r="M19" s="26">
        <f>IF(OR(AND(I19="yes",H19="verified"),AND(I19="no",OR(H19="tested",H19="verified")),AND(H19="not applicable",K19&lt;&gt;"")),1,0)</f>
        <v/>
      </c>
    </row>
    <row r="20" ht="54" customHeight="1" s="17">
      <c r="A20" s="26" t="inlineStr">
        <is>
          <t>CO-12</t>
        </is>
      </c>
      <c r="B20" s="26" t="inlineStr">
        <is>
          <t>Changelog</t>
        </is>
      </c>
      <c r="C20" s="26" t="inlineStr">
        <is>
          <t>Code</t>
        </is>
      </c>
      <c r="D20" s="27" t="inlineStr">
        <is>
          <t>Code owns a public changelog and the package changelog records its addition.</t>
        </is>
      </c>
      <c r="E20" s="26" t="inlineStr">
        <is>
          <t>package</t>
        </is>
      </c>
      <c r="F20" s="26" t="inlineStr">
        <is>
          <t>docs</t>
        </is>
      </c>
      <c r="G20" s="27" t="inlineStr">
        <is>
          <t>../docs/components/code/CHANGELOG.md; ../CHANGELOG.md</t>
        </is>
      </c>
      <c r="H20" s="26" t="inlineStr">
        <is>
          <t>tested</t>
        </is>
      </c>
      <c r="I20" s="26" t="inlineStr">
        <is>
          <t>no</t>
        </is>
      </c>
      <c r="J20" s="28" t="n">
        <v>46228</v>
      </c>
      <c r="K20" s="27" t="inlineStr">
        <is>
          <t>Protocol exists; the owner deferred the human run.</t>
        </is>
      </c>
      <c r="L20" s="26" t="n">
        <v>1</v>
      </c>
      <c r="M20" s="26">
        <f>IF(OR(AND(I20="yes",H20="verified"),AND(I20="no",OR(H20="tested",H20="verified")),AND(H20="not applicable",K20&lt;&gt;"")),1,0)</f>
        <v/>
      </c>
    </row>
    <row r="21" ht="54" customHeight="1" s="17">
      <c r="A21" s="26" t="inlineStr">
        <is>
          <t>CO-13</t>
        </is>
      </c>
      <c r="B21" s="26" t="inlineStr">
        <is>
          <t>Consumer</t>
        </is>
      </c>
      <c r="C21" s="26" t="inlineStr">
        <is>
          <t>Code</t>
        </is>
      </c>
      <c r="D21" s="27" t="inlineStr">
        <is>
          <t>The packed Consumer proves the public subpath in realistic prose.</t>
        </is>
      </c>
      <c r="E21" s="26" t="inlineStr">
        <is>
          <t>consumer</t>
        </is>
      </c>
      <c r="F21" s="26" t="inlineStr">
        <is>
          <t>consumer</t>
        </is>
      </c>
      <c r="G21" s="27" t="inlineStr">
        <is>
          <t>../apps/consumer/src/App.tsx; ../apps/consumer/tests/consumer.spec.ts</t>
        </is>
      </c>
      <c r="H21" s="26" t="inlineStr">
        <is>
          <t>tested</t>
        </is>
      </c>
      <c r="I21" s="26" t="inlineStr">
        <is>
          <t>no</t>
        </is>
      </c>
      <c r="J21" s="28" t="n">
        <v>46228</v>
      </c>
      <c r="K21" s="27" t="n"/>
      <c r="L21" s="26" t="n">
        <v>1</v>
      </c>
      <c r="M21" s="26">
        <f>IF(OR(AND(I21="yes",H21="verified"),AND(I21="no",OR(H21="tested",H21="verified")),AND(H21="not applicable",K21&lt;&gt;"")),1,0)</f>
        <v/>
      </c>
    </row>
    <row r="22" ht="54" customHeight="1" s="17">
      <c r="A22" s="26" t="inlineStr">
        <is>
          <t>CO-14</t>
        </is>
      </c>
      <c r="B22" s="26" t="inlineStr">
        <is>
          <t>Playground</t>
        </is>
      </c>
      <c r="C22" s="26" t="inlineStr">
        <is>
          <t>Code</t>
        </is>
      </c>
      <c r="D22" s="27" t="inlineStr">
        <is>
          <t>Inline technical displays adopt Code and raw code hosts are rejected.</t>
        </is>
      </c>
      <c r="E22" s="26" t="inlineStr">
        <is>
          <t>package</t>
        </is>
      </c>
      <c r="F22" s="26" t="inlineStr">
        <is>
          <t>package</t>
        </is>
      </c>
      <c r="G22" s="27" t="inlineStr">
        <is>
          <t>docs/code-adoption-audit.md; ../scripts/verify-playground-code.mjs</t>
        </is>
      </c>
      <c r="H22" s="26" t="inlineStr">
        <is>
          <t>tested</t>
        </is>
      </c>
      <c r="I22" s="26" t="inlineStr">
        <is>
          <t>no</t>
        </is>
      </c>
      <c r="J22" s="28" t="n">
        <v>46228</v>
      </c>
      <c r="K22" s="27" t="n"/>
      <c r="L22" s="26" t="n">
        <v>1</v>
      </c>
      <c r="M22" s="26">
        <f>IF(OR(AND(I22="yes",H22="verified"),AND(I22="no",OR(H22="tested",H22="verified")),AND(H22="not applicable",K22&lt;&gt;"")),1,0)</f>
        <v/>
      </c>
    </row>
    <row r="23" ht="54" customHeight="1" s="17">
      <c r="A23" s="26" t="inlineStr">
        <is>
          <t>CO-15</t>
        </is>
      </c>
      <c r="B23" s="26" t="inlineStr">
        <is>
          <t>Package</t>
        </is>
      </c>
      <c r="C23" s="26" t="inlineStr">
        <is>
          <t>Code</t>
        </is>
      </c>
      <c r="D23" s="27" t="inlineStr">
        <is>
          <t>Build, SSR, exports, CSS, tarball, consumers, browser matrix, and adoption checks pass.</t>
        </is>
      </c>
      <c r="E23" s="26" t="inlineStr">
        <is>
          <t>package</t>
        </is>
      </c>
      <c r="F23" s="26" t="inlineStr">
        <is>
          <t>package</t>
        </is>
      </c>
      <c r="G23" s="27" t="inlineStr">
        <is>
          <t>../test/package; ../scripts/verify-consumers.mjs</t>
        </is>
      </c>
      <c r="H23" s="26" t="inlineStr">
        <is>
          <t>implemented</t>
        </is>
      </c>
      <c r="I23" s="26" t="inlineStr">
        <is>
          <t>yes</t>
        </is>
      </c>
      <c r="J23" s="28" t="n">
        <v>46228</v>
      </c>
      <c r="K23" s="27" t="inlineStr">
        <is>
          <t>Automated and human release gates are pending.</t>
        </is>
      </c>
      <c r="L23" s="26" t="n">
        <v>1</v>
      </c>
      <c r="M23" s="26">
        <f>IF(OR(AND(I23="yes",H23="verified"),AND(I23="no",OR(H23="tested",H23="verified")),AND(H23="not applicable",K23&lt;&gt;"")),1,0)</f>
        <v/>
      </c>
    </row>
    <row r="24" ht="54" customHeight="1" s="17">
      <c r="A24" s="26" t="n"/>
      <c r="B24" s="26" t="n"/>
      <c r="C24" s="26" t="n"/>
      <c r="D24" s="27" t="n"/>
      <c r="E24" s="26" t="n"/>
      <c r="F24" s="26" t="n"/>
      <c r="G24" s="27" t="n"/>
      <c r="H24" s="26" t="n"/>
      <c r="I24" s="26" t="n"/>
      <c r="J24" s="28" t="n"/>
      <c r="K24" s="27" t="n"/>
      <c r="L24" s="26" t="n"/>
      <c r="M24" s="26" t="n"/>
    </row>
    <row r="25" ht="54" customHeight="1" s="17">
      <c r="A25" s="26" t="n"/>
      <c r="B25" s="26" t="n"/>
      <c r="C25" s="26" t="n"/>
      <c r="D25" s="27" t="n"/>
      <c r="E25" s="26" t="n"/>
      <c r="F25" s="26" t="n"/>
      <c r="G25" s="27" t="n"/>
      <c r="H25" s="26" t="n"/>
      <c r="I25" s="26" t="n"/>
      <c r="J25" s="28" t="n"/>
      <c r="K25" s="27" t="n"/>
      <c r="L25" s="26" t="n"/>
      <c r="M25" s="26" t="n"/>
    </row>
  </sheetData>
  <mergeCells count="2">
    <mergeCell ref="A2:M2"/>
    <mergeCell ref="A1:M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34.xml><?xml version="1.0" encoding="utf-8"?>
<worksheet xmlns="http://schemas.openxmlformats.org/spreadsheetml/2006/main">
  <sheetPr filterMode="0">
    <outlinePr summaryBelow="1" summaryRight="1"/>
    <pageSetUpPr fitToPage="0"/>
  </sheetPr>
  <dimension ref="A1:M25"/>
  <sheetViews>
    <sheetView workbookViewId="0">
      <selection activeCell="A1" sqref="A1"/>
    </sheetView>
  </sheetViews>
  <sheetFormatPr baseColWidth="8" defaultColWidth="8.6796875" defaultRowHeight="15" customHeight="0" zeroHeight="0" outlineLevelRow="0"/>
  <cols>
    <col width="13.71" customWidth="1" style="23" min="1" max="1"/>
    <col width="15.71" customWidth="1" style="23" min="2" max="2"/>
    <col width="18.71" customWidth="1" style="23" min="3" max="3"/>
    <col width="58.71" customWidth="1" style="23" min="4" max="4"/>
    <col width="14.71" customWidth="1" style="23" min="5" max="6"/>
    <col width="50.71" customWidth="1" style="23" min="7" max="7"/>
    <col width="17.71" customWidth="1" style="23" min="8" max="8"/>
    <col width="14.71" customWidth="1" style="23" min="9" max="9"/>
    <col width="14.71" customWidth="1" style="25" min="10" max="10"/>
    <col width="42.71" customWidth="1" style="23" min="11" max="11"/>
    <col width="10.71" customWidth="1" style="23" min="12" max="13"/>
  </cols>
  <sheetData>
    <row r="1" ht="37.5" customHeight="1" s="17">
      <c r="A1" s="18" t="inlineStr">
        <is>
          <t>Code Block Evidence</t>
        </is>
      </c>
    </row>
    <row r="2" ht="27.75" customHeight="1" s="17">
      <c r="A2" s="19" t="inlineStr">
        <is>
          <t>Assertion-level compound source, Clipboard, overflow, browser, human-review, documentation, Consumer, and adoption evidence.</t>
        </is>
      </c>
    </row>
    <row r="4" ht="17.25" customHeight="1" s="17">
      <c r="A4" s="20" t="inlineStr">
        <is>
          <t>Requirements</t>
        </is>
      </c>
      <c r="B4" s="21">
        <f>COUNTA(A9:A25)</f>
        <v/>
      </c>
      <c r="D4" s="20" t="inlineStr">
        <is>
          <t>Resolved</t>
        </is>
      </c>
      <c r="E4" s="21">
        <f>SUM(M9:M25)</f>
        <v/>
      </c>
      <c r="G4" s="20" t="inlineStr">
        <is>
          <t>Completion</t>
        </is>
      </c>
      <c r="H4" s="22">
        <f>IF(B4=0,0,E4/B4)</f>
        <v/>
      </c>
      <c r="J4" s="20" t="inlineStr">
        <is>
          <t>Package gate</t>
        </is>
      </c>
      <c r="K4" s="21">
        <f>IF(COUNTIFS(E9:E25,"package",M9:M25,0)&gt;0,"open","complete")</f>
        <v/>
      </c>
    </row>
    <row r="5" ht="17.25" customHeight="1" s="17">
      <c r="A5" s="20" t="inlineStr">
        <is>
          <t>Manual review</t>
        </is>
      </c>
      <c r="B5" s="21">
        <f>IF(COUNTIFS(I9:I25,"yes",M9:M25,0)&gt;0,"open","complete")</f>
        <v/>
      </c>
      <c r="D5" s="20" t="inlineStr">
        <is>
          <t>Consumer gate</t>
        </is>
      </c>
      <c r="E5" s="21">
        <f>IF(COUNTIFS(E9:E25,"consumer",M9:M25,0)&gt;0,"open","complete")</f>
        <v/>
      </c>
    </row>
    <row r="8" ht="15" customHeight="1" s="17">
      <c r="A8" s="23" t="inlineStr">
        <is>
          <t>ID</t>
        </is>
      </c>
      <c r="B8" s="23" t="inlineStr">
        <is>
          <t>Area</t>
        </is>
      </c>
      <c r="C8" s="23" t="inlineStr">
        <is>
          <t>Part</t>
        </is>
      </c>
      <c r="D8" s="23" t="inlineStr">
        <is>
          <t>Requirement</t>
        </is>
      </c>
      <c r="E8" s="23" t="inlineStr">
        <is>
          <t>Gate</t>
        </is>
      </c>
      <c r="F8" s="23" t="inlineStr">
        <is>
          <t>Evidence type</t>
        </is>
      </c>
      <c r="G8" s="23" t="inlineStr">
        <is>
          <t>Evidence / link</t>
        </is>
      </c>
      <c r="H8" s="23" t="inlineStr">
        <is>
          <t>Status</t>
        </is>
      </c>
      <c r="I8" s="23" t="inlineStr">
        <is>
          <t>Human review?</t>
        </is>
      </c>
      <c r="J8" s="25" t="inlineStr">
        <is>
          <t>Last verified</t>
        </is>
      </c>
      <c r="K8" s="23" t="inlineStr">
        <is>
          <t>Blocker / N/A reason</t>
        </is>
      </c>
      <c r="L8" s="23" t="inlineStr">
        <is>
          <t>Weight</t>
        </is>
      </c>
      <c r="M8" s="23" t="inlineStr">
        <is>
          <t>Resolved</t>
        </is>
      </c>
    </row>
    <row r="9" ht="54" customHeight="1" s="17">
      <c r="A9" s="26" t="inlineStr">
        <is>
          <t>CB-01</t>
        </is>
      </c>
      <c r="B9" s="26" t="inlineStr">
        <is>
          <t>Implementation</t>
        </is>
      </c>
      <c r="C9" s="26" t="inlineStr">
        <is>
          <t>Root and anatomy</t>
        </is>
      </c>
      <c r="D9" s="27" t="inlineStr">
        <is>
          <t>Atom Clipboard Root plus Header, Title, Language, Actions, Content, and copy parts compose correctly.</t>
        </is>
      </c>
      <c r="E9" s="26" t="inlineStr">
        <is>
          <t>package</t>
        </is>
      </c>
      <c r="F9" s="26" t="inlineStr">
        <is>
          <t>source</t>
        </is>
      </c>
      <c r="G9" s="27" t="inlineStr">
        <is>
          <t>../src/components/code-block</t>
        </is>
      </c>
      <c r="H9" s="26" t="inlineStr">
        <is>
          <t>tested</t>
        </is>
      </c>
      <c r="I9" s="26" t="inlineStr">
        <is>
          <t>no</t>
        </is>
      </c>
      <c r="J9" s="28" t="n">
        <v>46228</v>
      </c>
      <c r="K9" s="27" t="n"/>
      <c r="L9" s="26" t="n">
        <v>1</v>
      </c>
      <c r="M9" s="26">
        <f>IF(OR(AND(I9="yes",H9="verified"),AND(I9="no",OR(H9="tested",H9="verified")),AND(H9="not applicable",K9&lt;&gt;"")),1,0)</f>
        <v/>
      </c>
    </row>
    <row r="10" ht="54" customHeight="1" s="17">
      <c r="A10" s="26" t="inlineStr">
        <is>
          <t>CB-02</t>
        </is>
      </c>
      <c r="B10" s="26" t="inlineStr">
        <is>
          <t>Composition</t>
        </is>
      </c>
      <c r="C10" s="26" t="inlineStr">
        <is>
          <t>Content</t>
        </is>
      </c>
      <c r="D10" s="27" t="inlineStr">
        <is>
          <t>Content composes one Scroll Area viewport and canonical pre &gt; Brick Code markup.</t>
        </is>
      </c>
      <c r="E10" s="26" t="inlineStr">
        <is>
          <t>package</t>
        </is>
      </c>
      <c r="F10" s="26" t="inlineStr">
        <is>
          <t>component</t>
        </is>
      </c>
      <c r="G10" s="27" t="inlineStr">
        <is>
          <t>../test/components/code-block/code-block.test.tsx</t>
        </is>
      </c>
      <c r="H10" s="26" t="inlineStr">
        <is>
          <t>tested</t>
        </is>
      </c>
      <c r="I10" s="26" t="inlineStr">
        <is>
          <t>no</t>
        </is>
      </c>
      <c r="J10" s="28" t="n">
        <v>46228</v>
      </c>
      <c r="K10" s="27" t="n"/>
      <c r="L10" s="26" t="n">
        <v>1</v>
      </c>
      <c r="M10" s="26">
        <f>IF(OR(AND(I10="yes",H10="verified"),AND(I10="no",OR(H10="tested",H10="verified")),AND(H10="not applicable",K10&lt;&gt;"")),1,0)</f>
        <v/>
      </c>
    </row>
    <row r="11" ht="54" customHeight="1" s="17">
      <c r="A11" s="26" t="inlineStr">
        <is>
          <t>CB-03</t>
        </is>
      </c>
      <c r="B11" s="26" t="inlineStr">
        <is>
          <t>Clipboard</t>
        </is>
      </c>
      <c r="C11" s="26" t="inlineStr">
        <is>
          <t>Copy parts</t>
        </is>
      </c>
      <c r="D11" s="27" t="inlineStr">
        <is>
          <t>CopyTrigger, indicators, status, pending, success, failure, timeout, and disabled state use Atom Clipboard.</t>
        </is>
      </c>
      <c r="E11" s="26" t="inlineStr">
        <is>
          <t>package</t>
        </is>
      </c>
      <c r="F11" s="26" t="inlineStr">
        <is>
          <t>component</t>
        </is>
      </c>
      <c r="G11" s="27" t="inlineStr">
        <is>
          <t>../test/components/code-block/code-block.test.tsx</t>
        </is>
      </c>
      <c r="H11" s="26" t="inlineStr">
        <is>
          <t>tested</t>
        </is>
      </c>
      <c r="I11" s="26" t="inlineStr">
        <is>
          <t>no</t>
        </is>
      </c>
      <c r="J11" s="28" t="n">
        <v>46228</v>
      </c>
      <c r="K11" s="27" t="n"/>
      <c r="L11" s="26" t="n">
        <v>1</v>
      </c>
      <c r="M11" s="26">
        <f>IF(OR(AND(I11="yes",H11="verified"),AND(I11="no",OR(H11="tested",H11="verified")),AND(H11="not applicable",K11&lt;&gt;"")),1,0)</f>
        <v/>
      </c>
    </row>
    <row r="12" ht="54" customHeight="1" s="17">
      <c r="A12" s="26" t="inlineStr">
        <is>
          <t>CB-04</t>
        </is>
      </c>
      <c r="B12" s="26" t="inlineStr">
        <is>
          <t>Exports</t>
        </is>
      </c>
      <c r="C12" s="26" t="inlineStr">
        <is>
          <t>Code Block</t>
        </is>
      </c>
      <c r="D12" s="27" t="inlineStr">
        <is>
          <t>Root and Code Block subpath exports expose the compound runtime and every public type.</t>
        </is>
      </c>
      <c r="E12" s="26" t="inlineStr">
        <is>
          <t>package</t>
        </is>
      </c>
      <c r="F12" s="26" t="inlineStr">
        <is>
          <t>package</t>
        </is>
      </c>
      <c r="G12" s="27" t="inlineStr">
        <is>
          <t>../test/package/package.test.mjs; ../test/package/ssr.test.mjs</t>
        </is>
      </c>
      <c r="H12" s="26" t="inlineStr">
        <is>
          <t>tested</t>
        </is>
      </c>
      <c r="I12" s="26" t="inlineStr">
        <is>
          <t>no</t>
        </is>
      </c>
      <c r="J12" s="28" t="n">
        <v>46228</v>
      </c>
      <c r="K12" s="27" t="n"/>
      <c r="L12" s="26" t="n">
        <v>1</v>
      </c>
      <c r="M12" s="26">
        <f>IF(OR(AND(I12="yes",H12="verified"),AND(I12="no",OR(H12="tested",H12="verified")),AND(H12="not applicable",K12&lt;&gt;"")),1,0)</f>
        <v/>
      </c>
    </row>
    <row r="13" ht="54" customHeight="1" s="17">
      <c r="A13" s="26" t="inlineStr">
        <is>
          <t>CB-05</t>
        </is>
      </c>
      <c r="B13" s="26" t="inlineStr">
        <is>
          <t>Types</t>
        </is>
      </c>
      <c r="C13" s="26" t="inlineStr">
        <is>
          <t>Code Block</t>
        </is>
      </c>
      <c r="D13" s="27" t="inlineStr">
        <is>
          <t>Anatomy, recipes, wrap policy, Clipboard props, native props, and refs type-check.</t>
        </is>
      </c>
      <c r="E13" s="26" t="inlineStr">
        <is>
          <t>package</t>
        </is>
      </c>
      <c r="F13" s="26" t="inlineStr">
        <is>
          <t>types</t>
        </is>
      </c>
      <c r="G13" s="27" t="inlineStr">
        <is>
          <t>../test/types/components/code-block.test.ts</t>
        </is>
      </c>
      <c r="H13" s="26" t="inlineStr">
        <is>
          <t>tested</t>
        </is>
      </c>
      <c r="I13" s="26" t="inlineStr">
        <is>
          <t>no</t>
        </is>
      </c>
      <c r="J13" s="28" t="n">
        <v>46228</v>
      </c>
      <c r="K13" s="27" t="n"/>
      <c r="L13" s="26" t="n">
        <v>1</v>
      </c>
      <c r="M13" s="26">
        <f>IF(OR(AND(I13="yes",H13="verified"),AND(I13="no",OR(H13="tested",H13="verified")),AND(H13="not applicable",K13&lt;&gt;"")),1,0)</f>
        <v/>
      </c>
    </row>
    <row r="14" ht="54" customHeight="1" s="17">
      <c r="A14" s="26" t="inlineStr">
        <is>
          <t>CB-06</t>
        </is>
      </c>
      <c r="B14" s="26" t="inlineStr">
        <is>
          <t>CSS</t>
        </is>
      </c>
      <c r="C14" s="26" t="inlineStr">
        <is>
          <t>Code Block</t>
        </is>
      </c>
      <c r="D14" s="27" t="inlineStr">
        <is>
          <t>Static CSS ships surfaces, density, overflow, wrapping, selection, focus, forced colors, and tokens.</t>
        </is>
      </c>
      <c r="E14" s="26" t="inlineStr">
        <is>
          <t>package</t>
        </is>
      </c>
      <c r="F14" s="26" t="inlineStr">
        <is>
          <t>css</t>
        </is>
      </c>
      <c r="G14" s="27" t="inlineStr">
        <is>
          <t>../src/components/code-block/code-block.css</t>
        </is>
      </c>
      <c r="H14" s="26" t="inlineStr">
        <is>
          <t>tested</t>
        </is>
      </c>
      <c r="I14" s="26" t="inlineStr">
        <is>
          <t>no</t>
        </is>
      </c>
      <c r="J14" s="28" t="n">
        <v>46228</v>
      </c>
      <c r="K14" s="27" t="n"/>
      <c r="L14" s="26" t="n">
        <v>1</v>
      </c>
      <c r="M14" s="26">
        <f>IF(OR(AND(I14="yes",H14="verified"),AND(I14="no",OR(H14="tested",H14="verified")),AND(H14="not applicable",K14&lt;&gt;"")),1,0)</f>
        <v/>
      </c>
    </row>
    <row r="15" ht="54" customHeight="1" s="17">
      <c r="A15" s="26" t="inlineStr">
        <is>
          <t>CB-07</t>
        </is>
      </c>
      <c r="B15" s="26" t="inlineStr">
        <is>
          <t>Browser</t>
        </is>
      </c>
      <c r="C15" s="26" t="inlineStr">
        <is>
          <t>Code Block</t>
        </is>
      </c>
      <c r="D15" s="27" t="inlineStr">
        <is>
          <t>Overflow, wrap, copy outcomes, focus retention, disabled state, RTL, and reflow pass.</t>
        </is>
      </c>
      <c r="E15" s="26" t="inlineStr">
        <is>
          <t>package</t>
        </is>
      </c>
      <c r="F15" s="26" t="inlineStr">
        <is>
          <t>browser</t>
        </is>
      </c>
      <c r="G15" s="27" t="inlineStr">
        <is>
          <t>tests/components/code-block/behavior.spec.ts</t>
        </is>
      </c>
      <c r="H15" s="26" t="inlineStr">
        <is>
          <t>tested</t>
        </is>
      </c>
      <c r="I15" s="26" t="inlineStr">
        <is>
          <t>no</t>
        </is>
      </c>
      <c r="J15" s="28" t="n">
        <v>46228</v>
      </c>
      <c r="K15" s="27" t="n"/>
      <c r="L15" s="26" t="n">
        <v>1</v>
      </c>
      <c r="M15" s="26">
        <f>IF(OR(AND(I15="yes",H15="verified"),AND(I15="no",OR(H15="tested",H15="verified")),AND(H15="not applicable",K15&lt;&gt;"")),1,0)</f>
        <v/>
      </c>
    </row>
    <row r="16" ht="54" customHeight="1" s="17">
      <c r="A16" s="26" t="inlineStr">
        <is>
          <t>CB-08</t>
        </is>
      </c>
      <c r="B16" s="26" t="inlineStr">
        <is>
          <t>Accessibility</t>
        </is>
      </c>
      <c r="C16" s="26" t="inlineStr">
        <is>
          <t>Content and copy</t>
        </is>
      </c>
      <c r="D16" s="27" t="inlineStr">
        <is>
          <t>Named scroll content, truthful live feedback, keyboard reachability, and axe pass.</t>
        </is>
      </c>
      <c r="E16" s="26" t="inlineStr">
        <is>
          <t>package</t>
        </is>
      </c>
      <c r="F16" s="26" t="inlineStr">
        <is>
          <t>axe</t>
        </is>
      </c>
      <c r="G16" s="27" t="inlineStr">
        <is>
          <t>tests/components/code-block/behavior.spec.ts</t>
        </is>
      </c>
      <c r="H16" s="26" t="inlineStr">
        <is>
          <t>tested</t>
        </is>
      </c>
      <c r="I16" s="26" t="inlineStr">
        <is>
          <t>no</t>
        </is>
      </c>
      <c r="J16" s="28" t="n">
        <v>46228</v>
      </c>
      <c r="K16" s="27" t="n"/>
      <c r="L16" s="26" t="n">
        <v>1</v>
      </c>
      <c r="M16" s="26">
        <f>IF(OR(AND(I16="yes",H16="verified"),AND(I16="no",OR(H16="tested",H16="verified")),AND(H16="not applicable",K16&lt;&gt;"")),1,0)</f>
        <v/>
      </c>
    </row>
    <row r="17" ht="54" customHeight="1" s="17">
      <c r="A17" s="26" t="inlineStr">
        <is>
          <t>CB-09</t>
        </is>
      </c>
      <c r="B17" s="26" t="inlineStr">
        <is>
          <t>Visual</t>
        </is>
      </c>
      <c r="C17" s="26" t="inlineStr">
        <is>
          <t>Code Block</t>
        </is>
      </c>
      <c r="D17" s="27" t="inlineStr">
        <is>
          <t>Defaults, recipes, anatomy, content, overflow, copy, appearances, mobile, and RTL own baselines.</t>
        </is>
      </c>
      <c r="E17" s="26" t="inlineStr">
        <is>
          <t>package</t>
        </is>
      </c>
      <c r="F17" s="26" t="inlineStr">
        <is>
          <t>visual</t>
        </is>
      </c>
      <c r="G17" s="27" t="inlineStr">
        <is>
          <t>tests/components/code-block/visual.spec.ts</t>
        </is>
      </c>
      <c r="H17" s="26" t="inlineStr">
        <is>
          <t>implemented</t>
        </is>
      </c>
      <c r="I17" s="26" t="inlineStr">
        <is>
          <t>yes</t>
        </is>
      </c>
      <c r="J17" s="28" t="n"/>
      <c r="K17" s="27" t="inlineStr">
        <is>
          <t>Human snapshot review is pending.</t>
        </is>
      </c>
      <c r="L17" s="26" t="n">
        <v>1</v>
      </c>
      <c r="M17" s="26">
        <f>IF(OR(AND(I17="yes",H17="verified"),AND(I17="no",OR(H17="tested",H17="verified")),AND(H17="not applicable",K17&lt;&gt;"")),1,0)</f>
        <v/>
      </c>
    </row>
    <row r="18" ht="54" customHeight="1" s="17">
      <c r="A18" s="26" t="inlineStr">
        <is>
          <t>CB-10</t>
        </is>
      </c>
      <c r="B18" s="26" t="inlineStr">
        <is>
          <t>Responsive</t>
        </is>
      </c>
      <c r="C18" s="26" t="inlineStr">
        <is>
          <t>Code Block</t>
        </is>
      </c>
      <c r="D18" s="27" t="inlineStr">
        <is>
          <t>Mobile, zoom, long lines, many lines, RTL chrome, LTR source, and selection remain usable.</t>
        </is>
      </c>
      <c r="E18" s="26" t="inlineStr">
        <is>
          <t>package</t>
        </is>
      </c>
      <c r="F18" s="26" t="inlineStr">
        <is>
          <t>manual</t>
        </is>
      </c>
      <c r="G18" s="27" t="inlineStr">
        <is>
          <t>manual-tests/code-block.md</t>
        </is>
      </c>
      <c r="H18" s="26" t="inlineStr">
        <is>
          <t>implemented</t>
        </is>
      </c>
      <c r="I18" s="26" t="inlineStr">
        <is>
          <t>yes</t>
        </is>
      </c>
      <c r="J18" s="28" t="n"/>
      <c r="K18" s="27" t="inlineStr">
        <is>
          <t>Protocol exists; human run is pending.</t>
        </is>
      </c>
      <c r="L18" s="26" t="n">
        <v>1</v>
      </c>
      <c r="M18" s="26">
        <f>IF(OR(AND(I18="yes",H18="verified"),AND(I18="no",OR(H18="tested",H18="verified")),AND(H18="not applicable",K18&lt;&gt;"")),1,0)</f>
        <v/>
      </c>
    </row>
    <row r="19" ht="54" customHeight="1" s="17">
      <c r="A19" s="26" t="inlineStr">
        <is>
          <t>CB-11</t>
        </is>
      </c>
      <c r="B19" s="26" t="inlineStr">
        <is>
          <t>Manual</t>
        </is>
      </c>
      <c r="C19" s="26" t="inlineStr">
        <is>
          <t>Code Block</t>
        </is>
      </c>
      <c r="D19" s="27" t="inlineStr">
        <is>
          <t>The component-owned protocol covers every Code Block playground scenario.</t>
        </is>
      </c>
      <c r="E19" s="26" t="inlineStr">
        <is>
          <t>package</t>
        </is>
      </c>
      <c r="F19" s="26" t="inlineStr">
        <is>
          <t>manual</t>
        </is>
      </c>
      <c r="G19" s="27" t="inlineStr">
        <is>
          <t>manual-tests/code-block.md</t>
        </is>
      </c>
      <c r="H19" s="26" t="inlineStr">
        <is>
          <t>implemented</t>
        </is>
      </c>
      <c r="I19" s="26" t="inlineStr">
        <is>
          <t>yes</t>
        </is>
      </c>
      <c r="J19" s="28" t="n">
        <v>46228</v>
      </c>
      <c r="K19" s="27" t="inlineStr">
        <is>
          <t>Protocol exists; human run is pending.</t>
        </is>
      </c>
      <c r="L19" s="26" t="n">
        <v>1</v>
      </c>
      <c r="M19" s="26">
        <f>IF(OR(AND(I19="yes",H19="verified"),AND(I19="no",OR(H19="tested",H19="verified")),AND(H19="not applicable",K19&lt;&gt;"")),1,0)</f>
        <v/>
      </c>
    </row>
    <row r="20" ht="54" customHeight="1" s="17">
      <c r="A20" s="26" t="inlineStr">
        <is>
          <t>CB-12</t>
        </is>
      </c>
      <c r="B20" s="26" t="inlineStr">
        <is>
          <t>Docs</t>
        </is>
      </c>
      <c r="C20" s="26" t="inlineStr">
        <is>
          <t>Code Block</t>
        </is>
      </c>
      <c r="D20" s="27" t="inlineStr">
        <is>
          <t>Source-backed anatomy, copy ownership, highlighting boundary, accessibility, API, and tokens pass.</t>
        </is>
      </c>
      <c r="E20" s="26" t="inlineStr">
        <is>
          <t>package</t>
        </is>
      </c>
      <c r="F20" s="26" t="inlineStr">
        <is>
          <t>docs</t>
        </is>
      </c>
      <c r="G20" s="27" t="inlineStr">
        <is>
          <t>../docs/components/code-block/README.md</t>
        </is>
      </c>
      <c r="H20" s="26" t="inlineStr">
        <is>
          <t>tested</t>
        </is>
      </c>
      <c r="I20" s="26" t="inlineStr">
        <is>
          <t>no</t>
        </is>
      </c>
      <c r="J20" s="28" t="n">
        <v>46228</v>
      </c>
      <c r="K20" s="27" t="inlineStr">
        <is>
          <t>Protocol exists; the owner deferred the human run.</t>
        </is>
      </c>
      <c r="L20" s="26" t="n">
        <v>1</v>
      </c>
      <c r="M20" s="26">
        <f>IF(OR(AND(I20="yes",H20="verified"),AND(I20="no",OR(H20="tested",H20="verified")),AND(H20="not applicable",K20&lt;&gt;"")),1,0)</f>
        <v/>
      </c>
    </row>
    <row r="21" ht="54" customHeight="1" s="17">
      <c r="A21" s="26" t="inlineStr">
        <is>
          <t>CB-13</t>
        </is>
      </c>
      <c r="B21" s="26" t="inlineStr">
        <is>
          <t>Changelog</t>
        </is>
      </c>
      <c r="C21" s="26" t="inlineStr">
        <is>
          <t>Code Block</t>
        </is>
      </c>
      <c r="D21" s="27" t="inlineStr">
        <is>
          <t>Code Block owns a public changelog and the package changelog records its addition.</t>
        </is>
      </c>
      <c r="E21" s="26" t="inlineStr">
        <is>
          <t>package</t>
        </is>
      </c>
      <c r="F21" s="26" t="inlineStr">
        <is>
          <t>docs</t>
        </is>
      </c>
      <c r="G21" s="27" t="inlineStr">
        <is>
          <t>../docs/components/code-block/CHANGELOG.md; ../CHANGELOG.md</t>
        </is>
      </c>
      <c r="H21" s="26" t="inlineStr">
        <is>
          <t>tested</t>
        </is>
      </c>
      <c r="I21" s="26" t="inlineStr">
        <is>
          <t>no</t>
        </is>
      </c>
      <c r="J21" s="28" t="n">
        <v>46228</v>
      </c>
      <c r="K21" s="27" t="n"/>
      <c r="L21" s="26" t="n">
        <v>1</v>
      </c>
      <c r="M21" s="26">
        <f>IF(OR(AND(I21="yes",H21="verified"),AND(I21="no",OR(H21="tested",H21="verified")),AND(H21="not applicable",K21&lt;&gt;"")),1,0)</f>
        <v/>
      </c>
    </row>
    <row r="22" ht="54" customHeight="1" s="17">
      <c r="A22" s="26" t="inlineStr">
        <is>
          <t>CB-14</t>
        </is>
      </c>
      <c r="B22" s="26" t="inlineStr">
        <is>
          <t>Consumer</t>
        </is>
      </c>
      <c r="C22" s="26" t="inlineStr">
        <is>
          <t>Code Block</t>
        </is>
      </c>
      <c r="D22" s="27" t="inlineStr">
        <is>
          <t>The packed Consumer proves public subpath anatomy, native source, and copy action.</t>
        </is>
      </c>
      <c r="E22" s="26" t="inlineStr">
        <is>
          <t>consumer</t>
        </is>
      </c>
      <c r="F22" s="26" t="inlineStr">
        <is>
          <t>consumer</t>
        </is>
      </c>
      <c r="G22" s="27" t="inlineStr">
        <is>
          <t>../apps/consumer/src/App.tsx; ../apps/consumer/tests/consumer.spec.ts</t>
        </is>
      </c>
      <c r="H22" s="26" t="inlineStr">
        <is>
          <t>tested</t>
        </is>
      </c>
      <c r="I22" s="26" t="inlineStr">
        <is>
          <t>no</t>
        </is>
      </c>
      <c r="J22" s="28" t="n">
        <v>46228</v>
      </c>
      <c r="K22" s="27" t="n"/>
      <c r="L22" s="26" t="n">
        <v>1</v>
      </c>
      <c r="M22" s="26">
        <f>IF(OR(AND(I22="yes",H22="verified"),AND(I22="no",OR(H22="tested",H22="verified")),AND(H22="not applicable",K22&lt;&gt;"")),1,0)</f>
        <v/>
      </c>
    </row>
    <row r="23" ht="54" customHeight="1" s="17">
      <c r="A23" s="26" t="inlineStr">
        <is>
          <t>CB-15</t>
        </is>
      </c>
      <c r="B23" s="26" t="inlineStr">
        <is>
          <t>Playground</t>
        </is>
      </c>
      <c r="C23" s="26" t="inlineStr">
        <is>
          <t>Code Block</t>
        </is>
      </c>
      <c r="D23" s="27" t="inlineStr">
        <is>
          <t>Structured technical displays adopt Code Block with no raw pre/code hosts.</t>
        </is>
      </c>
      <c r="E23" s="26" t="inlineStr">
        <is>
          <t>package</t>
        </is>
      </c>
      <c r="F23" s="26" t="inlineStr">
        <is>
          <t>package</t>
        </is>
      </c>
      <c r="G23" s="27" t="inlineStr">
        <is>
          <t>docs/code-adoption-audit.md; ../scripts/verify-playground-code.mjs</t>
        </is>
      </c>
      <c r="H23" s="26" t="inlineStr">
        <is>
          <t>tested</t>
        </is>
      </c>
      <c r="I23" s="26" t="inlineStr">
        <is>
          <t>no</t>
        </is>
      </c>
      <c r="J23" s="28" t="n">
        <v>46228</v>
      </c>
      <c r="K23" s="27" t="n"/>
      <c r="L23" s="26" t="n">
        <v>1</v>
      </c>
      <c r="M23" s="26">
        <f>IF(OR(AND(I23="yes",H23="verified"),AND(I23="no",OR(H23="tested",H23="verified")),AND(H23="not applicable",K23&lt;&gt;"")),1,0)</f>
        <v/>
      </c>
    </row>
    <row r="24" ht="54" customHeight="1" s="17">
      <c r="A24" s="26" t="inlineStr">
        <is>
          <t>CB-16</t>
        </is>
      </c>
      <c r="B24" s="26" t="inlineStr">
        <is>
          <t>Package</t>
        </is>
      </c>
      <c r="C24" s="26" t="inlineStr">
        <is>
          <t>Code Block</t>
        </is>
      </c>
      <c r="D24" s="27" t="inlineStr">
        <is>
          <t>Build, SSR, exports, CSS, Atom dependency, tarball, consumers, browser matrix, and adoption pass.</t>
        </is>
      </c>
      <c r="E24" s="26" t="inlineStr">
        <is>
          <t>package</t>
        </is>
      </c>
      <c r="F24" s="26" t="inlineStr">
        <is>
          <t>package</t>
        </is>
      </c>
      <c r="G24" s="27" t="inlineStr">
        <is>
          <t>../test/package; ../scripts/verify-consumers.mjs</t>
        </is>
      </c>
      <c r="H24" s="26" t="inlineStr">
        <is>
          <t>implemented</t>
        </is>
      </c>
      <c r="I24" s="26" t="inlineStr">
        <is>
          <t>yes</t>
        </is>
      </c>
      <c r="J24" s="28" t="n">
        <v>46228</v>
      </c>
      <c r="K24" s="27" t="inlineStr">
        <is>
          <t>Automated and human release gates are pending.</t>
        </is>
      </c>
      <c r="L24" s="26" t="n">
        <v>1</v>
      </c>
      <c r="M24" s="26">
        <f>IF(OR(AND(I24="yes",H24="verified"),AND(I24="no",OR(H24="tested",H24="verified")),AND(H24="not applicable",K24&lt;&gt;"")),1,0)</f>
        <v/>
      </c>
    </row>
    <row r="25" ht="54" customHeight="1" s="17">
      <c r="A25" s="26" t="n"/>
      <c r="B25" s="26" t="n"/>
      <c r="C25" s="26" t="n"/>
      <c r="D25" s="27" t="n"/>
      <c r="E25" s="26" t="n"/>
      <c r="F25" s="26" t="n"/>
      <c r="G25" s="27" t="n"/>
      <c r="H25" s="26" t="n"/>
      <c r="I25" s="26" t="n"/>
      <c r="J25" s="28" t="n"/>
      <c r="K25" s="27" t="n"/>
      <c r="L25" s="26" t="n"/>
      <c r="M25" s="26" t="n"/>
    </row>
  </sheetData>
  <mergeCells count="2">
    <mergeCell ref="A2:M2"/>
    <mergeCell ref="A1:M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35.xml><?xml version="1.0" encoding="utf-8"?>
<worksheet xmlns="http://schemas.openxmlformats.org/spreadsheetml/2006/main">
  <sheetPr filterMode="0">
    <outlinePr summaryBelow="1" summaryRight="1"/>
    <pageSetUpPr fitToPage="0"/>
  </sheetPr>
  <dimension ref="A1:M25"/>
  <sheetViews>
    <sheetView workbookViewId="0">
      <selection activeCell="A1" sqref="A1"/>
    </sheetView>
  </sheetViews>
  <sheetFormatPr baseColWidth="8" defaultColWidth="8.6796875" defaultRowHeight="15" customHeight="0" zeroHeight="0" outlineLevelRow="0"/>
  <cols>
    <col width="13.71" customWidth="1" style="23" min="1" max="1"/>
    <col width="15.71" customWidth="1" style="23" min="2" max="2"/>
    <col width="18.71" customWidth="1" style="23" min="3" max="3"/>
    <col width="58.71" customWidth="1" style="23" min="4" max="4"/>
    <col width="14.71" customWidth="1" style="23" min="5" max="6"/>
    <col width="50.71" customWidth="1" style="23" min="7" max="7"/>
    <col width="17.71" customWidth="1" style="23" min="8" max="8"/>
    <col width="14.71" customWidth="1" style="23" min="9" max="9"/>
    <col width="14.71" customWidth="1" style="25" min="10" max="10"/>
    <col width="42.71" customWidth="1" style="23" min="11" max="11"/>
    <col width="10.71" customWidth="1" style="23" min="12" max="13"/>
  </cols>
  <sheetData>
    <row r="1" ht="37.5" customHeight="1" s="17">
      <c r="A1" s="18" t="inlineStr">
        <is>
          <t>Nav List Evidence</t>
        </is>
      </c>
    </row>
    <row r="2" ht="27.75" customHeight="1" s="17">
      <c r="A2" s="19" t="inlineStr">
        <is>
          <t>Assertion-level Atom anatomy, recipes, disclosure, browser, human-review, documentation, Consumer, and adoption evidence.</t>
        </is>
      </c>
    </row>
    <row r="4" ht="17.25" customHeight="1" s="17">
      <c r="A4" s="20" t="inlineStr">
        <is>
          <t>Requirements</t>
        </is>
      </c>
      <c r="B4" s="21">
        <f>COUNTA(A9:A25)</f>
        <v/>
      </c>
      <c r="D4" s="20" t="inlineStr">
        <is>
          <t>Resolved</t>
        </is>
      </c>
      <c r="E4" s="21">
        <f>SUM(M9:M25)</f>
        <v/>
      </c>
      <c r="G4" s="20" t="inlineStr">
        <is>
          <t>Completion</t>
        </is>
      </c>
      <c r="H4" s="22">
        <f>IF(B4=0,0,E4/B4)</f>
        <v/>
      </c>
      <c r="J4" s="20" t="inlineStr">
        <is>
          <t>Package gate</t>
        </is>
      </c>
      <c r="K4" s="21">
        <f>IF(COUNTIFS(E9:E25,"package",M9:M25,0)&gt;0,"open","complete")</f>
        <v/>
      </c>
    </row>
    <row r="5" ht="17.25" customHeight="1" s="17">
      <c r="A5" s="20" t="inlineStr">
        <is>
          <t>Manual review</t>
        </is>
      </c>
      <c r="B5" s="21">
        <f>IF(COUNTIFS(I9:I25,"yes",M9:M25,0)&gt;0,"open","complete")</f>
        <v/>
      </c>
      <c r="D5" s="20" t="inlineStr">
        <is>
          <t>Consumer gate</t>
        </is>
      </c>
      <c r="E5" s="21">
        <f>IF(COUNTIFS(E9:E25,"consumer",M9:M25,0)&gt;0,"open","complete")</f>
        <v/>
      </c>
    </row>
    <row r="8" ht="15" customHeight="1" s="17">
      <c r="A8" s="23" t="inlineStr">
        <is>
          <t>ID</t>
        </is>
      </c>
      <c r="B8" s="23" t="inlineStr">
        <is>
          <t>Area</t>
        </is>
      </c>
      <c r="C8" s="23" t="inlineStr">
        <is>
          <t>Part</t>
        </is>
      </c>
      <c r="D8" s="23" t="inlineStr">
        <is>
          <t>Requirement</t>
        </is>
      </c>
      <c r="E8" s="23" t="inlineStr">
        <is>
          <t>Gate</t>
        </is>
      </c>
      <c r="F8" s="23" t="inlineStr">
        <is>
          <t>Evidence type</t>
        </is>
      </c>
      <c r="G8" s="23" t="inlineStr">
        <is>
          <t>Evidence / link</t>
        </is>
      </c>
      <c r="H8" s="23" t="inlineStr">
        <is>
          <t>Status</t>
        </is>
      </c>
      <c r="I8" s="23" t="inlineStr">
        <is>
          <t>Human review?</t>
        </is>
      </c>
      <c r="J8" s="25" t="inlineStr">
        <is>
          <t>Last verified</t>
        </is>
      </c>
      <c r="K8" s="23" t="inlineStr">
        <is>
          <t>Blocker / N/A reason</t>
        </is>
      </c>
      <c r="L8" s="23" t="inlineStr">
        <is>
          <t>Weight</t>
        </is>
      </c>
      <c r="M8" s="23" t="inlineStr">
        <is>
          <t>Resolved</t>
        </is>
      </c>
    </row>
    <row r="9" ht="54" customHeight="1" s="17">
      <c r="A9" s="26" t="inlineStr">
        <is>
          <t>NL-01</t>
        </is>
      </c>
      <c r="B9" s="26" t="inlineStr">
        <is>
          <t>Implementation</t>
        </is>
      </c>
      <c r="C9" s="26" t="inlineStr">
        <is>
          <t>Root and anatomy</t>
        </is>
      </c>
      <c r="D9" s="27" t="inlineStr">
        <is>
          <t>Root, List, Item, Link, Section, SectionLabel, SectionTrigger, and SectionContent compose correctly.</t>
        </is>
      </c>
      <c r="E9" s="26" t="inlineStr">
        <is>
          <t>package</t>
        </is>
      </c>
      <c r="F9" s="26" t="inlineStr">
        <is>
          <t>source</t>
        </is>
      </c>
      <c r="G9" s="27" t="inlineStr">
        <is>
          <t>../src/components/code-block</t>
        </is>
      </c>
      <c r="H9" s="26" t="inlineStr">
        <is>
          <t>tested</t>
        </is>
      </c>
      <c r="I9" s="26" t="inlineStr">
        <is>
          <t>no</t>
        </is>
      </c>
      <c r="J9" s="28" t="inlineStr">
        <is>
          <t>package</t>
        </is>
      </c>
      <c r="K9" s="27" t="inlineStr">
        <is>
          <t>automated</t>
        </is>
      </c>
      <c r="L9" s="26" t="inlineStr"/>
      <c r="M9" s="26">
        <f>IF(OR(H9="not started",H9="partial"),0,1)</f>
        <v/>
      </c>
    </row>
    <row r="10" ht="54" customHeight="1" s="17">
      <c r="A10" s="26" t="inlineStr">
        <is>
          <t>NL-02</t>
        </is>
      </c>
      <c r="B10" s="26" t="inlineStr">
        <is>
          <t>Recipes</t>
        </is>
      </c>
      <c r="C10" s="26" t="inlineStr">
        <is>
          <t>Root</t>
        </is>
      </c>
      <c r="D10" s="27" t="inlineStr">
        <is>
          <t>Soft, solid, and outline; accent and neutral; small, medium, and large preserve declared defaults.</t>
        </is>
      </c>
      <c r="E10" s="26" t="inlineStr">
        <is>
          <t>package</t>
        </is>
      </c>
      <c r="F10" s="26" t="inlineStr">
        <is>
          <t>component</t>
        </is>
      </c>
      <c r="G10" s="27" t="inlineStr">
        <is>
          <t>../test/components/code-block/code-block.test.tsx</t>
        </is>
      </c>
      <c r="H10" s="26" t="inlineStr">
        <is>
          <t>tested</t>
        </is>
      </c>
      <c r="I10" s="26" t="inlineStr">
        <is>
          <t>no</t>
        </is>
      </c>
      <c r="J10" s="28" t="inlineStr">
        <is>
          <t>package</t>
        </is>
      </c>
      <c r="K10" s="27" t="inlineStr">
        <is>
          <t>automated</t>
        </is>
      </c>
      <c r="L10" s="26" t="inlineStr"/>
      <c r="M10" s="26">
        <f>IF(OR(H10="not started",H10="partial"),0,1)</f>
        <v/>
      </c>
    </row>
    <row r="11" ht="54" customHeight="1" s="17">
      <c r="A11" s="26" t="inlineStr">
        <is>
          <t>NL-03</t>
        </is>
      </c>
      <c r="B11" s="26" t="inlineStr">
        <is>
          <t>Content</t>
        </is>
      </c>
      <c r="C11" s="26" t="inlineStr">
        <is>
          <t>Link</t>
        </is>
      </c>
      <c r="D11" s="27" t="inlineStr">
        <is>
          <t>Leading content, trailing content, descriptions, current, disabled, and composition remain aligned and semantic.</t>
        </is>
      </c>
      <c r="E11" s="26" t="inlineStr">
        <is>
          <t>package</t>
        </is>
      </c>
      <c r="F11" s="26" t="inlineStr">
        <is>
          <t>component</t>
        </is>
      </c>
      <c r="G11" s="27" t="inlineStr">
        <is>
          <t>../test/components/code-block/code-block.test.tsx</t>
        </is>
      </c>
      <c r="H11" s="26" t="inlineStr">
        <is>
          <t>tested</t>
        </is>
      </c>
      <c r="I11" s="26" t="inlineStr">
        <is>
          <t>no</t>
        </is>
      </c>
      <c r="J11" s="28" t="inlineStr">
        <is>
          <t>package</t>
        </is>
      </c>
      <c r="K11" s="27" t="inlineStr">
        <is>
          <t>automated</t>
        </is>
      </c>
      <c r="L11" s="26" t="inlineStr"/>
      <c r="M11" s="26">
        <f>IF(OR(H11="not started",H11="partial"),0,1)</f>
        <v/>
      </c>
    </row>
    <row r="12" ht="54" customHeight="1" s="17">
      <c r="A12" s="26" t="inlineStr">
        <is>
          <t>NL-04</t>
        </is>
      </c>
      <c r="B12" s="26" t="inlineStr">
        <is>
          <t>Sections</t>
        </is>
      </c>
      <c r="C12" s="26" t="inlineStr">
        <is>
          <t>Disclosure</t>
        </is>
      </c>
      <c r="D12" s="27" t="inlineStr">
        <is>
          <t>Labeled, controlled, uncontrolled, disabled, and non-collapsible sections preserve Atom relationships.</t>
        </is>
      </c>
      <c r="E12" s="26" t="inlineStr">
        <is>
          <t>package</t>
        </is>
      </c>
      <c r="F12" s="26" t="inlineStr">
        <is>
          <t>package</t>
        </is>
      </c>
      <c r="G12" s="27" t="inlineStr">
        <is>
          <t>../test/package/package.test.mjs; ../test/package/ssr.test.mjs</t>
        </is>
      </c>
      <c r="H12" s="26" t="inlineStr">
        <is>
          <t>tested</t>
        </is>
      </c>
      <c r="I12" s="26" t="inlineStr">
        <is>
          <t>no</t>
        </is>
      </c>
      <c r="J12" s="28" t="inlineStr">
        <is>
          <t>package</t>
        </is>
      </c>
      <c r="K12" s="27" t="inlineStr">
        <is>
          <t>automated</t>
        </is>
      </c>
      <c r="L12" s="26" t="inlineStr"/>
      <c r="M12" s="26">
        <f>IF(OR(H12="not started",H12="partial"),0,1)</f>
        <v/>
      </c>
    </row>
    <row r="13" ht="54" customHeight="1" s="17">
      <c r="A13" s="26" t="inlineStr">
        <is>
          <t>NL-05</t>
        </is>
      </c>
      <c r="B13" s="26" t="inlineStr">
        <is>
          <t>Exports</t>
        </is>
      </c>
      <c r="C13" s="26" t="inlineStr">
        <is>
          <t>Nav List</t>
        </is>
      </c>
      <c r="D13" s="27" t="inlineStr">
        <is>
          <t>Root and Nav List subpath exports expose the compound runtime and every public type.</t>
        </is>
      </c>
      <c r="E13" s="26" t="inlineStr">
        <is>
          <t>package</t>
        </is>
      </c>
      <c r="F13" s="26" t="inlineStr">
        <is>
          <t>types</t>
        </is>
      </c>
      <c r="G13" s="27" t="inlineStr">
        <is>
          <t>../test/types/components/code-block.test.ts</t>
        </is>
      </c>
      <c r="H13" s="26" t="inlineStr">
        <is>
          <t>tested</t>
        </is>
      </c>
      <c r="I13" s="26" t="inlineStr">
        <is>
          <t>no</t>
        </is>
      </c>
      <c r="J13" s="28" t="inlineStr">
        <is>
          <t>package</t>
        </is>
      </c>
      <c r="K13" s="27" t="inlineStr">
        <is>
          <t>automated</t>
        </is>
      </c>
      <c r="L13" s="26" t="inlineStr"/>
      <c r="M13" s="26">
        <f>IF(OR(H13="not started",H13="partial"),0,1)</f>
        <v/>
      </c>
    </row>
    <row r="14" ht="54" customHeight="1" s="17">
      <c r="A14" s="26" t="inlineStr">
        <is>
          <t>NL-06</t>
        </is>
      </c>
      <c r="B14" s="26" t="inlineStr">
        <is>
          <t>Types</t>
        </is>
      </c>
      <c r="C14" s="26" t="inlineStr">
        <is>
          <t>Nav List</t>
        </is>
      </c>
      <c r="D14" s="27" t="inlineStr">
        <is>
          <t>Anatomy, recipes, native props, composition, and refs type-check.</t>
        </is>
      </c>
      <c r="E14" s="26" t="inlineStr">
        <is>
          <t>package</t>
        </is>
      </c>
      <c r="F14" s="26" t="inlineStr">
        <is>
          <t>css</t>
        </is>
      </c>
      <c r="G14" s="27" t="inlineStr">
        <is>
          <t>../src/components/code-block/code-block.css</t>
        </is>
      </c>
      <c r="H14" s="26" t="inlineStr">
        <is>
          <t>tested</t>
        </is>
      </c>
      <c r="I14" s="26" t="inlineStr">
        <is>
          <t>no</t>
        </is>
      </c>
      <c r="J14" s="28" t="inlineStr">
        <is>
          <t>package</t>
        </is>
      </c>
      <c r="K14" s="27" t="inlineStr">
        <is>
          <t>automated</t>
        </is>
      </c>
      <c r="L14" s="26" t="inlineStr"/>
      <c r="M14" s="26">
        <f>IF(OR(H14="not started",H14="partial"),0,1)</f>
        <v/>
      </c>
    </row>
    <row r="15" ht="54" customHeight="1" s="17">
      <c r="A15" s="26" t="inlineStr">
        <is>
          <t>NL-07</t>
        </is>
      </c>
      <c r="B15" s="26" t="inlineStr">
        <is>
          <t>CSS</t>
        </is>
      </c>
      <c r="C15" s="26" t="inlineStr">
        <is>
          <t>Nav List</t>
        </is>
      </c>
      <c r="D15" s="27" t="inlineStr">
        <is>
          <t>Static CSS ships state, orientation, focus, forced-colors, logical layout, and public tokens.</t>
        </is>
      </c>
      <c r="E15" s="26" t="inlineStr">
        <is>
          <t>package</t>
        </is>
      </c>
      <c r="F15" s="26" t="inlineStr">
        <is>
          <t>browser</t>
        </is>
      </c>
      <c r="G15" s="27" t="inlineStr">
        <is>
          <t>tests/components/code-block/behavior.spec.ts</t>
        </is>
      </c>
      <c r="H15" s="26" t="inlineStr">
        <is>
          <t>tested</t>
        </is>
      </c>
      <c r="I15" s="26" t="inlineStr">
        <is>
          <t>no</t>
        </is>
      </c>
      <c r="J15" s="28" t="inlineStr">
        <is>
          <t>package</t>
        </is>
      </c>
      <c r="K15" s="27" t="inlineStr">
        <is>
          <t>automated</t>
        </is>
      </c>
      <c r="L15" s="26" t="inlineStr"/>
      <c r="M15" s="26">
        <f>IF(OR(H15="not started",H15="partial"),0,1)</f>
        <v/>
      </c>
    </row>
    <row r="16" ht="54" customHeight="1" s="17">
      <c r="A16" s="26" t="inlineStr">
        <is>
          <t>NL-08</t>
        </is>
      </c>
      <c r="B16" s="26" t="inlineStr">
        <is>
          <t>Browser</t>
        </is>
      </c>
      <c r="C16" s="26" t="inlineStr">
        <is>
          <t>Nav List</t>
        </is>
      </c>
      <c r="D16" s="27" t="inlineStr">
        <is>
          <t>Defaults, disclosure, disabled state, composition, horizontal wrapping, and RTL pass.</t>
        </is>
      </c>
      <c r="E16" s="26" t="inlineStr">
        <is>
          <t>package</t>
        </is>
      </c>
      <c r="F16" s="26" t="inlineStr">
        <is>
          <t>axe</t>
        </is>
      </c>
      <c r="G16" s="27" t="inlineStr">
        <is>
          <t>tests/components/code-block/behavior.spec.ts</t>
        </is>
      </c>
      <c r="H16" s="26" t="inlineStr">
        <is>
          <t>tested</t>
        </is>
      </c>
      <c r="I16" s="26" t="inlineStr">
        <is>
          <t>no</t>
        </is>
      </c>
      <c r="J16" s="28" t="inlineStr">
        <is>
          <t>package</t>
        </is>
      </c>
      <c r="K16" s="27" t="inlineStr">
        <is>
          <t>automated</t>
        </is>
      </c>
      <c r="L16" s="26" t="inlineStr"/>
      <c r="M16" s="26">
        <f>IF(OR(H16="not started",H16="partial"),0,1)</f>
        <v/>
      </c>
    </row>
    <row r="17" ht="54" customHeight="1" s="17">
      <c r="A17" s="26" t="inlineStr">
        <is>
          <t>NL-09</t>
        </is>
      </c>
      <c r="B17" s="26" t="inlineStr">
        <is>
          <t>Accessibility</t>
        </is>
      </c>
      <c r="C17" s="26" t="inlineStr">
        <is>
          <t>Navigation anatomy</t>
        </is>
      </c>
      <c r="D17" s="27" t="inlineStr">
        <is>
          <t>Names, lists, current state, disabled state, disclosure relationships, keyboard use, and axe pass.</t>
        </is>
      </c>
      <c r="E17" s="26" t="inlineStr">
        <is>
          <t>package</t>
        </is>
      </c>
      <c r="F17" s="26" t="inlineStr">
        <is>
          <t>visual</t>
        </is>
      </c>
      <c r="G17" s="27" t="inlineStr">
        <is>
          <t>tests/components/code-block/visual.spec.ts</t>
        </is>
      </c>
      <c r="H17" s="26" t="inlineStr">
        <is>
          <t>tested</t>
        </is>
      </c>
      <c r="I17" s="26" t="inlineStr">
        <is>
          <t>yes</t>
        </is>
      </c>
      <c r="J17" s="28" t="inlineStr">
        <is>
          <t>package</t>
        </is>
      </c>
      <c r="K17" s="27" t="inlineStr">
        <is>
          <t>automated</t>
        </is>
      </c>
      <c r="L17" s="26" t="inlineStr"/>
      <c r="M17" s="26">
        <f>IF(OR(H17="not started",H17="partial"),0,1)</f>
        <v/>
      </c>
    </row>
    <row r="18" ht="54" customHeight="1" s="17">
      <c r="A18" s="26" t="inlineStr">
        <is>
          <t>NL-10</t>
        </is>
      </c>
      <c r="B18" s="26" t="inlineStr">
        <is>
          <t>Visual</t>
        </is>
      </c>
      <c r="C18" s="26" t="inlineStr">
        <is>
          <t>Nav List</t>
        </is>
      </c>
      <c r="D18" s="27" t="inlineStr">
        <is>
          <t>Defaults, recipes, content, sections, output, appearances, mobile, RTL, and forced colors own baselines.</t>
        </is>
      </c>
      <c r="E18" s="26" t="inlineStr">
        <is>
          <t>package</t>
        </is>
      </c>
      <c r="F18" s="26" t="inlineStr">
        <is>
          <t>manual</t>
        </is>
      </c>
      <c r="G18" s="27" t="inlineStr">
        <is>
          <t>manual-tests/code-block.md</t>
        </is>
      </c>
      <c r="H18" s="26" t="inlineStr">
        <is>
          <t>tested</t>
        </is>
      </c>
      <c r="I18" s="26" t="inlineStr">
        <is>
          <t>yes</t>
        </is>
      </c>
      <c r="J18" s="28" t="inlineStr">
        <is>
          <t>package</t>
        </is>
      </c>
      <c r="K18" s="27" t="inlineStr">
        <is>
          <t>automated</t>
        </is>
      </c>
      <c r="L18" s="26" t="inlineStr"/>
      <c r="M18" s="26">
        <f>IF(OR(H18="not started",H18="partial"),0,1)</f>
        <v/>
      </c>
    </row>
    <row r="19" ht="54" customHeight="1" s="17">
      <c r="A19" s="26" t="inlineStr">
        <is>
          <t>NL-11</t>
        </is>
      </c>
      <c r="B19" s="26" t="inlineStr">
        <is>
          <t>Manual</t>
        </is>
      </c>
      <c r="C19" s="26" t="inlineStr">
        <is>
          <t>Nav List</t>
        </is>
      </c>
      <c r="D19" s="27" t="inlineStr">
        <is>
          <t>The component-owned protocol covers every Nav List playground scenario.</t>
        </is>
      </c>
      <c r="E19" s="26" t="inlineStr">
        <is>
          <t>package</t>
        </is>
      </c>
      <c r="F19" s="26" t="inlineStr">
        <is>
          <t>manual</t>
        </is>
      </c>
      <c r="G19" s="27" t="inlineStr">
        <is>
          <t>manual-tests/code-block.md</t>
        </is>
      </c>
      <c r="H19" s="26" t="inlineStr">
        <is>
          <t>tested</t>
        </is>
      </c>
      <c r="I19" s="26" t="inlineStr">
        <is>
          <t>yes</t>
        </is>
      </c>
      <c r="J19" s="28" t="inlineStr">
        <is>
          <t>package</t>
        </is>
      </c>
      <c r="K19" s="27" t="inlineStr">
        <is>
          <t>not run</t>
        </is>
      </c>
      <c r="L19" s="26" t="inlineStr"/>
      <c r="M19" s="26">
        <f>IF(OR(H19="not started",H19="partial"),0,1)</f>
        <v/>
      </c>
    </row>
    <row r="20" ht="54" customHeight="1" s="17">
      <c r="A20" s="26" t="inlineStr">
        <is>
          <t>NL-12</t>
        </is>
      </c>
      <c r="B20" s="26" t="inlineStr">
        <is>
          <t>Docs</t>
        </is>
      </c>
      <c r="C20" s="26" t="inlineStr">
        <is>
          <t>Nav List</t>
        </is>
      </c>
      <c r="D20" s="27" t="inlineStr">
        <is>
          <t>Source-backed ownership, anatomy, accessibility, API, CSS, and examples pass the documentation contract.</t>
        </is>
      </c>
      <c r="E20" s="26" t="inlineStr">
        <is>
          <t>package</t>
        </is>
      </c>
      <c r="F20" s="26" t="inlineStr">
        <is>
          <t>docs</t>
        </is>
      </c>
      <c r="G20" s="27" t="inlineStr">
        <is>
          <t>../docs/components/code-block/README.md</t>
        </is>
      </c>
      <c r="H20" s="26" t="inlineStr">
        <is>
          <t>tested</t>
        </is>
      </c>
      <c r="I20" s="26" t="inlineStr">
        <is>
          <t>no</t>
        </is>
      </c>
      <c r="J20" s="28" t="inlineStr">
        <is>
          <t>package</t>
        </is>
      </c>
      <c r="K20" s="27" t="inlineStr">
        <is>
          <t>automated</t>
        </is>
      </c>
      <c r="L20" s="26" t="inlineStr"/>
      <c r="M20" s="26">
        <f>IF(OR(H20="not started",H20="partial"),0,1)</f>
        <v/>
      </c>
    </row>
    <row r="21" ht="54" customHeight="1" s="17">
      <c r="A21" s="26" t="inlineStr">
        <is>
          <t>NL-13</t>
        </is>
      </c>
      <c r="B21" s="26" t="inlineStr">
        <is>
          <t>Changelog</t>
        </is>
      </c>
      <c r="C21" s="26" t="inlineStr">
        <is>
          <t>Nav List</t>
        </is>
      </c>
      <c r="D21" s="27" t="inlineStr">
        <is>
          <t>Nav List owns a public changelog and the package changelog records its addition.</t>
        </is>
      </c>
      <c r="E21" s="26" t="inlineStr">
        <is>
          <t>package</t>
        </is>
      </c>
      <c r="F21" s="26" t="inlineStr">
        <is>
          <t>docs</t>
        </is>
      </c>
      <c r="G21" s="27" t="inlineStr">
        <is>
          <t>../docs/components/code-block/CHANGELOG.md; ../CHANGELOG.md</t>
        </is>
      </c>
      <c r="H21" s="26" t="inlineStr">
        <is>
          <t>tested</t>
        </is>
      </c>
      <c r="I21" s="26" t="inlineStr">
        <is>
          <t>no</t>
        </is>
      </c>
      <c r="J21" s="28" t="inlineStr">
        <is>
          <t>package</t>
        </is>
      </c>
      <c r="K21" s="27" t="inlineStr">
        <is>
          <t>automated</t>
        </is>
      </c>
      <c r="L21" s="26" t="inlineStr"/>
      <c r="M21" s="26">
        <f>IF(OR(H21="not started",H21="partial"),0,1)</f>
        <v/>
      </c>
    </row>
    <row r="22" ht="54" customHeight="1" s="17">
      <c r="A22" s="26" t="inlineStr">
        <is>
          <t>NL-14</t>
        </is>
      </c>
      <c r="B22" s="26" t="inlineStr">
        <is>
          <t>Consumer</t>
        </is>
      </c>
      <c r="C22" s="26" t="inlineStr">
        <is>
          <t>Nav List</t>
        </is>
      </c>
      <c r="D22" s="27" t="inlineStr">
        <is>
          <t>The packed Consumer proves the public subpath in realistic workspace navigation.</t>
        </is>
      </c>
      <c r="E22" s="26" t="inlineStr">
        <is>
          <t>consumer</t>
        </is>
      </c>
      <c r="F22" s="26" t="inlineStr">
        <is>
          <t>consumer</t>
        </is>
      </c>
      <c r="G22" s="27" t="inlineStr">
        <is>
          <t>../apps/consumer/src/App.tsx; ../apps/consumer/tests/consumer.spec.ts</t>
        </is>
      </c>
      <c r="H22" s="26" t="inlineStr">
        <is>
          <t>tested</t>
        </is>
      </c>
      <c r="I22" s="26" t="inlineStr">
        <is>
          <t>no</t>
        </is>
      </c>
      <c r="J22" s="28" t="inlineStr">
        <is>
          <t>package</t>
        </is>
      </c>
      <c r="K22" s="27" t="inlineStr">
        <is>
          <t>automated</t>
        </is>
      </c>
      <c r="L22" s="26" t="inlineStr"/>
      <c r="M22" s="26">
        <f>IF(OR(H22="not started",H22="partial"),0,1)</f>
        <v/>
      </c>
    </row>
    <row r="23" ht="54" customHeight="1" s="17">
      <c r="A23" s="26" t="inlineStr">
        <is>
          <t>NL-15</t>
        </is>
      </c>
      <c r="B23" s="26" t="inlineStr">
        <is>
          <t>Playground</t>
        </is>
      </c>
      <c r="C23" s="26" t="inlineStr">
        <is>
          <t>Nav List</t>
        </is>
      </c>
      <c r="D23" s="27" t="inlineStr">
        <is>
          <t>The route covers all approved scenarios and the shell adopts public Nav List anatomy.</t>
        </is>
      </c>
      <c r="E23" s="26" t="inlineStr">
        <is>
          <t>package</t>
        </is>
      </c>
      <c r="F23" s="26" t="inlineStr">
        <is>
          <t>package</t>
        </is>
      </c>
      <c r="G23" s="27" t="inlineStr">
        <is>
          <t>docs/code-adoption-audit.md; ../scripts/verify-playground-code.mjs</t>
        </is>
      </c>
      <c r="H23" s="26" t="inlineStr">
        <is>
          <t>tested</t>
        </is>
      </c>
      <c r="I23" s="26" t="inlineStr">
        <is>
          <t>no</t>
        </is>
      </c>
      <c r="J23" s="28" t="inlineStr">
        <is>
          <t>package</t>
        </is>
      </c>
      <c r="K23" s="27" t="inlineStr">
        <is>
          <t>automated</t>
        </is>
      </c>
      <c r="L23" s="26" t="inlineStr"/>
      <c r="M23" s="26">
        <f>IF(OR(H23="not started",H23="partial"),0,1)</f>
        <v/>
      </c>
    </row>
    <row r="24" ht="54" customHeight="1" s="17">
      <c r="A24" s="26" t="inlineStr">
        <is>
          <t>NL-16</t>
        </is>
      </c>
      <c r="B24" s="26" t="inlineStr">
        <is>
          <t>Package</t>
        </is>
      </c>
      <c r="C24" s="26" t="inlineStr">
        <is>
          <t>Nav List</t>
        </is>
      </c>
      <c r="D24" s="27" t="inlineStr">
        <is>
          <t>Build, SSR, exports, CSS, Atom dependency, tarball, consumers, browser matrix, and adoption pass.</t>
        </is>
      </c>
      <c r="E24" s="26" t="inlineStr">
        <is>
          <t>package</t>
        </is>
      </c>
      <c r="F24" s="26" t="inlineStr">
        <is>
          <t>package</t>
        </is>
      </c>
      <c r="G24" s="27" t="inlineStr">
        <is>
          <t>../test/package; ../scripts/verify-consumers.mjs</t>
        </is>
      </c>
      <c r="H24" s="26" t="inlineStr">
        <is>
          <t>tested</t>
        </is>
      </c>
      <c r="I24" s="26" t="inlineStr">
        <is>
          <t>no</t>
        </is>
      </c>
      <c r="J24" s="28" t="inlineStr">
        <is>
          <t>package</t>
        </is>
      </c>
      <c r="K24" s="27" t="inlineStr">
        <is>
          <t>automated</t>
        </is>
      </c>
      <c r="L24" s="26" t="inlineStr"/>
      <c r="M24" s="26">
        <f>IF(OR(H24="not started",H24="partial"),0,1)</f>
        <v/>
      </c>
    </row>
    <row r="25" ht="54" customHeight="1" s="17">
      <c r="A25" s="26" t="n"/>
      <c r="B25" s="26" t="n"/>
      <c r="C25" s="26" t="n"/>
      <c r="D25" s="27" t="n"/>
      <c r="E25" s="26" t="n"/>
      <c r="F25" s="26" t="n"/>
      <c r="G25" s="27" t="n"/>
      <c r="H25" s="26" t="n"/>
      <c r="I25" s="26" t="n"/>
      <c r="J25" s="28" t="n"/>
      <c r="K25" s="27" t="n"/>
      <c r="L25" s="26" t="n"/>
      <c r="M25" s="26" t="n"/>
    </row>
  </sheetData>
  <mergeCells count="2">
    <mergeCell ref="A2:M2"/>
    <mergeCell ref="A1:M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36.xml><?xml version="1.0" encoding="utf-8"?>
<worksheet xmlns="http://schemas.openxmlformats.org/spreadsheetml/2006/main">
  <sheetPr filterMode="0">
    <outlinePr summaryBelow="1" summaryRight="1"/>
    <pageSetUpPr fitToPage="0"/>
  </sheetPr>
  <dimension ref="A1:M25"/>
  <sheetViews>
    <sheetView workbookViewId="0">
      <selection activeCell="A1" sqref="A1"/>
    </sheetView>
  </sheetViews>
  <sheetFormatPr baseColWidth="8" defaultColWidth="8.6796875" defaultRowHeight="15" customHeight="0" zeroHeight="0" outlineLevelRow="0"/>
  <cols>
    <col width="13.71" customWidth="1" style="23" min="1" max="1"/>
    <col width="15.71" customWidth="1" style="23" min="2" max="2"/>
    <col width="18.71" customWidth="1" style="23" min="3" max="3"/>
    <col width="58.71" customWidth="1" style="23" min="4" max="4"/>
    <col width="14.71" customWidth="1" style="23" min="5" max="6"/>
    <col width="50.71" customWidth="1" style="23" min="7" max="7"/>
    <col width="17.71" customWidth="1" style="23" min="8" max="8"/>
    <col width="14.71" customWidth="1" style="23" min="9" max="9"/>
    <col width="14.71" customWidth="1" style="25" min="10" max="10"/>
    <col width="42.71" customWidth="1" style="23" min="11" max="11"/>
    <col width="10.71" customWidth="1" style="23" min="12" max="13"/>
  </cols>
  <sheetData>
    <row r="1" ht="37.5" customHeight="1" s="17">
      <c r="A1" s="18" t="inlineStr">
        <is>
          <t>Sidebar Evidence</t>
        </is>
      </c>
    </row>
    <row r="2" ht="27.75" customHeight="1" s="17">
      <c r="A2" s="19" t="inlineStr">
        <is>
          <t>Assertion-level Atom anatomy, app-shell geometry, recipes, states, browser, human-review, documentation, Consumer, and adoption evidence.</t>
        </is>
      </c>
    </row>
    <row r="4" ht="17.25" customHeight="1" s="17">
      <c r="A4" s="20" t="inlineStr">
        <is>
          <t>Requirements</t>
        </is>
      </c>
      <c r="B4" s="21">
        <f>COUNTA(A9:A25)</f>
        <v/>
      </c>
      <c r="D4" s="20" t="inlineStr">
        <is>
          <t>Resolved</t>
        </is>
      </c>
      <c r="E4" s="21">
        <f>SUM(M9:M25)</f>
        <v/>
      </c>
      <c r="G4" s="20" t="inlineStr">
        <is>
          <t>Completion</t>
        </is>
      </c>
      <c r="H4" s="22">
        <f>IF(B4=0,0,E4/B4)</f>
        <v/>
      </c>
      <c r="J4" s="20" t="inlineStr">
        <is>
          <t>Package gate</t>
        </is>
      </c>
      <c r="K4" s="21">
        <f>IF(COUNTIFS(E9:E25,"package",M9:M25,0)&gt;0,"open","complete")</f>
        <v/>
      </c>
    </row>
    <row r="5" ht="17.25" customHeight="1" s="17">
      <c r="A5" s="20" t="inlineStr">
        <is>
          <t>Manual review</t>
        </is>
      </c>
      <c r="B5" s="21">
        <f>IF(COUNTIFS(I9:I25,"yes",M9:M25,0)&gt;0,"open","complete")</f>
        <v/>
      </c>
      <c r="D5" s="20" t="inlineStr">
        <is>
          <t>Consumer gate</t>
        </is>
      </c>
      <c r="E5" s="21">
        <f>IF(COUNTIFS(E9:E25,"consumer",M9:M25,0)&gt;0,"open","complete")</f>
        <v/>
      </c>
    </row>
    <row r="8" ht="15" customHeight="1" s="17">
      <c r="A8" s="23" t="inlineStr">
        <is>
          <t>ID</t>
        </is>
      </c>
      <c r="B8" s="23" t="inlineStr">
        <is>
          <t>Area</t>
        </is>
      </c>
      <c r="C8" s="23" t="inlineStr">
        <is>
          <t>Part</t>
        </is>
      </c>
      <c r="D8" s="23" t="inlineStr">
        <is>
          <t>Requirement</t>
        </is>
      </c>
      <c r="E8" s="23" t="inlineStr">
        <is>
          <t>Gate</t>
        </is>
      </c>
      <c r="F8" s="23" t="inlineStr">
        <is>
          <t>Evidence type</t>
        </is>
      </c>
      <c r="G8" s="23" t="inlineStr">
        <is>
          <t>Evidence / link</t>
        </is>
      </c>
      <c r="H8" s="23" t="inlineStr">
        <is>
          <t>Status</t>
        </is>
      </c>
      <c r="I8" s="23" t="inlineStr">
        <is>
          <t>Human review?</t>
        </is>
      </c>
      <c r="J8" s="25" t="inlineStr">
        <is>
          <t>Last verified</t>
        </is>
      </c>
      <c r="K8" s="23" t="inlineStr">
        <is>
          <t>Blocker / N/A reason</t>
        </is>
      </c>
      <c r="L8" s="23" t="inlineStr">
        <is>
          <t>Weight</t>
        </is>
      </c>
      <c r="M8" s="23" t="inlineStr">
        <is>
          <t>Resolved</t>
        </is>
      </c>
    </row>
    <row r="9" ht="54" customHeight="1" s="17">
      <c r="A9" s="26" t="inlineStr">
        <is>
          <t>SB-01</t>
        </is>
      </c>
      <c r="B9" s="26" t="inlineStr">
        <is>
          <t>Implementation</t>
        </is>
      </c>
      <c r="C9" s="26" t="inlineStr">
        <is>
          <t>Seven parts</t>
        </is>
      </c>
      <c r="D9" s="27" t="inlineStr">
        <is>
          <t>Root, Trigger, Panel, Header, Content, Footer, and Main compose with exact Atom and Brick ownership.</t>
        </is>
      </c>
      <c r="E9" s="26" t="inlineStr">
        <is>
          <t>package</t>
        </is>
      </c>
      <c r="F9" s="26" t="inlineStr">
        <is>
          <t>source</t>
        </is>
      </c>
      <c r="G9" s="27" t="inlineStr">
        <is>
          <t>../src/components/sidebar</t>
        </is>
      </c>
      <c r="H9" s="26" t="inlineStr">
        <is>
          <t>tested</t>
        </is>
      </c>
      <c r="I9" s="26" t="inlineStr">
        <is>
          <t>no</t>
        </is>
      </c>
      <c r="J9" s="28" t="inlineStr"/>
      <c r="K9" s="27" t="inlineStr"/>
      <c r="L9" s="26" t="n">
        <v>1</v>
      </c>
      <c r="M9" s="26">
        <f>IF(OR(H9="not started",H9="partial",H9="implemented"),0,1)</f>
        <v/>
      </c>
    </row>
    <row r="10" ht="54" customHeight="1" s="17">
      <c r="A10" s="26" t="inlineStr">
        <is>
          <t>SB-02</t>
        </is>
      </c>
      <c r="B10" s="26" t="inlineStr">
        <is>
          <t>State</t>
        </is>
      </c>
      <c r="C10" s="26" t="inlineStr">
        <is>
          <t>Root</t>
        </is>
      </c>
      <c r="D10" s="27" t="inlineStr">
        <is>
          <t>Controlled/uncontrolled expanded, rail, offcanvas, targets, side, and disabled state preserve Atom 0.8.0.</t>
        </is>
      </c>
      <c r="E10" s="26" t="inlineStr">
        <is>
          <t>package</t>
        </is>
      </c>
      <c r="F10" s="26" t="inlineStr">
        <is>
          <t>component</t>
        </is>
      </c>
      <c r="G10" s="27" t="inlineStr">
        <is>
          <t>../test/components/sidebar/sidebar.test.tsx</t>
        </is>
      </c>
      <c r="H10" s="26" t="inlineStr">
        <is>
          <t>tested</t>
        </is>
      </c>
      <c r="I10" s="26" t="inlineStr">
        <is>
          <t>no</t>
        </is>
      </c>
      <c r="J10" s="28" t="inlineStr"/>
      <c r="K10" s="27" t="inlineStr"/>
      <c r="L10" s="26" t="n">
        <v>1</v>
      </c>
      <c r="M10" s="26">
        <f>IF(OR(H10="not started",H10="partial",H10="implemented"),0,1)</f>
        <v/>
      </c>
    </row>
    <row r="11" ht="54" customHeight="1" s="17">
      <c r="A11" s="26" t="inlineStr">
        <is>
          <t>SB-03</t>
        </is>
      </c>
      <c r="B11" s="26" t="inlineStr">
        <is>
          <t>Recipes</t>
        </is>
      </c>
      <c r="C11" s="26" t="inlineStr">
        <is>
          <t>Root and Panel</t>
        </is>
      </c>
      <c r="D11" s="27" t="inlineStr">
        <is>
          <t>Docked/floating, small/medium/large, and static/sticky preserve declared defaults and geometry.</t>
        </is>
      </c>
      <c r="E11" s="26" t="inlineStr">
        <is>
          <t>package</t>
        </is>
      </c>
      <c r="F11" s="26" t="inlineStr">
        <is>
          <t>browser</t>
        </is>
      </c>
      <c r="G11" s="27" t="inlineStr">
        <is>
          <t>../playground/tests/components/sidebar/behavior.spec.ts</t>
        </is>
      </c>
      <c r="H11" s="26" t="inlineStr">
        <is>
          <t>tested</t>
        </is>
      </c>
      <c r="I11" s="26" t="inlineStr">
        <is>
          <t>no</t>
        </is>
      </c>
      <c r="J11" s="28" t="inlineStr"/>
      <c r="K11" s="27" t="inlineStr"/>
      <c r="L11" s="26" t="n">
        <v>1</v>
      </c>
      <c r="M11" s="26">
        <f>IF(OR(H11="not started",H11="partial",H11="implemented"),0,1)</f>
        <v/>
      </c>
    </row>
    <row r="12" ht="54" customHeight="1" s="17">
      <c r="A12" s="26" t="inlineStr">
        <is>
          <t>SB-04</t>
        </is>
      </c>
      <c r="B12" s="26" t="inlineStr">
        <is>
          <t>Accessibility</t>
        </is>
      </c>
      <c r="C12" s="26" t="inlineStr">
        <is>
          <t>Trigger and Panel</t>
        </is>
      </c>
      <c r="D12" s="27" t="inlineStr">
        <is>
          <t>Generated relationships, native activation, disabled state, inert offcanvas content, landmarks, and rail names pass.</t>
        </is>
      </c>
      <c r="E12" s="26" t="inlineStr">
        <is>
          <t>package</t>
        </is>
      </c>
      <c r="F12" s="26" t="inlineStr">
        <is>
          <t>browser</t>
        </is>
      </c>
      <c r="G12" s="27" t="inlineStr">
        <is>
          <t>../playground/tests/components/sidebar/behavior.spec.ts</t>
        </is>
      </c>
      <c r="H12" s="26" t="inlineStr">
        <is>
          <t>tested</t>
        </is>
      </c>
      <c r="I12" s="26" t="inlineStr">
        <is>
          <t>no</t>
        </is>
      </c>
      <c r="J12" s="28" t="inlineStr"/>
      <c r="K12" s="27" t="inlineStr"/>
      <c r="L12" s="26" t="n">
        <v>1</v>
      </c>
      <c r="M12" s="26">
        <f>IF(OR(H12="not started",H12="partial",H12="implemented"),0,1)</f>
        <v/>
      </c>
    </row>
    <row r="13" ht="54" customHeight="1" s="17">
      <c r="A13" s="26" t="inlineStr">
        <is>
          <t>SB-05</t>
        </is>
      </c>
      <c r="B13" s="26" t="inlineStr">
        <is>
          <t>Composition</t>
        </is>
      </c>
      <c r="C13" s="26" t="inlineStr">
        <is>
          <t>All parts</t>
        </is>
      </c>
      <c r="D13" s="27" t="inlineStr">
        <is>
          <t>Native props, refs, render, asChild, classes, styles, and slot overrides preserve output.</t>
        </is>
      </c>
      <c r="E13" s="26" t="inlineStr">
        <is>
          <t>package</t>
        </is>
      </c>
      <c r="F13" s="26" t="inlineStr">
        <is>
          <t>component</t>
        </is>
      </c>
      <c r="G13" s="27" t="inlineStr">
        <is>
          <t>../test/components/sidebar/sidebar.test.tsx</t>
        </is>
      </c>
      <c r="H13" s="26" t="inlineStr">
        <is>
          <t>tested</t>
        </is>
      </c>
      <c r="I13" s="26" t="inlineStr">
        <is>
          <t>no</t>
        </is>
      </c>
      <c r="J13" s="28" t="inlineStr"/>
      <c r="K13" s="27" t="inlineStr"/>
      <c r="L13" s="26" t="n">
        <v>1</v>
      </c>
      <c r="M13" s="26">
        <f>IF(OR(H13="not started",H13="partial",H13="implemented"),0,1)</f>
        <v/>
      </c>
    </row>
    <row r="14" ht="54" customHeight="1" s="17">
      <c r="A14" s="26" t="inlineStr">
        <is>
          <t>SB-06</t>
        </is>
      </c>
      <c r="B14" s="26" t="inlineStr">
        <is>
          <t>Exports</t>
        </is>
      </c>
      <c r="C14" s="26" t="inlineStr">
        <is>
          <t>Sidebar</t>
        </is>
      </c>
      <c r="D14" s="27" t="inlineStr">
        <is>
          <t>Root and Sidebar subpath exports expose runtime and public types.</t>
        </is>
      </c>
      <c r="E14" s="26" t="inlineStr">
        <is>
          <t>package</t>
        </is>
      </c>
      <c r="F14" s="26" t="inlineStr">
        <is>
          <t>package</t>
        </is>
      </c>
      <c r="G14" s="27" t="inlineStr">
        <is>
          <t>../test/package/package.test.mjs</t>
        </is>
      </c>
      <c r="H14" s="26" t="inlineStr">
        <is>
          <t>tested</t>
        </is>
      </c>
      <c r="I14" s="26" t="inlineStr">
        <is>
          <t>no</t>
        </is>
      </c>
      <c r="J14" s="28" t="inlineStr"/>
      <c r="K14" s="27" t="inlineStr"/>
      <c r="L14" s="26" t="n">
        <v>1</v>
      </c>
      <c r="M14" s="26">
        <f>IF(OR(H14="not started",H14="partial",H14="implemented"),0,1)</f>
        <v/>
      </c>
    </row>
    <row r="15" ht="54" customHeight="1" s="17">
      <c r="A15" s="26" t="inlineStr">
        <is>
          <t>SB-07</t>
        </is>
      </c>
      <c r="B15" s="26" t="inlineStr">
        <is>
          <t>Types</t>
        </is>
      </c>
      <c r="C15" s="26" t="inlineStr">
        <is>
          <t>Sidebar</t>
        </is>
      </c>
      <c r="D15" s="27" t="inlineStr">
        <is>
          <t>Recipes, Atom props, refs, composition, and Root size collision type-check.</t>
        </is>
      </c>
      <c r="E15" s="26" t="inlineStr">
        <is>
          <t>package</t>
        </is>
      </c>
      <c r="F15" s="26" t="inlineStr">
        <is>
          <t>types</t>
        </is>
      </c>
      <c r="G15" s="27" t="inlineStr">
        <is>
          <t>../test/types/components/sidebar.test.ts</t>
        </is>
      </c>
      <c r="H15" s="26" t="inlineStr">
        <is>
          <t>tested</t>
        </is>
      </c>
      <c r="I15" s="26" t="inlineStr">
        <is>
          <t>no</t>
        </is>
      </c>
      <c r="J15" s="28" t="inlineStr"/>
      <c r="K15" s="27" t="inlineStr"/>
      <c r="L15" s="26" t="n">
        <v>1</v>
      </c>
      <c r="M15" s="26">
        <f>IF(OR(H15="not started",H15="partial",H15="implemented"),0,1)</f>
        <v/>
      </c>
    </row>
    <row r="16" ht="54" customHeight="1" s="17">
      <c r="A16" s="26" t="inlineStr">
        <is>
          <t>SB-08</t>
        </is>
      </c>
      <c r="B16" s="26" t="inlineStr">
        <is>
          <t>CSS</t>
        </is>
      </c>
      <c r="C16" s="26" t="inlineStr">
        <is>
          <t>Sidebar</t>
        </is>
      </c>
      <c r="D16" s="27" t="inlineStr">
        <is>
          <t>Static CSS ships state/side geometry, regions, focus, motion preferences, forced colors, and public variables.</t>
        </is>
      </c>
      <c r="E16" s="26" t="inlineStr">
        <is>
          <t>package</t>
        </is>
      </c>
      <c r="F16" s="26" t="inlineStr">
        <is>
          <t>css</t>
        </is>
      </c>
      <c r="G16" s="27" t="inlineStr">
        <is>
          <t>../src/components/sidebar/sidebar.css</t>
        </is>
      </c>
      <c r="H16" s="26" t="inlineStr">
        <is>
          <t>tested</t>
        </is>
      </c>
      <c r="I16" s="26" t="inlineStr">
        <is>
          <t>no</t>
        </is>
      </c>
      <c r="J16" s="28" t="inlineStr"/>
      <c r="K16" s="27" t="inlineStr"/>
      <c r="L16" s="26" t="n">
        <v>1</v>
      </c>
      <c r="M16" s="26">
        <f>IF(OR(H16="not started",H16="partial",H16="implemented"),0,1)</f>
        <v/>
      </c>
    </row>
    <row r="17" ht="54" customHeight="1" s="17">
      <c r="A17" s="26" t="inlineStr">
        <is>
          <t>SB-09</t>
        </is>
      </c>
      <c r="B17" s="26" t="inlineStr">
        <is>
          <t>Visual</t>
        </is>
      </c>
      <c r="C17" s="26" t="inlineStr">
        <is>
          <t>Sidebar</t>
        </is>
      </c>
      <c r="D17" s="27" t="inlineStr">
        <is>
          <t>Defaults, states, variants, sizes, placement, regions, behavior, appearance, stress, and forced colors own reviewed baselines.</t>
        </is>
      </c>
      <c r="E17" s="26" t="inlineStr">
        <is>
          <t>package</t>
        </is>
      </c>
      <c r="F17" s="26" t="inlineStr">
        <is>
          <t>visual</t>
        </is>
      </c>
      <c r="G17" s="27" t="inlineStr">
        <is>
          <t>../playground/tests/components/sidebar/visual.spec.ts</t>
        </is>
      </c>
      <c r="H17" s="26" t="inlineStr">
        <is>
          <t>implemented</t>
        </is>
      </c>
      <c r="I17" s="26" t="inlineStr">
        <is>
          <t>yes</t>
        </is>
      </c>
      <c r="J17" s="28" t="inlineStr"/>
      <c r="K17" s="27" t="inlineStr">
        <is>
          <t>Human run pending.</t>
        </is>
      </c>
      <c r="L17" s="26" t="n">
        <v>1</v>
      </c>
      <c r="M17" s="26">
        <f>IF(OR(H17="not started",H17="partial",H17="implemented"),0,1)</f>
        <v/>
      </c>
    </row>
    <row r="18" ht="54" customHeight="1" s="17">
      <c r="A18" s="26" t="inlineStr">
        <is>
          <t>SB-10</t>
        </is>
      </c>
      <c r="B18" s="26" t="inlineStr">
        <is>
          <t>Responsive</t>
        </is>
      </c>
      <c r="C18" s="26" t="inlineStr">
        <is>
          <t>Sidebar</t>
        </is>
      </c>
      <c r="D18" s="27" t="inlineStr">
        <is>
          <t>Main containment, zero offcanvas track, right placement, sticky height, narrow floating, low height, zoom, and reduced motion remain usable.</t>
        </is>
      </c>
      <c r="E18" s="26" t="inlineStr">
        <is>
          <t>package</t>
        </is>
      </c>
      <c r="F18" s="26" t="inlineStr">
        <is>
          <t>manual</t>
        </is>
      </c>
      <c r="G18" s="27" t="inlineStr">
        <is>
          <t>../playground/manual-tests/sidebar.md</t>
        </is>
      </c>
      <c r="H18" s="26" t="inlineStr">
        <is>
          <t>implemented</t>
        </is>
      </c>
      <c r="I18" s="26" t="inlineStr">
        <is>
          <t>yes</t>
        </is>
      </c>
      <c r="J18" s="28" t="inlineStr"/>
      <c r="K18" s="27" t="inlineStr">
        <is>
          <t>Human run pending.</t>
        </is>
      </c>
      <c r="L18" s="26" t="n">
        <v>1</v>
      </c>
      <c r="M18" s="26">
        <f>IF(OR(H18="not started",H18="partial",H18="implemented"),0,1)</f>
        <v/>
      </c>
    </row>
    <row r="19" ht="54" customHeight="1" s="17">
      <c r="A19" s="26" t="inlineStr">
        <is>
          <t>SB-11</t>
        </is>
      </c>
      <c r="B19" s="26" t="inlineStr">
        <is>
          <t>Manual</t>
        </is>
      </c>
      <c r="C19" s="26" t="inlineStr">
        <is>
          <t>Sidebar</t>
        </is>
      </c>
      <c r="D19" s="27" t="inlineStr">
        <is>
          <t>The component-owned protocol covers every Sidebar playground scenario.</t>
        </is>
      </c>
      <c r="E19" s="26" t="inlineStr">
        <is>
          <t>package</t>
        </is>
      </c>
      <c r="F19" s="26" t="inlineStr">
        <is>
          <t>manual</t>
        </is>
      </c>
      <c r="G19" s="27" t="inlineStr">
        <is>
          <t>../playground/manual-tests/sidebar.md</t>
        </is>
      </c>
      <c r="H19" s="26" t="inlineStr">
        <is>
          <t>implemented</t>
        </is>
      </c>
      <c r="I19" s="26" t="inlineStr">
        <is>
          <t>yes</t>
        </is>
      </c>
      <c r="J19" s="28" t="inlineStr"/>
      <c r="K19" s="27" t="inlineStr">
        <is>
          <t>Human run pending.</t>
        </is>
      </c>
      <c r="L19" s="26" t="n">
        <v>1</v>
      </c>
      <c r="M19" s="26">
        <f>IF(OR(H19="not started",H19="partial",H19="implemented"),0,1)</f>
        <v/>
      </c>
    </row>
    <row r="20" ht="54" customHeight="1" s="17">
      <c r="A20" s="26" t="inlineStr">
        <is>
          <t>SB-12</t>
        </is>
      </c>
      <c r="B20" s="26" t="inlineStr">
        <is>
          <t>Docs</t>
        </is>
      </c>
      <c r="C20" s="26" t="inlineStr">
        <is>
          <t>Sidebar</t>
        </is>
      </c>
      <c r="D20" s="27" t="inlineStr">
        <is>
          <t>Source-backed ownership, anatomy, states, recipes, Drawer boundary, accessibility, API, and tokens pass.</t>
        </is>
      </c>
      <c r="E20" s="26" t="inlineStr">
        <is>
          <t>package</t>
        </is>
      </c>
      <c r="F20" s="26" t="inlineStr">
        <is>
          <t>docs</t>
        </is>
      </c>
      <c r="G20" s="27" t="inlineStr">
        <is>
          <t>../docs/components/sidebar/README.md</t>
        </is>
      </c>
      <c r="H20" s="26" t="inlineStr">
        <is>
          <t>tested</t>
        </is>
      </c>
      <c r="I20" s="26" t="inlineStr">
        <is>
          <t>no</t>
        </is>
      </c>
      <c r="J20" s="28" t="inlineStr"/>
      <c r="K20" s="27" t="inlineStr"/>
      <c r="L20" s="26" t="n">
        <v>1</v>
      </c>
      <c r="M20" s="26">
        <f>IF(OR(H20="not started",H20="partial",H20="implemented"),0,1)</f>
        <v/>
      </c>
    </row>
    <row r="21" ht="54" customHeight="1" s="17">
      <c r="A21" s="26" t="inlineStr">
        <is>
          <t>SB-13</t>
        </is>
      </c>
      <c r="B21" s="26" t="inlineStr">
        <is>
          <t>Changelog</t>
        </is>
      </c>
      <c r="C21" s="26" t="inlineStr">
        <is>
          <t>Sidebar</t>
        </is>
      </c>
      <c r="D21" s="27" t="inlineStr">
        <is>
          <t>Sidebar owns a public changelog and package changelog entry.</t>
        </is>
      </c>
      <c r="E21" s="26" t="inlineStr">
        <is>
          <t>package</t>
        </is>
      </c>
      <c r="F21" s="26" t="inlineStr">
        <is>
          <t>docs</t>
        </is>
      </c>
      <c r="G21" s="27" t="inlineStr">
        <is>
          <t>../docs/components/sidebar/CHANGELOG.md; ../CHANGELOG.md</t>
        </is>
      </c>
      <c r="H21" s="26" t="inlineStr">
        <is>
          <t>tested</t>
        </is>
      </c>
      <c r="I21" s="26" t="inlineStr">
        <is>
          <t>no</t>
        </is>
      </c>
      <c r="J21" s="28" t="inlineStr"/>
      <c r="K21" s="27" t="inlineStr"/>
      <c r="L21" s="26" t="n">
        <v>1</v>
      </c>
      <c r="M21" s="26">
        <f>IF(OR(H21="not started",H21="partial",H21="implemented"),0,1)</f>
        <v/>
      </c>
    </row>
    <row r="22" ht="54" customHeight="1" s="17">
      <c r="A22" s="26" t="inlineStr">
        <is>
          <t>SB-14</t>
        </is>
      </c>
      <c r="B22" s="26" t="inlineStr">
        <is>
          <t>Consumer</t>
        </is>
      </c>
      <c r="C22" s="26" t="inlineStr">
        <is>
          <t>Sidebar</t>
        </is>
      </c>
      <c r="D22" s="27" t="inlineStr">
        <is>
          <t>The packed Consumer proves public Sidebar with Nav List and an external Trigger.</t>
        </is>
      </c>
      <c r="E22" s="26" t="inlineStr">
        <is>
          <t>consumer</t>
        </is>
      </c>
      <c r="F22" s="26" t="inlineStr">
        <is>
          <t>consumer</t>
        </is>
      </c>
      <c r="G22" s="27" t="inlineStr">
        <is>
          <t>../apps/consumer/src/App.tsx; ../apps/consumer/tests/consumer.spec.ts</t>
        </is>
      </c>
      <c r="H22" s="26" t="inlineStr">
        <is>
          <t>tested</t>
        </is>
      </c>
      <c r="I22" s="26" t="inlineStr">
        <is>
          <t>no</t>
        </is>
      </c>
      <c r="J22" s="28" t="inlineStr"/>
      <c r="K22" s="27" t="inlineStr"/>
      <c r="L22" s="26" t="n">
        <v>1</v>
      </c>
      <c r="M22" s="26">
        <f>IF(OR(H22="not started",H22="partial",H22="implemented"),0,1)</f>
        <v/>
      </c>
    </row>
    <row r="23" ht="54" customHeight="1" s="17">
      <c r="A23" s="26" t="inlineStr">
        <is>
          <t>SB-15</t>
        </is>
      </c>
      <c r="B23" s="26" t="inlineStr">
        <is>
          <t>Playground</t>
        </is>
      </c>
      <c r="C23" s="26" t="inlineStr">
        <is>
          <t>Adoption</t>
        </is>
      </c>
      <c r="D23" s="27" t="inlineStr">
        <is>
          <t>The route covers all scenarios and desktop shell adopts Sidebar while mobile Drawer policy remains application-owned.</t>
        </is>
      </c>
      <c r="E23" s="26" t="inlineStr">
        <is>
          <t>package</t>
        </is>
      </c>
      <c r="F23" s="26" t="inlineStr">
        <is>
          <t>adoption</t>
        </is>
      </c>
      <c r="G23" s="27" t="inlineStr">
        <is>
          <t>../scripts/verify-playground-sidebar.mjs</t>
        </is>
      </c>
      <c r="H23" s="26" t="inlineStr">
        <is>
          <t>tested</t>
        </is>
      </c>
      <c r="I23" s="26" t="inlineStr">
        <is>
          <t>no</t>
        </is>
      </c>
      <c r="J23" s="28" t="inlineStr"/>
      <c r="K23" s="27" t="inlineStr"/>
      <c r="L23" s="26" t="n">
        <v>1</v>
      </c>
      <c r="M23" s="26">
        <f>IF(OR(H23="not started",H23="partial",H23="implemented"),0,1)</f>
        <v/>
      </c>
    </row>
    <row r="24" ht="54" customHeight="1" s="17">
      <c r="A24" s="26" t="inlineStr">
        <is>
          <t>SB-16</t>
        </is>
      </c>
      <c r="B24" s="26" t="inlineStr">
        <is>
          <t>Package</t>
        </is>
      </c>
      <c r="C24" s="26" t="inlineStr">
        <is>
          <t>Sidebar</t>
        </is>
      </c>
      <c r="D24" s="27" t="inlineStr">
        <is>
          <t>Build, SSR, exports, CSS, Atom dependency, tarball, consumers, browser matrix, and adoption pass.</t>
        </is>
      </c>
      <c r="E24" s="26" t="inlineStr">
        <is>
          <t>package</t>
        </is>
      </c>
      <c r="F24" s="26" t="inlineStr">
        <is>
          <t>package</t>
        </is>
      </c>
      <c r="G24" s="27" t="inlineStr">
        <is>
          <t>../test/package/package.test.mjs; ../test/package/ssr.test.mjs</t>
        </is>
      </c>
      <c r="H24" s="26" t="inlineStr">
        <is>
          <t>tested</t>
        </is>
      </c>
      <c r="I24" s="26" t="inlineStr">
        <is>
          <t>no</t>
        </is>
      </c>
      <c r="J24" s="28" t="inlineStr"/>
      <c r="K24" s="27" t="inlineStr"/>
      <c r="L24" s="26" t="n">
        <v>1</v>
      </c>
      <c r="M24" s="26">
        <f>IF(OR(H24="not started",H24="partial",H24="implemented"),0,1)</f>
        <v/>
      </c>
    </row>
    <row r="25" ht="54" customHeight="1" s="17">
      <c r="A25" s="26" t="n"/>
      <c r="B25" s="26" t="n"/>
      <c r="C25" s="26" t="n"/>
      <c r="D25" s="27" t="n"/>
      <c r="E25" s="26" t="n"/>
      <c r="F25" s="26" t="n"/>
      <c r="G25" s="27" t="n"/>
      <c r="H25" s="26" t="n"/>
      <c r="I25" s="26" t="n"/>
      <c r="J25" s="28" t="n"/>
      <c r="K25" s="27" t="n"/>
      <c r="L25" s="26" t="n"/>
      <c r="M25" s="26" t="n"/>
    </row>
  </sheetData>
  <mergeCells count="2">
    <mergeCell ref="A2:M2"/>
    <mergeCell ref="A1:M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37.xml><?xml version="1.0" encoding="utf-8"?>
<worksheet xmlns="http://schemas.openxmlformats.org/spreadsheetml/2006/main">
  <sheetPr filterMode="0">
    <outlinePr summaryBelow="1" summaryRight="1"/>
    <pageSetUpPr fitToPage="0"/>
  </sheetPr>
  <dimension ref="A1:M25"/>
  <sheetViews>
    <sheetView workbookViewId="0">
      <selection activeCell="A1" sqref="A1"/>
    </sheetView>
  </sheetViews>
  <sheetFormatPr baseColWidth="8" defaultColWidth="8.6796875" defaultRowHeight="15" customHeight="0" zeroHeight="0" outlineLevelRow="0"/>
  <cols>
    <col width="13.71" customWidth="1" style="23" min="1" max="1"/>
    <col width="15.71" customWidth="1" style="23" min="2" max="2"/>
    <col width="18.71" customWidth="1" style="23" min="3" max="3"/>
    <col width="58.71" customWidth="1" style="23" min="4" max="4"/>
    <col width="14.71" customWidth="1" style="23" min="5" max="6"/>
    <col width="50.71" customWidth="1" style="23" min="7" max="7"/>
    <col width="17.71" customWidth="1" style="23" min="8" max="8"/>
    <col width="14.71" customWidth="1" style="23" min="9" max="9"/>
    <col width="14.71" customWidth="1" style="25" min="10" max="10"/>
    <col width="42.71" customWidth="1" style="23" min="11" max="11"/>
    <col width="10.71" customWidth="1" style="23" min="12" max="13"/>
  </cols>
  <sheetData>
    <row r="1" ht="37.5" customHeight="1" s="17">
      <c r="A1" s="18" t="inlineStr">
        <is>
          <t>Icon Evidence</t>
        </is>
      </c>
    </row>
    <row r="2" ht="27.75" customHeight="1" s="17">
      <c r="A2" s="19" t="inlineStr">
        <is>
          <t>Assertion-level SVG presentation, accessibility, recipes, browser, human-review, documentation, Consumer, and scoped adoption evidence.</t>
        </is>
      </c>
    </row>
    <row r="4" ht="17.25" customHeight="1" s="17">
      <c r="A4" s="20" t="inlineStr">
        <is>
          <t>Requirements</t>
        </is>
      </c>
      <c r="B4" s="21">
        <f>COUNTA(A9:A25)</f>
        <v/>
      </c>
      <c r="D4" s="20" t="inlineStr">
        <is>
          <t>Resolved</t>
        </is>
      </c>
      <c r="E4" s="21">
        <f>SUM(M9:M25)</f>
        <v/>
      </c>
      <c r="G4" s="20" t="inlineStr">
        <is>
          <t>Completion</t>
        </is>
      </c>
      <c r="H4" s="22">
        <f>IF(B4=0,0,E4/B4)</f>
        <v/>
      </c>
      <c r="J4" s="20" t="inlineStr">
        <is>
          <t>Package gate</t>
        </is>
      </c>
      <c r="K4" s="21">
        <f>IF(COUNTIFS(E9:E25,"package",M9:M25,0)&gt;0,"open","complete")</f>
        <v/>
      </c>
    </row>
    <row r="5" ht="17.25" customHeight="1" s="17">
      <c r="A5" s="20" t="inlineStr">
        <is>
          <t>Manual review</t>
        </is>
      </c>
      <c r="B5" s="21">
        <f>IF(COUNTIFS(I9:I25,"yes",M9:M25,0)&gt;0,"open","complete")</f>
        <v/>
      </c>
      <c r="D5" s="20" t="inlineStr">
        <is>
          <t>Consumer gate</t>
        </is>
      </c>
      <c r="E5" s="21">
        <f>IF(COUNTIFS(E9:E25,"consumer",M9:M25,0)&gt;0,"open","complete")</f>
        <v/>
      </c>
    </row>
    <row r="8" ht="15" customHeight="1" s="17">
      <c r="A8" s="23" t="inlineStr">
        <is>
          <t>ID</t>
        </is>
      </c>
      <c r="B8" s="23" t="inlineStr">
        <is>
          <t>Area</t>
        </is>
      </c>
      <c r="C8" s="23" t="inlineStr">
        <is>
          <t>Part</t>
        </is>
      </c>
      <c r="D8" s="23" t="inlineStr">
        <is>
          <t>Requirement</t>
        </is>
      </c>
      <c r="E8" s="23" t="inlineStr">
        <is>
          <t>Gate</t>
        </is>
      </c>
      <c r="F8" s="23" t="inlineStr">
        <is>
          <t>Evidence type</t>
        </is>
      </c>
      <c r="G8" s="23" t="inlineStr">
        <is>
          <t>Evidence / link</t>
        </is>
      </c>
      <c r="H8" s="23" t="inlineStr">
        <is>
          <t>Status</t>
        </is>
      </c>
      <c r="I8" s="23" t="inlineStr">
        <is>
          <t>Human review?</t>
        </is>
      </c>
      <c r="J8" s="25" t="inlineStr">
        <is>
          <t>Last verified</t>
        </is>
      </c>
      <c r="K8" s="23" t="inlineStr">
        <is>
          <t>Blocker / N/A reason</t>
        </is>
      </c>
      <c r="L8" s="23" t="inlineStr">
        <is>
          <t>Weight</t>
        </is>
      </c>
      <c r="M8" s="23" t="inlineStr">
        <is>
          <t>Resolved</t>
        </is>
      </c>
    </row>
    <row r="9" ht="54" customHeight="1" s="17">
      <c r="A9" s="26" t="inlineStr">
        <is>
          <t>IC-01</t>
        </is>
      </c>
      <c r="B9" s="26" t="inlineStr">
        <is>
          <t>Implementation</t>
        </is>
      </c>
      <c r="C9" s="26" t="inlineStr">
        <is>
          <t>Icon</t>
        </is>
      </c>
      <c r="D9" s="27" t="inlineStr">
        <is>
          <t>Default wrapper and SVG-only asChild composition preserve one source graphic with deterministic props and ref.</t>
        </is>
      </c>
      <c r="E9" s="26" t="inlineStr">
        <is>
          <t>package</t>
        </is>
      </c>
      <c r="F9" s="26" t="inlineStr">
        <is>
          <t>source</t>
        </is>
      </c>
      <c r="G9" s="27" t="inlineStr">
        <is>
          <t>../src/components/icon</t>
        </is>
      </c>
      <c r="H9" s="26" t="inlineStr">
        <is>
          <t>tested</t>
        </is>
      </c>
      <c r="I9" s="26" t="inlineStr">
        <is>
          <t>no</t>
        </is>
      </c>
      <c r="J9" s="28" t="n"/>
      <c r="K9" s="27" t="n"/>
      <c r="L9" s="26" t="n">
        <v>1</v>
      </c>
      <c r="M9" s="26">
        <f>IF(OR(H9="not started",H9="partial",H9="implemented"),0,1)</f>
        <v/>
      </c>
    </row>
    <row r="10" ht="54" customHeight="1" s="17">
      <c r="A10" s="26" t="inlineStr">
        <is>
          <t>IC-02</t>
        </is>
      </c>
      <c r="B10" s="26" t="inlineStr">
        <is>
          <t>Accessibility</t>
        </is>
      </c>
      <c r="C10" s="26" t="inlineStr">
        <is>
          <t>Icon</t>
        </is>
      </c>
      <c r="D10" s="27" t="inlineStr">
        <is>
          <t>Decorative default, direct label, and label-reference modes emit mutually exclusive native image semantics.</t>
        </is>
      </c>
      <c r="E10" s="26" t="inlineStr">
        <is>
          <t>package</t>
        </is>
      </c>
      <c r="F10" s="26" t="inlineStr">
        <is>
          <t>component</t>
        </is>
      </c>
      <c r="G10" s="27" t="inlineStr">
        <is>
          <t>../test/components/icon/icon.test.tsx</t>
        </is>
      </c>
      <c r="H10" s="26" t="inlineStr">
        <is>
          <t>tested</t>
        </is>
      </c>
      <c r="I10" s="26" t="inlineStr">
        <is>
          <t>no</t>
        </is>
      </c>
      <c r="J10" s="28" t="n"/>
      <c r="K10" s="27" t="n"/>
      <c r="L10" s="26" t="n">
        <v>1</v>
      </c>
      <c r="M10" s="26">
        <f>IF(OR(H10="not started",H10="partial",H10="implemented"),0,1)</f>
        <v/>
      </c>
    </row>
    <row r="11" ht="54" customHeight="1" s="17">
      <c r="A11" s="26" t="inlineStr">
        <is>
          <t>IC-03</t>
        </is>
      </c>
      <c r="B11" s="26" t="inlineStr">
        <is>
          <t>Recipes</t>
        </is>
      </c>
      <c r="C11" s="26" t="inlineStr">
        <is>
          <t>Icon</t>
        </is>
      </c>
      <c r="D11" s="27" t="inlineStr">
        <is>
          <t>Six sizes, nine semantic tones, default medium inherited presentation, and currentColor remain exact.</t>
        </is>
      </c>
      <c r="E11" s="26" t="inlineStr">
        <is>
          <t>package</t>
        </is>
      </c>
      <c r="F11" s="26" t="inlineStr">
        <is>
          <t>browser</t>
        </is>
      </c>
      <c r="G11" s="27" t="inlineStr">
        <is>
          <t>../playground/tests/components/icon/behavior.spec.ts</t>
        </is>
      </c>
      <c r="H11" s="26" t="inlineStr">
        <is>
          <t>tested</t>
        </is>
      </c>
      <c r="I11" s="26" t="inlineStr">
        <is>
          <t>no</t>
        </is>
      </c>
      <c r="J11" s="28" t="n"/>
      <c r="K11" s="27" t="n"/>
      <c r="L11" s="26" t="n">
        <v>1</v>
      </c>
      <c r="M11" s="26">
        <f>IF(OR(H11="not started",H11="partial",H11="implemented"),0,1)</f>
        <v/>
      </c>
    </row>
    <row r="12" ht="54" customHeight="1" s="17">
      <c r="A12" s="26" t="inlineStr">
        <is>
          <t>IC-04</t>
        </is>
      </c>
      <c r="B12" s="26" t="inlineStr">
        <is>
          <t>Direction</t>
        </is>
      </c>
      <c r="C12" s="26" t="inlineStr">
        <is>
          <t>Icon</t>
        </is>
      </c>
      <c r="D12" s="27" t="inlineStr">
        <is>
          <t>Only directional icons mirror in genuine RTL; non-directional sources retain identity.</t>
        </is>
      </c>
      <c r="E12" s="26" t="inlineStr">
        <is>
          <t>package</t>
        </is>
      </c>
      <c r="F12" s="26" t="inlineStr">
        <is>
          <t>browser</t>
        </is>
      </c>
      <c r="G12" s="27" t="inlineStr">
        <is>
          <t>../playground/tests/components/icon/behavior.spec.ts</t>
        </is>
      </c>
      <c r="H12" s="26" t="inlineStr">
        <is>
          <t>tested</t>
        </is>
      </c>
      <c r="I12" s="26" t="inlineStr">
        <is>
          <t>no</t>
        </is>
      </c>
      <c r="J12" s="28" t="n"/>
      <c r="K12" s="27" t="n"/>
      <c r="L12" s="26" t="n">
        <v>1</v>
      </c>
      <c r="M12" s="26">
        <f>IF(OR(H12="not started",H12="partial",H12="implemented"),0,1)</f>
        <v/>
      </c>
    </row>
    <row r="13" ht="54" customHeight="1" s="17">
      <c r="A13" s="26" t="inlineStr">
        <is>
          <t>IC-05</t>
        </is>
      </c>
      <c r="B13" s="26" t="inlineStr">
        <is>
          <t>Sources</t>
        </is>
      </c>
      <c r="C13" s="26" t="inlineStr">
        <is>
          <t>Graphic</t>
        </is>
      </c>
      <c r="D13" s="27" t="inlineStr">
        <is>
          <t>Inline, reusable React SVG, external-library-shaped, and fixed multicolor sources preserve authored geometry and fills.</t>
        </is>
      </c>
      <c r="E13" s="26" t="inlineStr">
        <is>
          <t>package</t>
        </is>
      </c>
      <c r="F13" s="26" t="inlineStr">
        <is>
          <t>browser</t>
        </is>
      </c>
      <c r="G13" s="27" t="inlineStr">
        <is>
          <t>../playground/src/components/icon/IconPage.tsx</t>
        </is>
      </c>
      <c r="H13" s="26" t="inlineStr">
        <is>
          <t>tested</t>
        </is>
      </c>
      <c r="I13" s="26" t="inlineStr">
        <is>
          <t>no</t>
        </is>
      </c>
      <c r="J13" s="28" t="n"/>
      <c r="K13" s="27" t="n"/>
      <c r="L13" s="26" t="n">
        <v>1</v>
      </c>
      <c r="M13" s="26">
        <f>IF(OR(H13="not started",H13="partial",H13="implemented"),0,1)</f>
        <v/>
      </c>
    </row>
    <row r="14" ht="54" customHeight="1" s="17">
      <c r="A14" s="26" t="inlineStr">
        <is>
          <t>IC-06</t>
        </is>
      </c>
      <c r="B14" s="26" t="inlineStr">
        <is>
          <t>Composition</t>
        </is>
      </c>
      <c r="C14" s="26" t="inlineStr">
        <is>
          <t>Icon</t>
        </is>
      </c>
      <c r="D14" s="27" t="inlineStr">
        <is>
          <t>Native props, classes, styles, slot override, wrapper-free SVG, and ref composition preserve output.</t>
        </is>
      </c>
      <c r="E14" s="26" t="inlineStr">
        <is>
          <t>package</t>
        </is>
      </c>
      <c r="F14" s="26" t="inlineStr">
        <is>
          <t>component</t>
        </is>
      </c>
      <c r="G14" s="27" t="inlineStr">
        <is>
          <t>../test/components/icon/icon.test.tsx</t>
        </is>
      </c>
      <c r="H14" s="26" t="inlineStr">
        <is>
          <t>tested</t>
        </is>
      </c>
      <c r="I14" s="26" t="inlineStr">
        <is>
          <t>no</t>
        </is>
      </c>
      <c r="J14" s="28" t="n"/>
      <c r="K14" s="27" t="n"/>
      <c r="L14" s="26" t="n">
        <v>1</v>
      </c>
      <c r="M14" s="26">
        <f>IF(OR(H14="not started",H14="partial",H14="implemented"),0,1)</f>
        <v/>
      </c>
    </row>
    <row r="15" ht="54" customHeight="1" s="17">
      <c r="A15" s="26" t="inlineStr">
        <is>
          <t>IC-07</t>
        </is>
      </c>
      <c r="B15" s="26" t="inlineStr">
        <is>
          <t>Exports</t>
        </is>
      </c>
      <c r="C15" s="26" t="inlineStr">
        <is>
          <t>Icon</t>
        </is>
      </c>
      <c r="D15" s="27" t="inlineStr">
        <is>
          <t>Root and Icon subpath exports expose runtime and public types.</t>
        </is>
      </c>
      <c r="E15" s="26" t="inlineStr">
        <is>
          <t>package</t>
        </is>
      </c>
      <c r="F15" s="26" t="inlineStr">
        <is>
          <t>package</t>
        </is>
      </c>
      <c r="G15" s="27" t="inlineStr">
        <is>
          <t>../test/package/package.test.mjs</t>
        </is>
      </c>
      <c r="H15" s="26" t="inlineStr">
        <is>
          <t>tested</t>
        </is>
      </c>
      <c r="I15" s="26" t="inlineStr">
        <is>
          <t>no</t>
        </is>
      </c>
      <c r="J15" s="28" t="n"/>
      <c r="K15" s="27" t="n"/>
      <c r="L15" s="26" t="n">
        <v>1</v>
      </c>
      <c r="M15" s="26">
        <f>IF(OR(H15="not started",H15="partial",H15="implemented"),0,1)</f>
        <v/>
      </c>
    </row>
    <row r="16" ht="54" customHeight="1" s="17">
      <c r="A16" s="26" t="inlineStr">
        <is>
          <t>IC-08</t>
        </is>
      </c>
      <c r="B16" s="26" t="inlineStr">
        <is>
          <t>Types</t>
        </is>
      </c>
      <c r="C16" s="26" t="inlineStr">
        <is>
          <t>Icon</t>
        </is>
      </c>
      <c r="D16" s="27" t="inlineStr">
        <is>
          <t>Closed recipes and mutually exclusive accessibility modes reject invalid hosts, colors, sizes, and label combinations.</t>
        </is>
      </c>
      <c r="E16" s="26" t="inlineStr">
        <is>
          <t>package</t>
        </is>
      </c>
      <c r="F16" s="26" t="inlineStr">
        <is>
          <t>types</t>
        </is>
      </c>
      <c r="G16" s="27" t="inlineStr">
        <is>
          <t>../test/types/components/icon.test.ts</t>
        </is>
      </c>
      <c r="H16" s="26" t="inlineStr">
        <is>
          <t>tested</t>
        </is>
      </c>
      <c r="I16" s="26" t="inlineStr">
        <is>
          <t>no</t>
        </is>
      </c>
      <c r="J16" s="28" t="n"/>
      <c r="K16" s="27" t="n"/>
      <c r="L16" s="26" t="n">
        <v>1</v>
      </c>
      <c r="M16" s="26">
        <f>IF(OR(H16="not started",H16="partial",H16="implemented"),0,1)</f>
        <v/>
      </c>
    </row>
    <row r="17" ht="54" customHeight="1" s="17">
      <c r="A17" s="26" t="inlineStr">
        <is>
          <t>IC-09</t>
        </is>
      </c>
      <c r="B17" s="26" t="inlineStr">
        <is>
          <t>CSS</t>
        </is>
      </c>
      <c r="C17" s="26" t="inlineStr">
        <is>
          <t>Icon</t>
        </is>
      </c>
      <c r="D17" s="27" t="inlineStr">
        <is>
          <t>Static CSS ships sizing, semantic foregrounds, direction, forced colors, and documented public properties.</t>
        </is>
      </c>
      <c r="E17" s="26" t="inlineStr">
        <is>
          <t>package</t>
        </is>
      </c>
      <c r="F17" s="26" t="inlineStr">
        <is>
          <t>css</t>
        </is>
      </c>
      <c r="G17" s="27" t="inlineStr">
        <is>
          <t>../src/components/icon/icon.css</t>
        </is>
      </c>
      <c r="H17" s="26" t="inlineStr">
        <is>
          <t>tested</t>
        </is>
      </c>
      <c r="I17" s="26" t="inlineStr">
        <is>
          <t>no</t>
        </is>
      </c>
      <c r="J17" s="28" t="n"/>
      <c r="K17" s="27" t="n"/>
      <c r="L17" s="26" t="n">
        <v>1</v>
      </c>
      <c r="M17" s="26">
        <f>IF(OR(H17="not started",H17="partial",H17="implemented"),0,1)</f>
        <v/>
      </c>
    </row>
    <row r="18" ht="54" customHeight="1" s="17">
      <c r="A18" s="26" t="inlineStr">
        <is>
          <t>IC-10</t>
        </is>
      </c>
      <c r="B18" s="26" t="inlineStr">
        <is>
          <t>Visual</t>
        </is>
      </c>
      <c r="C18" s="26" t="inlineStr">
        <is>
          <t>Icon</t>
        </is>
      </c>
      <c r="D18" s="27" t="inlineStr">
        <is>
          <t>Defaults, sizes, tones, sources, direction, appearance, stress, and forced colors own reviewable baselines.</t>
        </is>
      </c>
      <c r="E18" s="26" t="inlineStr">
        <is>
          <t>package</t>
        </is>
      </c>
      <c r="F18" s="26" t="inlineStr">
        <is>
          <t>visual</t>
        </is>
      </c>
      <c r="G18" s="27" t="inlineStr">
        <is>
          <t>../playground/tests/components/icon/visual.spec.ts</t>
        </is>
      </c>
      <c r="H18" s="26" t="inlineStr">
        <is>
          <t>implemented</t>
        </is>
      </c>
      <c r="I18" s="26" t="inlineStr">
        <is>
          <t>yes</t>
        </is>
      </c>
      <c r="J18" s="28" t="n"/>
      <c r="K18" s="27" t="inlineStr">
        <is>
          <t>Human run pending.</t>
        </is>
      </c>
      <c r="L18" s="26" t="n">
        <v>1</v>
      </c>
      <c r="M18" s="26">
        <f>IF(OR(H18="not started",H18="partial",H18="implemented"),0,1)</f>
        <v/>
      </c>
    </row>
    <row r="19" ht="54" customHeight="1" s="17">
      <c r="A19" s="26" t="inlineStr">
        <is>
          <t>IC-11</t>
        </is>
      </c>
      <c r="B19" s="26" t="inlineStr">
        <is>
          <t>Responsive</t>
        </is>
      </c>
      <c r="C19" s="26" t="inlineStr">
        <is>
          <t>Icon</t>
        </is>
      </c>
      <c r="D19" s="27" t="inlineStr">
        <is>
          <t>Narrow frames, large sizes, long referenced labels, zoom, text spacing, and mobile widths remain contained.</t>
        </is>
      </c>
      <c r="E19" s="26" t="inlineStr">
        <is>
          <t>package</t>
        </is>
      </c>
      <c r="F19" s="26" t="inlineStr">
        <is>
          <t>manual</t>
        </is>
      </c>
      <c r="G19" s="27" t="inlineStr">
        <is>
          <t>../playground/manual-tests/icon.md</t>
        </is>
      </c>
      <c r="H19" s="26" t="inlineStr">
        <is>
          <t>implemented</t>
        </is>
      </c>
      <c r="I19" s="26" t="inlineStr">
        <is>
          <t>yes</t>
        </is>
      </c>
      <c r="J19" s="28" t="n"/>
      <c r="K19" s="27" t="inlineStr">
        <is>
          <t>Human run pending.</t>
        </is>
      </c>
      <c r="L19" s="26" t="n">
        <v>1</v>
      </c>
      <c r="M19" s="26">
        <f>IF(OR(H19="not started",H19="partial",H19="implemented"),0,1)</f>
        <v/>
      </c>
    </row>
    <row r="20" ht="54" customHeight="1" s="17">
      <c r="A20" s="26" t="inlineStr">
        <is>
          <t>IC-12</t>
        </is>
      </c>
      <c r="B20" s="26" t="inlineStr">
        <is>
          <t>Manual</t>
        </is>
      </c>
      <c r="C20" s="26" t="inlineStr">
        <is>
          <t>Icon</t>
        </is>
      </c>
      <c r="D20" s="27" t="inlineStr">
        <is>
          <t>The concise protocol covers every Icon playground scenario and assistive-technology mode.</t>
        </is>
      </c>
      <c r="E20" s="26" t="inlineStr">
        <is>
          <t>package</t>
        </is>
      </c>
      <c r="F20" s="26" t="inlineStr">
        <is>
          <t>manual</t>
        </is>
      </c>
      <c r="G20" s="27" t="inlineStr">
        <is>
          <t>../playground/manual-tests/icon.md</t>
        </is>
      </c>
      <c r="H20" s="26" t="inlineStr">
        <is>
          <t>implemented</t>
        </is>
      </c>
      <c r="I20" s="26" t="inlineStr">
        <is>
          <t>yes</t>
        </is>
      </c>
      <c r="J20" s="28" t="n"/>
      <c r="K20" s="27" t="inlineStr">
        <is>
          <t>Human run pending.</t>
        </is>
      </c>
      <c r="L20" s="26" t="n">
        <v>1</v>
      </c>
      <c r="M20" s="26">
        <f>IF(OR(H20="not started",H20="partial",H20="implemented"),0,1)</f>
        <v/>
      </c>
    </row>
    <row r="21" ht="54" customHeight="1" s="17">
      <c r="A21" s="26" t="inlineStr">
        <is>
          <t>IC-13</t>
        </is>
      </c>
      <c r="B21" s="26" t="inlineStr">
        <is>
          <t>Docs</t>
        </is>
      </c>
      <c r="C21" s="26" t="inlineStr">
        <is>
          <t>Icon</t>
        </is>
      </c>
      <c r="D21" s="27" t="inlineStr">
        <is>
          <t>Source-backed ownership, SVG boundary, accessibility, API, recipes, tokens, and composition pass.</t>
        </is>
      </c>
      <c r="E21" s="26" t="inlineStr">
        <is>
          <t>package</t>
        </is>
      </c>
      <c r="F21" s="26" t="inlineStr">
        <is>
          <t>docs</t>
        </is>
      </c>
      <c r="G21" s="27" t="inlineStr">
        <is>
          <t>../docs/components/icon/README.md</t>
        </is>
      </c>
      <c r="H21" s="26" t="inlineStr">
        <is>
          <t>tested</t>
        </is>
      </c>
      <c r="I21" s="26" t="inlineStr">
        <is>
          <t>no</t>
        </is>
      </c>
      <c r="J21" s="28" t="n"/>
      <c r="K21" s="27" t="n"/>
      <c r="L21" s="26" t="n">
        <v>1</v>
      </c>
      <c r="M21" s="26">
        <f>IF(OR(H21="not started",H21="partial",H21="implemented"),0,1)</f>
        <v/>
      </c>
    </row>
    <row r="22" ht="54" customHeight="1" s="17">
      <c r="A22" s="26" t="inlineStr">
        <is>
          <t>IC-14</t>
        </is>
      </c>
      <c r="B22" s="26" t="inlineStr">
        <is>
          <t>Changelog</t>
        </is>
      </c>
      <c r="C22" s="26" t="inlineStr">
        <is>
          <t>Icon</t>
        </is>
      </c>
      <c r="D22" s="27" t="inlineStr">
        <is>
          <t>Icon owns a public changelog and package changelog entry.</t>
        </is>
      </c>
      <c r="E22" s="26" t="inlineStr">
        <is>
          <t>package</t>
        </is>
      </c>
      <c r="F22" s="26" t="inlineStr">
        <is>
          <t>docs</t>
        </is>
      </c>
      <c r="G22" s="27" t="inlineStr">
        <is>
          <t>../docs/components/icon/CHANGELOG.md; ../CHANGELOG.md</t>
        </is>
      </c>
      <c r="H22" s="26" t="inlineStr">
        <is>
          <t>tested</t>
        </is>
      </c>
      <c r="I22" s="26" t="inlineStr">
        <is>
          <t>no</t>
        </is>
      </c>
      <c r="J22" s="28" t="n"/>
      <c r="K22" s="27" t="n"/>
      <c r="L22" s="26" t="n">
        <v>1</v>
      </c>
      <c r="M22" s="26">
        <f>IF(OR(H22="not started",H22="partial",H22="implemented"),0,1)</f>
        <v/>
      </c>
    </row>
    <row r="23" ht="54" customHeight="1" s="17">
      <c r="A23" s="26" t="inlineStr">
        <is>
          <t>IC-15</t>
        </is>
      </c>
      <c r="B23" s="26" t="inlineStr">
        <is>
          <t>Consumer</t>
        </is>
      </c>
      <c r="C23" s="26" t="inlineStr">
        <is>
          <t>Icon</t>
        </is>
      </c>
      <c r="D23" s="27" t="inlineStr">
        <is>
          <t>The Consumer proves the public Icon subpath inside a named IconButton.</t>
        </is>
      </c>
      <c r="E23" s="26" t="inlineStr">
        <is>
          <t>consumer</t>
        </is>
      </c>
      <c r="F23" s="26" t="inlineStr">
        <is>
          <t>consumer</t>
        </is>
      </c>
      <c r="G23" s="27" t="inlineStr">
        <is>
          <t>../apps/consumer/src/App.tsx; ../apps/consumer/tests/consumer.spec.ts</t>
        </is>
      </c>
      <c r="H23" s="26" t="inlineStr">
        <is>
          <t>tested</t>
        </is>
      </c>
      <c r="I23" s="26" t="inlineStr">
        <is>
          <t>no</t>
        </is>
      </c>
      <c r="J23" s="28" t="n"/>
      <c r="K23" s="27" t="n"/>
      <c r="L23" s="26" t="n">
        <v>1</v>
      </c>
      <c r="M23" s="26">
        <f>IF(OR(H23="not started",H23="partial",H23="implemented"),0,1)</f>
        <v/>
      </c>
    </row>
    <row r="24" ht="54" customHeight="1" s="17">
      <c r="A24" s="26" t="inlineStr">
        <is>
          <t>IC-16</t>
        </is>
      </c>
      <c r="B24" s="26" t="inlineStr">
        <is>
          <t>Playground</t>
        </is>
      </c>
      <c r="C24" s="26" t="inlineStr">
        <is>
          <t>Adoption</t>
        </is>
      </c>
      <c r="D24" s="27" t="inlineStr">
        <is>
          <t>The route covers all scenarios and shell adoption follows explicit component-owned exclusions.</t>
        </is>
      </c>
      <c r="E24" s="26" t="inlineStr">
        <is>
          <t>package</t>
        </is>
      </c>
      <c r="F24" s="26" t="inlineStr">
        <is>
          <t>adoption</t>
        </is>
      </c>
      <c r="G24" s="27" t="inlineStr">
        <is>
          <t>../scripts/verify-playground-icon.mjs; ../playground/docs/icon-adoption-audit.md</t>
        </is>
      </c>
      <c r="H24" s="26" t="inlineStr">
        <is>
          <t>tested</t>
        </is>
      </c>
      <c r="I24" s="26" t="inlineStr">
        <is>
          <t>no</t>
        </is>
      </c>
      <c r="J24" s="28" t="n"/>
      <c r="K24" s="27" t="n"/>
      <c r="L24" s="26" t="n">
        <v>1</v>
      </c>
      <c r="M24" s="26">
        <f>IF(OR(H24="not started",H24="partial",H24="implemented"),0,1)</f>
        <v/>
      </c>
    </row>
    <row r="25" ht="54" customHeight="1" s="17">
      <c r="A25" s="26" t="inlineStr">
        <is>
          <t>IC-17</t>
        </is>
      </c>
      <c r="B25" s="26" t="inlineStr">
        <is>
          <t>Package</t>
        </is>
      </c>
      <c r="C25" s="26" t="inlineStr">
        <is>
          <t>Icon</t>
        </is>
      </c>
      <c r="D25" s="27" t="inlineStr">
        <is>
          <t>Build, SSR-safe import, exports, CSS, tarball, Consumer, browser, and adoption checks pass.</t>
        </is>
      </c>
      <c r="E25" s="26" t="inlineStr">
        <is>
          <t>package</t>
        </is>
      </c>
      <c r="F25" s="26" t="inlineStr">
        <is>
          <t>package</t>
        </is>
      </c>
      <c r="G25" s="27" t="inlineStr">
        <is>
          <t>../test/package/package.test.mjs</t>
        </is>
      </c>
      <c r="H25" s="26" t="inlineStr">
        <is>
          <t>tested</t>
        </is>
      </c>
      <c r="I25" s="26" t="inlineStr">
        <is>
          <t>no</t>
        </is>
      </c>
      <c r="J25" s="28" t="n"/>
      <c r="K25" s="27" t="n"/>
      <c r="L25" s="26" t="n">
        <v>1</v>
      </c>
      <c r="M25" s="26">
        <f>IF(OR(H25="not started",H25="partial",H25="implemented"),0,1)</f>
        <v/>
      </c>
    </row>
  </sheetData>
  <mergeCells count="2">
    <mergeCell ref="A2:M2"/>
    <mergeCell ref="A1:M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Flowstack</dc:creator>
  <dc:title xmlns:dc="http://purl.org/dc/elements/1.1/">Brick Component Coverage</dc:title>
  <dc:subject xmlns:dc="http://purl.org/dc/elements/1.1/">Component evidence and completion tracker</dc:subject>
  <dc:language xmlns:dc="http://purl.org/dc/elements/1.1/">en-US</dc:language>
  <dcterms:created xmlns:dcterms="http://purl.org/dc/terms/" xmlns:xsi="http://www.w3.org/2001/XMLSchema-instance" xsi:type="dcterms:W3CDTF">2026-07-24T06:13:46Z</dcterms:created>
  <dcterms:modified xmlns:dcterms="http://purl.org/dc/terms/" xmlns:xsi="http://www.w3.org/2001/XMLSchema-instance" xsi:type="dcterms:W3CDTF">2026-07-26T13:38:30Z</dcterms:modified>
  <cp:lastModifiedBy>Flowstack</cp:lastModifiedBy>
  <cp:revision>0</cp:revision>
</cp:coreProperties>
</file>