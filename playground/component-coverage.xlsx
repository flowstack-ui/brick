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6.xml" ContentType="application/vnd.openxmlformats-officedocument.spreadsheetml.table+xml"/>
  <Override PartName="/xl/tables/table21.xml" ContentType="application/vnd.openxmlformats-officedocument.spreadsheetml.table+xml"/>
  <Override PartName="/xl/tables/table17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1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8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57.xml" ContentType="application/vnd.openxmlformats-officedocument.spreadsheetml.worksheet+xml"/>
  <Override PartName="/xl/worksheets/sheet19.xml" ContentType="application/vnd.openxmlformats-officedocument.spreadsheetml.worksheet+xml"/>
  <Override PartName="/xl/worksheets/sheet35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60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3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4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8.xml" ContentType="application/vnd.openxmlformats-officedocument.spreadsheetml.worksheet+xml"/>
  <Override PartName="/xl/worksheets/sheet43.xml" ContentType="application/vnd.openxmlformats-officedocument.spreadsheetml.worksheet+xml"/>
  <Override PartName="/xl/worksheets/sheet45.xml" ContentType="application/vnd.openxmlformats-officedocument.spreadsheetml.worksheet+xml"/>
  <Override PartName="/xl/worksheets/sheet52.xml" ContentType="application/vnd.openxmlformats-officedocument.spreadsheetml.worksheet+xml"/>
  <Override PartName="/xl/worksheets/sheet3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9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5.xml" ContentType="application/vnd.openxmlformats-officedocument.spreadsheetml.worksheet+xml"/>
  <Override PartName="/xl/worksheets/sheet58.xml" ContentType="application/vnd.openxmlformats-officedocument.spreadsheetml.worksheet+xml"/>
  <Override PartName="/xl/worksheets/sheet56.xml" ContentType="application/vnd.openxmlformats-officedocument.spreadsheetml.worksheet+xml"/>
  <Override PartName="/xl/worksheets/sheet12.xml" ContentType="application/vnd.openxmlformats-officedocument.spreadsheetml.worksheet+xml"/>
  <Override PartName="/xl/worksheets/sheet50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" sheetId="60" state="visible" r:id="rId62"/>
  </sheets>
  <definedNames>
    <definedName function="false" hidden="true" localSheetId="51" name="_xlnm._FilterDatabase" vbProcedure="false">'Bottom Navigation'!$A$8:$M$36</definedName>
    <definedName function="false" hidden="true" localSheetId="53" name="_xlnm._FilterDatabase" vbProcedure="false">Collapsible!$A$8:$M$33</definedName>
    <definedName function="false" hidden="true" localSheetId="58" name="_xlnm._FilterDatabase" vbProcedure="false">'Data Grid'!$A$8:$M$34</definedName>
    <definedName function="false" hidden="false" localSheetId="0" name="_xlnm.Print_Area" vbProcedure="false">Index!$A$1:$M$61</definedName>
    <definedName function="false" hidden="true" localSheetId="0" name="_xlnm._FilterDatabase" vbProcedure="false">Index!$A$7:$M$63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true" localSheetId="42" name="_xlnm._FilterDatabase" vbProcedure="false">'Radio Group'!$A$8:$M$28</definedName>
    <definedName function="false" hidden="true" localSheetId="39" name="_xlnm._FilterDatabase" vbProcedure="false">Select!$A$8:$M$30</definedName>
    <definedName function="false" hidden="true" localSheetId="46" name="_xlnm._FilterDatabase" vbProcedure="false">Skeleton!$A$8:$M$30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<sst xmlns="http://schemas.openxmlformats.org/spreadsheetml/2006/main" count="11392" uniqueCount="2758">
  <si>
    <t xml:space="preserve">Brick Component Coverage</t>
  </si>
  <si>
    <t xml:space="preserve">Components</t>
  </si>
  <si>
    <t xml:space="preserve">Complete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</si>
  <si>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</si>
  <si>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</si>
  <si>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</si>
  <si>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</si>
  <si>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</si>
  <si>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</si>
  <si>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</si>
  <si>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</si>
  <si>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Blocked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</si>
  <si>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</si>
  <si>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</si>
  <si>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</si>
  <si>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</si>
  <si>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</si>
  <si>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</si>
  <si>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</si>
  <si>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</si>
  <si>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</si>
  <si>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</si>
  <si>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</si>
  <si>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</si>
  <si>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</si>
  <si>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</si>
  <si>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</si>
  <si>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</si>
  <si>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</si>
  <si>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</si>
  <si>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</si>
  <si>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</si>
  <si>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</si>
  <si>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</si>
  <si>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</si>
  <si>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</si>
  <si>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</si>
  <si>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</si>
  <si>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</si>
  <si>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</si>
  <si>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</si>
  <si>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</si>
  <si>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</si>
  <si>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</si>
  <si>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</si>
  <si>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</si>
  <si>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</si>
  <si>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</si>
  <si>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</si>
  <si>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</si>
  <si>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</si>
  <si>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</si>
  <si>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</si>
  <si>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</si>
  <si>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</si>
  <si>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</si>
  <si>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</si>
  <si>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</si>
  <si>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</si>
  <si>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</si>
  <si>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</si>
  <si>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</si>
  <si>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</si>
  <si>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</si>
  <si>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</si>
  <si>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</si>
  <si>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</si>
  <si>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</si>
  <si>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</si>
  <si>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</si>
  <si>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</si>
  <si>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</si>
  <si>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</si>
  <si>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</si>
  <si>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</si>
  <si>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</si>
  <si>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</si>
  <si>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</si>
  <si>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</si>
  <si>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</si>
  <si>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</si>
  <si>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</si>
  <si>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</si>
  <si>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</si>
  <si>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</si>
  <si>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</si>
  <si>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</si>
  <si>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</si>
  <si>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</si>
  <si>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</si>
  <si>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</si>
  <si>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</si>
  <si>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</si>
  <si>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</si>
  <si>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</si>
  <si>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</si>
  <si>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</si>
  <si>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</si>
  <si>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</si>
  <si>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</si>
  <si>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</si>
  <si>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</si>
  <si>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</si>
  <si>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</si>
  <si>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</si>
  <si>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</si>
  <si>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</si>
  <si>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</si>
  <si>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</si>
  <si>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</si>
  <si>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</si>
  <si>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</si>
  <si>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</si>
  <si>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</si>
  <si>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</si>
  <si>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</si>
  <si>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</si>
  <si>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</si>
  <si>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</si>
  <si>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</si>
  <si>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</si>
  <si>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</si>
  <si>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</si>
  <si>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</si>
  <si>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</si>
  <si>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</si>
  <si>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</si>
  <si>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</si>
  <si>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</si>
  <si>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</si>
  <si>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</si>
  <si>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</si>
  <si>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</si>
  <si>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</si>
  <si>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</si>
  <si>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</si>
  <si>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</si>
  <si>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</si>
  <si>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</si>
  <si>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</si>
  <si>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</si>
  <si>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</si>
  <si>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</si>
  <si>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</si>
  <si>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</si>
  <si>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</si>
  <si>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</si>
  <si>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</si>
  <si>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</si>
  <si>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</si>
  <si>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</si>
  <si>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</si>
  <si>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</si>
  <si>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</si>
  <si>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</si>
  <si>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</si>
  <si>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</si>
  <si>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</si>
  <si>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</si>
  <si>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</si>
  <si>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</si>
  <si>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</si>
  <si>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</si>
  <si>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</si>
  <si>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</si>
  <si>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</si>
  <si>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</si>
  <si>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</si>
  <si>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</si>
  <si>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</si>
  <si>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</si>
  <si>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</si>
  <si>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</si>
  <si>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</si>
  <si>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</si>
  <si>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</si>
  <si>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</si>
  <si>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</si>
  <si>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</si>
  <si>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</si>
  <si>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</si>
  <si>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</si>
  <si>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</si>
  <si>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</si>
  <si>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</si>
  <si>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</si>
  <si>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</si>
  <si>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</si>
  <si>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</si>
  <si>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</si>
  <si>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</si>
  <si>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</si>
  <si>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</si>
  <si>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</si>
  <si>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</si>
  <si>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</si>
  <si>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</si>
  <si>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</si>
  <si>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</si>
  <si>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</si>
  <si>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</si>
  <si>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</si>
  <si>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</si>
  <si>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</si>
  <si>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</si>
  <si>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</si>
  <si>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</si>
  <si>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</si>
  <si>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</si>
  <si>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</si>
  <si>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</si>
  <si>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</si>
  <si>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</si>
  <si>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</si>
  <si>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</si>
  <si>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</si>
  <si>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</si>
  <si>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</si>
  <si>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</si>
  <si>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</si>
  <si>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</si>
  <si>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</si>
  <si>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</si>
  <si>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</si>
  <si>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</si>
  <si>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</si>
  <si>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</si>
  <si>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</si>
  <si>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</si>
  <si>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</si>
  <si>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</si>
  <si>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</si>
  <si>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</si>
  <si>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</si>
  <si>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</si>
  <si>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</si>
  <si>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</si>
  <si>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</si>
  <si>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</si>
  <si>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</si>
  <si>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</si>
  <si>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</si>
  <si>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</si>
  <si>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</si>
  <si>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</si>
  <si>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</si>
  <si>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</si>
  <si>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</si>
  <si>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</si>
  <si>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</si>
  <si>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</si>
  <si>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</si>
  <si>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</si>
  <si>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</si>
  <si>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</si>
  <si>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</si>
  <si>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</si>
  <si>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</si>
  <si>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</si>
  <si>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</si>
  <si>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</si>
  <si>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</si>
  <si>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</si>
  <si>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</si>
  <si>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</si>
  <si>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</si>
  <si>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</si>
  <si>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</si>
  <si>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</si>
  <si>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</si>
  <si>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</si>
  <si>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</si>
  <si>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</si>
  <si>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</si>
  <si>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</si>
  <si>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</si>
  <si>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</si>
  <si>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</si>
  <si>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</si>
  <si>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</si>
  <si>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</si>
  <si>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</si>
  <si>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</si>
  <si>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</si>
  <si>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</si>
  <si>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</si>
  <si>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</si>
  <si>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</si>
  <si>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</si>
  <si>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</si>
  <si>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</si>
  <si>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</si>
  <si>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</si>
  <si>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</si>
  <si>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</si>
  <si>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</si>
  <si>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</si>
  <si>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</si>
  <si>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</si>
  <si>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</si>
  <si>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</si>
  <si>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</si>
  <si>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</si>
  <si>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</si>
  <si>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</si>
  <si>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</si>
  <si>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</si>
  <si>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</si>
  <si>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</si>
  <si>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</si>
  <si>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</si>
  <si>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</si>
  <si>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</si>
  <si>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</si>
  <si>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</si>
  <si>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</si>
  <si>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</si>
  <si>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</si>
  <si>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</si>
  <si>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</si>
  <si>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</si>
  <si>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</si>
  <si>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</si>
  <si>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</si>
  <si>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</si>
  <si>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</si>
  <si>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</si>
  <si>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</si>
  <si>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</si>
  <si>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</si>
  <si>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</si>
  <si>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</si>
  <si>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</si>
  <si>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</si>
  <si>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</si>
  <si>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</si>
  <si>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</si>
  <si>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</si>
  <si>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</si>
  <si>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</si>
  <si>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</si>
  <si>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</si>
  <si>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</si>
  <si>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</si>
  <si>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</si>
  <si>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</si>
  <si>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</si>
  <si>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</si>
  <si>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</si>
  <si>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</si>
  <si>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</si>
  <si>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</si>
  <si>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</si>
  <si>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</si>
  <si>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</si>
  <si>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</si>
  <si>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</si>
  <si>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</si>
  <si>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</si>
  <si>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</si>
  <si>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</si>
  <si>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</si>
  <si>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</si>
  <si>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</si>
  <si>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</si>
  <si>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</si>
  <si>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</si>
  <si>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</si>
  <si>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</si>
  <si>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</si>
  <si>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</si>
  <si>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</si>
  <si>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</si>
  <si>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</si>
  <si>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</si>
  <si>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</si>
  <si>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</si>
  <si>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</si>
  <si>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</si>
  <si>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</si>
  <si>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</si>
  <si>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</si>
  <si>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</si>
  <si>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</si>
  <si>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</si>
  <si>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</si>
  <si>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</si>
  <si>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</si>
  <si>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</si>
  <si>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</si>
  <si>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</si>
  <si>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</si>
  <si>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</si>
  <si>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</si>
  <si>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</si>
  <si>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</si>
  <si>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</si>
  <si>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</si>
  <si>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</si>
  <si>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</si>
  <si>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</si>
  <si>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</si>
  <si>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</si>
  <si>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</si>
  <si>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</si>
  <si>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</si>
  <si>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</si>
  <si>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</si>
  <si>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</si>
  <si>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</si>
  <si>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</si>
  <si>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</si>
  <si>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</si>
  <si>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</si>
  <si>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</si>
  <si>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</si>
  <si>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</si>
  <si>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</si>
  <si>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</si>
  <si>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</si>
  <si>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</si>
  <si>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</si>
  <si>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</si>
  <si>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</si>
  <si>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</si>
  <si>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</si>
  <si>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</si>
  <si>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</si>
  <si>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</si>
  <si>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</si>
  <si>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</si>
  <si>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</si>
  <si>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</si>
  <si>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</si>
  <si>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</si>
  <si>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</si>
  <si>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</si>
  <si>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</si>
  <si>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</si>
  <si>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</si>
  <si>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</si>
  <si>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</si>
  <si>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</si>
  <si>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</si>
  <si>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</si>
  <si>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</si>
  <si>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</si>
  <si>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</si>
  <si>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</si>
  <si>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</si>
  <si>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</si>
  <si>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</si>
  <si>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</si>
  <si>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</si>
  <si>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</si>
  <si>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</si>
  <si>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</si>
  <si>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</si>
  <si>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</si>
  <si>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</si>
  <si>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</si>
  <si>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</si>
  <si>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</si>
  <si>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</si>
  <si>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</si>
  <si>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</si>
  <si>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</si>
  <si>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</si>
  <si>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</si>
  <si>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</si>
  <si>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</si>
  <si>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</si>
  <si>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</si>
  <si>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</si>
  <si>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</si>
  <si>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</si>
  <si>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</si>
  <si>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</si>
  <si>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</si>
  <si>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</si>
  <si>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</si>
  <si>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</si>
  <si>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</si>
  <si>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</si>
  <si>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</si>
  <si>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</si>
  <si>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</si>
  <si>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</si>
  <si>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</si>
  <si>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</si>
  <si>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</si>
  <si>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</si>
  <si>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</si>
  <si>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</si>
  <si>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</si>
  <si>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</si>
  <si>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</si>
  <si>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</si>
  <si>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</si>
  <si>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</si>
  <si>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</si>
  <si>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</si>
  <si>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</si>
  <si>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</si>
  <si>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</si>
  <si>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</si>
  <si>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</si>
  <si>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</si>
  <si>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</si>
  <si>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</si>
  <si>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</si>
  <si>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</si>
  <si>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</si>
  <si>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</si>
  <si>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</si>
  <si>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</si>
  <si>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</si>
  <si>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</si>
  <si>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</si>
  <si>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</si>
  <si>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</si>
  <si>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</si>
  <si>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</si>
  <si>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</si>
  <si>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</si>
  <si>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</si>
  <si>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</si>
  <si>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</si>
  <si>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</si>
  <si>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</si>
  <si>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</si>
  <si>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</si>
  <si>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</si>
  <si>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</si>
  <si>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</si>
  <si>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</si>
  <si>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</si>
  <si>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</si>
  <si>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</si>
  <si>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</si>
  <si>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</si>
  <si>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</si>
  <si>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</si>
  <si>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</si>
  <si>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</si>
  <si>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</si>
  <si>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</si>
  <si>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</si>
  <si>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</si>
  <si>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</si>
  <si>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</si>
  <si>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</si>
  <si>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</si>
  <si>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</si>
  <si>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</si>
  <si>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</si>
  <si>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</si>
  <si>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</si>
  <si>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</si>
  <si>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</si>
  <si>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</si>
  <si>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</si>
  <si>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</si>
  <si>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</si>
  <si>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</si>
  <si>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</si>
  <si>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</si>
  <si>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</si>
  <si>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</si>
  <si>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</si>
  <si>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</si>
  <si>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</si>
  <si>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</si>
  <si>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</si>
  <si>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</si>
  <si>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</si>
  <si>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</si>
  <si>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</si>
  <si>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</si>
  <si>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</si>
  <si>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</si>
  <si>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</si>
  <si>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</si>
  <si>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</si>
  <si>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</si>
  <si>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</si>
  <si>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</si>
  <si>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</si>
  <si>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</si>
  <si>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</si>
  <si>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</si>
  <si>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</si>
  <si>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</si>
  <si>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</si>
  <si>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</si>
  <si>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</si>
  <si>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</si>
  <si>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</si>
  <si>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</si>
  <si>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</si>
  <si>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</si>
  <si>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</si>
  <si>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</si>
  <si>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</si>
  <si>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</si>
  <si>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</si>
  <si>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</si>
  <si>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</si>
  <si>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</si>
  <si>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</si>
  <si>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</si>
  <si>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</si>
  <si>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</si>
  <si>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</si>
  <si>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</si>
  <si>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</si>
  <si>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</si>
  <si>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</si>
  <si>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</si>
  <si>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</si>
  <si>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</si>
  <si>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</si>
  <si>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</si>
  <si>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</si>
  <si>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</si>
  <si>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</si>
  <si>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</si>
  <si>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</si>
  <si>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</si>
  <si>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</si>
  <si>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</si>
  <si>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</si>
  <si>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</si>
  <si>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</si>
  <si>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</si>
  <si>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</si>
  <si>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</si>
  <si>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</si>
  <si>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</si>
  <si>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</si>
  <si>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</si>
  <si>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</si>
  <si>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</si>
  <si>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</si>
  <si>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</si>
  <si>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</si>
  <si>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</si>
  <si>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</si>
  <si>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</si>
  <si>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</si>
  <si>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</si>
  <si>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</si>
  <si>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</si>
  <si>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</si>
  <si>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</si>
  <si>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</si>
  <si>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</si>
  <si>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</si>
  <si>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</si>
  <si>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</si>
  <si>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</si>
  <si>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</si>
  <si>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</si>
  <si>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</si>
  <si>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</si>
  <si>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</si>
  <si>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</si>
  <si>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</si>
  <si>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</si>
  <si>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</si>
  <si>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</si>
  <si>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</si>
  <si>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</si>
  <si>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</si>
  <si>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</si>
  <si>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</si>
  <si>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</si>
  <si>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</si>
  <si>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</si>
  <si>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</si>
  <si>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</si>
  <si>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</si>
  <si>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</si>
  <si>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</si>
  <si>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</si>
  <si>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</si>
  <si>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</si>
  <si>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</si>
  <si>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</si>
  <si>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</si>
  <si>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</si>
  <si>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</si>
  <si>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</si>
  <si>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</si>
  <si>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</si>
  <si>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</si>
  <si>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</si>
  <si>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</si>
  <si>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</si>
  <si>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</si>
  <si>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</si>
  <si>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</si>
  <si>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</si>
  <si>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</si>
  <si>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</si>
  <si>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</si>
  <si>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</si>
  <si>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</si>
  <si>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</si>
  <si>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</si>
  <si>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</si>
  <si>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</si>
  <si>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</si>
  <si>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</si>
  <si>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</si>
  <si>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</si>
  <si>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</si>
  <si>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</si>
  <si>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</si>
  <si>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</si>
  <si>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</si>
  <si>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</si>
  <si>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</si>
  <si>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</si>
  <si>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</si>
  <si>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</si>
  <si>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</si>
  <si>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</si>
  <si>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</si>
  <si>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</si>
  <si>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</si>
  <si>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</si>
  <si>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</si>
  <si>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</si>
  <si>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</si>
  <si>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</si>
  <si>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</si>
  <si>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</si>
  <si>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</si>
  <si>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</si>
  <si>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</si>
  <si>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</si>
  <si>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</si>
  <si>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</si>
  <si>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</si>
  <si>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</si>
  <si>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</si>
  <si>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</si>
  <si>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</si>
  <si>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</si>
  <si>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</si>
  <si>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</si>
  <si>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</si>
  <si>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</si>
  <si>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</si>
  <si>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</si>
  <si>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</si>
  <si>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</si>
  <si>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</si>
  <si>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</si>
  <si>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</si>
  <si>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</si>
  <si>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</si>
  <si>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</si>
  <si>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</si>
  <si>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</si>
  <si>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</si>
  <si>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</si>
  <si>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</si>
  <si>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</si>
  <si>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</si>
  <si>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</si>
  <si>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</si>
  <si>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</si>
  <si>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</si>
  <si>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</si>
  <si>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</si>
  <si>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</si>
  <si>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</si>
  <si>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</si>
  <si>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</si>
  <si>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</si>
  <si>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</si>
  <si>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</si>
  <si>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</si>
  <si>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</si>
  <si>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</si>
  <si>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</si>
  <si>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</si>
  <si>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</si>
  <si>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</si>
  <si>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</si>
  <si>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</si>
  <si>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</si>
  <si>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</si>
  <si>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</si>
  <si>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</si>
  <si>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</si>
  <si>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</si>
  <si>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</si>
  <si>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</si>
  <si>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</si>
  <si>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</si>
  <si>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</si>
  <si>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</si>
  <si>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</si>
  <si>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</si>
  <si>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</si>
  <si>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</si>
  <si>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</si>
  <si>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</si>
  <si>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</si>
  <si>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</si>
  <si>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</si>
  <si>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</si>
  <si>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</si>
  <si>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</si>
  <si>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</si>
  <si>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</si>
  <si>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</si>
  <si>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</si>
  <si>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</si>
  <si>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</si>
  <si>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</si>
  <si>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</si>
  <si>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</si>
  <si>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</si>
  <si>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</si>
  <si>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</si>
  <si>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</si>
  <si>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</si>
  <si>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</si>
  <si>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</si>
  <si>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</si>
  <si>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</si>
  <si>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</si>
  <si>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</si>
  <si>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</si>
  <si>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</si>
  <si>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</si>
  <si>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</si>
  <si>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</si>
  <si>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</si>
  <si>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</si>
  <si>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</si>
  <si>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</si>
  <si>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</si>
  <si>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</si>
  <si>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</si>
  <si>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</si>
  <si>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</si>
  <si>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</si>
  <si>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</si>
  <si>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</si>
  <si>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</si>
  <si>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</si>
  <si>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</si>
  <si>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</si>
  <si>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</si>
  <si>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</si>
  <si>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</si>
  <si>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</si>
  <si>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</si>
  <si>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</si>
  <si>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</si>
  <si>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</si>
  <si>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</si>
  <si>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</si>
  <si>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</si>
  <si>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</si>
  <si>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</si>
  <si>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</si>
  <si>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</si>
  <si>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</si>
  <si>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</si>
  <si>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</si>
  <si>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</si>
  <si>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</si>
  <si>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</si>
  <si>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</si>
  <si>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</si>
  <si>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</si>
  <si>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</si>
  <si>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</si>
  <si>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</si>
  <si>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</si>
  <si>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</si>
  <si>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</si>
  <si>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</si>
  <si>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</si>
  <si>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</si>
  <si>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</si>
  <si>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</si>
  <si>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</si>
  <si>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</si>
  <si>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</si>
  <si>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</si>
  <si>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</si>
  <si>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</si>
  <si>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</si>
  <si>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</si>
  <si>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</si>
  <si>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</si>
  <si>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</si>
  <si>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</si>
  <si>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</si>
  <si>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</si>
  <si>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</si>
  <si>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</si>
  <si>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</si>
  <si>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</si>
  <si>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</si>
  <si>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</si>
  <si>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</si>
  <si>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</si>
  <si>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</si>
  <si>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</si>
  <si>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</si>
  <si>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</si>
  <si>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</si>
  <si>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</si>
  <si>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</si>
  <si>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</si>
  <si>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</si>
  <si>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</si>
  <si>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</si>
  <si>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</si>
  <si>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</si>
  <si>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</si>
  <si>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</si>
  <si>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</si>
  <si>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</si>
  <si>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</si>
  <si>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</si>
  <si>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</si>
  <si>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</si>
  <si>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</si>
  <si>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</si>
  <si>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</si>
  <si>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</si>
  <si>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</si>
  <si>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</si>
  <si>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</si>
  <si>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</si>
  <si>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</si>
  <si>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</si>
  <si>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</si>
  <si>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</si>
  <si>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</si>
  <si>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</si>
  <si>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</si>
  <si>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</si>
  <si>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</si>
  <si>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</si>
  <si>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</si>
  <si>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</si>
  <si>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</si>
  <si>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</si>
  <si>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</si>
  <si>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</si>
  <si>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</si>
  <si>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</si>
  <si>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</si>
  <si>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</si>
  <si>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</si>
  <si>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</si>
  <si>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</si>
  <si>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</si>
  <si>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</si>
  <si>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</si>
  <si>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</si>
  <si>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</si>
  <si>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</si>
  <si>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</si>
  <si>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</si>
  <si>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</si>
  <si>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</si>
  <si>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</si>
  <si>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</si>
  <si>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</si>
  <si>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</si>
  <si>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</si>
  <si>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</si>
  <si>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</si>
  <si>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</si>
  <si>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</si>
  <si>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</si>
  <si>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</si>
  <si>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</si>
  <si>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</si>
  <si>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</si>
  <si>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</si>
  <si>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</si>
  <si>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</si>
  <si>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</si>
  <si>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</si>
  <si>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</si>
  <si>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</si>
  <si>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</si>
  <si>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</si>
  <si>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</si>
  <si>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</si>
  <si>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</si>
  <si>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</si>
  <si>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</si>
  <si>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</si>
  <si>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</si>
  <si>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</si>
  <si>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</si>
  <si>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</si>
  <si>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</si>
  <si>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</si>
  <si>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</si>
  <si>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</si>
  <si>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</si>
  <si>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</si>
  <si>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</si>
  <si>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</si>
  <si>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</si>
  <si>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</si>
  <si>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</si>
  <si>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</si>
  <si>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</si>
  <si>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</si>
  <si>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</si>
  <si>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</si>
  <si>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</si>
  <si>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</si>
  <si>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</si>
  <si>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</si>
  <si>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</si>
  <si>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</si>
  <si>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</si>
  <si>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</si>
  <si>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</si>
  <si>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</si>
  <si>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</si>
  <si>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</si>
  <si>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</si>
  <si>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</si>
  <si>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</si>
  <si>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</si>
  <si>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</si>
  <si>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</si>
  <si>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</si>
  <si>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</si>
  <si>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</si>
  <si>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</si>
  <si>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</si>
  <si>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</si>
  <si>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</si>
  <si>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</si>
  <si>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</si>
  <si>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</si>
  <si>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</si>
  <si>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</si>
  <si>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</si>
  <si>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</si>
  <si>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</si>
  <si>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</si>
  <si>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</si>
  <si>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</si>
  <si>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</si>
  <si>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</si>
  <si>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</si>
  <si>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</si>
  <si>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</si>
  <si>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</si>
  <si>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</si>
  <si>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</si>
  <si>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</si>
  <si>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</si>
  <si>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</si>
  <si>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</si>
  <si>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</si>
  <si>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</si>
  <si>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</si>
  <si>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</si>
  <si>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</si>
  <si>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</si>
  <si>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</si>
  <si>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</si>
  <si>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</si>
  <si>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</si>
  <si>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</si>
  <si>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</si>
  <si>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</si>
  <si>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</si>
  <si>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</si>
  <si>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</si>
  <si>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</si>
  <si>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</si>
  <si>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</si>
  <si>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</si>
  <si>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</si>
  <si>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</si>
  <si>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</si>
  <si>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</si>
  <si>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</si>
  <si>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</si>
  <si>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</si>
  <si>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</si>
  <si>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</si>
  <si>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</si>
  <si>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</si>
  <si>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</si>
  <si>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</si>
  <si>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</si>
  <si>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</si>
  <si>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</si>
  <si>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</si>
  <si>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</si>
  <si>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</si>
  <si>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</si>
  <si>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</si>
  <si>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</si>
  <si>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</si>
  <si>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</si>
  <si>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</si>
  <si>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</si>
  <si>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</si>
  <si>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</si>
  <si>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</si>
  <si>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</si>
  <si>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</si>
  <si>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</si>
  <si>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</si>
  <si>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</si>
  <si>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</si>
  <si>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</si>
  <si>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</si>
  <si>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</si>
  <si>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</si>
  <si>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</si>
  <si>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</si>
  <si>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</si>
  <si>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</si>
  <si>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</si>
  <si>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</si>
  <si>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</si>
  <si>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</si>
  <si>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</si>
  <si>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</si>
  <si>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</si>
  <si>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</si>
  <si>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</si>
  <si>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</si>
  <si>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</si>
  <si>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</si>
  <si>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</si>
  <si>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</si>
  <si>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</si>
  <si>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</si>
  <si>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</si>
  <si>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</si>
  <si>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</si>
  <si>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</si>
  <si>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</si>
  <si>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</si>
  <si>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</si>
  <si>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</si>
  <si>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</si>
  <si>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</si>
  <si>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</si>
  <si>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</si>
  <si>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</si>
  <si>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</si>
  <si>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</si>
  <si>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</si>
  <si>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</si>
  <si>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</si>
  <si>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</si>
  <si>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</si>
  <si>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</si>
  <si>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</si>
  <si>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</si>
  <si>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</si>
  <si>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</si>
  <si>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</si>
  <si>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</si>
  <si>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</si>
  <si>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</si>
  <si>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</si>
  <si>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</si>
  <si>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</si>
  <si>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</si>
  <si>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</si>
  <si>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</si>
  <si>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</si>
  <si>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</si>
  <si>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</si>
  <si>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</si>
  <si>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</si>
  <si>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</si>
  <si>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</si>
  <si>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</si>
  <si>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</si>
  <si>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</si>
  <si>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</si>
  <si>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</si>
  <si>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</si>
  <si>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</si>
  <si>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</si>
  <si>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</si>
  <si>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</si>
  <si>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</si>
  <si>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</si>
  <si>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</si>
  <si>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</si>
  <si>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</si>
  <si>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</si>
  <si>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</si>
  <si>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</si>
  <si>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</si>
  <si>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</si>
  <si>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</si>
  <si>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</si>
  <si>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</si>
  <si>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</si>
  <si>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</si>
  <si>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</si>
  <si>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</si>
  <si>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</si>
  <si>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</si>
  <si>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</si>
  <si>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</si>
  <si>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</si>
  <si>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</si>
  <si>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</si>
  <si>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</si>
  <si>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</si>
  <si>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</si>
  <si>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</si>
  <si>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</si>
  <si>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</si>
  <si>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</si>
  <si>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</si>
  <si>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</si>
  <si>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</si>
  <si>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</si>
  <si>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</si>
  <si>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</si>
  <si>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</si>
  <si>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</si>
  <si>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</si>
  <si>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</si>
  <si>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</si>
  <si>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</si>
  <si>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</si>
  <si>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</si>
  <si>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</si>
  <si>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</si>
  <si>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</si>
  <si>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</si>
  <si>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</si>
  <si>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</si>
  <si>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</si>
  <si>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</si>
  <si>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</si>
  <si>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</si>
  <si>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</si>
  <si>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</si>
  <si>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</si>
  <si>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</si>
  <si>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</si>
  <si>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</si>
  <si>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</si>
  <si>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</si>
  <si>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</si>
  <si>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</si>
  <si>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</si>
  <si>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</si>
  <si>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</si>
  <si>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</si>
  <si>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</si>
  <si>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</si>
  <si>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</si>
  <si>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</si>
  <si>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</si>
  <si>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</si>
  <si>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</si>
  <si>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</si>
  <si>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</si>
  <si>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</si>
  <si>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</si>
  <si>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</si>
  <si>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</si>
  <si>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</si>
  <si>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</si>
  <si>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</si>
  <si>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</si>
  <si>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</si>
  <si>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</si>
  <si>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</si>
  <si>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</si>
  <si>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</si>
  <si>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</si>
  <si>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</si>
  <si>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</si>
  <si>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</si>
  <si>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</si>
  <si>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</si>
  <si>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</si>
  <si>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</si>
  <si>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</si>
  <si>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</si>
  <si>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</si>
  <si>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</si>
  <si>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</si>
  <si>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</si>
  <si>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</si>
  <si>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</si>
  <si>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</si>
  <si>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</si>
  <si>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</si>
  <si>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</si>
  <si>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</si>
  <si>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</si>
  <si>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</si>
  <si>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</si>
  <si>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</si>
  <si>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</si>
  <si>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</si>
  <si>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</si>
  <si>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</si>
  <si>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</si>
  <si>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</si>
  <si>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</si>
  <si>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</si>
  <si>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</si>
  <si>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</si>
  <si>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</si>
  <si>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</si>
  <si>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</si>
  <si>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</si>
  <si>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</si>
  <si>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</si>
  <si>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</si>
  <si>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</si>
  <si>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</si>
  <si>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</si>
  <si>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</si>
  <si>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</si>
  <si>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</si>
  <si>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</si>
  <si>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</si>
  <si>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</si>
  <si>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</si>
  <si>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</si>
  <si>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</si>
  <si>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</si>
  <si>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</si>
  <si>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</si>
  <si>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</si>
  <si>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</si>
  <si>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</si>
  <si>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</si>
  <si>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</si>
  <si>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</si>
  <si>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</si>
  <si>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</si>
  <si>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</si>
  <si>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</si>
  <si>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</si>
  <si>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</si>
  <si>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</si>
  <si>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</si>
  <si>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</si>
  <si>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</si>
  <si>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</si>
  <si>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</si>
  <si>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</si>
  <si>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</si>
  <si>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</si>
  <si>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</si>
  <si>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</si>
  <si>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</si>
  <si>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</si>
  <si>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</si>
  <si>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</si>
  <si>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</si>
  <si>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</si>
  <si>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</si>
  <si>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</si>
  <si>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</si>
  <si>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</si>
  <si>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</si>
  <si>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</si>
  <si>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</si>
  <si>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</si>
  <si>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</si>
  <si>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</si>
  <si>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</si>
  <si>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</si>
  <si>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</si>
  <si>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</si>
  <si>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</si>
  <si>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</si>
  <si>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</si>
  <si>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</si>
  <si>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</si>
  <si>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</si>
  <si>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</si>
  <si>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</si>
  <si>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</si>
  <si>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</si>
  <si>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</si>
  <si>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</si>
  <si>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</si>
  <si>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</si>
  <si>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</si>
  <si>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</si>
  <si>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</si>
  <si>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</si>
  <si>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</si>
  <si>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</si>
  <si>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</si>
  <si>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</si>
  <si>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</si>
  <si>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</si>
  <si>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</si>
  <si>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</si>
  <si>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</si>
  <si>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</si>
  <si>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</si>
  <si>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</si>
  <si>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</si>
  <si>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</si>
  <si>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</si>
  <si>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</si>
  <si>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</si>
  <si>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</si>
  <si>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</si>
  <si>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</si>
  <si>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</si>
  <si>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</si>
  <si>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</si>
  <si>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</si>
  <si>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</si>
  <si>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</si>
  <si>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</si>
  <si>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</si>
  <si>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</si>
  <si>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</si>
  <si>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</si>
  <si>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</si>
  <si>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</si>
  <si>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</si>
  <si>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</si>
  <si>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</si>
  <si>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</si>
  <si>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</si>
  <si>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</si>
  <si>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</si>
  <si>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</si>
  <si>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</si>
  <si>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</si>
  <si>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</si>
  <si>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</si>
  <si>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</si>
  <si>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</si>
  <si>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</si>
  <si>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</si>
  <si>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</si>
  <si>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</si>
  <si>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</si>
  <si>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</si>
  <si>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</si>
  <si>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</si>
  <si>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</si>
  <si>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</si>
  <si>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</si>
  <si>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</si>
  <si>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</si>
  <si>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</si>
  <si>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</si>
  <si>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</si>
  <si>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</si>
  <si>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</si>
  <si>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</si>
  <si>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</si>
  <si>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</si>
  <si>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</si>
  <si>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</si>
  <si>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</si>
  <si>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</si>
  <si>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</si>
  <si>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</si>
  <si>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</si>
  <si>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</si>
  <si>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</si>
  <si>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</si>
  <si>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</si>
  <si>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</si>
  <si>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</si>
  <si>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</si>
  <si>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</si>
  <si>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</si>
  <si>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</si>
  <si>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</si>
  <si>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</si>
  <si>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</si>
  <si>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</si>
  <si>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</si>
  <si>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</si>
  <si>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</si>
  <si>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</si>
  <si>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</si>
  <si>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</si>
  <si>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</si>
  <si>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</si>
  <si>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</si>
  <si>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</si>
  <si>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</si>
  <si>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</si>
  <si>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</si>
  <si>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</si>
  <si>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</si>
  <si>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</si>
  <si>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</si>
  <si>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</si>
  <si>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</si>
  <si>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</si>
  <si>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</si>
  <si>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</si>
  <si>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</si>
  <si>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</si>
  <si>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</si>
  <si>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</si>
  <si>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</si>
  <si>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</si>
  <si>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</si>
  <si>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</si>
  <si>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</si>
  <si>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</si>
  <si>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</si>
  <si>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</si>
  <si>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</si>
  <si>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</si>
  <si>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</si>
  <si>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</si>
  <si>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</si>
  <si>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</si>
  <si>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</si>
  <si>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</si>
  <si>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</si>
  <si>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</si>
  <si>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</si>
  <si>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</si>
  <si>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</si>
  <si>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</si>
  <si>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</si>
  <si>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</si>
  <si>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</si>
  <si>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</si>
  <si>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</si>
  <si>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</si>
  <si>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</si>
  <si>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</si>
  <si>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</si>
  <si>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</si>
  <si>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</si>
  <si>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</si>
  <si>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</si>
  <si>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</si>
  <si>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</si>
  <si>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</si>
  <si>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</si>
  <si>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</si>
  <si>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</si>
  <si>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</si>
  <si>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</si>
  <si>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</si>
  <si>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</si>
  <si>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</si>
  <si>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</si>
  <si>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</si>
  <si>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</si>
  <si>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</si>
  <si>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</si>
  <si>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</si>
  <si>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</si>
  <si>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</si>
  <si>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</si>
  <si>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</si>
  <si>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</si>
  <si>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</si>
  <si>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</si>
  <si>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</si>
  <si>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</si>
  <si>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</si>
  <si>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</si>
  <si>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</si>
  <si>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</si>
  <si>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</si>
  <si>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</si>
  <si>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</si>
  <si>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</si>
  <si>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</si>
  <si>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</si>
  <si>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</si>
  <si>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</si>
  <si>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</si>
  <si>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</si>
  <si>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</si>
  <si>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</si>
  <si>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</si>
  <si>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</si>
  <si>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</si>
  <si>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</si>
  <si>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</si>
  <si>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</si>
  <si>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</si>
  <si>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</si>
  <si>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</si>
  <si>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</si>
  <si>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</si>
  <si>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</si>
  <si>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</si>
  <si>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</si>
  <si>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</si>
  <si>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</si>
  <si>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</si>
  <si>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</si>
  <si>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</si>
  <si>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</si>
  <si>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</si>
  <si>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</si>
  <si>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</si>
  <si>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</si>
  <si>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</si>
  <si>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</si>
  <si>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</si>
  <si>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</si>
  <si>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</si>
  <si>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</si>
  <si>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</si>
  <si>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</si>
  <si>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</si>
  <si>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</si>
  <si>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</si>
  <si>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</si>
  <si>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</si>
  <si>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</si>
  <si>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</si>
  <si>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</si>
  <si>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</si>
  <si>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</si>
  <si>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</si>
  <si>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</si>
  <si>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</si>
  <si>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</si>
  <si>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</si>
  <si>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</si>
  <si>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</si>
  <si>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</si>
  <si>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</si>
  <si>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</si>
  <si>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</si>
  <si>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</si>
  <si>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</si>
  <si>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</si>
  <si>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</si>
  <si>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</si>
  <si>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</si>
  <si>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</si>
  <si>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</si>
  <si>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</si>
  <si>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</si>
  <si>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</si>
  <si>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</si>
  <si>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</si>
  <si>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</si>
  <si>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</si>
  <si>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</si>
  <si>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</si>
  <si>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</si>
  <si>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</si>
  <si>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</si>
  <si>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</si>
  <si>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</si>
  <si>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</si>
  <si>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</si>
  <si>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</si>
  <si>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</si>
  <si>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</si>
  <si>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</si>
  <si>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</si>
  <si>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</si>
  <si>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</si>
  <si>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</si>
  <si>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</si>
  <si>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</si>
  <si>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</si>
  <si>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</si>
  <si>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</si>
  <si>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</si>
  <si>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</si>
  <si>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</si>
  <si>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</si>
  <si>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</si>
  <si>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</si>
  <si>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</si>
  <si>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</si>
  <si>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</si>
  <si>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</si>
  <si>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</si>
  <si>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</si>
  <si>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</si>
  <si>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</si>
  <si>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</si>
  <si>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</si>
  <si>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</si>
  <si>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</si>
  <si>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</si>
  <si>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</si>
  <si>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</si>
  <si>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</si>
  <si>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</si>
  <si>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</si>
  <si>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</si>
  <si>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</si>
  <si>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</si>
  <si>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</si>
  <si>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</si>
  <si>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</si>
  <si>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</si>
  <si>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</si>
  <si>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</si>
  <si>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</si>
  <si>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</si>
  <si>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</si>
  <si>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</si>
  <si>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</si>
  <si>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</si>
  <si>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</si>
  <si>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</si>
  <si>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</si>
  <si>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</si>
  <si>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</si>
  <si>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</si>
  <si>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</si>
  <si>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</si>
  <si>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</si>
  <si>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</si>
  <si>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</si>
  <si>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</si>
  <si>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</si>
  <si>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</si>
  <si>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</si>
  <si>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</si>
  <si>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</si>
  <si>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</si>
  <si>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</si>
  <si>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</si>
  <si>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</si>
  <si>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</si>
  <si>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</si>
  <si>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</si>
  <si>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</si>
  <si>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</si>
  <si>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</si>
  <si>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</si>
  <si>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</si>
  <si>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</si>
  <si>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</si>
  <si>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</si>
  <si>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</si>
  <si>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</si>
  <si>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</si>
  <si>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</si>
  <si>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</si>
  <si>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</si>
  <si>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</si>
  <si>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</si>
  <si>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</si>
  <si>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</si>
  <si>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</si>
  <si>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</si>
  <si>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</si>
  <si>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</si>
  <si>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</si>
  <si>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</si>
  <si>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</si>
  <si>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</si>
  <si>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</si>
  <si>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</si>
  <si>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</si>
  <si>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</si>
  <si>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</si>
  <si>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</si>
  <si>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</si>
  <si>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</si>
  <si>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</si>
  <si>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</si>
  <si>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</si>
  <si>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</si>
  <si>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</si>
  <si>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</si>
  <si>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</si>
  <si>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</si>
  <si>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</si>
  <si>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</si>
  <si>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</si>
  <si>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</si>
  <si>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</si>
  <si>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</si>
  <si>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</si>
  <si>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</si>
  <si>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</si>
  <si>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</si>
  <si>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</si>
  <si>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</si>
  <si>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</si>
  <si>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</si>
  <si>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</si>
  <si>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</si>
  <si>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</si>
  <si>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</si>
  <si>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</si>
  <si>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</si>
  <si>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</si>
  <si>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</si>
  <si>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</si>
  <si>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</si>
  <si>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</si>
  <si>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</si>
  <si>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</si>
  <si>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</si>
  <si>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</si>
  <si>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</si>
  <si>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</si>
  <si>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</si>
  <si>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</si>
  <si>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</si>
  <si>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</si>
  <si>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</si>
  <si>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</si>
  <si>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</si>
  <si>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</si>
  <si>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</si>
  <si>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</si>
  <si>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</si>
  <si>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</si>
  <si>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</si>
  <si>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</si>
  <si>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</si>
  <si>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</si>
  <si>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</si>
  <si>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</si>
  <si>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</si>
  <si>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</si>
  <si>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</si>
  <si>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</si>
  <si>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</si>
  <si>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</si>
  <si>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</si>
  <si>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</si>
  <si>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</si>
  <si>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</si>
  <si>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</si>
  <si>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</si>
  <si>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</si>
  <si>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</si>
  <si>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</si>
  <si>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</si>
  <si>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</si>
  <si>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</si>
  <si>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</si>
  <si>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</si>
  <si>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</si>
  <si>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</si>
  <si>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</si>
  <si>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</si>
  <si>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</si>
  <si>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</si>
  <si>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</si>
  <si>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</si>
  <si>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</si>
  <si>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</si>
  <si>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</si>
  <si>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</si>
  <si>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</si>
  <si>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</si>
  <si>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</si>
  <si>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</si>
  <si>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</si>
  <si>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</si>
  <si>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</si>
  <si>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</si>
  <si>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</si>
  <si>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</si>
  <si>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</si>
  <si>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</si>
  <si>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</si>
  <si>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</si>
  <si>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</si>
  <si>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</si>
  <si>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</si>
  <si>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</si>
  <si>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</si>
  <si>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</si>
  <si>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</si>
  <si>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</si>
  <si>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</si>
  <si>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</si>
  <si>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</si>
  <si>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</si>
  <si>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</si>
  <si>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</si>
  <si>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</si>
  <si>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</si>
  <si>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</si>
  <si>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</si>
  <si>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</si>
  <si>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</si>
  <si>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</si>
  <si>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</si>
  <si>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</si>
  <si>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</si>
  <si>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</si>
  <si>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</si>
  <si>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</si>
  <si>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</si>
  <si>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</si>
  <si>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</si>
  <si>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</si>
  <si>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</si>
  <si>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</si>
  <si>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</si>
  <si>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</si>
  <si>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</si>
  <si>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</si>
  <si>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</si>
  <si>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</si>
  <si>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</si>
  <si>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</si>
  <si>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</si>
  <si>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</si>
  <si>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</si>
  <si>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</si>
  <si>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</si>
  <si>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</si>
  <si>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</si>
  <si>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</si>
  <si>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</si>
  <si>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</si>
  <si>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</si>
  <si>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</si>
  <si>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</si>
  <si>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</si>
  <si>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</si>
  <si>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</si>
  <si>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</si>
  <si>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</si>
  <si>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</si>
  <si>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</si>
  <si>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</si>
  <si>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</si>
  <si>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</si>
  <si>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</si>
  <si>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</si>
  <si>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</si>
  <si>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</si>
  <si>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</si>
  <si>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</si>
  <si>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</si>
  <si>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</si>
  <si>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</si>
  <si>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</si>
  <si>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</si>
  <si>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</si>
  <si>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</si>
  <si>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</si>
  <si>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</si>
  <si>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</si>
  <si>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</si>
  <si>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</si>
  <si>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</si>
  <si>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</si>
  <si>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</si>
  <si>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</si>
  <si>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</si>
  <si>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</si>
  <si>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</si>
  <si>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</si>
  <si>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</si>
  <si>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</si>
  <si>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</si>
  <si>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</si>
  <si>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</si>
  <si>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</si>
  <si>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</si>
  <si>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</si>
  <si>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</si>
  <si>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</si>
  <si>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</si>
  <si>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</si>
  <si>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</si>
  <si>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</si>
  <si>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</si>
  <si>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</si>
  <si>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</si>
  <si>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</si>
  <si>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</si>
  <si>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</si>
  <si>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</si>
  <si>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</si>
  <si>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</si>
  <si>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</si>
  <si>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</si>
  <si>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</si>
  <si>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</si>
  <si>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</si>
  <si>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</si>
  <si>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</si>
  <si>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</si>
  <si>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</si>
  <si>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</si>
  <si>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</si>
  <si>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</si>
  <si>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</si>
  <si>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</si>
  <si>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</si>
  <si>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</si>
  <si>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</si>
  <si>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</si>
  <si>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</si>
  <si>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</si>
  <si>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</si>
  <si>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</si>
  <si>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</si>
  <si>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</si>
  <si>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</si>
  <si>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</si>
  <si>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</si>
  <si>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</si>
  <si>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</si>
  <si>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</si>
  <si>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</si>
  <si>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</si>
  <si>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</si>
  <si>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</si>
  <si>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</si>
  <si>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</si>
  <si>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</si>
  <si>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</si>
  <si>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</si>
  <si>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</si>
  <si>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</si>
  <si>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</si>
  <si>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</si>
  <si>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</si>
  <si>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</si>
  <si>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</si>
  <si>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</si>
  <si>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</si>
  <si>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</si>
  <si>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</si>
  <si>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</si>
  <si>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</si>
  <si>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</si>
  <si>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</si>
  <si>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</si>
  <si>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</si>
  <si>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</si>
  <si>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</si>
  <si>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</si>
  <si>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</si>
  <si>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</si>
  <si>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</si>
  <si>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</si>
  <si>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</si>
  <si>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</si>
  <si>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</si>
  <si>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</si>
  <si>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</si>
  <si>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</si>
  <si>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</si>
  <si>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</si>
  <si>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</si>
  <si>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</si>
  <si>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</si>
  <si>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</si>
  <si>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</si>
  <si>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</si>
  <si>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</si>
  <si>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</si>
  <si>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</si>
  <si>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</si>
  <si>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</si>
  <si>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</si>
  <si>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</si>
  <si>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</si>
  <si>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</si>
  <si>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</si>
  <si>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</si>
  <si>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</si>
  <si>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</si>
  <si>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</si>
  <si>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</si>
  <si>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</si>
  <si>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</si>
  <si>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</si>
  <si>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</si>
  <si>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</si>
  <si>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</si>
  <si>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</si>
  <si>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</si>
  <si>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</si>
  <si>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</si>
  <si>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</si>
  <si>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</si>
  <si>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</si>
  <si>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</si>
  <si>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</si>
  <si>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</si>
  <si>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</si>
  <si>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</si>
  <si>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</si>
  <si>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</si>
  <si>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</si>
  <si>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</si>
  <si>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</si>
  <si>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</si>
  <si>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</si>
  <si>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</si>
  <si>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</si>
  <si>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</si>
  <si>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</si>
  <si>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</si>
  <si>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</si>
  <si>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</si>
  <si>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</si>
  <si>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</si>
  <si>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</si>
  <si>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</si>
  <si>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</si>
  <si>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</si>
  <si>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</si>
  <si>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</si>
  <si>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</si>
  <si>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</si>
  <si>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</si>
  <si>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</si>
  <si>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</si>
  <si>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</si>
  <si>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</si>
  <si>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</si>
  <si>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</si>
  <si>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</si>
  <si>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</si>
  <si>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</si>
  <si>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</si>
  <si>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</si>
  <si>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</si>
  <si>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</si>
  <si>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</si>
  <si>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</si>
  <si>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</si>
  <si>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</si>
  <si>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</si>
  <si>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</si>
  <si>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</si>
  <si>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</si>
  <si>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</si>
  <si>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</si>
  <si>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</si>
  <si>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</si>
  <si>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</si>
  <si>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</si>
  <si>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</si>
  <si>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</si>
  <si>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</si>
  <si>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</si>
  <si>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</si>
  <si>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</si>
  <si>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</si>
  <si>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</si>
  <si>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</si>
  <si>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</si>
  <si>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</si>
  <si>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</si>
  <si>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</si>
  <si>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</si>
  <si>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</si>
  <si>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</si>
  <si>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</si>
  <si>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</si>
  <si>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</si>
  <si>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</si>
  <si>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</si>
  <si>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</si>
  <si>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</si>
  <si>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</si>
  <si>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</si>
  <si>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</si>
  <si>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</si>
  <si>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</si>
  <si>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</si>
  <si>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</si>
  <si>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</si>
  <si>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</si>
  <si>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</si>
  <si>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</si>
  <si>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</si>
  <si>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</si>
  <si>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</si>
  <si>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</si>
  <si>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</si>
  <si>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</si>
  <si>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</si>
  <si>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</si>
  <si>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</si>
  <si>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</si>
  <si>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</si>
  <si>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</si>
  <si>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</si>
  <si>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</si>
  <si>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</si>
  <si>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</si>
  <si>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</si>
  <si>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</si>
  <si>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</si>
  <si>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</si>
  <si>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</si>
  <si>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</si>
  <si>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</si>
  <si>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</si>
  <si>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</si>
  <si>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</si>
  <si>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</si>
  <si>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</si>
  <si>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</si>
  <si>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</si>
  <si>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</si>
  <si>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</si>
  <si>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</si>
  <si>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</si>
  <si>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</si>
  <si>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</si>
  <si>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</si>
  <si>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</si>
  <si>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</si>
  <si>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</si>
  <si>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</si>
  <si>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</si>
  <si>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</si>
  <si>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</si>
  <si>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</si>
  <si>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</si>
  <si>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</si>
  <si>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</si>
  <si>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</si>
  <si>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</si>
  <si>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</si>
  <si>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</si>
  <si>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</si>
  <si>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</si>
  <si>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</si>
  <si>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</si>
  <si>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</si>
  <si>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</si>
  <si>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</si>
  <si>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</si>
  <si>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</si>
  <si>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</si>
  <si>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</si>
  <si>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</si>
  <si>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</si>
  <si>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</si>
  <si>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</si>
  <si>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</si>
  <si>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</si>
  <si>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</si>
  <si>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</si>
  <si>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</si>
  <si>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</si>
  <si>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</si>
  <si>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</si>
  <si>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</si>
  <si>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</si>
  <si>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</si>
  <si>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</si>
  <si>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</si>
  <si>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</si>
  <si>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</si>
  <si>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</si>
  <si>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</si>
  <si>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</si>
  <si>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</si>
  <si>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</si>
  <si>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</si>
  <si>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</si>
  <si>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</si>
  <si>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</si>
  <si>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</si>
  <si>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</si>
  <si>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</si>
  <si>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</si>
  <si>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</si>
  <si>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</si>
  <si>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</si>
  <si>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</si>
  <si>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</si>
  <si>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</si>
  <si>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</si>
  <si>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</si>
  <si>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</si>
  <si>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</si>
  <si>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</si>
  <si>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</si>
  <si>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</si>
  <si>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</si>
  <si>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</si>
  <si>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</si>
  <si>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</si>
  <si>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</si>
  <si>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</si>
  <si>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</si>
  <si>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</si>
  <si>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</si>
  <si>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</si>
  <si>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</si>
  <si>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</si>
  <si>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</si>
  <si>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</si>
  <si>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</si>
  <si>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</si>
  <si>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</si>
  <si>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</si>
  <si>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</si>
  <si>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</si>
  <si>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</si>
  <si>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</si>
  <si>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</si>
  <si>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</si>
  <si>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</si>
  <si>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</si>
  <si>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</si>
  <si>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</si>
  <si>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</si>
  <si>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</si>
  <si>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</si>
  <si>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</si>
  <si>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</si>
  <si>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</si>
  <si>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</si>
  <si>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</si>
  <si>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</si>
  <si>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</si>
  <si>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</si>
  <si>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</si>
  <si>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</si>
  <si>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</si>
  <si>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</si>
  <si>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</si>
  <si>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</si>
  <si>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</si>
  <si>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</si>
  <si>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</si>
  <si>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</si>
  <si>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</si>
  <si>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</si>
  <si>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</si>
  <si>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</si>
  <si>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</si>
  <si>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</si>
  <si>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</si>
  <si>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</si>
  <si>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</si>
  <si>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</si>
  <si>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</si>
  <si>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</si>
  <si>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</si>
  <si>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</si>
  <si>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</si>
  <si>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</si>
  <si>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</si>
  <si>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</si>
  <si>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</si>
  <si>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</si>
  <si>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</si>
  <si>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</si>
  <si>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</si>
  <si>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</si>
  <si>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</si>
  <si>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</si>
  <si>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</si>
  <si>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</si>
  <si>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</si>
  <si>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</si>
  <si>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</si>
  <si>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</si>
  <si>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</si>
  <si>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</si>
  <si>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</si>
  <si>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</si>
  <si>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</si>
  <si>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</si>
  <si>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</si>
  <si>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</si>
  <si>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</si>
  <si>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</si>
  <si>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</si>
  <si>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</si>
  <si>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</si>
  <si>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</si>
  <si>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</si>
  <si>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</si>
  <si>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</si>
  <si>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</si>
  <si>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</si>
  <si>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</si>
  <si>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</si>
  <si>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</si>
  <si>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</si>
  <si>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</si>
  <si>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</si>
  <si>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</si>
  <si>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</si>
  <si>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</si>
  <si>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</si>
  <si>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</si>
  <si>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</si>
  <si>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</si>
  <si>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</si>
  <si>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</si>
  <si>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</si>
  <si>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</si>
  <si>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</si>
  <si>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</si>
  <si>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</si>
  <si>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</si>
  <si>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</si>
  <si>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</si>
  <si>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</si>
  <si>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</si>
  <si>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</si>
  <si>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</si>
  <si>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</si>
  <si>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</si>
  <si>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</si>
  <si>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</si>
  <si>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</si>
  <si>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</si>
  <si>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</si>
  <si>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</si>
  <si>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</si>
  <si>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</si>
  <si>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</si>
  <si>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</si>
  <si>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</si>
  <si>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</si>
  <si>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</si>
  <si>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</si>
  <si>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</si>
  <si>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</si>
  <si>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</si>
  <si>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</si>
  <si>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</si>
  <si>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</si>
  <si>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</si>
  <si>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</si>
  <si>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</si>
  <si>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</si>
  <si>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</si>
  <si>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</si>
  <si>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</si>
  <si>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</si>
  <si>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</si>
  <si>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</si>
  <si>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</si>
  <si>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</si>
  <si>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</si>
  <si>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</si>
  <si>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</si>
  <si>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</si>
  <si>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</si>
  <si>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</si>
  <si>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</si>
  <si>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</si>
  <si>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</si>
  <si>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</si>
  <si>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</si>
  <si>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</si>
  <si>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</si>
  <si>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</si>
  <si>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</si>
  <si>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</si>
  <si>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</si>
  <si>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</si>
  <si>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</si>
  <si>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</si>
  <si>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</si>
  <si>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</si>
  <si>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</si>
  <si>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</si>
  <si>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</si>
  <si>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</si>
  <si>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</si>
  <si>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</si>
  <si>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</si>
  <si>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</si>
  <si>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</si>
  <si>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</si>
  <si>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</si>
  <si>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</si>
  <si>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</si>
  <si>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</si>
  <si>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</si>
  <si>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</si>
  <si>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</si>
  <si>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</si>
  <si>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</si>
  <si>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</si>
  <si>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</si>
  <si>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</si>
  <si>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</si>
  <si>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</si>
  <si>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</si>
  <si>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Table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</si>
  <si>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</si>
  <si>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</si>
  <si>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</si>
  <si>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</si>
  <si>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</si>
  <si>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</si>
  <si>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</si>
  <si>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</si>
  <si>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</si>
  <si>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</si>
  <si>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</si>
  <si>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</si>
  <si>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</si>
  <si>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</si>
  <si>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</si>
  <si>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</si>
  <si>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</si>
  <si>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</si>
  <si>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</si>
  <si>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</si>
  <si>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</si>
  <si>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</si>
  <si>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</si>
  <si>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</si>
  <si>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</si>
  <si>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</si>
  <si>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</si>
  <si>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</si>
  <si>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</si>
  <si>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</si>
  <si>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</si>
  <si>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</si>
  <si>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</si>
  <si>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</si>
  <si>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</si>
  <si>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</si>
  <si>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</si>
  <si>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</si>
  <si>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</si>
  <si>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</si>
  <si>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</si>
  <si>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</si>
  <si>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</si>
  <si>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</si>
  <si>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</si>
  <si>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</si>
  <si>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</si>
  <si>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</si>
  <si>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</si>
  <si>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</si>
  <si>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</si>
  <si>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</si>
  <si>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</si>
  <si>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</si>
  <si>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</si>
  <si>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</si>
  <si>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</si>
  <si>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</si>
  <si>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</si>
  <si>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</si>
  <si>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</si>
  <si>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</si>
  <si>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</si>
  <si>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</si>
  <si>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</si>
  <si>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</si>
  <si>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</si>
  <si>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</si>
  <si>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</si>
  <si>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</si>
  <si>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</si>
  <si>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</si>
  <si>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</si>
  <si>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</si>
  <si>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</si>
  <si>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</si>
  <si>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</si>
  <si>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</si>
  <si>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</si>
  <si>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</si>
  <si>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</si>
  <si>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</si>
  <si>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</si>
  <si>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</si>
  <si>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</si>
  <si>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</si>
  <si>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</si>
  <si>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</si>
  <si>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</si>
  <si>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</si>
  <si>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</si>
  <si>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</si>
  <si>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</si>
  <si>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</si>
  <si>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0.17.0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</si>
  <si>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</si>
  <si>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</si>
  <si>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</si>
  <si>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</si>
  <si>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</si>
  <si>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</si>
  <si>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</si>
  <si>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</si>
  <si>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</si>
  <si>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</si>
  <si>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</si>
  <si>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</si>
  <si>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</si>
  <si>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</si>
  <si>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</si>
  <si>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</si>
  <si>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</si>
  <si>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</si>
  <si>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</si>
  <si>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</si>
  <si>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</si>
  <si>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</si>
  <si>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</si>
  <si>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</si>
  <si>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</si>
  <si>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</si>
  <si>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</si>
  <si>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</si>
  <si>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</si>
  <si>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</si>
  <si>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</si>
  <si>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</si>
  <si>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</si>
  <si>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</si>
  <si>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</si>
  <si>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</si>
  <si>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</si>
  <si>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</si>
  <si>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</si>
  <si>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</si>
  <si>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</si>
  <si>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</si>
  <si>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</si>
  <si>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</si>
  <si>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</si>
  <si>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</si>
  <si>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</si>
  <si>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</si>
  <si>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</si>
  <si>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</si>
  <si>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</si>
  <si>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</si>
  <si>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</si>
  <si>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</si>
  <si>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</si>
  <si>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</si>
  <si>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</si>
  <si>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</si>
  <si>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</si>
  <si>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</si>
  <si>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</si>
  <si>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</si>
  <si>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</si>
  <si>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</si>
  <si>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</si>
  <si>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</si>
  <si>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</si>
  <si>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</si>
  <si>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</si>
  <si>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</si>
  <si>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</si>
  <si>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</si>
  <si>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</si>
  <si>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</si>
  <si>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0.17.1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</si>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</sst>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62" headerRowCount="1" totalsRowCount="0" totalsRowShown="0">
  <autoFilter ref="A7:M6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tr">
        <f aca="false">"Current package evidence across "&amp;B4&amp;" independently exported components."</f>
        <v>Current package evidence across 56 independently exported components.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1</v>
      </c>
      <c r="B4" s="6" t="n">
        <f aca="false">COUNTA(A8:A63)</f>
        <v>56</v>
      </c>
      <c r="D4" s="5" t="s">
        <v>2</v>
      </c>
      <c r="E4" s="6" t="n">
        <f aca="false">COUNTIF(M8:M63,"complete")</f>
        <v>1</v>
      </c>
      <c r="G4" s="5" t="n">
        <f aca="false">COUNTIF(M8:M63,"blocked")</f>
        <v>0</v>
      </c>
      <c r="H4" s="6" t="n">
        <f aca="false">COUNTIF(M8:M63,"blocked")</f>
        <v>0</v>
      </c>
      <c r="J4" s="5" t="s">
        <v>3</v>
      </c>
      <c r="K4" s="7" t="n">
        <f aca="false">IF(B4=0,0,E4/B4)</f>
        <v>0.0178571428571429</v>
      </c>
    </row>
    <row r="7" customFormat="false" ht="15" hidden="false" customHeight="true" outlineLevel="0" collapsed="false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9" t="s">
        <v>13</v>
      </c>
      <c r="K7" s="8" t="s">
        <v>14</v>
      </c>
      <c r="L7" s="8" t="s">
        <v>15</v>
      </c>
      <c r="M7" s="8" t="s">
        <v>3</v>
      </c>
    </row>
    <row r="8" customFormat="false" ht="24" hidden="false" customHeight="true" outlineLevel="0" collapsed="false">
      <c r="A8" s="1" t="s">
        <v>16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17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18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19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20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21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22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23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24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25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26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27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28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29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30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31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32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33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34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35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36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37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38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39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40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41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42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43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44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45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46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47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48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49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50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51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52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53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54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55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56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57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58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59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60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61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62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63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64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65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66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67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68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69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70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71</v>
      </c>
      <c r="B63" s="1" t="n">
        <f aca="true">INDIRECT("'"&amp;A63&amp;"'!B4")</f>
        <v>26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22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0.846153846153846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</sheetData>
  <autoFilter ref="A7:M63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72</v>
      </c>
      <c r="B1" s="3"/>
      <c r="C1" s="3"/>
      <c r="D1" s="3"/>
    </row>
    <row r="2" customFormat="false" ht="27.75" hidden="false" customHeight="true" outlineLevel="0" collapsed="false">
      <c r="A2" s="4" t="s">
        <v>73</v>
      </c>
      <c r="B2" s="4"/>
      <c r="C2" s="4"/>
      <c r="D2" s="4"/>
    </row>
    <row r="3" customFormat="false" ht="15" hidden="false" customHeight="true" outlineLevel="0" collapsed="false">
      <c r="A3" s="8" t="s">
        <v>74</v>
      </c>
      <c r="B3" s="8" t="s">
        <v>75</v>
      </c>
    </row>
    <row r="4" customFormat="false" ht="30" hidden="false" customHeight="true" outlineLevel="0" collapsed="false">
      <c r="A4" s="1" t="s">
        <v>76</v>
      </c>
      <c r="B4" s="1" t="s">
        <v>77</v>
      </c>
    </row>
    <row r="5" customFormat="false" ht="30" hidden="false" customHeight="true" outlineLevel="0" collapsed="false">
      <c r="A5" s="1" t="s">
        <v>78</v>
      </c>
      <c r="B5" s="1" t="s">
        <v>79</v>
      </c>
    </row>
    <row r="6" customFormat="false" ht="30" hidden="false" customHeight="true" outlineLevel="0" collapsed="false">
      <c r="A6" s="1" t="s">
        <v>80</v>
      </c>
      <c r="B6" s="1" t="s">
        <v>81</v>
      </c>
    </row>
    <row r="7" customFormat="false" ht="30" hidden="false" customHeight="true" outlineLevel="0" collapsed="false">
      <c r="A7" s="1" t="s">
        <v>82</v>
      </c>
      <c r="B7" s="1" t="s">
        <v>83</v>
      </c>
    </row>
    <row r="8" customFormat="false" ht="30" hidden="false" customHeight="true" outlineLevel="0" collapsed="false">
      <c r="A8" s="1" t="s">
        <v>84</v>
      </c>
      <c r="B8" s="1" t="s">
        <v>85</v>
      </c>
    </row>
    <row r="9" customFormat="false" ht="30" hidden="false" customHeight="true" outlineLevel="0" collapsed="false">
      <c r="A9" s="1" t="s">
        <v>86</v>
      </c>
      <c r="B9" s="1" t="s">
        <v>87</v>
      </c>
    </row>
    <row r="10" customFormat="false" ht="30" hidden="false" customHeight="true" outlineLevel="0" collapsed="false">
      <c r="A10" s="1" t="s">
        <v>88</v>
      </c>
      <c r="B10" s="1" t="s">
        <v>89</v>
      </c>
    </row>
    <row r="11" customFormat="false" ht="30" hidden="false" customHeight="true" outlineLevel="0" collapsed="false">
      <c r="A11" s="1" t="s">
        <v>90</v>
      </c>
      <c r="B11" s="1" t="s">
        <v>91</v>
      </c>
    </row>
    <row r="12" customFormat="false" ht="30" hidden="false" customHeight="true" outlineLevel="0" collapsed="false">
      <c r="A12" s="1" t="s">
        <v>92</v>
      </c>
      <c r="B12" s="1" t="s">
        <v>93</v>
      </c>
    </row>
    <row r="13" customFormat="false" ht="30" hidden="false" customHeight="true" outlineLevel="0" collapsed="false">
      <c r="A13" s="1" t="s">
        <v>94</v>
      </c>
      <c r="B13" s="1" t="s">
        <v>95</v>
      </c>
    </row>
    <row r="14" customFormat="false" ht="30" hidden="false" customHeight="true" outlineLevel="0" collapsed="false">
      <c r="A14" s="1" t="s">
        <v>96</v>
      </c>
      <c r="B14" s="1" t="s">
        <v>97</v>
      </c>
    </row>
    <row r="15" customFormat="false" ht="30" hidden="false" customHeight="true" outlineLevel="0" collapsed="false">
      <c r="A15" s="1" t="s">
        <v>98</v>
      </c>
      <c r="B15" s="1" t="s">
        <v>99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80</v>
      </c>
      <c r="B1" s="1" t="s">
        <v>100</v>
      </c>
    </row>
    <row r="2" customFormat="false" ht="15" hidden="false" customHeight="true" outlineLevel="0" collapsed="false">
      <c r="A2" s="1" t="s">
        <v>82</v>
      </c>
      <c r="B2" s="1" t="s">
        <v>101</v>
      </c>
    </row>
    <row r="3" customFormat="false" ht="15" hidden="false" customHeight="true" outlineLevel="0" collapsed="false">
      <c r="A3" s="1" t="s">
        <v>84</v>
      </c>
    </row>
    <row r="4" customFormat="false" ht="15" hidden="false" customHeight="true" outlineLevel="0" collapsed="false">
      <c r="A4" s="1" t="s">
        <v>86</v>
      </c>
    </row>
    <row r="5" customFormat="false" ht="15" hidden="false" customHeight="true" outlineLevel="0" collapsed="false">
      <c r="A5" s="1" t="s">
        <v>88</v>
      </c>
    </row>
    <row r="6" customFormat="false" ht="15" hidden="false" customHeight="true" outlineLevel="0" collapsed="false">
      <c r="A6" s="1" t="s">
        <v>90</v>
      </c>
    </row>
    <row r="7" customFormat="false" ht="15" hidden="false" customHeight="true" outlineLevel="0" collapsed="false">
      <c r="A7" s="1" t="s">
        <v>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118</v>
      </c>
      <c r="B9" s="1" t="s">
        <v>119</v>
      </c>
      <c r="C9" s="1" t="s">
        <v>120</v>
      </c>
      <c r="D9" s="1" t="s">
        <v>121</v>
      </c>
      <c r="E9" s="1" t="s">
        <v>122</v>
      </c>
      <c r="F9" s="1" t="s">
        <v>123</v>
      </c>
      <c r="G9" s="1" t="s">
        <v>124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125</v>
      </c>
      <c r="B10" s="1" t="s">
        <v>126</v>
      </c>
      <c r="C10" s="1" t="s">
        <v>120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129</v>
      </c>
      <c r="B11" s="1" t="s">
        <v>130</v>
      </c>
      <c r="C11" s="1" t="s">
        <v>120</v>
      </c>
      <c r="D11" s="1" t="s">
        <v>131</v>
      </c>
      <c r="E11" s="1" t="s">
        <v>122</v>
      </c>
      <c r="F11" s="1" t="s">
        <v>132</v>
      </c>
      <c r="G11" s="1" t="s">
        <v>133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134</v>
      </c>
      <c r="B12" s="1" t="s">
        <v>135</v>
      </c>
      <c r="C12" s="1" t="s">
        <v>120</v>
      </c>
      <c r="D12" s="1" t="s">
        <v>136</v>
      </c>
      <c r="E12" s="1" t="s">
        <v>122</v>
      </c>
      <c r="F12" s="1" t="s">
        <v>137</v>
      </c>
      <c r="G12" s="1" t="s">
        <v>138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139</v>
      </c>
      <c r="B13" s="1" t="s">
        <v>140</v>
      </c>
      <c r="C13" s="1" t="s">
        <v>120</v>
      </c>
      <c r="D13" s="1" t="s">
        <v>141</v>
      </c>
      <c r="E13" s="1" t="s">
        <v>122</v>
      </c>
      <c r="F13" s="1" t="s">
        <v>142</v>
      </c>
      <c r="G13" s="1" t="s">
        <v>143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144</v>
      </c>
      <c r="B14" s="1" t="s">
        <v>145</v>
      </c>
      <c r="C14" s="1" t="s">
        <v>120</v>
      </c>
      <c r="D14" s="1" t="s">
        <v>146</v>
      </c>
      <c r="E14" s="1" t="s">
        <v>122</v>
      </c>
      <c r="F14" s="1" t="s">
        <v>147</v>
      </c>
      <c r="G14" s="1" t="s">
        <v>148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149</v>
      </c>
      <c r="B15" s="1" t="s">
        <v>150</v>
      </c>
      <c r="C15" s="1" t="s">
        <v>120</v>
      </c>
      <c r="D15" s="1" t="s">
        <v>151</v>
      </c>
      <c r="E15" s="1" t="s">
        <v>122</v>
      </c>
      <c r="F15" s="1" t="s">
        <v>152</v>
      </c>
      <c r="G15" s="1" t="s">
        <v>153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154</v>
      </c>
      <c r="B16" s="1" t="s">
        <v>155</v>
      </c>
      <c r="C16" s="1" t="s">
        <v>120</v>
      </c>
      <c r="D16" s="1" t="s">
        <v>156</v>
      </c>
      <c r="E16" s="1" t="s">
        <v>122</v>
      </c>
      <c r="F16" s="1" t="s">
        <v>157</v>
      </c>
      <c r="G16" s="1" t="s">
        <v>158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160</v>
      </c>
      <c r="B17" s="1" t="s">
        <v>161</v>
      </c>
      <c r="C17" s="1" t="s">
        <v>120</v>
      </c>
      <c r="D17" s="1" t="s">
        <v>162</v>
      </c>
      <c r="E17" s="1" t="s">
        <v>122</v>
      </c>
      <c r="F17" s="1" t="s">
        <v>163</v>
      </c>
      <c r="G17" s="1" t="s">
        <v>164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166</v>
      </c>
      <c r="B18" s="1" t="s">
        <v>167</v>
      </c>
      <c r="C18" s="1" t="s">
        <v>120</v>
      </c>
      <c r="D18" s="1" t="s">
        <v>168</v>
      </c>
      <c r="E18" s="1" t="s">
        <v>122</v>
      </c>
      <c r="F18" s="1" t="s">
        <v>163</v>
      </c>
      <c r="G18" s="1" t="s">
        <v>164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169</v>
      </c>
      <c r="B19" s="1" t="s">
        <v>170</v>
      </c>
      <c r="C19" s="1" t="s">
        <v>120</v>
      </c>
      <c r="D19" s="1" t="s">
        <v>171</v>
      </c>
      <c r="E19" s="1" t="s">
        <v>122</v>
      </c>
      <c r="F19" s="1" t="s">
        <v>163</v>
      </c>
      <c r="G19" s="1" t="s">
        <v>172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174</v>
      </c>
      <c r="B20" s="1" t="s">
        <v>175</v>
      </c>
      <c r="C20" s="1" t="s">
        <v>120</v>
      </c>
      <c r="D20" s="1" t="s">
        <v>176</v>
      </c>
      <c r="E20" s="1" t="s">
        <v>122</v>
      </c>
      <c r="F20" s="1" t="s">
        <v>163</v>
      </c>
      <c r="G20" s="1" t="s">
        <v>164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178</v>
      </c>
      <c r="B21" s="1" t="s">
        <v>179</v>
      </c>
      <c r="C21" s="1" t="s">
        <v>120</v>
      </c>
      <c r="D21" s="1" t="s">
        <v>180</v>
      </c>
      <c r="E21" s="1" t="s">
        <v>122</v>
      </c>
      <c r="F21" s="1" t="s">
        <v>181</v>
      </c>
      <c r="G21" s="1" t="s">
        <v>182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183</v>
      </c>
      <c r="B22" s="1" t="s">
        <v>184</v>
      </c>
      <c r="C22" s="1" t="s">
        <v>120</v>
      </c>
      <c r="D22" s="1" t="s">
        <v>185</v>
      </c>
      <c r="E22" s="1" t="s">
        <v>122</v>
      </c>
      <c r="F22" s="1" t="s">
        <v>181</v>
      </c>
      <c r="G22" s="1" t="s">
        <v>186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187</v>
      </c>
      <c r="B23" s="1" t="s">
        <v>188</v>
      </c>
      <c r="C23" s="1" t="s">
        <v>120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192</v>
      </c>
      <c r="B24" s="1" t="s">
        <v>193</v>
      </c>
      <c r="C24" s="1" t="s">
        <v>120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197</v>
      </c>
      <c r="B9" s="1" t="s">
        <v>119</v>
      </c>
      <c r="C9" s="1" t="s">
        <v>198</v>
      </c>
      <c r="D9" s="1" t="s">
        <v>121</v>
      </c>
      <c r="E9" s="1" t="s">
        <v>122</v>
      </c>
      <c r="F9" s="1" t="s">
        <v>123</v>
      </c>
      <c r="G9" s="1" t="s">
        <v>199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200</v>
      </c>
      <c r="B10" s="1" t="s">
        <v>126</v>
      </c>
      <c r="C10" s="1" t="s">
        <v>198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201</v>
      </c>
      <c r="B11" s="1" t="s">
        <v>130</v>
      </c>
      <c r="C11" s="1" t="s">
        <v>198</v>
      </c>
      <c r="D11" s="1" t="s">
        <v>131</v>
      </c>
      <c r="E11" s="1" t="s">
        <v>122</v>
      </c>
      <c r="F11" s="1" t="s">
        <v>132</v>
      </c>
      <c r="G11" s="1" t="s">
        <v>202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203</v>
      </c>
      <c r="B12" s="1" t="s">
        <v>135</v>
      </c>
      <c r="C12" s="1" t="s">
        <v>198</v>
      </c>
      <c r="D12" s="1" t="s">
        <v>136</v>
      </c>
      <c r="E12" s="1" t="s">
        <v>122</v>
      </c>
      <c r="F12" s="1" t="s">
        <v>137</v>
      </c>
      <c r="G12" s="1" t="s">
        <v>204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205</v>
      </c>
      <c r="B13" s="1" t="s">
        <v>140</v>
      </c>
      <c r="C13" s="1" t="s">
        <v>198</v>
      </c>
      <c r="D13" s="1" t="s">
        <v>141</v>
      </c>
      <c r="E13" s="1" t="s">
        <v>122</v>
      </c>
      <c r="F13" s="1" t="s">
        <v>142</v>
      </c>
      <c r="G13" s="1" t="s">
        <v>206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207</v>
      </c>
      <c r="B14" s="1" t="s">
        <v>145</v>
      </c>
      <c r="C14" s="1" t="s">
        <v>198</v>
      </c>
      <c r="D14" s="1" t="s">
        <v>146</v>
      </c>
      <c r="E14" s="1" t="s">
        <v>122</v>
      </c>
      <c r="F14" s="1" t="s">
        <v>147</v>
      </c>
      <c r="G14" s="1" t="s">
        <v>208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209</v>
      </c>
      <c r="B15" s="1" t="s">
        <v>150</v>
      </c>
      <c r="C15" s="1" t="s">
        <v>198</v>
      </c>
      <c r="D15" s="1" t="s">
        <v>151</v>
      </c>
      <c r="E15" s="1" t="s">
        <v>122</v>
      </c>
      <c r="F15" s="1" t="s">
        <v>152</v>
      </c>
      <c r="G15" s="1" t="s">
        <v>210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211</v>
      </c>
      <c r="B16" s="1" t="s">
        <v>155</v>
      </c>
      <c r="C16" s="1" t="s">
        <v>198</v>
      </c>
      <c r="D16" s="1" t="s">
        <v>156</v>
      </c>
      <c r="E16" s="1" t="s">
        <v>122</v>
      </c>
      <c r="F16" s="1" t="s">
        <v>157</v>
      </c>
      <c r="G16" s="1" t="s">
        <v>212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213</v>
      </c>
      <c r="B17" s="1" t="s">
        <v>161</v>
      </c>
      <c r="C17" s="1" t="s">
        <v>198</v>
      </c>
      <c r="D17" s="1" t="s">
        <v>162</v>
      </c>
      <c r="E17" s="1" t="s">
        <v>122</v>
      </c>
      <c r="F17" s="1" t="s">
        <v>163</v>
      </c>
      <c r="G17" s="1" t="s">
        <v>214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215</v>
      </c>
      <c r="B18" s="1" t="s">
        <v>167</v>
      </c>
      <c r="C18" s="1" t="s">
        <v>198</v>
      </c>
      <c r="D18" s="1" t="s">
        <v>168</v>
      </c>
      <c r="E18" s="1" t="s">
        <v>122</v>
      </c>
      <c r="F18" s="1" t="s">
        <v>163</v>
      </c>
      <c r="G18" s="1" t="s">
        <v>214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216</v>
      </c>
      <c r="B19" s="1" t="s">
        <v>170</v>
      </c>
      <c r="C19" s="1" t="s">
        <v>198</v>
      </c>
      <c r="D19" s="1" t="s">
        <v>171</v>
      </c>
      <c r="E19" s="1" t="s">
        <v>122</v>
      </c>
      <c r="F19" s="1" t="s">
        <v>163</v>
      </c>
      <c r="G19" s="1" t="s">
        <v>217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218</v>
      </c>
      <c r="B20" s="1" t="s">
        <v>175</v>
      </c>
      <c r="C20" s="1" t="s">
        <v>198</v>
      </c>
      <c r="D20" s="1" t="s">
        <v>176</v>
      </c>
      <c r="E20" s="1" t="s">
        <v>122</v>
      </c>
      <c r="F20" s="1" t="s">
        <v>163</v>
      </c>
      <c r="G20" s="1" t="s">
        <v>214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219</v>
      </c>
      <c r="B21" s="1" t="s">
        <v>179</v>
      </c>
      <c r="C21" s="1" t="s">
        <v>198</v>
      </c>
      <c r="D21" s="1" t="s">
        <v>180</v>
      </c>
      <c r="E21" s="1" t="s">
        <v>122</v>
      </c>
      <c r="F21" s="1" t="s">
        <v>181</v>
      </c>
      <c r="G21" s="1" t="s">
        <v>220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221</v>
      </c>
      <c r="B22" s="1" t="s">
        <v>184</v>
      </c>
      <c r="C22" s="1" t="s">
        <v>198</v>
      </c>
      <c r="D22" s="1" t="s">
        <v>185</v>
      </c>
      <c r="E22" s="1" t="s">
        <v>122</v>
      </c>
      <c r="F22" s="1" t="s">
        <v>181</v>
      </c>
      <c r="G22" s="1" t="s">
        <v>222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223</v>
      </c>
      <c r="B23" s="1" t="s">
        <v>188</v>
      </c>
      <c r="C23" s="1" t="s">
        <v>198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224</v>
      </c>
      <c r="B24" s="1" t="s">
        <v>193</v>
      </c>
      <c r="C24" s="1" t="s">
        <v>198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226</v>
      </c>
      <c r="B9" s="1" t="s">
        <v>119</v>
      </c>
      <c r="C9" s="1" t="s">
        <v>18</v>
      </c>
      <c r="D9" s="1" t="s">
        <v>121</v>
      </c>
      <c r="E9" s="1" t="s">
        <v>122</v>
      </c>
      <c r="F9" s="1" t="s">
        <v>123</v>
      </c>
      <c r="G9" s="1" t="s">
        <v>227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228</v>
      </c>
      <c r="B10" s="1" t="s">
        <v>126</v>
      </c>
      <c r="C10" s="1" t="s">
        <v>18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229</v>
      </c>
      <c r="B11" s="1" t="s">
        <v>130</v>
      </c>
      <c r="C11" s="1" t="s">
        <v>18</v>
      </c>
      <c r="D11" s="1" t="s">
        <v>131</v>
      </c>
      <c r="E11" s="1" t="s">
        <v>122</v>
      </c>
      <c r="F11" s="1" t="s">
        <v>132</v>
      </c>
      <c r="G11" s="1" t="s">
        <v>230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231</v>
      </c>
      <c r="B12" s="1" t="s">
        <v>135</v>
      </c>
      <c r="C12" s="1" t="s">
        <v>18</v>
      </c>
      <c r="D12" s="1" t="s">
        <v>136</v>
      </c>
      <c r="E12" s="1" t="s">
        <v>122</v>
      </c>
      <c r="F12" s="1" t="s">
        <v>137</v>
      </c>
      <c r="G12" s="1" t="s">
        <v>232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233</v>
      </c>
      <c r="B13" s="1" t="s">
        <v>140</v>
      </c>
      <c r="C13" s="1" t="s">
        <v>18</v>
      </c>
      <c r="D13" s="1" t="s">
        <v>141</v>
      </c>
      <c r="E13" s="1" t="s">
        <v>122</v>
      </c>
      <c r="F13" s="1" t="s">
        <v>142</v>
      </c>
      <c r="G13" s="1" t="s">
        <v>234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235</v>
      </c>
      <c r="B14" s="1" t="s">
        <v>145</v>
      </c>
      <c r="C14" s="1" t="s">
        <v>18</v>
      </c>
      <c r="D14" s="1" t="s">
        <v>146</v>
      </c>
      <c r="E14" s="1" t="s">
        <v>122</v>
      </c>
      <c r="F14" s="1" t="s">
        <v>147</v>
      </c>
      <c r="G14" s="1" t="s">
        <v>236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237</v>
      </c>
      <c r="B15" s="1" t="s">
        <v>150</v>
      </c>
      <c r="C15" s="1" t="s">
        <v>18</v>
      </c>
      <c r="D15" s="1" t="s">
        <v>151</v>
      </c>
      <c r="E15" s="1" t="s">
        <v>122</v>
      </c>
      <c r="F15" s="1" t="s">
        <v>152</v>
      </c>
      <c r="G15" s="1" t="s">
        <v>238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239</v>
      </c>
      <c r="B16" s="1" t="s">
        <v>155</v>
      </c>
      <c r="C16" s="1" t="s">
        <v>18</v>
      </c>
      <c r="D16" s="1" t="s">
        <v>156</v>
      </c>
      <c r="E16" s="1" t="s">
        <v>122</v>
      </c>
      <c r="F16" s="1" t="s">
        <v>157</v>
      </c>
      <c r="G16" s="1" t="s">
        <v>240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241</v>
      </c>
      <c r="B17" s="1" t="s">
        <v>161</v>
      </c>
      <c r="C17" s="1" t="s">
        <v>18</v>
      </c>
      <c r="D17" s="1" t="s">
        <v>162</v>
      </c>
      <c r="E17" s="1" t="s">
        <v>122</v>
      </c>
      <c r="F17" s="1" t="s">
        <v>163</v>
      </c>
      <c r="G17" s="1" t="s">
        <v>242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243</v>
      </c>
      <c r="B18" s="1" t="s">
        <v>167</v>
      </c>
      <c r="C18" s="1" t="s">
        <v>18</v>
      </c>
      <c r="D18" s="1" t="s">
        <v>168</v>
      </c>
      <c r="E18" s="1" t="s">
        <v>122</v>
      </c>
      <c r="F18" s="1" t="s">
        <v>163</v>
      </c>
      <c r="G18" s="1" t="s">
        <v>242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244</v>
      </c>
      <c r="B19" s="1" t="s">
        <v>170</v>
      </c>
      <c r="C19" s="1" t="s">
        <v>18</v>
      </c>
      <c r="D19" s="1" t="s">
        <v>171</v>
      </c>
      <c r="E19" s="1" t="s">
        <v>122</v>
      </c>
      <c r="F19" s="1" t="s">
        <v>163</v>
      </c>
      <c r="G19" s="1" t="s">
        <v>245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246</v>
      </c>
      <c r="B20" s="1" t="s">
        <v>175</v>
      </c>
      <c r="C20" s="1" t="s">
        <v>18</v>
      </c>
      <c r="D20" s="1" t="s">
        <v>176</v>
      </c>
      <c r="E20" s="1" t="s">
        <v>122</v>
      </c>
      <c r="F20" s="1" t="s">
        <v>163</v>
      </c>
      <c r="G20" s="1" t="s">
        <v>242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247</v>
      </c>
      <c r="B21" s="1" t="s">
        <v>179</v>
      </c>
      <c r="C21" s="1" t="s">
        <v>18</v>
      </c>
      <c r="D21" s="1" t="s">
        <v>180</v>
      </c>
      <c r="E21" s="1" t="s">
        <v>122</v>
      </c>
      <c r="F21" s="1" t="s">
        <v>181</v>
      </c>
      <c r="G21" s="1" t="s">
        <v>248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249</v>
      </c>
      <c r="B22" s="1" t="s">
        <v>184</v>
      </c>
      <c r="C22" s="1" t="s">
        <v>18</v>
      </c>
      <c r="D22" s="1" t="s">
        <v>185</v>
      </c>
      <c r="E22" s="1" t="s">
        <v>122</v>
      </c>
      <c r="F22" s="1" t="s">
        <v>181</v>
      </c>
      <c r="G22" s="1" t="s">
        <v>250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251</v>
      </c>
      <c r="B23" s="1" t="s">
        <v>188</v>
      </c>
      <c r="C23" s="1" t="s">
        <v>18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252</v>
      </c>
      <c r="B24" s="1" t="s">
        <v>193</v>
      </c>
      <c r="C24" s="1" t="s">
        <v>18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254</v>
      </c>
      <c r="B9" s="1" t="s">
        <v>119</v>
      </c>
      <c r="C9" s="1" t="s">
        <v>19</v>
      </c>
      <c r="D9" s="1" t="s">
        <v>121</v>
      </c>
      <c r="E9" s="1" t="s">
        <v>122</v>
      </c>
      <c r="F9" s="1" t="s">
        <v>123</v>
      </c>
      <c r="G9" s="1" t="s">
        <v>255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256</v>
      </c>
      <c r="B10" s="1" t="s">
        <v>126</v>
      </c>
      <c r="C10" s="1" t="s">
        <v>19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257</v>
      </c>
      <c r="B11" s="1" t="s">
        <v>130</v>
      </c>
      <c r="C11" s="1" t="s">
        <v>19</v>
      </c>
      <c r="D11" s="1" t="s">
        <v>131</v>
      </c>
      <c r="E11" s="1" t="s">
        <v>122</v>
      </c>
      <c r="F11" s="1" t="s">
        <v>132</v>
      </c>
      <c r="G11" s="1" t="s">
        <v>258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259</v>
      </c>
      <c r="B12" s="1" t="s">
        <v>135</v>
      </c>
      <c r="C12" s="1" t="s">
        <v>19</v>
      </c>
      <c r="D12" s="1" t="s">
        <v>136</v>
      </c>
      <c r="E12" s="1" t="s">
        <v>122</v>
      </c>
      <c r="F12" s="1" t="s">
        <v>137</v>
      </c>
      <c r="G12" s="1" t="s">
        <v>260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261</v>
      </c>
      <c r="B13" s="1" t="s">
        <v>140</v>
      </c>
      <c r="C13" s="1" t="s">
        <v>19</v>
      </c>
      <c r="D13" s="1" t="s">
        <v>141</v>
      </c>
      <c r="E13" s="1" t="s">
        <v>122</v>
      </c>
      <c r="F13" s="1" t="s">
        <v>142</v>
      </c>
      <c r="G13" s="1" t="s">
        <v>262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263</v>
      </c>
      <c r="B14" s="1" t="s">
        <v>145</v>
      </c>
      <c r="C14" s="1" t="s">
        <v>19</v>
      </c>
      <c r="D14" s="1" t="s">
        <v>146</v>
      </c>
      <c r="E14" s="1" t="s">
        <v>122</v>
      </c>
      <c r="F14" s="1" t="s">
        <v>147</v>
      </c>
      <c r="G14" s="1" t="s">
        <v>264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265</v>
      </c>
      <c r="B15" s="1" t="s">
        <v>150</v>
      </c>
      <c r="C15" s="1" t="s">
        <v>19</v>
      </c>
      <c r="D15" s="1" t="s">
        <v>151</v>
      </c>
      <c r="E15" s="1" t="s">
        <v>122</v>
      </c>
      <c r="F15" s="1" t="s">
        <v>152</v>
      </c>
      <c r="G15" s="1" t="s">
        <v>266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267</v>
      </c>
      <c r="B16" s="1" t="s">
        <v>155</v>
      </c>
      <c r="C16" s="1" t="s">
        <v>19</v>
      </c>
      <c r="D16" s="1" t="s">
        <v>156</v>
      </c>
      <c r="E16" s="1" t="s">
        <v>122</v>
      </c>
      <c r="F16" s="1" t="s">
        <v>157</v>
      </c>
      <c r="G16" s="1" t="s">
        <v>268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269</v>
      </c>
      <c r="B17" s="1" t="s">
        <v>161</v>
      </c>
      <c r="C17" s="1" t="s">
        <v>19</v>
      </c>
      <c r="D17" s="1" t="s">
        <v>162</v>
      </c>
      <c r="E17" s="1" t="s">
        <v>122</v>
      </c>
      <c r="F17" s="1" t="s">
        <v>163</v>
      </c>
      <c r="G17" s="1" t="s">
        <v>270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271</v>
      </c>
      <c r="B18" s="1" t="s">
        <v>167</v>
      </c>
      <c r="C18" s="1" t="s">
        <v>19</v>
      </c>
      <c r="D18" s="1" t="s">
        <v>168</v>
      </c>
      <c r="E18" s="1" t="s">
        <v>122</v>
      </c>
      <c r="F18" s="1" t="s">
        <v>163</v>
      </c>
      <c r="G18" s="1" t="s">
        <v>270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272</v>
      </c>
      <c r="B19" s="1" t="s">
        <v>170</v>
      </c>
      <c r="C19" s="1" t="s">
        <v>19</v>
      </c>
      <c r="D19" s="1" t="s">
        <v>171</v>
      </c>
      <c r="E19" s="1" t="s">
        <v>122</v>
      </c>
      <c r="F19" s="1" t="s">
        <v>163</v>
      </c>
      <c r="G19" s="1" t="s">
        <v>273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274</v>
      </c>
      <c r="B20" s="1" t="s">
        <v>175</v>
      </c>
      <c r="C20" s="1" t="s">
        <v>19</v>
      </c>
      <c r="D20" s="1" t="s">
        <v>176</v>
      </c>
      <c r="E20" s="1" t="s">
        <v>122</v>
      </c>
      <c r="F20" s="1" t="s">
        <v>163</v>
      </c>
      <c r="G20" s="1" t="s">
        <v>270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275</v>
      </c>
      <c r="B21" s="1" t="s">
        <v>179</v>
      </c>
      <c r="C21" s="1" t="s">
        <v>19</v>
      </c>
      <c r="D21" s="1" t="s">
        <v>180</v>
      </c>
      <c r="E21" s="1" t="s">
        <v>122</v>
      </c>
      <c r="F21" s="1" t="s">
        <v>181</v>
      </c>
      <c r="G21" s="1" t="s">
        <v>276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277</v>
      </c>
      <c r="B22" s="1" t="s">
        <v>184</v>
      </c>
      <c r="C22" s="1" t="s">
        <v>19</v>
      </c>
      <c r="D22" s="1" t="s">
        <v>185</v>
      </c>
      <c r="E22" s="1" t="s">
        <v>122</v>
      </c>
      <c r="F22" s="1" t="s">
        <v>181</v>
      </c>
      <c r="G22" s="1" t="s">
        <v>278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279</v>
      </c>
      <c r="B23" s="1" t="s">
        <v>188</v>
      </c>
      <c r="C23" s="1" t="s">
        <v>19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280</v>
      </c>
      <c r="B24" s="1" t="s">
        <v>193</v>
      </c>
      <c r="C24" s="1" t="s">
        <v>19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254</v>
      </c>
      <c r="B9" s="1" t="s">
        <v>119</v>
      </c>
      <c r="C9" s="1" t="s">
        <v>20</v>
      </c>
      <c r="D9" s="1" t="s">
        <v>121</v>
      </c>
      <c r="E9" s="1" t="s">
        <v>122</v>
      </c>
      <c r="F9" s="1" t="s">
        <v>123</v>
      </c>
      <c r="G9" s="1" t="s">
        <v>282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256</v>
      </c>
      <c r="B10" s="1" t="s">
        <v>126</v>
      </c>
      <c r="C10" s="1" t="s">
        <v>20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257</v>
      </c>
      <c r="B11" s="1" t="s">
        <v>130</v>
      </c>
      <c r="C11" s="1" t="s">
        <v>20</v>
      </c>
      <c r="D11" s="1" t="s">
        <v>131</v>
      </c>
      <c r="E11" s="1" t="s">
        <v>122</v>
      </c>
      <c r="F11" s="1" t="s">
        <v>132</v>
      </c>
      <c r="G11" s="1" t="s">
        <v>283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259</v>
      </c>
      <c r="B12" s="1" t="s">
        <v>135</v>
      </c>
      <c r="C12" s="1" t="s">
        <v>20</v>
      </c>
      <c r="D12" s="1" t="s">
        <v>136</v>
      </c>
      <c r="E12" s="1" t="s">
        <v>122</v>
      </c>
      <c r="F12" s="1" t="s">
        <v>137</v>
      </c>
      <c r="G12" s="1" t="s">
        <v>284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261</v>
      </c>
      <c r="B13" s="1" t="s">
        <v>140</v>
      </c>
      <c r="C13" s="1" t="s">
        <v>20</v>
      </c>
      <c r="D13" s="1" t="s">
        <v>141</v>
      </c>
      <c r="E13" s="1" t="s">
        <v>122</v>
      </c>
      <c r="F13" s="1" t="s">
        <v>142</v>
      </c>
      <c r="G13" s="1" t="s">
        <v>285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263</v>
      </c>
      <c r="B14" s="1" t="s">
        <v>145</v>
      </c>
      <c r="C14" s="1" t="s">
        <v>20</v>
      </c>
      <c r="D14" s="1" t="s">
        <v>146</v>
      </c>
      <c r="E14" s="1" t="s">
        <v>122</v>
      </c>
      <c r="F14" s="1" t="s">
        <v>147</v>
      </c>
      <c r="G14" s="1" t="s">
        <v>286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265</v>
      </c>
      <c r="B15" s="1" t="s">
        <v>150</v>
      </c>
      <c r="C15" s="1" t="s">
        <v>20</v>
      </c>
      <c r="D15" s="1" t="s">
        <v>151</v>
      </c>
      <c r="E15" s="1" t="s">
        <v>122</v>
      </c>
      <c r="F15" s="1" t="s">
        <v>152</v>
      </c>
      <c r="G15" s="1" t="s">
        <v>287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267</v>
      </c>
      <c r="B16" s="1" t="s">
        <v>155</v>
      </c>
      <c r="C16" s="1" t="s">
        <v>20</v>
      </c>
      <c r="D16" s="1" t="s">
        <v>156</v>
      </c>
      <c r="E16" s="1" t="s">
        <v>122</v>
      </c>
      <c r="F16" s="1" t="s">
        <v>157</v>
      </c>
      <c r="G16" s="1" t="s">
        <v>288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269</v>
      </c>
      <c r="B17" s="1" t="s">
        <v>161</v>
      </c>
      <c r="C17" s="1" t="s">
        <v>20</v>
      </c>
      <c r="D17" s="1" t="s">
        <v>162</v>
      </c>
      <c r="E17" s="1" t="s">
        <v>122</v>
      </c>
      <c r="F17" s="1" t="s">
        <v>163</v>
      </c>
      <c r="G17" s="1" t="s">
        <v>289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271</v>
      </c>
      <c r="B18" s="1" t="s">
        <v>167</v>
      </c>
      <c r="C18" s="1" t="s">
        <v>20</v>
      </c>
      <c r="D18" s="1" t="s">
        <v>168</v>
      </c>
      <c r="E18" s="1" t="s">
        <v>122</v>
      </c>
      <c r="F18" s="1" t="s">
        <v>163</v>
      </c>
      <c r="G18" s="1" t="s">
        <v>289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272</v>
      </c>
      <c r="B19" s="1" t="s">
        <v>170</v>
      </c>
      <c r="C19" s="1" t="s">
        <v>20</v>
      </c>
      <c r="D19" s="1" t="s">
        <v>171</v>
      </c>
      <c r="E19" s="1" t="s">
        <v>122</v>
      </c>
      <c r="F19" s="1" t="s">
        <v>163</v>
      </c>
      <c r="G19" s="1" t="s">
        <v>290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274</v>
      </c>
      <c r="B20" s="1" t="s">
        <v>175</v>
      </c>
      <c r="C20" s="1" t="s">
        <v>20</v>
      </c>
      <c r="D20" s="1" t="s">
        <v>176</v>
      </c>
      <c r="E20" s="1" t="s">
        <v>122</v>
      </c>
      <c r="F20" s="1" t="s">
        <v>163</v>
      </c>
      <c r="G20" s="1" t="s">
        <v>289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275</v>
      </c>
      <c r="B21" s="1" t="s">
        <v>179</v>
      </c>
      <c r="C21" s="1" t="s">
        <v>20</v>
      </c>
      <c r="D21" s="1" t="s">
        <v>180</v>
      </c>
      <c r="E21" s="1" t="s">
        <v>122</v>
      </c>
      <c r="F21" s="1" t="s">
        <v>181</v>
      </c>
      <c r="G21" s="1" t="s">
        <v>291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277</v>
      </c>
      <c r="B22" s="1" t="s">
        <v>184</v>
      </c>
      <c r="C22" s="1" t="s">
        <v>20</v>
      </c>
      <c r="D22" s="1" t="s">
        <v>185</v>
      </c>
      <c r="E22" s="1" t="s">
        <v>122</v>
      </c>
      <c r="F22" s="1" t="s">
        <v>181</v>
      </c>
      <c r="G22" s="1" t="s">
        <v>292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279</v>
      </c>
      <c r="B23" s="1" t="s">
        <v>188</v>
      </c>
      <c r="C23" s="1" t="s">
        <v>20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280</v>
      </c>
      <c r="B24" s="1" t="s">
        <v>193</v>
      </c>
      <c r="C24" s="1" t="s">
        <v>20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294</v>
      </c>
      <c r="B9" s="1" t="s">
        <v>119</v>
      </c>
      <c r="C9" s="1" t="s">
        <v>21</v>
      </c>
      <c r="D9" s="1" t="s">
        <v>121</v>
      </c>
      <c r="E9" s="1" t="s">
        <v>122</v>
      </c>
      <c r="F9" s="1" t="s">
        <v>123</v>
      </c>
      <c r="G9" s="1" t="s">
        <v>295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296</v>
      </c>
      <c r="B10" s="1" t="s">
        <v>126</v>
      </c>
      <c r="C10" s="1" t="s">
        <v>21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297</v>
      </c>
      <c r="B11" s="1" t="s">
        <v>130</v>
      </c>
      <c r="C11" s="1" t="s">
        <v>21</v>
      </c>
      <c r="D11" s="1" t="s">
        <v>131</v>
      </c>
      <c r="E11" s="1" t="s">
        <v>122</v>
      </c>
      <c r="F11" s="1" t="s">
        <v>132</v>
      </c>
      <c r="G11" s="1" t="s">
        <v>298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299</v>
      </c>
      <c r="B12" s="1" t="s">
        <v>135</v>
      </c>
      <c r="C12" s="1" t="s">
        <v>21</v>
      </c>
      <c r="D12" s="1" t="s">
        <v>136</v>
      </c>
      <c r="E12" s="1" t="s">
        <v>122</v>
      </c>
      <c r="F12" s="1" t="s">
        <v>137</v>
      </c>
      <c r="G12" s="1" t="s">
        <v>300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301</v>
      </c>
      <c r="B13" s="1" t="s">
        <v>140</v>
      </c>
      <c r="C13" s="1" t="s">
        <v>21</v>
      </c>
      <c r="D13" s="1" t="s">
        <v>141</v>
      </c>
      <c r="E13" s="1" t="s">
        <v>122</v>
      </c>
      <c r="F13" s="1" t="s">
        <v>142</v>
      </c>
      <c r="G13" s="1" t="s">
        <v>302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303</v>
      </c>
      <c r="B14" s="1" t="s">
        <v>145</v>
      </c>
      <c r="C14" s="1" t="s">
        <v>21</v>
      </c>
      <c r="D14" s="1" t="s">
        <v>146</v>
      </c>
      <c r="E14" s="1" t="s">
        <v>122</v>
      </c>
      <c r="F14" s="1" t="s">
        <v>147</v>
      </c>
      <c r="G14" s="1" t="s">
        <v>304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305</v>
      </c>
      <c r="B15" s="1" t="s">
        <v>150</v>
      </c>
      <c r="C15" s="1" t="s">
        <v>21</v>
      </c>
      <c r="D15" s="1" t="s">
        <v>151</v>
      </c>
      <c r="E15" s="1" t="s">
        <v>122</v>
      </c>
      <c r="F15" s="1" t="s">
        <v>152</v>
      </c>
      <c r="G15" s="1" t="s">
        <v>306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307</v>
      </c>
      <c r="B16" s="1" t="s">
        <v>155</v>
      </c>
      <c r="C16" s="1" t="s">
        <v>21</v>
      </c>
      <c r="D16" s="1" t="s">
        <v>156</v>
      </c>
      <c r="E16" s="1" t="s">
        <v>122</v>
      </c>
      <c r="F16" s="1" t="s">
        <v>157</v>
      </c>
      <c r="G16" s="1" t="s">
        <v>308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309</v>
      </c>
      <c r="B17" s="1" t="s">
        <v>161</v>
      </c>
      <c r="C17" s="1" t="s">
        <v>21</v>
      </c>
      <c r="D17" s="1" t="s">
        <v>162</v>
      </c>
      <c r="E17" s="1" t="s">
        <v>122</v>
      </c>
      <c r="F17" s="1" t="s">
        <v>163</v>
      </c>
      <c r="G17" s="1" t="s">
        <v>310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311</v>
      </c>
      <c r="B18" s="1" t="s">
        <v>167</v>
      </c>
      <c r="C18" s="1" t="s">
        <v>21</v>
      </c>
      <c r="D18" s="1" t="s">
        <v>168</v>
      </c>
      <c r="E18" s="1" t="s">
        <v>122</v>
      </c>
      <c r="F18" s="1" t="s">
        <v>163</v>
      </c>
      <c r="G18" s="1" t="s">
        <v>310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312</v>
      </c>
      <c r="B19" s="1" t="s">
        <v>170</v>
      </c>
      <c r="C19" s="1" t="s">
        <v>21</v>
      </c>
      <c r="D19" s="1" t="s">
        <v>171</v>
      </c>
      <c r="E19" s="1" t="s">
        <v>122</v>
      </c>
      <c r="F19" s="1" t="s">
        <v>163</v>
      </c>
      <c r="G19" s="1" t="s">
        <v>313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314</v>
      </c>
      <c r="B20" s="1" t="s">
        <v>175</v>
      </c>
      <c r="C20" s="1" t="s">
        <v>21</v>
      </c>
      <c r="D20" s="1" t="s">
        <v>176</v>
      </c>
      <c r="E20" s="1" t="s">
        <v>122</v>
      </c>
      <c r="F20" s="1" t="s">
        <v>163</v>
      </c>
      <c r="G20" s="1" t="s">
        <v>310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315</v>
      </c>
      <c r="B21" s="1" t="s">
        <v>179</v>
      </c>
      <c r="C21" s="1" t="s">
        <v>21</v>
      </c>
      <c r="D21" s="1" t="s">
        <v>180</v>
      </c>
      <c r="E21" s="1" t="s">
        <v>122</v>
      </c>
      <c r="F21" s="1" t="s">
        <v>181</v>
      </c>
      <c r="G21" s="1" t="s">
        <v>316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317</v>
      </c>
      <c r="B22" s="1" t="s">
        <v>184</v>
      </c>
      <c r="C22" s="1" t="s">
        <v>21</v>
      </c>
      <c r="D22" s="1" t="s">
        <v>185</v>
      </c>
      <c r="E22" s="1" t="s">
        <v>122</v>
      </c>
      <c r="F22" s="1" t="s">
        <v>181</v>
      </c>
      <c r="G22" s="1" t="s">
        <v>318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319</v>
      </c>
      <c r="B23" s="1" t="s">
        <v>188</v>
      </c>
      <c r="C23" s="1" t="s">
        <v>21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320</v>
      </c>
      <c r="B24" s="1" t="s">
        <v>193</v>
      </c>
      <c r="C24" s="1" t="s">
        <v>21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294</v>
      </c>
      <c r="B9" s="1" t="s">
        <v>119</v>
      </c>
      <c r="C9" s="1" t="s">
        <v>22</v>
      </c>
      <c r="D9" s="1" t="s">
        <v>121</v>
      </c>
      <c r="E9" s="1" t="s">
        <v>122</v>
      </c>
      <c r="F9" s="1" t="s">
        <v>123</v>
      </c>
      <c r="G9" s="1" t="s">
        <v>322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296</v>
      </c>
      <c r="B10" s="1" t="s">
        <v>126</v>
      </c>
      <c r="C10" s="1" t="s">
        <v>22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297</v>
      </c>
      <c r="B11" s="1" t="s">
        <v>130</v>
      </c>
      <c r="C11" s="1" t="s">
        <v>22</v>
      </c>
      <c r="D11" s="1" t="s">
        <v>131</v>
      </c>
      <c r="E11" s="1" t="s">
        <v>122</v>
      </c>
      <c r="F11" s="1" t="s">
        <v>132</v>
      </c>
      <c r="G11" s="1" t="s">
        <v>323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299</v>
      </c>
      <c r="B12" s="1" t="s">
        <v>135</v>
      </c>
      <c r="C12" s="1" t="s">
        <v>22</v>
      </c>
      <c r="D12" s="1" t="s">
        <v>136</v>
      </c>
      <c r="E12" s="1" t="s">
        <v>122</v>
      </c>
      <c r="F12" s="1" t="s">
        <v>137</v>
      </c>
      <c r="G12" s="1" t="s">
        <v>324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301</v>
      </c>
      <c r="B13" s="1" t="s">
        <v>140</v>
      </c>
      <c r="C13" s="1" t="s">
        <v>22</v>
      </c>
      <c r="D13" s="1" t="s">
        <v>141</v>
      </c>
      <c r="E13" s="1" t="s">
        <v>122</v>
      </c>
      <c r="F13" s="1" t="s">
        <v>142</v>
      </c>
      <c r="G13" s="1" t="s">
        <v>325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303</v>
      </c>
      <c r="B14" s="1" t="s">
        <v>145</v>
      </c>
      <c r="C14" s="1" t="s">
        <v>22</v>
      </c>
      <c r="D14" s="1" t="s">
        <v>146</v>
      </c>
      <c r="E14" s="1" t="s">
        <v>122</v>
      </c>
      <c r="F14" s="1" t="s">
        <v>147</v>
      </c>
      <c r="G14" s="1" t="s">
        <v>326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305</v>
      </c>
      <c r="B15" s="1" t="s">
        <v>150</v>
      </c>
      <c r="C15" s="1" t="s">
        <v>22</v>
      </c>
      <c r="D15" s="1" t="s">
        <v>151</v>
      </c>
      <c r="E15" s="1" t="s">
        <v>122</v>
      </c>
      <c r="F15" s="1" t="s">
        <v>152</v>
      </c>
      <c r="G15" s="1" t="s">
        <v>327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307</v>
      </c>
      <c r="B16" s="1" t="s">
        <v>155</v>
      </c>
      <c r="C16" s="1" t="s">
        <v>22</v>
      </c>
      <c r="D16" s="1" t="s">
        <v>156</v>
      </c>
      <c r="E16" s="1" t="s">
        <v>122</v>
      </c>
      <c r="F16" s="1" t="s">
        <v>157</v>
      </c>
      <c r="G16" s="1" t="s">
        <v>328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309</v>
      </c>
      <c r="B17" s="1" t="s">
        <v>161</v>
      </c>
      <c r="C17" s="1" t="s">
        <v>22</v>
      </c>
      <c r="D17" s="1" t="s">
        <v>162</v>
      </c>
      <c r="E17" s="1" t="s">
        <v>122</v>
      </c>
      <c r="F17" s="1" t="s">
        <v>163</v>
      </c>
      <c r="G17" s="1" t="s">
        <v>329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311</v>
      </c>
      <c r="B18" s="1" t="s">
        <v>167</v>
      </c>
      <c r="C18" s="1" t="s">
        <v>22</v>
      </c>
      <c r="D18" s="1" t="s">
        <v>168</v>
      </c>
      <c r="E18" s="1" t="s">
        <v>122</v>
      </c>
      <c r="F18" s="1" t="s">
        <v>163</v>
      </c>
      <c r="G18" s="1" t="s">
        <v>329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312</v>
      </c>
      <c r="B19" s="1" t="s">
        <v>170</v>
      </c>
      <c r="C19" s="1" t="s">
        <v>22</v>
      </c>
      <c r="D19" s="1" t="s">
        <v>171</v>
      </c>
      <c r="E19" s="1" t="s">
        <v>122</v>
      </c>
      <c r="F19" s="1" t="s">
        <v>163</v>
      </c>
      <c r="G19" s="1" t="s">
        <v>330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314</v>
      </c>
      <c r="B20" s="1" t="s">
        <v>175</v>
      </c>
      <c r="C20" s="1" t="s">
        <v>22</v>
      </c>
      <c r="D20" s="1" t="s">
        <v>176</v>
      </c>
      <c r="E20" s="1" t="s">
        <v>122</v>
      </c>
      <c r="F20" s="1" t="s">
        <v>163</v>
      </c>
      <c r="G20" s="1" t="s">
        <v>329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315</v>
      </c>
      <c r="B21" s="1" t="s">
        <v>179</v>
      </c>
      <c r="C21" s="1" t="s">
        <v>22</v>
      </c>
      <c r="D21" s="1" t="s">
        <v>180</v>
      </c>
      <c r="E21" s="1" t="s">
        <v>122</v>
      </c>
      <c r="F21" s="1" t="s">
        <v>181</v>
      </c>
      <c r="G21" s="1" t="s">
        <v>331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317</v>
      </c>
      <c r="B22" s="1" t="s">
        <v>184</v>
      </c>
      <c r="C22" s="1" t="s">
        <v>22</v>
      </c>
      <c r="D22" s="1" t="s">
        <v>185</v>
      </c>
      <c r="E22" s="1" t="s">
        <v>122</v>
      </c>
      <c r="F22" s="1" t="s">
        <v>181</v>
      </c>
      <c r="G22" s="1" t="s">
        <v>332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319</v>
      </c>
      <c r="B23" s="1" t="s">
        <v>188</v>
      </c>
      <c r="C23" s="1" t="s">
        <v>22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320</v>
      </c>
      <c r="B24" s="1" t="s">
        <v>193</v>
      </c>
      <c r="C24" s="1" t="s">
        <v>22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334</v>
      </c>
      <c r="B9" s="1" t="s">
        <v>119</v>
      </c>
      <c r="C9" s="1" t="s">
        <v>335</v>
      </c>
      <c r="D9" s="1" t="s">
        <v>121</v>
      </c>
      <c r="E9" s="1" t="s">
        <v>122</v>
      </c>
      <c r="F9" s="1" t="s">
        <v>123</v>
      </c>
      <c r="G9" s="1" t="s">
        <v>336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337</v>
      </c>
      <c r="B10" s="1" t="s">
        <v>126</v>
      </c>
      <c r="C10" s="1" t="s">
        <v>335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338</v>
      </c>
      <c r="B11" s="1" t="s">
        <v>130</v>
      </c>
      <c r="C11" s="1" t="s">
        <v>335</v>
      </c>
      <c r="D11" s="1" t="s">
        <v>131</v>
      </c>
      <c r="E11" s="1" t="s">
        <v>122</v>
      </c>
      <c r="F11" s="1" t="s">
        <v>132</v>
      </c>
      <c r="G11" s="1" t="s">
        <v>339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340</v>
      </c>
      <c r="B12" s="1" t="s">
        <v>135</v>
      </c>
      <c r="C12" s="1" t="s">
        <v>335</v>
      </c>
      <c r="D12" s="1" t="s">
        <v>136</v>
      </c>
      <c r="E12" s="1" t="s">
        <v>122</v>
      </c>
      <c r="F12" s="1" t="s">
        <v>137</v>
      </c>
      <c r="G12" s="1" t="s">
        <v>341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342</v>
      </c>
      <c r="B13" s="1" t="s">
        <v>140</v>
      </c>
      <c r="C13" s="1" t="s">
        <v>335</v>
      </c>
      <c r="D13" s="1" t="s">
        <v>141</v>
      </c>
      <c r="E13" s="1" t="s">
        <v>122</v>
      </c>
      <c r="F13" s="1" t="s">
        <v>142</v>
      </c>
      <c r="G13" s="1" t="s">
        <v>343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344</v>
      </c>
      <c r="B14" s="1" t="s">
        <v>145</v>
      </c>
      <c r="C14" s="1" t="s">
        <v>335</v>
      </c>
      <c r="D14" s="1" t="s">
        <v>146</v>
      </c>
      <c r="E14" s="1" t="s">
        <v>122</v>
      </c>
      <c r="F14" s="1" t="s">
        <v>147</v>
      </c>
      <c r="G14" s="1" t="s">
        <v>345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346</v>
      </c>
      <c r="B15" s="1" t="s">
        <v>150</v>
      </c>
      <c r="C15" s="1" t="s">
        <v>335</v>
      </c>
      <c r="D15" s="1" t="s">
        <v>151</v>
      </c>
      <c r="E15" s="1" t="s">
        <v>122</v>
      </c>
      <c r="F15" s="1" t="s">
        <v>152</v>
      </c>
      <c r="G15" s="1" t="s">
        <v>347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348</v>
      </c>
      <c r="B16" s="1" t="s">
        <v>155</v>
      </c>
      <c r="C16" s="1" t="s">
        <v>335</v>
      </c>
      <c r="D16" s="1" t="s">
        <v>156</v>
      </c>
      <c r="E16" s="1" t="s">
        <v>122</v>
      </c>
      <c r="F16" s="1" t="s">
        <v>157</v>
      </c>
      <c r="G16" s="1" t="s">
        <v>349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350</v>
      </c>
      <c r="B17" s="1" t="s">
        <v>161</v>
      </c>
      <c r="C17" s="1" t="s">
        <v>335</v>
      </c>
      <c r="D17" s="1" t="s">
        <v>162</v>
      </c>
      <c r="E17" s="1" t="s">
        <v>122</v>
      </c>
      <c r="F17" s="1" t="s">
        <v>163</v>
      </c>
      <c r="G17" s="1" t="s">
        <v>351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352</v>
      </c>
      <c r="B18" s="1" t="s">
        <v>167</v>
      </c>
      <c r="C18" s="1" t="s">
        <v>335</v>
      </c>
      <c r="D18" s="1" t="s">
        <v>168</v>
      </c>
      <c r="E18" s="1" t="s">
        <v>122</v>
      </c>
      <c r="F18" s="1" t="s">
        <v>163</v>
      </c>
      <c r="G18" s="1" t="s">
        <v>351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353</v>
      </c>
      <c r="B19" s="1" t="s">
        <v>170</v>
      </c>
      <c r="C19" s="1" t="s">
        <v>335</v>
      </c>
      <c r="D19" s="1" t="s">
        <v>171</v>
      </c>
      <c r="E19" s="1" t="s">
        <v>122</v>
      </c>
      <c r="F19" s="1" t="s">
        <v>163</v>
      </c>
      <c r="G19" s="1" t="s">
        <v>354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355</v>
      </c>
      <c r="B20" s="1" t="s">
        <v>175</v>
      </c>
      <c r="C20" s="1" t="s">
        <v>335</v>
      </c>
      <c r="D20" s="1" t="s">
        <v>176</v>
      </c>
      <c r="E20" s="1" t="s">
        <v>122</v>
      </c>
      <c r="F20" s="1" t="s">
        <v>163</v>
      </c>
      <c r="G20" s="1" t="s">
        <v>351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356</v>
      </c>
      <c r="B21" s="1" t="s">
        <v>179</v>
      </c>
      <c r="C21" s="1" t="s">
        <v>335</v>
      </c>
      <c r="D21" s="1" t="s">
        <v>180</v>
      </c>
      <c r="E21" s="1" t="s">
        <v>122</v>
      </c>
      <c r="F21" s="1" t="s">
        <v>181</v>
      </c>
      <c r="G21" s="1" t="s">
        <v>357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358</v>
      </c>
      <c r="B22" s="1" t="s">
        <v>184</v>
      </c>
      <c r="C22" s="1" t="s">
        <v>335</v>
      </c>
      <c r="D22" s="1" t="s">
        <v>185</v>
      </c>
      <c r="E22" s="1" t="s">
        <v>122</v>
      </c>
      <c r="F22" s="1" t="s">
        <v>181</v>
      </c>
      <c r="G22" s="1" t="s">
        <v>359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360</v>
      </c>
      <c r="B23" s="1" t="s">
        <v>188</v>
      </c>
      <c r="C23" s="1" t="s">
        <v>335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361</v>
      </c>
      <c r="B24" s="1" t="s">
        <v>193</v>
      </c>
      <c r="C24" s="1" t="s">
        <v>335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363</v>
      </c>
      <c r="B9" s="1" t="s">
        <v>119</v>
      </c>
      <c r="C9" s="1" t="s">
        <v>24</v>
      </c>
      <c r="D9" s="1" t="s">
        <v>121</v>
      </c>
      <c r="E9" s="1" t="s">
        <v>122</v>
      </c>
      <c r="F9" s="1" t="s">
        <v>123</v>
      </c>
      <c r="G9" s="1" t="s">
        <v>364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365</v>
      </c>
      <c r="B10" s="1" t="s">
        <v>126</v>
      </c>
      <c r="C10" s="1" t="s">
        <v>24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366</v>
      </c>
      <c r="B11" s="1" t="s">
        <v>130</v>
      </c>
      <c r="C11" s="1" t="s">
        <v>24</v>
      </c>
      <c r="D11" s="1" t="s">
        <v>131</v>
      </c>
      <c r="E11" s="1" t="s">
        <v>122</v>
      </c>
      <c r="F11" s="1" t="s">
        <v>132</v>
      </c>
      <c r="G11" s="1" t="s">
        <v>367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368</v>
      </c>
      <c r="B12" s="1" t="s">
        <v>135</v>
      </c>
      <c r="C12" s="1" t="s">
        <v>24</v>
      </c>
      <c r="D12" s="1" t="s">
        <v>136</v>
      </c>
      <c r="E12" s="1" t="s">
        <v>122</v>
      </c>
      <c r="F12" s="1" t="s">
        <v>137</v>
      </c>
      <c r="G12" s="1" t="s">
        <v>369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370</v>
      </c>
      <c r="B13" s="1" t="s">
        <v>140</v>
      </c>
      <c r="C13" s="1" t="s">
        <v>24</v>
      </c>
      <c r="D13" s="1" t="s">
        <v>141</v>
      </c>
      <c r="E13" s="1" t="s">
        <v>122</v>
      </c>
      <c r="F13" s="1" t="s">
        <v>142</v>
      </c>
      <c r="G13" s="1" t="s">
        <v>371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372</v>
      </c>
      <c r="B14" s="1" t="s">
        <v>145</v>
      </c>
      <c r="C14" s="1" t="s">
        <v>24</v>
      </c>
      <c r="D14" s="1" t="s">
        <v>146</v>
      </c>
      <c r="E14" s="1" t="s">
        <v>122</v>
      </c>
      <c r="F14" s="1" t="s">
        <v>147</v>
      </c>
      <c r="G14" s="1" t="s">
        <v>373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374</v>
      </c>
      <c r="B15" s="1" t="s">
        <v>150</v>
      </c>
      <c r="C15" s="1" t="s">
        <v>24</v>
      </c>
      <c r="D15" s="1" t="s">
        <v>151</v>
      </c>
      <c r="E15" s="1" t="s">
        <v>122</v>
      </c>
      <c r="F15" s="1" t="s">
        <v>152</v>
      </c>
      <c r="G15" s="1" t="s">
        <v>375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376</v>
      </c>
      <c r="B16" s="1" t="s">
        <v>155</v>
      </c>
      <c r="C16" s="1" t="s">
        <v>24</v>
      </c>
      <c r="D16" s="1" t="s">
        <v>156</v>
      </c>
      <c r="E16" s="1" t="s">
        <v>122</v>
      </c>
      <c r="F16" s="1" t="s">
        <v>157</v>
      </c>
      <c r="G16" s="1" t="s">
        <v>377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378</v>
      </c>
      <c r="B17" s="1" t="s">
        <v>161</v>
      </c>
      <c r="C17" s="1" t="s">
        <v>24</v>
      </c>
      <c r="D17" s="1" t="s">
        <v>162</v>
      </c>
      <c r="E17" s="1" t="s">
        <v>122</v>
      </c>
      <c r="F17" s="1" t="s">
        <v>163</v>
      </c>
      <c r="G17" s="1" t="s">
        <v>379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380</v>
      </c>
      <c r="B18" s="1" t="s">
        <v>167</v>
      </c>
      <c r="C18" s="1" t="s">
        <v>24</v>
      </c>
      <c r="D18" s="1" t="s">
        <v>168</v>
      </c>
      <c r="E18" s="1" t="s">
        <v>122</v>
      </c>
      <c r="F18" s="1" t="s">
        <v>163</v>
      </c>
      <c r="G18" s="1" t="s">
        <v>379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381</v>
      </c>
      <c r="B19" s="1" t="s">
        <v>170</v>
      </c>
      <c r="C19" s="1" t="s">
        <v>24</v>
      </c>
      <c r="D19" s="1" t="s">
        <v>171</v>
      </c>
      <c r="E19" s="1" t="s">
        <v>122</v>
      </c>
      <c r="F19" s="1" t="s">
        <v>163</v>
      </c>
      <c r="G19" s="1" t="s">
        <v>382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383</v>
      </c>
      <c r="B20" s="1" t="s">
        <v>175</v>
      </c>
      <c r="C20" s="1" t="s">
        <v>24</v>
      </c>
      <c r="D20" s="1" t="s">
        <v>176</v>
      </c>
      <c r="E20" s="1" t="s">
        <v>122</v>
      </c>
      <c r="F20" s="1" t="s">
        <v>163</v>
      </c>
      <c r="G20" s="1" t="s">
        <v>379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384</v>
      </c>
      <c r="B21" s="1" t="s">
        <v>179</v>
      </c>
      <c r="C21" s="1" t="s">
        <v>24</v>
      </c>
      <c r="D21" s="1" t="s">
        <v>180</v>
      </c>
      <c r="E21" s="1" t="s">
        <v>122</v>
      </c>
      <c r="F21" s="1" t="s">
        <v>181</v>
      </c>
      <c r="G21" s="1" t="s">
        <v>385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386</v>
      </c>
      <c r="B22" s="1" t="s">
        <v>184</v>
      </c>
      <c r="C22" s="1" t="s">
        <v>24</v>
      </c>
      <c r="D22" s="1" t="s">
        <v>185</v>
      </c>
      <c r="E22" s="1" t="s">
        <v>122</v>
      </c>
      <c r="F22" s="1" t="s">
        <v>181</v>
      </c>
      <c r="G22" s="1" t="s">
        <v>387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388</v>
      </c>
      <c r="B23" s="1" t="s">
        <v>188</v>
      </c>
      <c r="C23" s="1" t="s">
        <v>24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389</v>
      </c>
      <c r="B24" s="1" t="s">
        <v>193</v>
      </c>
      <c r="C24" s="1" t="s">
        <v>24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363</v>
      </c>
      <c r="B9" s="1" t="s">
        <v>119</v>
      </c>
      <c r="C9" s="1" t="s">
        <v>25</v>
      </c>
      <c r="D9" s="1" t="s">
        <v>121</v>
      </c>
      <c r="E9" s="1" t="s">
        <v>122</v>
      </c>
      <c r="F9" s="1" t="s">
        <v>123</v>
      </c>
      <c r="G9" s="1" t="s">
        <v>391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365</v>
      </c>
      <c r="B10" s="1" t="s">
        <v>126</v>
      </c>
      <c r="C10" s="1" t="s">
        <v>25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366</v>
      </c>
      <c r="B11" s="1" t="s">
        <v>130</v>
      </c>
      <c r="C11" s="1" t="s">
        <v>25</v>
      </c>
      <c r="D11" s="1" t="s">
        <v>131</v>
      </c>
      <c r="E11" s="1" t="s">
        <v>122</v>
      </c>
      <c r="F11" s="1" t="s">
        <v>132</v>
      </c>
      <c r="G11" s="1" t="s">
        <v>392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368</v>
      </c>
      <c r="B12" s="1" t="s">
        <v>135</v>
      </c>
      <c r="C12" s="1" t="s">
        <v>25</v>
      </c>
      <c r="D12" s="1" t="s">
        <v>136</v>
      </c>
      <c r="E12" s="1" t="s">
        <v>122</v>
      </c>
      <c r="F12" s="1" t="s">
        <v>137</v>
      </c>
      <c r="G12" s="1" t="s">
        <v>393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370</v>
      </c>
      <c r="B13" s="1" t="s">
        <v>140</v>
      </c>
      <c r="C13" s="1" t="s">
        <v>25</v>
      </c>
      <c r="D13" s="1" t="s">
        <v>141</v>
      </c>
      <c r="E13" s="1" t="s">
        <v>122</v>
      </c>
      <c r="F13" s="1" t="s">
        <v>142</v>
      </c>
      <c r="G13" s="1" t="s">
        <v>394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372</v>
      </c>
      <c r="B14" s="1" t="s">
        <v>145</v>
      </c>
      <c r="C14" s="1" t="s">
        <v>25</v>
      </c>
      <c r="D14" s="1" t="s">
        <v>146</v>
      </c>
      <c r="E14" s="1" t="s">
        <v>122</v>
      </c>
      <c r="F14" s="1" t="s">
        <v>147</v>
      </c>
      <c r="G14" s="1" t="s">
        <v>395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374</v>
      </c>
      <c r="B15" s="1" t="s">
        <v>150</v>
      </c>
      <c r="C15" s="1" t="s">
        <v>25</v>
      </c>
      <c r="D15" s="1" t="s">
        <v>151</v>
      </c>
      <c r="E15" s="1" t="s">
        <v>122</v>
      </c>
      <c r="F15" s="1" t="s">
        <v>152</v>
      </c>
      <c r="G15" s="1" t="s">
        <v>396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376</v>
      </c>
      <c r="B16" s="1" t="s">
        <v>155</v>
      </c>
      <c r="C16" s="1" t="s">
        <v>25</v>
      </c>
      <c r="D16" s="1" t="s">
        <v>156</v>
      </c>
      <c r="E16" s="1" t="s">
        <v>122</v>
      </c>
      <c r="F16" s="1" t="s">
        <v>157</v>
      </c>
      <c r="G16" s="1" t="s">
        <v>397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378</v>
      </c>
      <c r="B17" s="1" t="s">
        <v>161</v>
      </c>
      <c r="C17" s="1" t="s">
        <v>25</v>
      </c>
      <c r="D17" s="1" t="s">
        <v>162</v>
      </c>
      <c r="E17" s="1" t="s">
        <v>122</v>
      </c>
      <c r="F17" s="1" t="s">
        <v>163</v>
      </c>
      <c r="G17" s="1" t="s">
        <v>398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380</v>
      </c>
      <c r="B18" s="1" t="s">
        <v>167</v>
      </c>
      <c r="C18" s="1" t="s">
        <v>25</v>
      </c>
      <c r="D18" s="1" t="s">
        <v>168</v>
      </c>
      <c r="E18" s="1" t="s">
        <v>122</v>
      </c>
      <c r="F18" s="1" t="s">
        <v>163</v>
      </c>
      <c r="G18" s="1" t="s">
        <v>398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381</v>
      </c>
      <c r="B19" s="1" t="s">
        <v>170</v>
      </c>
      <c r="C19" s="1" t="s">
        <v>25</v>
      </c>
      <c r="D19" s="1" t="s">
        <v>171</v>
      </c>
      <c r="E19" s="1" t="s">
        <v>122</v>
      </c>
      <c r="F19" s="1" t="s">
        <v>163</v>
      </c>
      <c r="G19" s="1" t="s">
        <v>399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383</v>
      </c>
      <c r="B20" s="1" t="s">
        <v>175</v>
      </c>
      <c r="C20" s="1" t="s">
        <v>25</v>
      </c>
      <c r="D20" s="1" t="s">
        <v>176</v>
      </c>
      <c r="E20" s="1" t="s">
        <v>122</v>
      </c>
      <c r="F20" s="1" t="s">
        <v>163</v>
      </c>
      <c r="G20" s="1" t="s">
        <v>398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384</v>
      </c>
      <c r="B21" s="1" t="s">
        <v>179</v>
      </c>
      <c r="C21" s="1" t="s">
        <v>25</v>
      </c>
      <c r="D21" s="1" t="s">
        <v>180</v>
      </c>
      <c r="E21" s="1" t="s">
        <v>122</v>
      </c>
      <c r="F21" s="1" t="s">
        <v>181</v>
      </c>
      <c r="G21" s="1" t="s">
        <v>400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386</v>
      </c>
      <c r="B22" s="1" t="s">
        <v>184</v>
      </c>
      <c r="C22" s="1" t="s">
        <v>25</v>
      </c>
      <c r="D22" s="1" t="s">
        <v>185</v>
      </c>
      <c r="E22" s="1" t="s">
        <v>122</v>
      </c>
      <c r="F22" s="1" t="s">
        <v>181</v>
      </c>
      <c r="G22" s="1" t="s">
        <v>401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388</v>
      </c>
      <c r="B23" s="1" t="s">
        <v>188</v>
      </c>
      <c r="C23" s="1" t="s">
        <v>25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389</v>
      </c>
      <c r="B24" s="1" t="s">
        <v>193</v>
      </c>
      <c r="C24" s="1" t="s">
        <v>25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403</v>
      </c>
      <c r="B9" s="1" t="s">
        <v>119</v>
      </c>
      <c r="C9" s="1" t="s">
        <v>26</v>
      </c>
      <c r="D9" s="1" t="s">
        <v>121</v>
      </c>
      <c r="E9" s="1" t="s">
        <v>122</v>
      </c>
      <c r="F9" s="1" t="s">
        <v>123</v>
      </c>
      <c r="G9" s="1" t="s">
        <v>404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405</v>
      </c>
      <c r="B10" s="1" t="s">
        <v>126</v>
      </c>
      <c r="C10" s="1" t="s">
        <v>26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406</v>
      </c>
      <c r="B11" s="1" t="s">
        <v>130</v>
      </c>
      <c r="C11" s="1" t="s">
        <v>26</v>
      </c>
      <c r="D11" s="1" t="s">
        <v>131</v>
      </c>
      <c r="E11" s="1" t="s">
        <v>122</v>
      </c>
      <c r="F11" s="1" t="s">
        <v>132</v>
      </c>
      <c r="G11" s="1" t="s">
        <v>407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408</v>
      </c>
      <c r="B12" s="1" t="s">
        <v>135</v>
      </c>
      <c r="C12" s="1" t="s">
        <v>26</v>
      </c>
      <c r="D12" s="1" t="s">
        <v>136</v>
      </c>
      <c r="E12" s="1" t="s">
        <v>122</v>
      </c>
      <c r="F12" s="1" t="s">
        <v>137</v>
      </c>
      <c r="G12" s="1" t="s">
        <v>409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410</v>
      </c>
      <c r="B13" s="1" t="s">
        <v>140</v>
      </c>
      <c r="C13" s="1" t="s">
        <v>26</v>
      </c>
      <c r="D13" s="1" t="s">
        <v>141</v>
      </c>
      <c r="E13" s="1" t="s">
        <v>122</v>
      </c>
      <c r="F13" s="1" t="s">
        <v>142</v>
      </c>
      <c r="G13" s="1" t="s">
        <v>411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412</v>
      </c>
      <c r="B14" s="1" t="s">
        <v>145</v>
      </c>
      <c r="C14" s="1" t="s">
        <v>26</v>
      </c>
      <c r="D14" s="1" t="s">
        <v>146</v>
      </c>
      <c r="E14" s="1" t="s">
        <v>122</v>
      </c>
      <c r="F14" s="1" t="s">
        <v>147</v>
      </c>
      <c r="G14" s="1" t="s">
        <v>413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414</v>
      </c>
      <c r="B15" s="1" t="s">
        <v>150</v>
      </c>
      <c r="C15" s="1" t="s">
        <v>26</v>
      </c>
      <c r="D15" s="1" t="s">
        <v>151</v>
      </c>
      <c r="E15" s="1" t="s">
        <v>122</v>
      </c>
      <c r="F15" s="1" t="s">
        <v>152</v>
      </c>
      <c r="G15" s="1" t="s">
        <v>415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416</v>
      </c>
      <c r="B16" s="1" t="s">
        <v>155</v>
      </c>
      <c r="C16" s="1" t="s">
        <v>26</v>
      </c>
      <c r="D16" s="1" t="s">
        <v>156</v>
      </c>
      <c r="E16" s="1" t="s">
        <v>122</v>
      </c>
      <c r="F16" s="1" t="s">
        <v>157</v>
      </c>
      <c r="G16" s="1" t="s">
        <v>417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418</v>
      </c>
      <c r="B17" s="1" t="s">
        <v>161</v>
      </c>
      <c r="C17" s="1" t="s">
        <v>26</v>
      </c>
      <c r="D17" s="1" t="s">
        <v>162</v>
      </c>
      <c r="E17" s="1" t="s">
        <v>122</v>
      </c>
      <c r="F17" s="1" t="s">
        <v>163</v>
      </c>
      <c r="G17" s="1" t="s">
        <v>419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420</v>
      </c>
      <c r="B18" s="1" t="s">
        <v>167</v>
      </c>
      <c r="C18" s="1" t="s">
        <v>26</v>
      </c>
      <c r="D18" s="1" t="s">
        <v>168</v>
      </c>
      <c r="E18" s="1" t="s">
        <v>122</v>
      </c>
      <c r="F18" s="1" t="s">
        <v>163</v>
      </c>
      <c r="G18" s="1" t="s">
        <v>419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421</v>
      </c>
      <c r="B19" s="1" t="s">
        <v>170</v>
      </c>
      <c r="C19" s="1" t="s">
        <v>26</v>
      </c>
      <c r="D19" s="1" t="s">
        <v>171</v>
      </c>
      <c r="E19" s="1" t="s">
        <v>122</v>
      </c>
      <c r="F19" s="1" t="s">
        <v>163</v>
      </c>
      <c r="G19" s="1" t="s">
        <v>422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423</v>
      </c>
      <c r="B20" s="1" t="s">
        <v>175</v>
      </c>
      <c r="C20" s="1" t="s">
        <v>26</v>
      </c>
      <c r="D20" s="1" t="s">
        <v>176</v>
      </c>
      <c r="E20" s="1" t="s">
        <v>122</v>
      </c>
      <c r="F20" s="1" t="s">
        <v>163</v>
      </c>
      <c r="G20" s="1" t="s">
        <v>419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424</v>
      </c>
      <c r="B21" s="1" t="s">
        <v>179</v>
      </c>
      <c r="C21" s="1" t="s">
        <v>26</v>
      </c>
      <c r="D21" s="1" t="s">
        <v>180</v>
      </c>
      <c r="E21" s="1" t="s">
        <v>122</v>
      </c>
      <c r="F21" s="1" t="s">
        <v>181</v>
      </c>
      <c r="G21" s="1" t="s">
        <v>425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426</v>
      </c>
      <c r="B22" s="1" t="s">
        <v>184</v>
      </c>
      <c r="C22" s="1" t="s">
        <v>26</v>
      </c>
      <c r="D22" s="1" t="s">
        <v>185</v>
      </c>
      <c r="E22" s="1" t="s">
        <v>122</v>
      </c>
      <c r="F22" s="1" t="s">
        <v>181</v>
      </c>
      <c r="G22" s="1" t="s">
        <v>427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428</v>
      </c>
      <c r="B23" s="1" t="s">
        <v>188</v>
      </c>
      <c r="C23" s="1" t="s">
        <v>26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429</v>
      </c>
      <c r="B24" s="1" t="s">
        <v>193</v>
      </c>
      <c r="C24" s="1" t="s">
        <v>26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403</v>
      </c>
      <c r="B9" s="1" t="s">
        <v>119</v>
      </c>
      <c r="C9" s="1" t="s">
        <v>27</v>
      </c>
      <c r="D9" s="1" t="s">
        <v>121</v>
      </c>
      <c r="E9" s="1" t="s">
        <v>122</v>
      </c>
      <c r="F9" s="1" t="s">
        <v>123</v>
      </c>
      <c r="G9" s="1" t="s">
        <v>431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405</v>
      </c>
      <c r="B10" s="1" t="s">
        <v>126</v>
      </c>
      <c r="C10" s="1" t="s">
        <v>27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406</v>
      </c>
      <c r="B11" s="1" t="s">
        <v>130</v>
      </c>
      <c r="C11" s="1" t="s">
        <v>27</v>
      </c>
      <c r="D11" s="1" t="s">
        <v>131</v>
      </c>
      <c r="E11" s="1" t="s">
        <v>122</v>
      </c>
      <c r="F11" s="1" t="s">
        <v>132</v>
      </c>
      <c r="G11" s="1" t="s">
        <v>432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408</v>
      </c>
      <c r="B12" s="1" t="s">
        <v>135</v>
      </c>
      <c r="C12" s="1" t="s">
        <v>27</v>
      </c>
      <c r="D12" s="1" t="s">
        <v>136</v>
      </c>
      <c r="E12" s="1" t="s">
        <v>122</v>
      </c>
      <c r="F12" s="1" t="s">
        <v>137</v>
      </c>
      <c r="G12" s="1" t="s">
        <v>433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410</v>
      </c>
      <c r="B13" s="1" t="s">
        <v>140</v>
      </c>
      <c r="C13" s="1" t="s">
        <v>27</v>
      </c>
      <c r="D13" s="1" t="s">
        <v>141</v>
      </c>
      <c r="E13" s="1" t="s">
        <v>122</v>
      </c>
      <c r="F13" s="1" t="s">
        <v>142</v>
      </c>
      <c r="G13" s="1" t="s">
        <v>434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412</v>
      </c>
      <c r="B14" s="1" t="s">
        <v>145</v>
      </c>
      <c r="C14" s="1" t="s">
        <v>27</v>
      </c>
      <c r="D14" s="1" t="s">
        <v>146</v>
      </c>
      <c r="E14" s="1" t="s">
        <v>122</v>
      </c>
      <c r="F14" s="1" t="s">
        <v>147</v>
      </c>
      <c r="G14" s="1" t="s">
        <v>435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414</v>
      </c>
      <c r="B15" s="1" t="s">
        <v>150</v>
      </c>
      <c r="C15" s="1" t="s">
        <v>27</v>
      </c>
      <c r="D15" s="1" t="s">
        <v>151</v>
      </c>
      <c r="E15" s="1" t="s">
        <v>122</v>
      </c>
      <c r="F15" s="1" t="s">
        <v>152</v>
      </c>
      <c r="G15" s="1" t="s">
        <v>436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416</v>
      </c>
      <c r="B16" s="1" t="s">
        <v>155</v>
      </c>
      <c r="C16" s="1" t="s">
        <v>27</v>
      </c>
      <c r="D16" s="1" t="s">
        <v>156</v>
      </c>
      <c r="E16" s="1" t="s">
        <v>122</v>
      </c>
      <c r="F16" s="1" t="s">
        <v>157</v>
      </c>
      <c r="G16" s="1" t="s">
        <v>437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418</v>
      </c>
      <c r="B17" s="1" t="s">
        <v>161</v>
      </c>
      <c r="C17" s="1" t="s">
        <v>27</v>
      </c>
      <c r="D17" s="1" t="s">
        <v>162</v>
      </c>
      <c r="E17" s="1" t="s">
        <v>122</v>
      </c>
      <c r="F17" s="1" t="s">
        <v>163</v>
      </c>
      <c r="G17" s="1" t="s">
        <v>438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420</v>
      </c>
      <c r="B18" s="1" t="s">
        <v>167</v>
      </c>
      <c r="C18" s="1" t="s">
        <v>27</v>
      </c>
      <c r="D18" s="1" t="s">
        <v>168</v>
      </c>
      <c r="E18" s="1" t="s">
        <v>122</v>
      </c>
      <c r="F18" s="1" t="s">
        <v>163</v>
      </c>
      <c r="G18" s="1" t="s">
        <v>438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421</v>
      </c>
      <c r="B19" s="1" t="s">
        <v>170</v>
      </c>
      <c r="C19" s="1" t="s">
        <v>27</v>
      </c>
      <c r="D19" s="1" t="s">
        <v>171</v>
      </c>
      <c r="E19" s="1" t="s">
        <v>122</v>
      </c>
      <c r="F19" s="1" t="s">
        <v>163</v>
      </c>
      <c r="G19" s="1" t="s">
        <v>439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423</v>
      </c>
      <c r="B20" s="1" t="s">
        <v>175</v>
      </c>
      <c r="C20" s="1" t="s">
        <v>27</v>
      </c>
      <c r="D20" s="1" t="s">
        <v>176</v>
      </c>
      <c r="E20" s="1" t="s">
        <v>122</v>
      </c>
      <c r="F20" s="1" t="s">
        <v>163</v>
      </c>
      <c r="G20" s="1" t="s">
        <v>438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424</v>
      </c>
      <c r="B21" s="1" t="s">
        <v>179</v>
      </c>
      <c r="C21" s="1" t="s">
        <v>27</v>
      </c>
      <c r="D21" s="1" t="s">
        <v>180</v>
      </c>
      <c r="E21" s="1" t="s">
        <v>122</v>
      </c>
      <c r="F21" s="1" t="s">
        <v>181</v>
      </c>
      <c r="G21" s="1" t="s">
        <v>440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426</v>
      </c>
      <c r="B22" s="1" t="s">
        <v>184</v>
      </c>
      <c r="C22" s="1" t="s">
        <v>27</v>
      </c>
      <c r="D22" s="1" t="s">
        <v>185</v>
      </c>
      <c r="E22" s="1" t="s">
        <v>122</v>
      </c>
      <c r="F22" s="1" t="s">
        <v>181</v>
      </c>
      <c r="G22" s="1" t="s">
        <v>441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428</v>
      </c>
      <c r="B23" s="1" t="s">
        <v>188</v>
      </c>
      <c r="C23" s="1" t="s">
        <v>27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429</v>
      </c>
      <c r="B24" s="1" t="s">
        <v>193</v>
      </c>
      <c r="C24" s="1" t="s">
        <v>27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403</v>
      </c>
      <c r="B9" s="1" t="s">
        <v>119</v>
      </c>
      <c r="C9" s="1" t="s">
        <v>28</v>
      </c>
      <c r="D9" s="1" t="s">
        <v>121</v>
      </c>
      <c r="E9" s="1" t="s">
        <v>122</v>
      </c>
      <c r="F9" s="1" t="s">
        <v>123</v>
      </c>
      <c r="G9" s="1" t="s">
        <v>443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405</v>
      </c>
      <c r="B10" s="1" t="s">
        <v>126</v>
      </c>
      <c r="C10" s="1" t="s">
        <v>28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406</v>
      </c>
      <c r="B11" s="1" t="s">
        <v>130</v>
      </c>
      <c r="C11" s="1" t="s">
        <v>28</v>
      </c>
      <c r="D11" s="1" t="s">
        <v>131</v>
      </c>
      <c r="E11" s="1" t="s">
        <v>122</v>
      </c>
      <c r="F11" s="1" t="s">
        <v>132</v>
      </c>
      <c r="G11" s="1" t="s">
        <v>444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408</v>
      </c>
      <c r="B12" s="1" t="s">
        <v>135</v>
      </c>
      <c r="C12" s="1" t="s">
        <v>28</v>
      </c>
      <c r="D12" s="1" t="s">
        <v>136</v>
      </c>
      <c r="E12" s="1" t="s">
        <v>122</v>
      </c>
      <c r="F12" s="1" t="s">
        <v>137</v>
      </c>
      <c r="G12" s="1" t="s">
        <v>445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410</v>
      </c>
      <c r="B13" s="1" t="s">
        <v>140</v>
      </c>
      <c r="C13" s="1" t="s">
        <v>28</v>
      </c>
      <c r="D13" s="1" t="s">
        <v>141</v>
      </c>
      <c r="E13" s="1" t="s">
        <v>122</v>
      </c>
      <c r="F13" s="1" t="s">
        <v>142</v>
      </c>
      <c r="G13" s="1" t="s">
        <v>446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412</v>
      </c>
      <c r="B14" s="1" t="s">
        <v>145</v>
      </c>
      <c r="C14" s="1" t="s">
        <v>28</v>
      </c>
      <c r="D14" s="1" t="s">
        <v>146</v>
      </c>
      <c r="E14" s="1" t="s">
        <v>122</v>
      </c>
      <c r="F14" s="1" t="s">
        <v>147</v>
      </c>
      <c r="G14" s="1" t="s">
        <v>447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414</v>
      </c>
      <c r="B15" s="1" t="s">
        <v>150</v>
      </c>
      <c r="C15" s="1" t="s">
        <v>28</v>
      </c>
      <c r="D15" s="1" t="s">
        <v>151</v>
      </c>
      <c r="E15" s="1" t="s">
        <v>122</v>
      </c>
      <c r="F15" s="1" t="s">
        <v>152</v>
      </c>
      <c r="G15" s="1" t="s">
        <v>448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416</v>
      </c>
      <c r="B16" s="1" t="s">
        <v>155</v>
      </c>
      <c r="C16" s="1" t="s">
        <v>28</v>
      </c>
      <c r="D16" s="1" t="s">
        <v>156</v>
      </c>
      <c r="E16" s="1" t="s">
        <v>122</v>
      </c>
      <c r="F16" s="1" t="s">
        <v>157</v>
      </c>
      <c r="G16" s="1" t="s">
        <v>449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418</v>
      </c>
      <c r="B17" s="1" t="s">
        <v>161</v>
      </c>
      <c r="C17" s="1" t="s">
        <v>28</v>
      </c>
      <c r="D17" s="1" t="s">
        <v>162</v>
      </c>
      <c r="E17" s="1" t="s">
        <v>122</v>
      </c>
      <c r="F17" s="1" t="s">
        <v>163</v>
      </c>
      <c r="G17" s="1" t="s">
        <v>450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420</v>
      </c>
      <c r="B18" s="1" t="s">
        <v>167</v>
      </c>
      <c r="C18" s="1" t="s">
        <v>28</v>
      </c>
      <c r="D18" s="1" t="s">
        <v>168</v>
      </c>
      <c r="E18" s="1" t="s">
        <v>122</v>
      </c>
      <c r="F18" s="1" t="s">
        <v>163</v>
      </c>
      <c r="G18" s="1" t="s">
        <v>450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421</v>
      </c>
      <c r="B19" s="1" t="s">
        <v>170</v>
      </c>
      <c r="C19" s="1" t="s">
        <v>28</v>
      </c>
      <c r="D19" s="1" t="s">
        <v>171</v>
      </c>
      <c r="E19" s="1" t="s">
        <v>122</v>
      </c>
      <c r="F19" s="1" t="s">
        <v>163</v>
      </c>
      <c r="G19" s="1" t="s">
        <v>451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423</v>
      </c>
      <c r="B20" s="1" t="s">
        <v>175</v>
      </c>
      <c r="C20" s="1" t="s">
        <v>28</v>
      </c>
      <c r="D20" s="1" t="s">
        <v>176</v>
      </c>
      <c r="E20" s="1" t="s">
        <v>122</v>
      </c>
      <c r="F20" s="1" t="s">
        <v>163</v>
      </c>
      <c r="G20" s="1" t="s">
        <v>450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424</v>
      </c>
      <c r="B21" s="1" t="s">
        <v>179</v>
      </c>
      <c r="C21" s="1" t="s">
        <v>28</v>
      </c>
      <c r="D21" s="1" t="s">
        <v>180</v>
      </c>
      <c r="E21" s="1" t="s">
        <v>122</v>
      </c>
      <c r="F21" s="1" t="s">
        <v>181</v>
      </c>
      <c r="G21" s="1" t="s">
        <v>452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426</v>
      </c>
      <c r="B22" s="1" t="s">
        <v>184</v>
      </c>
      <c r="C22" s="1" t="s">
        <v>28</v>
      </c>
      <c r="D22" s="1" t="s">
        <v>185</v>
      </c>
      <c r="E22" s="1" t="s">
        <v>122</v>
      </c>
      <c r="F22" s="1" t="s">
        <v>181</v>
      </c>
      <c r="G22" s="1" t="s">
        <v>453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428</v>
      </c>
      <c r="B23" s="1" t="s">
        <v>188</v>
      </c>
      <c r="C23" s="1" t="s">
        <v>28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429</v>
      </c>
      <c r="B24" s="1" t="s">
        <v>193</v>
      </c>
      <c r="C24" s="1" t="s">
        <v>28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455</v>
      </c>
      <c r="B9" s="1" t="s">
        <v>119</v>
      </c>
      <c r="C9" s="1" t="s">
        <v>456</v>
      </c>
      <c r="D9" s="1" t="s">
        <v>121</v>
      </c>
      <c r="E9" s="1" t="s">
        <v>122</v>
      </c>
      <c r="F9" s="1" t="s">
        <v>123</v>
      </c>
      <c r="G9" s="1" t="s">
        <v>457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458</v>
      </c>
      <c r="B10" s="1" t="s">
        <v>126</v>
      </c>
      <c r="C10" s="1" t="s">
        <v>456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459</v>
      </c>
      <c r="B11" s="1" t="s">
        <v>130</v>
      </c>
      <c r="C11" s="1" t="s">
        <v>456</v>
      </c>
      <c r="D11" s="1" t="s">
        <v>131</v>
      </c>
      <c r="E11" s="1" t="s">
        <v>122</v>
      </c>
      <c r="F11" s="1" t="s">
        <v>132</v>
      </c>
      <c r="G11" s="1" t="s">
        <v>460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461</v>
      </c>
      <c r="B12" s="1" t="s">
        <v>135</v>
      </c>
      <c r="C12" s="1" t="s">
        <v>456</v>
      </c>
      <c r="D12" s="1" t="s">
        <v>136</v>
      </c>
      <c r="E12" s="1" t="s">
        <v>122</v>
      </c>
      <c r="F12" s="1" t="s">
        <v>137</v>
      </c>
      <c r="G12" s="1" t="s">
        <v>462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463</v>
      </c>
      <c r="B13" s="1" t="s">
        <v>140</v>
      </c>
      <c r="C13" s="1" t="s">
        <v>456</v>
      </c>
      <c r="D13" s="1" t="s">
        <v>141</v>
      </c>
      <c r="E13" s="1" t="s">
        <v>122</v>
      </c>
      <c r="F13" s="1" t="s">
        <v>142</v>
      </c>
      <c r="G13" s="1" t="s">
        <v>464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465</v>
      </c>
      <c r="B14" s="1" t="s">
        <v>145</v>
      </c>
      <c r="C14" s="1" t="s">
        <v>456</v>
      </c>
      <c r="D14" s="1" t="s">
        <v>146</v>
      </c>
      <c r="E14" s="1" t="s">
        <v>122</v>
      </c>
      <c r="F14" s="1" t="s">
        <v>147</v>
      </c>
      <c r="G14" s="1" t="s">
        <v>466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467</v>
      </c>
      <c r="B15" s="1" t="s">
        <v>150</v>
      </c>
      <c r="C15" s="1" t="s">
        <v>456</v>
      </c>
      <c r="D15" s="1" t="s">
        <v>151</v>
      </c>
      <c r="E15" s="1" t="s">
        <v>122</v>
      </c>
      <c r="F15" s="1" t="s">
        <v>152</v>
      </c>
      <c r="G15" s="1" t="s">
        <v>468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469</v>
      </c>
      <c r="B16" s="1" t="s">
        <v>155</v>
      </c>
      <c r="C16" s="1" t="s">
        <v>456</v>
      </c>
      <c r="D16" s="1" t="s">
        <v>156</v>
      </c>
      <c r="E16" s="1" t="s">
        <v>122</v>
      </c>
      <c r="F16" s="1" t="s">
        <v>157</v>
      </c>
      <c r="G16" s="1" t="s">
        <v>470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471</v>
      </c>
      <c r="B17" s="1" t="s">
        <v>161</v>
      </c>
      <c r="C17" s="1" t="s">
        <v>456</v>
      </c>
      <c r="D17" s="1" t="s">
        <v>162</v>
      </c>
      <c r="E17" s="1" t="s">
        <v>122</v>
      </c>
      <c r="F17" s="1" t="s">
        <v>163</v>
      </c>
      <c r="G17" s="1" t="s">
        <v>472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473</v>
      </c>
      <c r="B18" s="1" t="s">
        <v>167</v>
      </c>
      <c r="C18" s="1" t="s">
        <v>456</v>
      </c>
      <c r="D18" s="1" t="s">
        <v>168</v>
      </c>
      <c r="E18" s="1" t="s">
        <v>122</v>
      </c>
      <c r="F18" s="1" t="s">
        <v>163</v>
      </c>
      <c r="G18" s="1" t="s">
        <v>472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474</v>
      </c>
      <c r="B19" s="1" t="s">
        <v>170</v>
      </c>
      <c r="C19" s="1" t="s">
        <v>456</v>
      </c>
      <c r="D19" s="1" t="s">
        <v>171</v>
      </c>
      <c r="E19" s="1" t="s">
        <v>122</v>
      </c>
      <c r="F19" s="1" t="s">
        <v>163</v>
      </c>
      <c r="G19" s="1" t="s">
        <v>475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476</v>
      </c>
      <c r="B20" s="1" t="s">
        <v>175</v>
      </c>
      <c r="C20" s="1" t="s">
        <v>456</v>
      </c>
      <c r="D20" s="1" t="s">
        <v>176</v>
      </c>
      <c r="E20" s="1" t="s">
        <v>122</v>
      </c>
      <c r="F20" s="1" t="s">
        <v>163</v>
      </c>
      <c r="G20" s="1" t="s">
        <v>472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477</v>
      </c>
      <c r="B21" s="1" t="s">
        <v>179</v>
      </c>
      <c r="C21" s="1" t="s">
        <v>456</v>
      </c>
      <c r="D21" s="1" t="s">
        <v>180</v>
      </c>
      <c r="E21" s="1" t="s">
        <v>122</v>
      </c>
      <c r="F21" s="1" t="s">
        <v>181</v>
      </c>
      <c r="G21" s="1" t="s">
        <v>478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479</v>
      </c>
      <c r="B22" s="1" t="s">
        <v>184</v>
      </c>
      <c r="C22" s="1" t="s">
        <v>456</v>
      </c>
      <c r="D22" s="1" t="s">
        <v>185</v>
      </c>
      <c r="E22" s="1" t="s">
        <v>122</v>
      </c>
      <c r="F22" s="1" t="s">
        <v>181</v>
      </c>
      <c r="G22" s="1" t="s">
        <v>480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481</v>
      </c>
      <c r="B23" s="1" t="s">
        <v>188</v>
      </c>
      <c r="C23" s="1" t="s">
        <v>456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482</v>
      </c>
      <c r="B24" s="1" t="s">
        <v>193</v>
      </c>
      <c r="C24" s="1" t="s">
        <v>456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484</v>
      </c>
      <c r="B9" s="1" t="s">
        <v>119</v>
      </c>
      <c r="C9" s="1" t="s">
        <v>485</v>
      </c>
      <c r="D9" s="1" t="s">
        <v>121</v>
      </c>
      <c r="E9" s="1" t="s">
        <v>122</v>
      </c>
      <c r="F9" s="1" t="s">
        <v>123</v>
      </c>
      <c r="G9" s="1" t="s">
        <v>486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487</v>
      </c>
      <c r="B10" s="1" t="s">
        <v>126</v>
      </c>
      <c r="C10" s="1" t="s">
        <v>485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488</v>
      </c>
      <c r="B11" s="1" t="s">
        <v>130</v>
      </c>
      <c r="C11" s="1" t="s">
        <v>485</v>
      </c>
      <c r="D11" s="1" t="s">
        <v>131</v>
      </c>
      <c r="E11" s="1" t="s">
        <v>122</v>
      </c>
      <c r="F11" s="1" t="s">
        <v>132</v>
      </c>
      <c r="G11" s="1" t="s">
        <v>489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490</v>
      </c>
      <c r="B12" s="1" t="s">
        <v>135</v>
      </c>
      <c r="C12" s="1" t="s">
        <v>485</v>
      </c>
      <c r="D12" s="1" t="s">
        <v>136</v>
      </c>
      <c r="E12" s="1" t="s">
        <v>122</v>
      </c>
      <c r="F12" s="1" t="s">
        <v>137</v>
      </c>
      <c r="G12" s="1" t="s">
        <v>491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492</v>
      </c>
      <c r="B13" s="1" t="s">
        <v>140</v>
      </c>
      <c r="C13" s="1" t="s">
        <v>485</v>
      </c>
      <c r="D13" s="1" t="s">
        <v>141</v>
      </c>
      <c r="E13" s="1" t="s">
        <v>122</v>
      </c>
      <c r="F13" s="1" t="s">
        <v>142</v>
      </c>
      <c r="G13" s="1" t="s">
        <v>493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494</v>
      </c>
      <c r="B14" s="1" t="s">
        <v>145</v>
      </c>
      <c r="C14" s="1" t="s">
        <v>485</v>
      </c>
      <c r="D14" s="1" t="s">
        <v>146</v>
      </c>
      <c r="E14" s="1" t="s">
        <v>122</v>
      </c>
      <c r="F14" s="1" t="s">
        <v>147</v>
      </c>
      <c r="G14" s="1" t="s">
        <v>495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496</v>
      </c>
      <c r="B15" s="1" t="s">
        <v>150</v>
      </c>
      <c r="C15" s="1" t="s">
        <v>485</v>
      </c>
      <c r="D15" s="1" t="s">
        <v>151</v>
      </c>
      <c r="E15" s="1" t="s">
        <v>122</v>
      </c>
      <c r="F15" s="1" t="s">
        <v>152</v>
      </c>
      <c r="G15" s="1" t="s">
        <v>497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498</v>
      </c>
      <c r="B16" s="1" t="s">
        <v>155</v>
      </c>
      <c r="C16" s="1" t="s">
        <v>485</v>
      </c>
      <c r="D16" s="1" t="s">
        <v>156</v>
      </c>
      <c r="E16" s="1" t="s">
        <v>122</v>
      </c>
      <c r="F16" s="1" t="s">
        <v>157</v>
      </c>
      <c r="G16" s="1" t="s">
        <v>499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500</v>
      </c>
      <c r="B17" s="1" t="s">
        <v>161</v>
      </c>
      <c r="C17" s="1" t="s">
        <v>485</v>
      </c>
      <c r="D17" s="1" t="s">
        <v>162</v>
      </c>
      <c r="E17" s="1" t="s">
        <v>122</v>
      </c>
      <c r="F17" s="1" t="s">
        <v>163</v>
      </c>
      <c r="G17" s="1" t="s">
        <v>501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502</v>
      </c>
      <c r="B18" s="1" t="s">
        <v>167</v>
      </c>
      <c r="C18" s="1" t="s">
        <v>485</v>
      </c>
      <c r="D18" s="1" t="s">
        <v>168</v>
      </c>
      <c r="E18" s="1" t="s">
        <v>122</v>
      </c>
      <c r="F18" s="1" t="s">
        <v>163</v>
      </c>
      <c r="G18" s="1" t="s">
        <v>501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503</v>
      </c>
      <c r="B19" s="1" t="s">
        <v>170</v>
      </c>
      <c r="C19" s="1" t="s">
        <v>485</v>
      </c>
      <c r="D19" s="1" t="s">
        <v>171</v>
      </c>
      <c r="E19" s="1" t="s">
        <v>122</v>
      </c>
      <c r="F19" s="1" t="s">
        <v>163</v>
      </c>
      <c r="G19" s="1" t="s">
        <v>504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505</v>
      </c>
      <c r="B20" s="1" t="s">
        <v>175</v>
      </c>
      <c r="C20" s="1" t="s">
        <v>485</v>
      </c>
      <c r="D20" s="1" t="s">
        <v>176</v>
      </c>
      <c r="E20" s="1" t="s">
        <v>122</v>
      </c>
      <c r="F20" s="1" t="s">
        <v>163</v>
      </c>
      <c r="G20" s="1" t="s">
        <v>501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506</v>
      </c>
      <c r="B21" s="1" t="s">
        <v>179</v>
      </c>
      <c r="C21" s="1" t="s">
        <v>485</v>
      </c>
      <c r="D21" s="1" t="s">
        <v>180</v>
      </c>
      <c r="E21" s="1" t="s">
        <v>122</v>
      </c>
      <c r="F21" s="1" t="s">
        <v>181</v>
      </c>
      <c r="G21" s="1" t="s">
        <v>507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508</v>
      </c>
      <c r="B22" s="1" t="s">
        <v>184</v>
      </c>
      <c r="C22" s="1" t="s">
        <v>485</v>
      </c>
      <c r="D22" s="1" t="s">
        <v>185</v>
      </c>
      <c r="E22" s="1" t="s">
        <v>122</v>
      </c>
      <c r="F22" s="1" t="s">
        <v>181</v>
      </c>
      <c r="G22" s="1" t="s">
        <v>509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510</v>
      </c>
      <c r="B23" s="1" t="s">
        <v>188</v>
      </c>
      <c r="C23" s="1" t="s">
        <v>485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511</v>
      </c>
      <c r="B24" s="1" t="s">
        <v>193</v>
      </c>
      <c r="C24" s="1" t="s">
        <v>485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104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513</v>
      </c>
      <c r="B9" s="12" t="s">
        <v>119</v>
      </c>
      <c r="C9" s="12" t="s">
        <v>31</v>
      </c>
      <c r="D9" s="13" t="s">
        <v>514</v>
      </c>
      <c r="E9" s="12" t="s">
        <v>122</v>
      </c>
      <c r="F9" s="12" t="s">
        <v>123</v>
      </c>
      <c r="G9" s="13" t="s">
        <v>515</v>
      </c>
      <c r="H9" s="12" t="s">
        <v>86</v>
      </c>
      <c r="I9" s="12" t="s">
        <v>101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516</v>
      </c>
      <c r="B10" s="12" t="s">
        <v>126</v>
      </c>
      <c r="C10" s="12" t="s">
        <v>31</v>
      </c>
      <c r="D10" s="13" t="s">
        <v>517</v>
      </c>
      <c r="E10" s="12" t="s">
        <v>122</v>
      </c>
      <c r="F10" s="12" t="s">
        <v>122</v>
      </c>
      <c r="G10" s="13" t="s">
        <v>128</v>
      </c>
      <c r="H10" s="12" t="s">
        <v>86</v>
      </c>
      <c r="I10" s="12" t="s">
        <v>101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518</v>
      </c>
      <c r="B11" s="12" t="s">
        <v>130</v>
      </c>
      <c r="C11" s="12" t="s">
        <v>31</v>
      </c>
      <c r="D11" s="13" t="s">
        <v>519</v>
      </c>
      <c r="E11" s="12" t="s">
        <v>122</v>
      </c>
      <c r="F11" s="12" t="s">
        <v>132</v>
      </c>
      <c r="G11" s="13" t="s">
        <v>520</v>
      </c>
      <c r="H11" s="12" t="s">
        <v>86</v>
      </c>
      <c r="I11" s="12" t="s">
        <v>101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521</v>
      </c>
      <c r="B12" s="12" t="s">
        <v>135</v>
      </c>
      <c r="C12" s="12" t="s">
        <v>31</v>
      </c>
      <c r="D12" s="13" t="s">
        <v>522</v>
      </c>
      <c r="E12" s="12" t="s">
        <v>122</v>
      </c>
      <c r="F12" s="12" t="s">
        <v>137</v>
      </c>
      <c r="G12" s="13" t="s">
        <v>523</v>
      </c>
      <c r="H12" s="12" t="s">
        <v>86</v>
      </c>
      <c r="I12" s="12" t="s">
        <v>101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524</v>
      </c>
      <c r="B13" s="12" t="s">
        <v>140</v>
      </c>
      <c r="C13" s="12" t="s">
        <v>31</v>
      </c>
      <c r="D13" s="13" t="s">
        <v>525</v>
      </c>
      <c r="E13" s="12" t="s">
        <v>122</v>
      </c>
      <c r="F13" s="12" t="s">
        <v>142</v>
      </c>
      <c r="G13" s="13" t="s">
        <v>526</v>
      </c>
      <c r="H13" s="12" t="s">
        <v>86</v>
      </c>
      <c r="I13" s="12" t="s">
        <v>101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527</v>
      </c>
      <c r="B14" s="12" t="s">
        <v>145</v>
      </c>
      <c r="C14" s="12" t="s">
        <v>31</v>
      </c>
      <c r="D14" s="13" t="s">
        <v>528</v>
      </c>
      <c r="E14" s="12" t="s">
        <v>122</v>
      </c>
      <c r="F14" s="12" t="s">
        <v>147</v>
      </c>
      <c r="G14" s="13" t="s">
        <v>529</v>
      </c>
      <c r="H14" s="12" t="s">
        <v>86</v>
      </c>
      <c r="I14" s="12" t="s">
        <v>101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530</v>
      </c>
      <c r="B15" s="12" t="s">
        <v>150</v>
      </c>
      <c r="C15" s="12" t="s">
        <v>31</v>
      </c>
      <c r="D15" s="13" t="s">
        <v>531</v>
      </c>
      <c r="E15" s="12" t="s">
        <v>122</v>
      </c>
      <c r="F15" s="12" t="s">
        <v>152</v>
      </c>
      <c r="G15" s="13" t="s">
        <v>532</v>
      </c>
      <c r="H15" s="12" t="s">
        <v>86</v>
      </c>
      <c r="I15" s="12" t="s">
        <v>101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533</v>
      </c>
      <c r="B16" s="12" t="s">
        <v>155</v>
      </c>
      <c r="C16" s="12" t="s">
        <v>31</v>
      </c>
      <c r="D16" s="13" t="s">
        <v>534</v>
      </c>
      <c r="E16" s="12" t="s">
        <v>122</v>
      </c>
      <c r="F16" s="12" t="s">
        <v>157</v>
      </c>
      <c r="G16" s="13" t="s">
        <v>535</v>
      </c>
      <c r="H16" s="12" t="s">
        <v>88</v>
      </c>
      <c r="I16" s="12" t="s">
        <v>100</v>
      </c>
      <c r="J16" s="14" t="n">
        <v>46227</v>
      </c>
      <c r="K16" s="13" t="s">
        <v>536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537</v>
      </c>
      <c r="B17" s="12" t="s">
        <v>161</v>
      </c>
      <c r="C17" s="12" t="s">
        <v>31</v>
      </c>
      <c r="D17" s="13" t="s">
        <v>538</v>
      </c>
      <c r="E17" s="12" t="s">
        <v>122</v>
      </c>
      <c r="F17" s="12" t="s">
        <v>163</v>
      </c>
      <c r="G17" s="13" t="s">
        <v>539</v>
      </c>
      <c r="H17" s="12" t="s">
        <v>84</v>
      </c>
      <c r="I17" s="12" t="s">
        <v>100</v>
      </c>
      <c r="J17" s="14"/>
      <c r="K17" s="13" t="s">
        <v>540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541</v>
      </c>
      <c r="B18" s="12" t="s">
        <v>167</v>
      </c>
      <c r="C18" s="12" t="s">
        <v>31</v>
      </c>
      <c r="D18" s="13" t="s">
        <v>542</v>
      </c>
      <c r="E18" s="12" t="s">
        <v>122</v>
      </c>
      <c r="F18" s="12" t="s">
        <v>163</v>
      </c>
      <c r="G18" s="13" t="s">
        <v>543</v>
      </c>
      <c r="H18" s="12" t="s">
        <v>84</v>
      </c>
      <c r="I18" s="12" t="s">
        <v>100</v>
      </c>
      <c r="J18" s="14"/>
      <c r="K18" s="13" t="s">
        <v>544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545</v>
      </c>
      <c r="B19" s="12" t="s">
        <v>170</v>
      </c>
      <c r="C19" s="12" t="s">
        <v>31</v>
      </c>
      <c r="D19" s="13" t="s">
        <v>546</v>
      </c>
      <c r="E19" s="12" t="s">
        <v>122</v>
      </c>
      <c r="F19" s="12" t="s">
        <v>163</v>
      </c>
      <c r="G19" s="13" t="s">
        <v>547</v>
      </c>
      <c r="H19" s="12" t="s">
        <v>84</v>
      </c>
      <c r="I19" s="12" t="s">
        <v>100</v>
      </c>
      <c r="J19" s="14"/>
      <c r="K19" s="13" t="s">
        <v>548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549</v>
      </c>
      <c r="B20" s="12" t="s">
        <v>175</v>
      </c>
      <c r="C20" s="12" t="s">
        <v>31</v>
      </c>
      <c r="D20" s="13" t="s">
        <v>550</v>
      </c>
      <c r="E20" s="12" t="s">
        <v>122</v>
      </c>
      <c r="F20" s="12" t="s">
        <v>163</v>
      </c>
      <c r="G20" s="13" t="s">
        <v>539</v>
      </c>
      <c r="H20" s="12" t="s">
        <v>84</v>
      </c>
      <c r="I20" s="12" t="s">
        <v>100</v>
      </c>
      <c r="J20" s="14"/>
      <c r="K20" s="13" t="s">
        <v>551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552</v>
      </c>
      <c r="B21" s="12" t="s">
        <v>179</v>
      </c>
      <c r="C21" s="12" t="s">
        <v>31</v>
      </c>
      <c r="D21" s="13" t="s">
        <v>553</v>
      </c>
      <c r="E21" s="12" t="s">
        <v>122</v>
      </c>
      <c r="F21" s="12" t="s">
        <v>181</v>
      </c>
      <c r="G21" s="13" t="s">
        <v>554</v>
      </c>
      <c r="H21" s="12" t="s">
        <v>86</v>
      </c>
      <c r="I21" s="12" t="s">
        <v>101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555</v>
      </c>
      <c r="B22" s="12" t="s">
        <v>184</v>
      </c>
      <c r="C22" s="12" t="s">
        <v>31</v>
      </c>
      <c r="D22" s="13" t="s">
        <v>556</v>
      </c>
      <c r="E22" s="12" t="s">
        <v>122</v>
      </c>
      <c r="F22" s="12" t="s">
        <v>181</v>
      </c>
      <c r="G22" s="13" t="s">
        <v>557</v>
      </c>
      <c r="H22" s="12" t="s">
        <v>86</v>
      </c>
      <c r="I22" s="12" t="s">
        <v>101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558</v>
      </c>
      <c r="B23" s="12" t="s">
        <v>188</v>
      </c>
      <c r="C23" s="12" t="s">
        <v>31</v>
      </c>
      <c r="D23" s="13" t="s">
        <v>559</v>
      </c>
      <c r="E23" s="12" t="s">
        <v>190</v>
      </c>
      <c r="F23" s="12" t="s">
        <v>190</v>
      </c>
      <c r="G23" s="13" t="s">
        <v>191</v>
      </c>
      <c r="H23" s="12" t="s">
        <v>86</v>
      </c>
      <c r="I23" s="12" t="s">
        <v>101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560</v>
      </c>
      <c r="B24" s="12" t="s">
        <v>193</v>
      </c>
      <c r="C24" s="12" t="s">
        <v>31</v>
      </c>
      <c r="D24" s="13" t="s">
        <v>561</v>
      </c>
      <c r="E24" s="12" t="s">
        <v>122</v>
      </c>
      <c r="F24" s="12" t="s">
        <v>122</v>
      </c>
      <c r="G24" s="13" t="s">
        <v>562</v>
      </c>
      <c r="H24" s="12" t="s">
        <v>86</v>
      </c>
      <c r="I24" s="12" t="s">
        <v>101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564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104</v>
      </c>
      <c r="E4" s="6" t="n">
        <f aca="false">SUM(M9:M25)</f>
        <v>14</v>
      </c>
      <c r="G4" s="5" t="s">
        <v>13</v>
      </c>
      <c r="H4" s="7" t="n">
        <f aca="false">IF(B4=0,0,E4/B4)</f>
        <v>0.823529411764706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565</v>
      </c>
      <c r="B9" s="12" t="s">
        <v>119</v>
      </c>
      <c r="C9" s="12" t="s">
        <v>32</v>
      </c>
      <c r="D9" s="13" t="s">
        <v>566</v>
      </c>
      <c r="E9" s="12" t="s">
        <v>122</v>
      </c>
      <c r="F9" s="12" t="s">
        <v>123</v>
      </c>
      <c r="G9" s="13" t="s">
        <v>567</v>
      </c>
      <c r="H9" s="12" t="s">
        <v>86</v>
      </c>
      <c r="I9" s="12" t="s">
        <v>101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568</v>
      </c>
      <c r="B10" s="12" t="s">
        <v>126</v>
      </c>
      <c r="C10" s="12" t="s">
        <v>32</v>
      </c>
      <c r="D10" s="13" t="s">
        <v>569</v>
      </c>
      <c r="E10" s="12" t="s">
        <v>122</v>
      </c>
      <c r="F10" s="12" t="s">
        <v>122</v>
      </c>
      <c r="G10" s="13" t="s">
        <v>570</v>
      </c>
      <c r="H10" s="12" t="s">
        <v>86</v>
      </c>
      <c r="I10" s="12" t="s">
        <v>101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571</v>
      </c>
      <c r="B11" s="12" t="s">
        <v>130</v>
      </c>
      <c r="C11" s="12" t="s">
        <v>32</v>
      </c>
      <c r="D11" s="13" t="s">
        <v>572</v>
      </c>
      <c r="E11" s="12" t="s">
        <v>122</v>
      </c>
      <c r="F11" s="12" t="s">
        <v>132</v>
      </c>
      <c r="G11" s="13" t="s">
        <v>573</v>
      </c>
      <c r="H11" s="12" t="s">
        <v>86</v>
      </c>
      <c r="I11" s="12" t="s">
        <v>101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574</v>
      </c>
      <c r="B12" s="12" t="s">
        <v>135</v>
      </c>
      <c r="C12" s="12" t="s">
        <v>32</v>
      </c>
      <c r="D12" s="13" t="s">
        <v>575</v>
      </c>
      <c r="E12" s="12" t="s">
        <v>122</v>
      </c>
      <c r="F12" s="12" t="s">
        <v>137</v>
      </c>
      <c r="G12" s="13" t="s">
        <v>576</v>
      </c>
      <c r="H12" s="12" t="s">
        <v>86</v>
      </c>
      <c r="I12" s="12" t="s">
        <v>101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577</v>
      </c>
      <c r="B13" s="12" t="s">
        <v>140</v>
      </c>
      <c r="C13" s="12" t="s">
        <v>32</v>
      </c>
      <c r="D13" s="13" t="s">
        <v>578</v>
      </c>
      <c r="E13" s="12" t="s">
        <v>122</v>
      </c>
      <c r="F13" s="12" t="s">
        <v>142</v>
      </c>
      <c r="G13" s="13" t="s">
        <v>579</v>
      </c>
      <c r="H13" s="12" t="s">
        <v>86</v>
      </c>
      <c r="I13" s="12" t="s">
        <v>101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580</v>
      </c>
      <c r="B14" s="12" t="s">
        <v>145</v>
      </c>
      <c r="C14" s="12" t="s">
        <v>32</v>
      </c>
      <c r="D14" s="13" t="s">
        <v>581</v>
      </c>
      <c r="E14" s="12" t="s">
        <v>122</v>
      </c>
      <c r="F14" s="12" t="s">
        <v>147</v>
      </c>
      <c r="G14" s="13" t="s">
        <v>582</v>
      </c>
      <c r="H14" s="12" t="s">
        <v>86</v>
      </c>
      <c r="I14" s="12" t="s">
        <v>101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583</v>
      </c>
      <c r="B15" s="12" t="s">
        <v>150</v>
      </c>
      <c r="C15" s="12" t="s">
        <v>32</v>
      </c>
      <c r="D15" s="13" t="s">
        <v>584</v>
      </c>
      <c r="E15" s="12" t="s">
        <v>122</v>
      </c>
      <c r="F15" s="12" t="s">
        <v>152</v>
      </c>
      <c r="G15" s="13" t="s">
        <v>582</v>
      </c>
      <c r="H15" s="12" t="s">
        <v>86</v>
      </c>
      <c r="I15" s="12" t="s">
        <v>101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585</v>
      </c>
      <c r="B16" s="12" t="s">
        <v>155</v>
      </c>
      <c r="C16" s="12" t="s">
        <v>32</v>
      </c>
      <c r="D16" s="13" t="s">
        <v>586</v>
      </c>
      <c r="E16" s="12" t="s">
        <v>122</v>
      </c>
      <c r="F16" s="12" t="s">
        <v>157</v>
      </c>
      <c r="G16" s="13" t="s">
        <v>587</v>
      </c>
      <c r="H16" s="12" t="s">
        <v>88</v>
      </c>
      <c r="I16" s="12" t="s">
        <v>100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588</v>
      </c>
      <c r="B17" s="12" t="s">
        <v>161</v>
      </c>
      <c r="C17" s="12" t="s">
        <v>32</v>
      </c>
      <c r="D17" s="13" t="s">
        <v>589</v>
      </c>
      <c r="E17" s="12" t="s">
        <v>122</v>
      </c>
      <c r="F17" s="12" t="s">
        <v>163</v>
      </c>
      <c r="G17" s="13" t="s">
        <v>590</v>
      </c>
      <c r="H17" s="12" t="s">
        <v>84</v>
      </c>
      <c r="I17" s="12" t="s">
        <v>100</v>
      </c>
      <c r="J17" s="14"/>
      <c r="K17" s="13" t="s">
        <v>591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592</v>
      </c>
      <c r="B18" s="12" t="s">
        <v>167</v>
      </c>
      <c r="C18" s="12" t="s">
        <v>32</v>
      </c>
      <c r="D18" s="13" t="s">
        <v>593</v>
      </c>
      <c r="E18" s="12" t="s">
        <v>122</v>
      </c>
      <c r="F18" s="12" t="s">
        <v>163</v>
      </c>
      <c r="G18" s="13" t="s">
        <v>594</v>
      </c>
      <c r="H18" s="12" t="s">
        <v>84</v>
      </c>
      <c r="I18" s="12" t="s">
        <v>100</v>
      </c>
      <c r="J18" s="14"/>
      <c r="K18" s="13" t="s">
        <v>595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596</v>
      </c>
      <c r="B19" s="12" t="s">
        <v>170</v>
      </c>
      <c r="C19" s="12" t="s">
        <v>32</v>
      </c>
      <c r="D19" s="13" t="s">
        <v>597</v>
      </c>
      <c r="E19" s="12" t="s">
        <v>122</v>
      </c>
      <c r="F19" s="12" t="s">
        <v>147</v>
      </c>
      <c r="G19" s="13" t="s">
        <v>582</v>
      </c>
      <c r="H19" s="12" t="s">
        <v>86</v>
      </c>
      <c r="I19" s="12" t="s">
        <v>101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598</v>
      </c>
      <c r="B20" s="12" t="s">
        <v>175</v>
      </c>
      <c r="C20" s="12" t="s">
        <v>32</v>
      </c>
      <c r="D20" s="13" t="s">
        <v>599</v>
      </c>
      <c r="E20" s="12" t="s">
        <v>122</v>
      </c>
      <c r="F20" s="12" t="s">
        <v>163</v>
      </c>
      <c r="G20" s="13" t="s">
        <v>590</v>
      </c>
      <c r="H20" s="12" t="s">
        <v>84</v>
      </c>
      <c r="I20" s="12" t="s">
        <v>100</v>
      </c>
      <c r="J20" s="14"/>
      <c r="K20" s="13" t="s">
        <v>600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601</v>
      </c>
      <c r="B21" s="12" t="s">
        <v>179</v>
      </c>
      <c r="C21" s="12" t="s">
        <v>32</v>
      </c>
      <c r="D21" s="13" t="s">
        <v>602</v>
      </c>
      <c r="E21" s="12" t="s">
        <v>122</v>
      </c>
      <c r="F21" s="12" t="s">
        <v>181</v>
      </c>
      <c r="G21" s="13" t="s">
        <v>603</v>
      </c>
      <c r="H21" s="12" t="s">
        <v>86</v>
      </c>
      <c r="I21" s="12" t="s">
        <v>101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604</v>
      </c>
      <c r="B22" s="12" t="s">
        <v>184</v>
      </c>
      <c r="C22" s="12" t="s">
        <v>32</v>
      </c>
      <c r="D22" s="13" t="s">
        <v>605</v>
      </c>
      <c r="E22" s="12" t="s">
        <v>122</v>
      </c>
      <c r="F22" s="12" t="s">
        <v>181</v>
      </c>
      <c r="G22" s="13" t="s">
        <v>606</v>
      </c>
      <c r="H22" s="12" t="s">
        <v>86</v>
      </c>
      <c r="I22" s="12" t="s">
        <v>101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607</v>
      </c>
      <c r="B23" s="12" t="s">
        <v>188</v>
      </c>
      <c r="C23" s="12" t="s">
        <v>32</v>
      </c>
      <c r="D23" s="13" t="s">
        <v>608</v>
      </c>
      <c r="E23" s="12" t="s">
        <v>190</v>
      </c>
      <c r="F23" s="12" t="s">
        <v>190</v>
      </c>
      <c r="G23" s="13" t="s">
        <v>191</v>
      </c>
      <c r="H23" s="12" t="s">
        <v>86</v>
      </c>
      <c r="I23" s="12" t="s">
        <v>101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609</v>
      </c>
      <c r="B24" s="12" t="s">
        <v>610</v>
      </c>
      <c r="C24" s="12" t="s">
        <v>32</v>
      </c>
      <c r="D24" s="13" t="s">
        <v>611</v>
      </c>
      <c r="E24" s="12" t="s">
        <v>122</v>
      </c>
      <c r="F24" s="12" t="s">
        <v>612</v>
      </c>
      <c r="G24" s="13" t="s">
        <v>613</v>
      </c>
      <c r="H24" s="12" t="s">
        <v>86</v>
      </c>
      <c r="I24" s="12" t="s">
        <v>101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614</v>
      </c>
      <c r="B25" s="12" t="s">
        <v>193</v>
      </c>
      <c r="C25" s="12" t="s">
        <v>32</v>
      </c>
      <c r="D25" s="13" t="s">
        <v>615</v>
      </c>
      <c r="E25" s="12" t="s">
        <v>122</v>
      </c>
      <c r="F25" s="12" t="s">
        <v>122</v>
      </c>
      <c r="G25" s="13" t="s">
        <v>616</v>
      </c>
      <c r="H25" s="12" t="s">
        <v>86</v>
      </c>
      <c r="I25" s="12" t="s">
        <v>101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104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618</v>
      </c>
      <c r="B9" s="12" t="s">
        <v>119</v>
      </c>
      <c r="C9" s="12" t="s">
        <v>39</v>
      </c>
      <c r="D9" s="13" t="s">
        <v>619</v>
      </c>
      <c r="E9" s="12" t="s">
        <v>122</v>
      </c>
      <c r="F9" s="12" t="s">
        <v>123</v>
      </c>
      <c r="G9" s="13" t="s">
        <v>620</v>
      </c>
      <c r="H9" s="12" t="s">
        <v>86</v>
      </c>
      <c r="I9" s="12" t="s">
        <v>101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621</v>
      </c>
      <c r="B10" s="12" t="s">
        <v>126</v>
      </c>
      <c r="C10" s="12" t="s">
        <v>39</v>
      </c>
      <c r="D10" s="13" t="s">
        <v>622</v>
      </c>
      <c r="E10" s="12" t="s">
        <v>122</v>
      </c>
      <c r="F10" s="12" t="s">
        <v>122</v>
      </c>
      <c r="G10" s="13" t="s">
        <v>128</v>
      </c>
      <c r="H10" s="12" t="s">
        <v>86</v>
      </c>
      <c r="I10" s="12" t="s">
        <v>101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623</v>
      </c>
      <c r="B11" s="12" t="s">
        <v>130</v>
      </c>
      <c r="C11" s="12" t="s">
        <v>39</v>
      </c>
      <c r="D11" s="13" t="s">
        <v>624</v>
      </c>
      <c r="E11" s="12" t="s">
        <v>122</v>
      </c>
      <c r="F11" s="12" t="s">
        <v>132</v>
      </c>
      <c r="G11" s="13" t="s">
        <v>625</v>
      </c>
      <c r="H11" s="12" t="s">
        <v>86</v>
      </c>
      <c r="I11" s="12" t="s">
        <v>101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626</v>
      </c>
      <c r="B12" s="12" t="s">
        <v>135</v>
      </c>
      <c r="C12" s="12" t="s">
        <v>39</v>
      </c>
      <c r="D12" s="13" t="s">
        <v>627</v>
      </c>
      <c r="E12" s="12" t="s">
        <v>122</v>
      </c>
      <c r="F12" s="12" t="s">
        <v>137</v>
      </c>
      <c r="G12" s="13" t="s">
        <v>628</v>
      </c>
      <c r="H12" s="12" t="s">
        <v>86</v>
      </c>
      <c r="I12" s="12" t="s">
        <v>101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629</v>
      </c>
      <c r="B13" s="12" t="s">
        <v>140</v>
      </c>
      <c r="C13" s="12" t="s">
        <v>39</v>
      </c>
      <c r="D13" s="13" t="s">
        <v>630</v>
      </c>
      <c r="E13" s="12" t="s">
        <v>122</v>
      </c>
      <c r="F13" s="12" t="s">
        <v>142</v>
      </c>
      <c r="G13" s="13" t="s">
        <v>631</v>
      </c>
      <c r="H13" s="12" t="s">
        <v>86</v>
      </c>
      <c r="I13" s="12" t="s">
        <v>101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632</v>
      </c>
      <c r="B14" s="12" t="s">
        <v>145</v>
      </c>
      <c r="C14" s="12" t="s">
        <v>39</v>
      </c>
      <c r="D14" s="13" t="s">
        <v>633</v>
      </c>
      <c r="E14" s="12" t="s">
        <v>122</v>
      </c>
      <c r="F14" s="12" t="s">
        <v>147</v>
      </c>
      <c r="G14" s="13" t="s">
        <v>634</v>
      </c>
      <c r="H14" s="12" t="s">
        <v>86</v>
      </c>
      <c r="I14" s="12" t="s">
        <v>101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635</v>
      </c>
      <c r="B15" s="12" t="s">
        <v>150</v>
      </c>
      <c r="C15" s="12" t="s">
        <v>39</v>
      </c>
      <c r="D15" s="13" t="s">
        <v>636</v>
      </c>
      <c r="E15" s="12" t="s">
        <v>122</v>
      </c>
      <c r="F15" s="12" t="s">
        <v>152</v>
      </c>
      <c r="G15" s="13" t="s">
        <v>634</v>
      </c>
      <c r="H15" s="12" t="s">
        <v>86</v>
      </c>
      <c r="I15" s="12" t="s">
        <v>101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637</v>
      </c>
      <c r="B16" s="12" t="s">
        <v>155</v>
      </c>
      <c r="C16" s="12" t="s">
        <v>39</v>
      </c>
      <c r="D16" s="13" t="s">
        <v>638</v>
      </c>
      <c r="E16" s="12" t="s">
        <v>122</v>
      </c>
      <c r="F16" s="12" t="s">
        <v>157</v>
      </c>
      <c r="G16" s="13" t="s">
        <v>639</v>
      </c>
      <c r="H16" s="12" t="s">
        <v>88</v>
      </c>
      <c r="I16" s="12" t="s">
        <v>100</v>
      </c>
      <c r="J16" s="14" t="n">
        <v>46227</v>
      </c>
      <c r="K16" s="13" t="s">
        <v>640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641</v>
      </c>
      <c r="B17" s="12" t="s">
        <v>161</v>
      </c>
      <c r="C17" s="12" t="s">
        <v>39</v>
      </c>
      <c r="D17" s="13" t="s">
        <v>642</v>
      </c>
      <c r="E17" s="12" t="s">
        <v>122</v>
      </c>
      <c r="F17" s="12" t="s">
        <v>163</v>
      </c>
      <c r="G17" s="13" t="s">
        <v>643</v>
      </c>
      <c r="H17" s="12" t="s">
        <v>84</v>
      </c>
      <c r="I17" s="12" t="s">
        <v>100</v>
      </c>
      <c r="J17" s="14"/>
      <c r="K17" s="13" t="s">
        <v>644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645</v>
      </c>
      <c r="B18" s="12" t="s">
        <v>167</v>
      </c>
      <c r="C18" s="12" t="s">
        <v>39</v>
      </c>
      <c r="D18" s="13" t="s">
        <v>646</v>
      </c>
      <c r="E18" s="12" t="s">
        <v>122</v>
      </c>
      <c r="F18" s="12" t="s">
        <v>163</v>
      </c>
      <c r="G18" s="13" t="s">
        <v>647</v>
      </c>
      <c r="H18" s="12" t="s">
        <v>84</v>
      </c>
      <c r="I18" s="12" t="s">
        <v>100</v>
      </c>
      <c r="J18" s="14"/>
      <c r="K18" s="13" t="s">
        <v>648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649</v>
      </c>
      <c r="B19" s="12" t="s">
        <v>650</v>
      </c>
      <c r="C19" s="12" t="s">
        <v>39</v>
      </c>
      <c r="D19" s="13" t="s">
        <v>651</v>
      </c>
      <c r="E19" s="12" t="s">
        <v>122</v>
      </c>
      <c r="F19" s="12" t="s">
        <v>147</v>
      </c>
      <c r="G19" s="13" t="s">
        <v>634</v>
      </c>
      <c r="H19" s="12" t="s">
        <v>86</v>
      </c>
      <c r="I19" s="12" t="s">
        <v>101</v>
      </c>
      <c r="J19" s="14" t="n">
        <v>46227</v>
      </c>
      <c r="K19" s="13" t="s">
        <v>548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652</v>
      </c>
      <c r="B20" s="12" t="s">
        <v>175</v>
      </c>
      <c r="C20" s="12" t="s">
        <v>39</v>
      </c>
      <c r="D20" s="13" t="s">
        <v>653</v>
      </c>
      <c r="E20" s="12" t="s">
        <v>122</v>
      </c>
      <c r="F20" s="12" t="s">
        <v>163</v>
      </c>
      <c r="G20" s="13" t="s">
        <v>643</v>
      </c>
      <c r="H20" s="12" t="s">
        <v>84</v>
      </c>
      <c r="I20" s="12" t="s">
        <v>100</v>
      </c>
      <c r="J20" s="14"/>
      <c r="K20" s="13" t="s">
        <v>551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654</v>
      </c>
      <c r="B21" s="12" t="s">
        <v>179</v>
      </c>
      <c r="C21" s="12" t="s">
        <v>39</v>
      </c>
      <c r="D21" s="13" t="s">
        <v>553</v>
      </c>
      <c r="E21" s="12" t="s">
        <v>122</v>
      </c>
      <c r="F21" s="12" t="s">
        <v>181</v>
      </c>
      <c r="G21" s="13" t="s">
        <v>655</v>
      </c>
      <c r="H21" s="12" t="s">
        <v>86</v>
      </c>
      <c r="I21" s="12" t="s">
        <v>101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656</v>
      </c>
      <c r="B22" s="12" t="s">
        <v>184</v>
      </c>
      <c r="C22" s="12" t="s">
        <v>39</v>
      </c>
      <c r="D22" s="13" t="s">
        <v>657</v>
      </c>
      <c r="E22" s="12" t="s">
        <v>122</v>
      </c>
      <c r="F22" s="12" t="s">
        <v>181</v>
      </c>
      <c r="G22" s="13" t="s">
        <v>658</v>
      </c>
      <c r="H22" s="12" t="s">
        <v>86</v>
      </c>
      <c r="I22" s="12" t="s">
        <v>101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659</v>
      </c>
      <c r="B23" s="12" t="s">
        <v>188</v>
      </c>
      <c r="C23" s="12" t="s">
        <v>39</v>
      </c>
      <c r="D23" s="13" t="s">
        <v>660</v>
      </c>
      <c r="E23" s="12" t="s">
        <v>190</v>
      </c>
      <c r="F23" s="12" t="s">
        <v>190</v>
      </c>
      <c r="G23" s="13" t="s">
        <v>191</v>
      </c>
      <c r="H23" s="12" t="s">
        <v>86</v>
      </c>
      <c r="I23" s="12" t="s">
        <v>101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661</v>
      </c>
      <c r="B24" s="12" t="s">
        <v>193</v>
      </c>
      <c r="C24" s="12" t="s">
        <v>39</v>
      </c>
      <c r="D24" s="13" t="s">
        <v>561</v>
      </c>
      <c r="E24" s="12" t="s">
        <v>122</v>
      </c>
      <c r="F24" s="12" t="s">
        <v>122</v>
      </c>
      <c r="G24" s="13" t="s">
        <v>562</v>
      </c>
      <c r="H24" s="12" t="s">
        <v>84</v>
      </c>
      <c r="I24" s="12" t="s">
        <v>100</v>
      </c>
      <c r="J24" s="14" t="n">
        <v>46227</v>
      </c>
      <c r="K24" s="13" t="s">
        <v>662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664</v>
      </c>
      <c r="B9" s="1" t="s">
        <v>119</v>
      </c>
      <c r="C9" s="1" t="s">
        <v>665</v>
      </c>
      <c r="D9" s="1" t="s">
        <v>121</v>
      </c>
      <c r="E9" s="1" t="s">
        <v>122</v>
      </c>
      <c r="F9" s="1" t="s">
        <v>123</v>
      </c>
      <c r="G9" s="1" t="s">
        <v>255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666</v>
      </c>
      <c r="B10" s="1" t="s">
        <v>126</v>
      </c>
      <c r="C10" s="1" t="s">
        <v>665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667</v>
      </c>
      <c r="B11" s="1" t="s">
        <v>130</v>
      </c>
      <c r="C11" s="1" t="s">
        <v>665</v>
      </c>
      <c r="D11" s="1" t="s">
        <v>131</v>
      </c>
      <c r="E11" s="1" t="s">
        <v>122</v>
      </c>
      <c r="F11" s="1" t="s">
        <v>132</v>
      </c>
      <c r="G11" s="1" t="s">
        <v>668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669</v>
      </c>
      <c r="B12" s="1" t="s">
        <v>135</v>
      </c>
      <c r="C12" s="1" t="s">
        <v>665</v>
      </c>
      <c r="D12" s="1" t="s">
        <v>136</v>
      </c>
      <c r="E12" s="1" t="s">
        <v>122</v>
      </c>
      <c r="F12" s="1" t="s">
        <v>137</v>
      </c>
      <c r="G12" s="1" t="s">
        <v>260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670</v>
      </c>
      <c r="B13" s="1" t="s">
        <v>140</v>
      </c>
      <c r="C13" s="1" t="s">
        <v>665</v>
      </c>
      <c r="D13" s="1" t="s">
        <v>141</v>
      </c>
      <c r="E13" s="1" t="s">
        <v>122</v>
      </c>
      <c r="F13" s="1" t="s">
        <v>142</v>
      </c>
      <c r="G13" s="1" t="s">
        <v>671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672</v>
      </c>
      <c r="B14" s="1" t="s">
        <v>145</v>
      </c>
      <c r="C14" s="1" t="s">
        <v>665</v>
      </c>
      <c r="D14" s="1" t="s">
        <v>146</v>
      </c>
      <c r="E14" s="1" t="s">
        <v>122</v>
      </c>
      <c r="F14" s="1" t="s">
        <v>147</v>
      </c>
      <c r="G14" s="1" t="s">
        <v>673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674</v>
      </c>
      <c r="B15" s="1" t="s">
        <v>150</v>
      </c>
      <c r="C15" s="1" t="s">
        <v>665</v>
      </c>
      <c r="D15" s="1" t="s">
        <v>151</v>
      </c>
      <c r="E15" s="1" t="s">
        <v>122</v>
      </c>
      <c r="F15" s="1" t="s">
        <v>152</v>
      </c>
      <c r="G15" s="1" t="s">
        <v>675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676</v>
      </c>
      <c r="B16" s="1" t="s">
        <v>155</v>
      </c>
      <c r="C16" s="1" t="s">
        <v>665</v>
      </c>
      <c r="D16" s="1" t="s">
        <v>156</v>
      </c>
      <c r="E16" s="1" t="s">
        <v>122</v>
      </c>
      <c r="F16" s="1" t="s">
        <v>157</v>
      </c>
      <c r="G16" s="1" t="s">
        <v>677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678</v>
      </c>
      <c r="B17" s="1" t="s">
        <v>161</v>
      </c>
      <c r="C17" s="1" t="s">
        <v>665</v>
      </c>
      <c r="D17" s="1" t="s">
        <v>162</v>
      </c>
      <c r="E17" s="1" t="s">
        <v>122</v>
      </c>
      <c r="F17" s="1" t="s">
        <v>163</v>
      </c>
      <c r="G17" s="1" t="s">
        <v>679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680</v>
      </c>
      <c r="B18" s="1" t="s">
        <v>167</v>
      </c>
      <c r="C18" s="1" t="s">
        <v>665</v>
      </c>
      <c r="D18" s="1" t="s">
        <v>168</v>
      </c>
      <c r="E18" s="1" t="s">
        <v>122</v>
      </c>
      <c r="F18" s="1" t="s">
        <v>163</v>
      </c>
      <c r="G18" s="1" t="s">
        <v>679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681</v>
      </c>
      <c r="B19" s="1" t="s">
        <v>170</v>
      </c>
      <c r="C19" s="1" t="s">
        <v>665</v>
      </c>
      <c r="D19" s="1" t="s">
        <v>171</v>
      </c>
      <c r="E19" s="1" t="s">
        <v>122</v>
      </c>
      <c r="F19" s="1" t="s">
        <v>163</v>
      </c>
      <c r="G19" s="1" t="s">
        <v>682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683</v>
      </c>
      <c r="B20" s="1" t="s">
        <v>175</v>
      </c>
      <c r="C20" s="1" t="s">
        <v>665</v>
      </c>
      <c r="D20" s="1" t="s">
        <v>176</v>
      </c>
      <c r="E20" s="1" t="s">
        <v>122</v>
      </c>
      <c r="F20" s="1" t="s">
        <v>163</v>
      </c>
      <c r="G20" s="1" t="s">
        <v>679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684</v>
      </c>
      <c r="B21" s="1" t="s">
        <v>179</v>
      </c>
      <c r="C21" s="1" t="s">
        <v>665</v>
      </c>
      <c r="D21" s="1" t="s">
        <v>180</v>
      </c>
      <c r="E21" s="1" t="s">
        <v>122</v>
      </c>
      <c r="F21" s="1" t="s">
        <v>181</v>
      </c>
      <c r="G21" s="1" t="s">
        <v>685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686</v>
      </c>
      <c r="B22" s="1" t="s">
        <v>184</v>
      </c>
      <c r="C22" s="1" t="s">
        <v>665</v>
      </c>
      <c r="D22" s="1" t="s">
        <v>185</v>
      </c>
      <c r="E22" s="1" t="s">
        <v>122</v>
      </c>
      <c r="F22" s="1" t="s">
        <v>181</v>
      </c>
      <c r="G22" s="1" t="s">
        <v>687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688</v>
      </c>
      <c r="B23" s="1" t="s">
        <v>188</v>
      </c>
      <c r="C23" s="1" t="s">
        <v>665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689</v>
      </c>
      <c r="B24" s="1" t="s">
        <v>193</v>
      </c>
      <c r="C24" s="1" t="s">
        <v>665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691</v>
      </c>
      <c r="B9" s="1" t="s">
        <v>119</v>
      </c>
      <c r="C9" s="1" t="s">
        <v>34</v>
      </c>
      <c r="D9" s="1" t="s">
        <v>121</v>
      </c>
      <c r="E9" s="1" t="s">
        <v>122</v>
      </c>
      <c r="F9" s="1" t="s">
        <v>123</v>
      </c>
      <c r="G9" s="1" t="s">
        <v>692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693</v>
      </c>
      <c r="B10" s="1" t="s">
        <v>126</v>
      </c>
      <c r="C10" s="1" t="s">
        <v>34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694</v>
      </c>
      <c r="B11" s="1" t="s">
        <v>130</v>
      </c>
      <c r="C11" s="1" t="s">
        <v>34</v>
      </c>
      <c r="D11" s="1" t="s">
        <v>131</v>
      </c>
      <c r="E11" s="1" t="s">
        <v>122</v>
      </c>
      <c r="F11" s="1" t="s">
        <v>132</v>
      </c>
      <c r="G11" s="1" t="s">
        <v>695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696</v>
      </c>
      <c r="B12" s="1" t="s">
        <v>135</v>
      </c>
      <c r="C12" s="1" t="s">
        <v>34</v>
      </c>
      <c r="D12" s="1" t="s">
        <v>136</v>
      </c>
      <c r="E12" s="1" t="s">
        <v>122</v>
      </c>
      <c r="F12" s="1" t="s">
        <v>137</v>
      </c>
      <c r="G12" s="1" t="s">
        <v>697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698</v>
      </c>
      <c r="B13" s="1" t="s">
        <v>140</v>
      </c>
      <c r="C13" s="1" t="s">
        <v>34</v>
      </c>
      <c r="D13" s="1" t="s">
        <v>141</v>
      </c>
      <c r="E13" s="1" t="s">
        <v>122</v>
      </c>
      <c r="F13" s="1" t="s">
        <v>142</v>
      </c>
      <c r="G13" s="1" t="s">
        <v>699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700</v>
      </c>
      <c r="B14" s="1" t="s">
        <v>145</v>
      </c>
      <c r="C14" s="1" t="s">
        <v>34</v>
      </c>
      <c r="D14" s="1" t="s">
        <v>146</v>
      </c>
      <c r="E14" s="1" t="s">
        <v>122</v>
      </c>
      <c r="F14" s="1" t="s">
        <v>147</v>
      </c>
      <c r="G14" s="1" t="s">
        <v>701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702</v>
      </c>
      <c r="B15" s="1" t="s">
        <v>150</v>
      </c>
      <c r="C15" s="1" t="s">
        <v>34</v>
      </c>
      <c r="D15" s="1" t="s">
        <v>151</v>
      </c>
      <c r="E15" s="1" t="s">
        <v>122</v>
      </c>
      <c r="F15" s="1" t="s">
        <v>152</v>
      </c>
      <c r="G15" s="1" t="s">
        <v>703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704</v>
      </c>
      <c r="B16" s="1" t="s">
        <v>155</v>
      </c>
      <c r="C16" s="1" t="s">
        <v>34</v>
      </c>
      <c r="D16" s="1" t="s">
        <v>156</v>
      </c>
      <c r="E16" s="1" t="s">
        <v>122</v>
      </c>
      <c r="F16" s="1" t="s">
        <v>157</v>
      </c>
      <c r="G16" s="1" t="s">
        <v>705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706</v>
      </c>
      <c r="B17" s="1" t="s">
        <v>161</v>
      </c>
      <c r="C17" s="1" t="s">
        <v>34</v>
      </c>
      <c r="D17" s="1" t="s">
        <v>162</v>
      </c>
      <c r="E17" s="1" t="s">
        <v>122</v>
      </c>
      <c r="F17" s="1" t="s">
        <v>163</v>
      </c>
      <c r="G17" s="1" t="s">
        <v>707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708</v>
      </c>
      <c r="B18" s="1" t="s">
        <v>167</v>
      </c>
      <c r="C18" s="1" t="s">
        <v>34</v>
      </c>
      <c r="D18" s="1" t="s">
        <v>168</v>
      </c>
      <c r="E18" s="1" t="s">
        <v>122</v>
      </c>
      <c r="F18" s="1" t="s">
        <v>163</v>
      </c>
      <c r="G18" s="1" t="s">
        <v>707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709</v>
      </c>
      <c r="B19" s="1" t="s">
        <v>170</v>
      </c>
      <c r="C19" s="1" t="s">
        <v>34</v>
      </c>
      <c r="D19" s="1" t="s">
        <v>171</v>
      </c>
      <c r="E19" s="1" t="s">
        <v>122</v>
      </c>
      <c r="F19" s="1" t="s">
        <v>163</v>
      </c>
      <c r="G19" s="1" t="s">
        <v>710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711</v>
      </c>
      <c r="B20" s="1" t="s">
        <v>175</v>
      </c>
      <c r="C20" s="1" t="s">
        <v>34</v>
      </c>
      <c r="D20" s="1" t="s">
        <v>176</v>
      </c>
      <c r="E20" s="1" t="s">
        <v>122</v>
      </c>
      <c r="F20" s="1" t="s">
        <v>163</v>
      </c>
      <c r="G20" s="1" t="s">
        <v>707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712</v>
      </c>
      <c r="B21" s="1" t="s">
        <v>179</v>
      </c>
      <c r="C21" s="1" t="s">
        <v>34</v>
      </c>
      <c r="D21" s="1" t="s">
        <v>180</v>
      </c>
      <c r="E21" s="1" t="s">
        <v>122</v>
      </c>
      <c r="F21" s="1" t="s">
        <v>181</v>
      </c>
      <c r="G21" s="1" t="s">
        <v>713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714</v>
      </c>
      <c r="B22" s="1" t="s">
        <v>184</v>
      </c>
      <c r="C22" s="1" t="s">
        <v>34</v>
      </c>
      <c r="D22" s="1" t="s">
        <v>185</v>
      </c>
      <c r="E22" s="1" t="s">
        <v>122</v>
      </c>
      <c r="F22" s="1" t="s">
        <v>181</v>
      </c>
      <c r="G22" s="1" t="s">
        <v>715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716</v>
      </c>
      <c r="B23" s="1" t="s">
        <v>188</v>
      </c>
      <c r="C23" s="1" t="s">
        <v>34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717</v>
      </c>
      <c r="B24" s="1" t="s">
        <v>193</v>
      </c>
      <c r="C24" s="1" t="s">
        <v>34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618</v>
      </c>
      <c r="B9" s="1" t="s">
        <v>119</v>
      </c>
      <c r="C9" s="1" t="s">
        <v>35</v>
      </c>
      <c r="D9" s="1" t="s">
        <v>121</v>
      </c>
      <c r="E9" s="1" t="s">
        <v>122</v>
      </c>
      <c r="F9" s="1" t="s">
        <v>123</v>
      </c>
      <c r="G9" s="1" t="s">
        <v>719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621</v>
      </c>
      <c r="B10" s="1" t="s">
        <v>126</v>
      </c>
      <c r="C10" s="1" t="s">
        <v>35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623</v>
      </c>
      <c r="B11" s="1" t="s">
        <v>130</v>
      </c>
      <c r="C11" s="1" t="s">
        <v>35</v>
      </c>
      <c r="D11" s="1" t="s">
        <v>131</v>
      </c>
      <c r="E11" s="1" t="s">
        <v>122</v>
      </c>
      <c r="F11" s="1" t="s">
        <v>132</v>
      </c>
      <c r="G11" s="1" t="s">
        <v>720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626</v>
      </c>
      <c r="B12" s="1" t="s">
        <v>135</v>
      </c>
      <c r="C12" s="1" t="s">
        <v>35</v>
      </c>
      <c r="D12" s="1" t="s">
        <v>136</v>
      </c>
      <c r="E12" s="1" t="s">
        <v>122</v>
      </c>
      <c r="F12" s="1" t="s">
        <v>137</v>
      </c>
      <c r="G12" s="1" t="s">
        <v>721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629</v>
      </c>
      <c r="B13" s="1" t="s">
        <v>140</v>
      </c>
      <c r="C13" s="1" t="s">
        <v>35</v>
      </c>
      <c r="D13" s="1" t="s">
        <v>141</v>
      </c>
      <c r="E13" s="1" t="s">
        <v>122</v>
      </c>
      <c r="F13" s="1" t="s">
        <v>142</v>
      </c>
      <c r="G13" s="1" t="s">
        <v>722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632</v>
      </c>
      <c r="B14" s="1" t="s">
        <v>145</v>
      </c>
      <c r="C14" s="1" t="s">
        <v>35</v>
      </c>
      <c r="D14" s="1" t="s">
        <v>146</v>
      </c>
      <c r="E14" s="1" t="s">
        <v>122</v>
      </c>
      <c r="F14" s="1" t="s">
        <v>147</v>
      </c>
      <c r="G14" s="1" t="s">
        <v>723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635</v>
      </c>
      <c r="B15" s="1" t="s">
        <v>150</v>
      </c>
      <c r="C15" s="1" t="s">
        <v>35</v>
      </c>
      <c r="D15" s="1" t="s">
        <v>151</v>
      </c>
      <c r="E15" s="1" t="s">
        <v>122</v>
      </c>
      <c r="F15" s="1" t="s">
        <v>152</v>
      </c>
      <c r="G15" s="1" t="s">
        <v>724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637</v>
      </c>
      <c r="B16" s="1" t="s">
        <v>155</v>
      </c>
      <c r="C16" s="1" t="s">
        <v>35</v>
      </c>
      <c r="D16" s="1" t="s">
        <v>156</v>
      </c>
      <c r="E16" s="1" t="s">
        <v>122</v>
      </c>
      <c r="F16" s="1" t="s">
        <v>157</v>
      </c>
      <c r="G16" s="1" t="s">
        <v>725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641</v>
      </c>
      <c r="B17" s="1" t="s">
        <v>161</v>
      </c>
      <c r="C17" s="1" t="s">
        <v>35</v>
      </c>
      <c r="D17" s="1" t="s">
        <v>162</v>
      </c>
      <c r="E17" s="1" t="s">
        <v>122</v>
      </c>
      <c r="F17" s="1" t="s">
        <v>163</v>
      </c>
      <c r="G17" s="1" t="s">
        <v>726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645</v>
      </c>
      <c r="B18" s="1" t="s">
        <v>167</v>
      </c>
      <c r="C18" s="1" t="s">
        <v>35</v>
      </c>
      <c r="D18" s="1" t="s">
        <v>168</v>
      </c>
      <c r="E18" s="1" t="s">
        <v>122</v>
      </c>
      <c r="F18" s="1" t="s">
        <v>163</v>
      </c>
      <c r="G18" s="1" t="s">
        <v>726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649</v>
      </c>
      <c r="B19" s="1" t="s">
        <v>170</v>
      </c>
      <c r="C19" s="1" t="s">
        <v>35</v>
      </c>
      <c r="D19" s="1" t="s">
        <v>171</v>
      </c>
      <c r="E19" s="1" t="s">
        <v>122</v>
      </c>
      <c r="F19" s="1" t="s">
        <v>163</v>
      </c>
      <c r="G19" s="1" t="s">
        <v>727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652</v>
      </c>
      <c r="B20" s="1" t="s">
        <v>175</v>
      </c>
      <c r="C20" s="1" t="s">
        <v>35</v>
      </c>
      <c r="D20" s="1" t="s">
        <v>176</v>
      </c>
      <c r="E20" s="1" t="s">
        <v>122</v>
      </c>
      <c r="F20" s="1" t="s">
        <v>163</v>
      </c>
      <c r="G20" s="1" t="s">
        <v>726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654</v>
      </c>
      <c r="B21" s="1" t="s">
        <v>179</v>
      </c>
      <c r="C21" s="1" t="s">
        <v>35</v>
      </c>
      <c r="D21" s="1" t="s">
        <v>180</v>
      </c>
      <c r="E21" s="1" t="s">
        <v>122</v>
      </c>
      <c r="F21" s="1" t="s">
        <v>181</v>
      </c>
      <c r="G21" s="1" t="s">
        <v>728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656</v>
      </c>
      <c r="B22" s="1" t="s">
        <v>184</v>
      </c>
      <c r="C22" s="1" t="s">
        <v>35</v>
      </c>
      <c r="D22" s="1" t="s">
        <v>185</v>
      </c>
      <c r="E22" s="1" t="s">
        <v>122</v>
      </c>
      <c r="F22" s="1" t="s">
        <v>181</v>
      </c>
      <c r="G22" s="1" t="s">
        <v>729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659</v>
      </c>
      <c r="B23" s="1" t="s">
        <v>188</v>
      </c>
      <c r="C23" s="1" t="s">
        <v>35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661</v>
      </c>
      <c r="B24" s="1" t="s">
        <v>193</v>
      </c>
      <c r="C24" s="1" t="s">
        <v>35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731</v>
      </c>
      <c r="B9" s="1" t="s">
        <v>119</v>
      </c>
      <c r="C9" s="1" t="s">
        <v>732</v>
      </c>
      <c r="D9" s="1" t="s">
        <v>121</v>
      </c>
      <c r="E9" s="1" t="s">
        <v>122</v>
      </c>
      <c r="F9" s="1" t="s">
        <v>123</v>
      </c>
      <c r="G9" s="1" t="s">
        <v>733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734</v>
      </c>
      <c r="B10" s="1" t="s">
        <v>126</v>
      </c>
      <c r="C10" s="1" t="s">
        <v>732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735</v>
      </c>
      <c r="B11" s="1" t="s">
        <v>130</v>
      </c>
      <c r="C11" s="1" t="s">
        <v>732</v>
      </c>
      <c r="D11" s="1" t="s">
        <v>131</v>
      </c>
      <c r="E11" s="1" t="s">
        <v>122</v>
      </c>
      <c r="F11" s="1" t="s">
        <v>132</v>
      </c>
      <c r="G11" s="1" t="s">
        <v>736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737</v>
      </c>
      <c r="B12" s="1" t="s">
        <v>135</v>
      </c>
      <c r="C12" s="1" t="s">
        <v>732</v>
      </c>
      <c r="D12" s="1" t="s">
        <v>136</v>
      </c>
      <c r="E12" s="1" t="s">
        <v>122</v>
      </c>
      <c r="F12" s="1" t="s">
        <v>137</v>
      </c>
      <c r="G12" s="1" t="s">
        <v>738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739</v>
      </c>
      <c r="B13" s="1" t="s">
        <v>140</v>
      </c>
      <c r="C13" s="1" t="s">
        <v>732</v>
      </c>
      <c r="D13" s="1" t="s">
        <v>141</v>
      </c>
      <c r="E13" s="1" t="s">
        <v>122</v>
      </c>
      <c r="F13" s="1" t="s">
        <v>142</v>
      </c>
      <c r="G13" s="1" t="s">
        <v>740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741</v>
      </c>
      <c r="B14" s="1" t="s">
        <v>145</v>
      </c>
      <c r="C14" s="1" t="s">
        <v>732</v>
      </c>
      <c r="D14" s="1" t="s">
        <v>146</v>
      </c>
      <c r="E14" s="1" t="s">
        <v>122</v>
      </c>
      <c r="F14" s="1" t="s">
        <v>147</v>
      </c>
      <c r="G14" s="1" t="s">
        <v>742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743</v>
      </c>
      <c r="B15" s="1" t="s">
        <v>150</v>
      </c>
      <c r="C15" s="1" t="s">
        <v>732</v>
      </c>
      <c r="D15" s="1" t="s">
        <v>151</v>
      </c>
      <c r="E15" s="1" t="s">
        <v>122</v>
      </c>
      <c r="F15" s="1" t="s">
        <v>152</v>
      </c>
      <c r="G15" s="1" t="s">
        <v>744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745</v>
      </c>
      <c r="B16" s="1" t="s">
        <v>155</v>
      </c>
      <c r="C16" s="1" t="s">
        <v>732</v>
      </c>
      <c r="D16" s="1" t="s">
        <v>156</v>
      </c>
      <c r="E16" s="1" t="s">
        <v>122</v>
      </c>
      <c r="F16" s="1" t="s">
        <v>157</v>
      </c>
      <c r="G16" s="1" t="s">
        <v>746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747</v>
      </c>
      <c r="B17" s="1" t="s">
        <v>161</v>
      </c>
      <c r="C17" s="1" t="s">
        <v>732</v>
      </c>
      <c r="D17" s="1" t="s">
        <v>162</v>
      </c>
      <c r="E17" s="1" t="s">
        <v>122</v>
      </c>
      <c r="F17" s="1" t="s">
        <v>163</v>
      </c>
      <c r="G17" s="1" t="s">
        <v>748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749</v>
      </c>
      <c r="B18" s="1" t="s">
        <v>167</v>
      </c>
      <c r="C18" s="1" t="s">
        <v>732</v>
      </c>
      <c r="D18" s="1" t="s">
        <v>168</v>
      </c>
      <c r="E18" s="1" t="s">
        <v>122</v>
      </c>
      <c r="F18" s="1" t="s">
        <v>163</v>
      </c>
      <c r="G18" s="1" t="s">
        <v>748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750</v>
      </c>
      <c r="B19" s="1" t="s">
        <v>170</v>
      </c>
      <c r="C19" s="1" t="s">
        <v>732</v>
      </c>
      <c r="D19" s="1" t="s">
        <v>171</v>
      </c>
      <c r="E19" s="1" t="s">
        <v>122</v>
      </c>
      <c r="F19" s="1" t="s">
        <v>163</v>
      </c>
      <c r="G19" s="1" t="s">
        <v>751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752</v>
      </c>
      <c r="B20" s="1" t="s">
        <v>175</v>
      </c>
      <c r="C20" s="1" t="s">
        <v>732</v>
      </c>
      <c r="D20" s="1" t="s">
        <v>176</v>
      </c>
      <c r="E20" s="1" t="s">
        <v>122</v>
      </c>
      <c r="F20" s="1" t="s">
        <v>163</v>
      </c>
      <c r="G20" s="1" t="s">
        <v>748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753</v>
      </c>
      <c r="B21" s="1" t="s">
        <v>179</v>
      </c>
      <c r="C21" s="1" t="s">
        <v>732</v>
      </c>
      <c r="D21" s="1" t="s">
        <v>180</v>
      </c>
      <c r="E21" s="1" t="s">
        <v>122</v>
      </c>
      <c r="F21" s="1" t="s">
        <v>181</v>
      </c>
      <c r="G21" s="1" t="s">
        <v>754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755</v>
      </c>
      <c r="B22" s="1" t="s">
        <v>184</v>
      </c>
      <c r="C22" s="1" t="s">
        <v>732</v>
      </c>
      <c r="D22" s="1" t="s">
        <v>185</v>
      </c>
      <c r="E22" s="1" t="s">
        <v>122</v>
      </c>
      <c r="F22" s="1" t="s">
        <v>181</v>
      </c>
      <c r="G22" s="1" t="s">
        <v>756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757</v>
      </c>
      <c r="B23" s="1" t="s">
        <v>188</v>
      </c>
      <c r="C23" s="1" t="s">
        <v>732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758</v>
      </c>
      <c r="B24" s="1" t="s">
        <v>193</v>
      </c>
      <c r="C24" s="1" t="s">
        <v>732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104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760</v>
      </c>
      <c r="B9" s="12" t="s">
        <v>119</v>
      </c>
      <c r="C9" s="12" t="s">
        <v>38</v>
      </c>
      <c r="D9" s="13" t="s">
        <v>761</v>
      </c>
      <c r="E9" s="12" t="s">
        <v>122</v>
      </c>
      <c r="F9" s="12" t="s">
        <v>123</v>
      </c>
      <c r="G9" s="13" t="s">
        <v>762</v>
      </c>
      <c r="H9" s="12" t="s">
        <v>86</v>
      </c>
      <c r="I9" s="12" t="s">
        <v>101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763</v>
      </c>
      <c r="B10" s="12" t="s">
        <v>126</v>
      </c>
      <c r="C10" s="12" t="s">
        <v>764</v>
      </c>
      <c r="D10" s="13" t="s">
        <v>765</v>
      </c>
      <c r="E10" s="12" t="s">
        <v>122</v>
      </c>
      <c r="F10" s="12" t="s">
        <v>122</v>
      </c>
      <c r="G10" s="13" t="s">
        <v>128</v>
      </c>
      <c r="H10" s="12" t="s">
        <v>86</v>
      </c>
      <c r="I10" s="12" t="s">
        <v>101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766</v>
      </c>
      <c r="B11" s="12" t="s">
        <v>130</v>
      </c>
      <c r="C11" s="12" t="s">
        <v>764</v>
      </c>
      <c r="D11" s="13" t="s">
        <v>767</v>
      </c>
      <c r="E11" s="12" t="s">
        <v>122</v>
      </c>
      <c r="F11" s="12" t="s">
        <v>132</v>
      </c>
      <c r="G11" s="13" t="s">
        <v>768</v>
      </c>
      <c r="H11" s="12" t="s">
        <v>86</v>
      </c>
      <c r="I11" s="12" t="s">
        <v>101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769</v>
      </c>
      <c r="B12" s="12" t="s">
        <v>135</v>
      </c>
      <c r="C12" s="12" t="s">
        <v>770</v>
      </c>
      <c r="D12" s="13" t="s">
        <v>771</v>
      </c>
      <c r="E12" s="12" t="s">
        <v>122</v>
      </c>
      <c r="F12" s="12" t="s">
        <v>137</v>
      </c>
      <c r="G12" s="13" t="s">
        <v>772</v>
      </c>
      <c r="H12" s="12" t="s">
        <v>86</v>
      </c>
      <c r="I12" s="12" t="s">
        <v>101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773</v>
      </c>
      <c r="B13" s="12" t="s">
        <v>140</v>
      </c>
      <c r="C13" s="12" t="s">
        <v>764</v>
      </c>
      <c r="D13" s="13" t="s">
        <v>774</v>
      </c>
      <c r="E13" s="12" t="s">
        <v>122</v>
      </c>
      <c r="F13" s="12" t="s">
        <v>142</v>
      </c>
      <c r="G13" s="13" t="s">
        <v>775</v>
      </c>
      <c r="H13" s="12" t="s">
        <v>86</v>
      </c>
      <c r="I13" s="12" t="s">
        <v>101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776</v>
      </c>
      <c r="B14" s="12" t="s">
        <v>145</v>
      </c>
      <c r="C14" s="12" t="s">
        <v>764</v>
      </c>
      <c r="D14" s="13" t="s">
        <v>777</v>
      </c>
      <c r="E14" s="12" t="s">
        <v>122</v>
      </c>
      <c r="F14" s="12" t="s">
        <v>147</v>
      </c>
      <c r="G14" s="13" t="s">
        <v>778</v>
      </c>
      <c r="H14" s="12" t="s">
        <v>86</v>
      </c>
      <c r="I14" s="12" t="s">
        <v>101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779</v>
      </c>
      <c r="B15" s="12" t="s">
        <v>150</v>
      </c>
      <c r="C15" s="12" t="s">
        <v>770</v>
      </c>
      <c r="D15" s="13" t="s">
        <v>780</v>
      </c>
      <c r="E15" s="12" t="s">
        <v>122</v>
      </c>
      <c r="F15" s="12" t="s">
        <v>152</v>
      </c>
      <c r="G15" s="13" t="s">
        <v>778</v>
      </c>
      <c r="H15" s="12" t="s">
        <v>86</v>
      </c>
      <c r="I15" s="12" t="s">
        <v>101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781</v>
      </c>
      <c r="B16" s="12" t="s">
        <v>155</v>
      </c>
      <c r="C16" s="12" t="s">
        <v>764</v>
      </c>
      <c r="D16" s="13" t="s">
        <v>782</v>
      </c>
      <c r="E16" s="12" t="s">
        <v>122</v>
      </c>
      <c r="F16" s="12" t="s">
        <v>157</v>
      </c>
      <c r="G16" s="13" t="s">
        <v>783</v>
      </c>
      <c r="H16" s="12" t="s">
        <v>88</v>
      </c>
      <c r="I16" s="12" t="s">
        <v>100</v>
      </c>
      <c r="J16" s="14" t="n">
        <v>46227</v>
      </c>
      <c r="K16" s="13" t="s">
        <v>784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785</v>
      </c>
      <c r="B17" s="12" t="s">
        <v>161</v>
      </c>
      <c r="C17" s="12" t="s">
        <v>764</v>
      </c>
      <c r="D17" s="13" t="s">
        <v>786</v>
      </c>
      <c r="E17" s="12" t="s">
        <v>122</v>
      </c>
      <c r="F17" s="12" t="s">
        <v>163</v>
      </c>
      <c r="G17" s="13" t="s">
        <v>787</v>
      </c>
      <c r="H17" s="12" t="s">
        <v>84</v>
      </c>
      <c r="I17" s="12" t="s">
        <v>100</v>
      </c>
      <c r="J17" s="14"/>
      <c r="K17" s="13" t="s">
        <v>788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789</v>
      </c>
      <c r="B18" s="12" t="s">
        <v>167</v>
      </c>
      <c r="C18" s="12" t="s">
        <v>770</v>
      </c>
      <c r="D18" s="13" t="s">
        <v>790</v>
      </c>
      <c r="E18" s="12" t="s">
        <v>122</v>
      </c>
      <c r="F18" s="12" t="s">
        <v>163</v>
      </c>
      <c r="G18" s="13" t="s">
        <v>791</v>
      </c>
      <c r="H18" s="12" t="s">
        <v>84</v>
      </c>
      <c r="I18" s="12" t="s">
        <v>100</v>
      </c>
      <c r="J18" s="14"/>
      <c r="K18" s="13" t="s">
        <v>792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793</v>
      </c>
      <c r="B19" s="12" t="s">
        <v>650</v>
      </c>
      <c r="C19" s="12" t="s">
        <v>770</v>
      </c>
      <c r="D19" s="13" t="s">
        <v>794</v>
      </c>
      <c r="E19" s="12" t="s">
        <v>122</v>
      </c>
      <c r="F19" s="12" t="s">
        <v>147</v>
      </c>
      <c r="G19" s="13" t="s">
        <v>778</v>
      </c>
      <c r="H19" s="12" t="s">
        <v>86</v>
      </c>
      <c r="I19" s="12" t="s">
        <v>101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795</v>
      </c>
      <c r="B20" s="12" t="s">
        <v>175</v>
      </c>
      <c r="C20" s="12" t="s">
        <v>764</v>
      </c>
      <c r="D20" s="13" t="s">
        <v>796</v>
      </c>
      <c r="E20" s="12" t="s">
        <v>122</v>
      </c>
      <c r="F20" s="12" t="s">
        <v>163</v>
      </c>
      <c r="G20" s="13" t="s">
        <v>787</v>
      </c>
      <c r="H20" s="12" t="s">
        <v>84</v>
      </c>
      <c r="I20" s="12" t="s">
        <v>100</v>
      </c>
      <c r="J20" s="14"/>
      <c r="K20" s="13" t="s">
        <v>797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798</v>
      </c>
      <c r="B21" s="12" t="s">
        <v>179</v>
      </c>
      <c r="C21" s="12" t="s">
        <v>764</v>
      </c>
      <c r="D21" s="13" t="s">
        <v>799</v>
      </c>
      <c r="E21" s="12" t="s">
        <v>122</v>
      </c>
      <c r="F21" s="12" t="s">
        <v>181</v>
      </c>
      <c r="G21" s="13" t="s">
        <v>800</v>
      </c>
      <c r="H21" s="12" t="s">
        <v>86</v>
      </c>
      <c r="I21" s="12" t="s">
        <v>101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801</v>
      </c>
      <c r="B22" s="12" t="s">
        <v>184</v>
      </c>
      <c r="C22" s="12" t="s">
        <v>764</v>
      </c>
      <c r="D22" s="13" t="s">
        <v>802</v>
      </c>
      <c r="E22" s="12" t="s">
        <v>122</v>
      </c>
      <c r="F22" s="12" t="s">
        <v>181</v>
      </c>
      <c r="G22" s="13" t="s">
        <v>803</v>
      </c>
      <c r="H22" s="12" t="s">
        <v>86</v>
      </c>
      <c r="I22" s="12" t="s">
        <v>101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804</v>
      </c>
      <c r="B23" s="12" t="s">
        <v>188</v>
      </c>
      <c r="C23" s="12" t="s">
        <v>805</v>
      </c>
      <c r="D23" s="13" t="s">
        <v>806</v>
      </c>
      <c r="E23" s="12" t="s">
        <v>190</v>
      </c>
      <c r="F23" s="12" t="s">
        <v>190</v>
      </c>
      <c r="G23" s="13" t="s">
        <v>191</v>
      </c>
      <c r="H23" s="12" t="s">
        <v>86</v>
      </c>
      <c r="I23" s="12" t="s">
        <v>101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807</v>
      </c>
      <c r="B24" s="12" t="s">
        <v>193</v>
      </c>
      <c r="C24" s="12" t="s">
        <v>764</v>
      </c>
      <c r="D24" s="13" t="s">
        <v>808</v>
      </c>
      <c r="E24" s="12" t="s">
        <v>122</v>
      </c>
      <c r="F24" s="12" t="s">
        <v>122</v>
      </c>
      <c r="G24" s="13" t="s">
        <v>809</v>
      </c>
      <c r="H24" s="12" t="s">
        <v>84</v>
      </c>
      <c r="I24" s="12" t="s">
        <v>100</v>
      </c>
      <c r="J24" s="14" t="n">
        <v>46227</v>
      </c>
      <c r="K24" s="13" t="s">
        <v>810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104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105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618</v>
      </c>
      <c r="B9" s="1" t="s">
        <v>119</v>
      </c>
      <c r="C9" s="1" t="s">
        <v>37</v>
      </c>
      <c r="D9" s="1" t="s">
        <v>121</v>
      </c>
      <c r="E9" s="1" t="s">
        <v>122</v>
      </c>
      <c r="F9" s="1" t="s">
        <v>123</v>
      </c>
      <c r="G9" s="1" t="s">
        <v>812</v>
      </c>
      <c r="H9" s="8" t="s">
        <v>86</v>
      </c>
      <c r="I9" s="8" t="s">
        <v>101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621</v>
      </c>
      <c r="B10" s="1" t="s">
        <v>126</v>
      </c>
      <c r="C10" s="1" t="s">
        <v>37</v>
      </c>
      <c r="D10" s="1" t="s">
        <v>127</v>
      </c>
      <c r="E10" s="1" t="s">
        <v>122</v>
      </c>
      <c r="F10" s="1" t="s">
        <v>122</v>
      </c>
      <c r="G10" s="1" t="s">
        <v>128</v>
      </c>
      <c r="H10" s="8" t="s">
        <v>86</v>
      </c>
      <c r="I10" s="8" t="s">
        <v>101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623</v>
      </c>
      <c r="B11" s="1" t="s">
        <v>130</v>
      </c>
      <c r="C11" s="1" t="s">
        <v>37</v>
      </c>
      <c r="D11" s="1" t="s">
        <v>131</v>
      </c>
      <c r="E11" s="1" t="s">
        <v>122</v>
      </c>
      <c r="F11" s="1" t="s">
        <v>132</v>
      </c>
      <c r="G11" s="1" t="s">
        <v>813</v>
      </c>
      <c r="H11" s="8" t="s">
        <v>86</v>
      </c>
      <c r="I11" s="8" t="s">
        <v>101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626</v>
      </c>
      <c r="B12" s="1" t="s">
        <v>135</v>
      </c>
      <c r="C12" s="1" t="s">
        <v>37</v>
      </c>
      <c r="D12" s="1" t="s">
        <v>136</v>
      </c>
      <c r="E12" s="1" t="s">
        <v>122</v>
      </c>
      <c r="F12" s="1" t="s">
        <v>137</v>
      </c>
      <c r="G12" s="1" t="s">
        <v>814</v>
      </c>
      <c r="H12" s="8" t="s">
        <v>86</v>
      </c>
      <c r="I12" s="8" t="s">
        <v>101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629</v>
      </c>
      <c r="B13" s="1" t="s">
        <v>140</v>
      </c>
      <c r="C13" s="1" t="s">
        <v>37</v>
      </c>
      <c r="D13" s="1" t="s">
        <v>141</v>
      </c>
      <c r="E13" s="1" t="s">
        <v>122</v>
      </c>
      <c r="F13" s="1" t="s">
        <v>142</v>
      </c>
      <c r="G13" s="1" t="s">
        <v>815</v>
      </c>
      <c r="H13" s="8" t="s">
        <v>86</v>
      </c>
      <c r="I13" s="8" t="s">
        <v>101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632</v>
      </c>
      <c r="B14" s="1" t="s">
        <v>145</v>
      </c>
      <c r="C14" s="1" t="s">
        <v>37</v>
      </c>
      <c r="D14" s="1" t="s">
        <v>146</v>
      </c>
      <c r="E14" s="1" t="s">
        <v>122</v>
      </c>
      <c r="F14" s="1" t="s">
        <v>147</v>
      </c>
      <c r="G14" s="1" t="s">
        <v>816</v>
      </c>
      <c r="H14" s="8" t="s">
        <v>86</v>
      </c>
      <c r="I14" s="8" t="s">
        <v>101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635</v>
      </c>
      <c r="B15" s="1" t="s">
        <v>150</v>
      </c>
      <c r="C15" s="1" t="s">
        <v>37</v>
      </c>
      <c r="D15" s="1" t="s">
        <v>151</v>
      </c>
      <c r="E15" s="1" t="s">
        <v>122</v>
      </c>
      <c r="F15" s="1" t="s">
        <v>152</v>
      </c>
      <c r="G15" s="1" t="s">
        <v>817</v>
      </c>
      <c r="H15" s="8" t="s">
        <v>86</v>
      </c>
      <c r="I15" s="8" t="s">
        <v>101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637</v>
      </c>
      <c r="B16" s="1" t="s">
        <v>155</v>
      </c>
      <c r="C16" s="1" t="s">
        <v>37</v>
      </c>
      <c r="D16" s="1" t="s">
        <v>156</v>
      </c>
      <c r="E16" s="1" t="s">
        <v>122</v>
      </c>
      <c r="F16" s="1" t="s">
        <v>157</v>
      </c>
      <c r="G16" s="1" t="s">
        <v>818</v>
      </c>
      <c r="H16" s="8" t="s">
        <v>88</v>
      </c>
      <c r="I16" s="8" t="s">
        <v>100</v>
      </c>
      <c r="J16" s="10" t="n">
        <v>46227</v>
      </c>
      <c r="K16" s="1" t="s">
        <v>159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641</v>
      </c>
      <c r="B17" s="1" t="s">
        <v>161</v>
      </c>
      <c r="C17" s="1" t="s">
        <v>37</v>
      </c>
      <c r="D17" s="1" t="s">
        <v>162</v>
      </c>
      <c r="E17" s="1" t="s">
        <v>122</v>
      </c>
      <c r="F17" s="1" t="s">
        <v>163</v>
      </c>
      <c r="G17" s="1" t="s">
        <v>819</v>
      </c>
      <c r="H17" s="8" t="s">
        <v>88</v>
      </c>
      <c r="I17" s="8" t="s">
        <v>100</v>
      </c>
      <c r="J17" s="10" t="n">
        <v>46227</v>
      </c>
      <c r="K17" s="1" t="s">
        <v>165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645</v>
      </c>
      <c r="B18" s="1" t="s">
        <v>167</v>
      </c>
      <c r="C18" s="1" t="s">
        <v>37</v>
      </c>
      <c r="D18" s="1" t="s">
        <v>168</v>
      </c>
      <c r="E18" s="1" t="s">
        <v>122</v>
      </c>
      <c r="F18" s="1" t="s">
        <v>163</v>
      </c>
      <c r="G18" s="1" t="s">
        <v>819</v>
      </c>
      <c r="H18" s="8" t="s">
        <v>88</v>
      </c>
      <c r="I18" s="8" t="s">
        <v>100</v>
      </c>
      <c r="J18" s="10" t="n">
        <v>46227</v>
      </c>
      <c r="K18" s="1" t="s">
        <v>165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649</v>
      </c>
      <c r="B19" s="1" t="s">
        <v>170</v>
      </c>
      <c r="C19" s="1" t="s">
        <v>37</v>
      </c>
      <c r="D19" s="1" t="s">
        <v>171</v>
      </c>
      <c r="E19" s="1" t="s">
        <v>122</v>
      </c>
      <c r="F19" s="1" t="s">
        <v>163</v>
      </c>
      <c r="G19" s="1" t="s">
        <v>820</v>
      </c>
      <c r="H19" s="8" t="s">
        <v>88</v>
      </c>
      <c r="I19" s="8" t="s">
        <v>100</v>
      </c>
      <c r="J19" s="10" t="n">
        <v>46227</v>
      </c>
      <c r="K19" s="1" t="s">
        <v>173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652</v>
      </c>
      <c r="B20" s="1" t="s">
        <v>175</v>
      </c>
      <c r="C20" s="1" t="s">
        <v>37</v>
      </c>
      <c r="D20" s="1" t="s">
        <v>176</v>
      </c>
      <c r="E20" s="1" t="s">
        <v>122</v>
      </c>
      <c r="F20" s="1" t="s">
        <v>163</v>
      </c>
      <c r="G20" s="1" t="s">
        <v>819</v>
      </c>
      <c r="H20" s="8" t="s">
        <v>88</v>
      </c>
      <c r="I20" s="8" t="s">
        <v>100</v>
      </c>
      <c r="J20" s="10" t="n">
        <v>46227</v>
      </c>
      <c r="K20" s="1" t="s">
        <v>177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654</v>
      </c>
      <c r="B21" s="1" t="s">
        <v>179</v>
      </c>
      <c r="C21" s="1" t="s">
        <v>37</v>
      </c>
      <c r="D21" s="1" t="s">
        <v>180</v>
      </c>
      <c r="E21" s="1" t="s">
        <v>122</v>
      </c>
      <c r="F21" s="1" t="s">
        <v>181</v>
      </c>
      <c r="G21" s="1" t="s">
        <v>821</v>
      </c>
      <c r="H21" s="8" t="s">
        <v>86</v>
      </c>
      <c r="I21" s="8" t="s">
        <v>101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656</v>
      </c>
      <c r="B22" s="1" t="s">
        <v>184</v>
      </c>
      <c r="C22" s="1" t="s">
        <v>37</v>
      </c>
      <c r="D22" s="1" t="s">
        <v>185</v>
      </c>
      <c r="E22" s="1" t="s">
        <v>122</v>
      </c>
      <c r="F22" s="1" t="s">
        <v>181</v>
      </c>
      <c r="G22" s="1" t="s">
        <v>822</v>
      </c>
      <c r="H22" s="8" t="s">
        <v>86</v>
      </c>
      <c r="I22" s="8" t="s">
        <v>101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659</v>
      </c>
      <c r="B23" s="1" t="s">
        <v>188</v>
      </c>
      <c r="C23" s="1" t="s">
        <v>37</v>
      </c>
      <c r="D23" s="1" t="s">
        <v>189</v>
      </c>
      <c r="E23" s="1" t="s">
        <v>190</v>
      </c>
      <c r="F23" s="1" t="s">
        <v>190</v>
      </c>
      <c r="G23" s="1" t="s">
        <v>191</v>
      </c>
      <c r="H23" s="8" t="s">
        <v>86</v>
      </c>
      <c r="I23" s="8" t="s">
        <v>101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661</v>
      </c>
      <c r="B24" s="1" t="s">
        <v>193</v>
      </c>
      <c r="C24" s="1" t="s">
        <v>37</v>
      </c>
      <c r="D24" s="1" t="s">
        <v>194</v>
      </c>
      <c r="E24" s="1" t="s">
        <v>122</v>
      </c>
      <c r="F24" s="1" t="s">
        <v>122</v>
      </c>
      <c r="G24" s="1" t="s">
        <v>195</v>
      </c>
      <c r="H24" s="8" t="s">
        <v>86</v>
      </c>
      <c r="I24" s="8" t="s">
        <v>101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104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824</v>
      </c>
      <c r="B9" s="12" t="s">
        <v>119</v>
      </c>
      <c r="C9" s="12" t="s">
        <v>825</v>
      </c>
      <c r="D9" s="13" t="s">
        <v>826</v>
      </c>
      <c r="E9" s="12" t="s">
        <v>122</v>
      </c>
      <c r="F9" s="12" t="s">
        <v>123</v>
      </c>
      <c r="G9" s="13" t="s">
        <v>827</v>
      </c>
      <c r="H9" s="12" t="s">
        <v>86</v>
      </c>
      <c r="I9" s="12" t="s">
        <v>101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828</v>
      </c>
      <c r="B10" s="12" t="s">
        <v>126</v>
      </c>
      <c r="C10" s="12" t="s">
        <v>40</v>
      </c>
      <c r="D10" s="13" t="s">
        <v>829</v>
      </c>
      <c r="E10" s="12" t="s">
        <v>122</v>
      </c>
      <c r="F10" s="12" t="s">
        <v>122</v>
      </c>
      <c r="G10" s="13" t="s">
        <v>570</v>
      </c>
      <c r="H10" s="12" t="s">
        <v>86</v>
      </c>
      <c r="I10" s="12" t="s">
        <v>101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830</v>
      </c>
      <c r="B11" s="12" t="s">
        <v>130</v>
      </c>
      <c r="C11" s="12" t="s">
        <v>825</v>
      </c>
      <c r="D11" s="13" t="s">
        <v>831</v>
      </c>
      <c r="E11" s="12" t="s">
        <v>122</v>
      </c>
      <c r="F11" s="12" t="s">
        <v>132</v>
      </c>
      <c r="G11" s="13" t="s">
        <v>832</v>
      </c>
      <c r="H11" s="12" t="s">
        <v>86</v>
      </c>
      <c r="I11" s="12" t="s">
        <v>101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833</v>
      </c>
      <c r="B12" s="12" t="s">
        <v>135</v>
      </c>
      <c r="C12" s="12" t="s">
        <v>825</v>
      </c>
      <c r="D12" s="13" t="s">
        <v>834</v>
      </c>
      <c r="E12" s="12" t="s">
        <v>122</v>
      </c>
      <c r="F12" s="12" t="s">
        <v>137</v>
      </c>
      <c r="G12" s="13" t="s">
        <v>835</v>
      </c>
      <c r="H12" s="12" t="s">
        <v>86</v>
      </c>
      <c r="I12" s="12" t="s">
        <v>101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836</v>
      </c>
      <c r="B13" s="12" t="s">
        <v>140</v>
      </c>
      <c r="C13" s="12" t="s">
        <v>825</v>
      </c>
      <c r="D13" s="13" t="s">
        <v>837</v>
      </c>
      <c r="E13" s="12" t="s">
        <v>122</v>
      </c>
      <c r="F13" s="12" t="s">
        <v>142</v>
      </c>
      <c r="G13" s="13" t="s">
        <v>838</v>
      </c>
      <c r="H13" s="12" t="s">
        <v>86</v>
      </c>
      <c r="I13" s="12" t="s">
        <v>101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839</v>
      </c>
      <c r="B14" s="12" t="s">
        <v>145</v>
      </c>
      <c r="C14" s="12" t="s">
        <v>770</v>
      </c>
      <c r="D14" s="13" t="s">
        <v>840</v>
      </c>
      <c r="E14" s="12" t="s">
        <v>122</v>
      </c>
      <c r="F14" s="12" t="s">
        <v>147</v>
      </c>
      <c r="G14" s="13" t="s">
        <v>841</v>
      </c>
      <c r="H14" s="12" t="s">
        <v>86</v>
      </c>
      <c r="I14" s="12" t="s">
        <v>101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842</v>
      </c>
      <c r="B15" s="12" t="s">
        <v>145</v>
      </c>
      <c r="C15" s="12" t="s">
        <v>843</v>
      </c>
      <c r="D15" s="13" t="s">
        <v>844</v>
      </c>
      <c r="E15" s="12" t="s">
        <v>122</v>
      </c>
      <c r="F15" s="12" t="s">
        <v>147</v>
      </c>
      <c r="G15" s="13" t="s">
        <v>841</v>
      </c>
      <c r="H15" s="12" t="s">
        <v>86</v>
      </c>
      <c r="I15" s="12" t="s">
        <v>101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845</v>
      </c>
      <c r="B16" s="12" t="s">
        <v>150</v>
      </c>
      <c r="C16" s="12" t="s">
        <v>825</v>
      </c>
      <c r="D16" s="13" t="s">
        <v>846</v>
      </c>
      <c r="E16" s="12" t="s">
        <v>122</v>
      </c>
      <c r="F16" s="12" t="s">
        <v>152</v>
      </c>
      <c r="G16" s="13" t="s">
        <v>841</v>
      </c>
      <c r="H16" s="12" t="s">
        <v>86</v>
      </c>
      <c r="I16" s="12" t="s">
        <v>101</v>
      </c>
      <c r="J16" s="14" t="n">
        <v>46228</v>
      </c>
      <c r="K16" s="13" t="s">
        <v>784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847</v>
      </c>
      <c r="B17" s="12" t="s">
        <v>155</v>
      </c>
      <c r="C17" s="12" t="s">
        <v>825</v>
      </c>
      <c r="D17" s="13" t="s">
        <v>848</v>
      </c>
      <c r="E17" s="12" t="s">
        <v>122</v>
      </c>
      <c r="F17" s="12" t="s">
        <v>157</v>
      </c>
      <c r="G17" s="13" t="s">
        <v>849</v>
      </c>
      <c r="H17" s="12" t="s">
        <v>88</v>
      </c>
      <c r="I17" s="12" t="s">
        <v>100</v>
      </c>
      <c r="J17" s="14" t="n">
        <v>46228</v>
      </c>
      <c r="K17" s="13" t="s">
        <v>850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851</v>
      </c>
      <c r="B18" s="12" t="s">
        <v>161</v>
      </c>
      <c r="C18" s="12" t="s">
        <v>825</v>
      </c>
      <c r="D18" s="13" t="s">
        <v>852</v>
      </c>
      <c r="E18" s="12" t="s">
        <v>122</v>
      </c>
      <c r="F18" s="12" t="s">
        <v>163</v>
      </c>
      <c r="G18" s="13" t="s">
        <v>853</v>
      </c>
      <c r="H18" s="12" t="s">
        <v>84</v>
      </c>
      <c r="I18" s="12" t="s">
        <v>100</v>
      </c>
      <c r="J18" s="14"/>
      <c r="K18" s="13" t="s">
        <v>788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854</v>
      </c>
      <c r="B19" s="12" t="s">
        <v>167</v>
      </c>
      <c r="C19" s="12" t="s">
        <v>825</v>
      </c>
      <c r="D19" s="13" t="s">
        <v>855</v>
      </c>
      <c r="E19" s="12" t="s">
        <v>122</v>
      </c>
      <c r="F19" s="12" t="s">
        <v>163</v>
      </c>
      <c r="G19" s="13" t="s">
        <v>856</v>
      </c>
      <c r="H19" s="12" t="s">
        <v>84</v>
      </c>
      <c r="I19" s="12" t="s">
        <v>100</v>
      </c>
      <c r="J19" s="14" t="n">
        <v>46227</v>
      </c>
      <c r="K19" s="13" t="s">
        <v>792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857</v>
      </c>
      <c r="B20" s="12" t="s">
        <v>650</v>
      </c>
      <c r="C20" s="12" t="s">
        <v>825</v>
      </c>
      <c r="D20" s="13" t="s">
        <v>858</v>
      </c>
      <c r="E20" s="12" t="s">
        <v>122</v>
      </c>
      <c r="F20" s="12" t="s">
        <v>147</v>
      </c>
      <c r="G20" s="13" t="s">
        <v>841</v>
      </c>
      <c r="H20" s="12" t="s">
        <v>86</v>
      </c>
      <c r="I20" s="12" t="s">
        <v>101</v>
      </c>
      <c r="J20" s="14" t="n">
        <v>46228</v>
      </c>
      <c r="K20" s="13" t="s">
        <v>797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859</v>
      </c>
      <c r="B21" s="12" t="s">
        <v>175</v>
      </c>
      <c r="C21" s="12" t="s">
        <v>825</v>
      </c>
      <c r="D21" s="13" t="s">
        <v>860</v>
      </c>
      <c r="E21" s="12" t="s">
        <v>122</v>
      </c>
      <c r="F21" s="12" t="s">
        <v>163</v>
      </c>
      <c r="G21" s="13" t="s">
        <v>853</v>
      </c>
      <c r="H21" s="12" t="s">
        <v>84</v>
      </c>
      <c r="I21" s="12" t="s">
        <v>100</v>
      </c>
      <c r="J21" s="14" t="n">
        <v>46227</v>
      </c>
      <c r="K21" s="13" t="s">
        <v>797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861</v>
      </c>
      <c r="B22" s="12" t="s">
        <v>179</v>
      </c>
      <c r="C22" s="12" t="s">
        <v>40</v>
      </c>
      <c r="D22" s="13" t="s">
        <v>862</v>
      </c>
      <c r="E22" s="12" t="s">
        <v>122</v>
      </c>
      <c r="F22" s="12" t="s">
        <v>181</v>
      </c>
      <c r="G22" s="13" t="s">
        <v>863</v>
      </c>
      <c r="H22" s="12" t="s">
        <v>86</v>
      </c>
      <c r="I22" s="12" t="s">
        <v>101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864</v>
      </c>
      <c r="B23" s="12" t="s">
        <v>184</v>
      </c>
      <c r="C23" s="12" t="s">
        <v>40</v>
      </c>
      <c r="D23" s="13" t="s">
        <v>865</v>
      </c>
      <c r="E23" s="12" t="s">
        <v>122</v>
      </c>
      <c r="F23" s="12" t="s">
        <v>181</v>
      </c>
      <c r="G23" s="13" t="s">
        <v>866</v>
      </c>
      <c r="H23" s="12" t="s">
        <v>86</v>
      </c>
      <c r="I23" s="12" t="s">
        <v>101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867</v>
      </c>
      <c r="B24" s="12" t="s">
        <v>188</v>
      </c>
      <c r="C24" s="12" t="s">
        <v>825</v>
      </c>
      <c r="D24" s="13" t="s">
        <v>868</v>
      </c>
      <c r="E24" s="12" t="s">
        <v>190</v>
      </c>
      <c r="F24" s="12" t="s">
        <v>190</v>
      </c>
      <c r="G24" s="13" t="s">
        <v>191</v>
      </c>
      <c r="H24" s="12" t="s">
        <v>86</v>
      </c>
      <c r="I24" s="12" t="s">
        <v>101</v>
      </c>
      <c r="J24" s="14" t="n">
        <v>46228</v>
      </c>
      <c r="K24" s="13" t="s">
        <v>810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869</v>
      </c>
      <c r="B25" s="12" t="s">
        <v>193</v>
      </c>
      <c r="C25" s="12" t="s">
        <v>40</v>
      </c>
      <c r="D25" s="13" t="s">
        <v>870</v>
      </c>
      <c r="E25" s="12" t="s">
        <v>122</v>
      </c>
      <c r="F25" s="12" t="s">
        <v>122</v>
      </c>
      <c r="G25" s="13" t="s">
        <v>871</v>
      </c>
      <c r="H25" s="12" t="s">
        <v>84</v>
      </c>
      <c r="I25" s="12" t="s">
        <v>100</v>
      </c>
      <c r="J25" s="14" t="n">
        <v>46228</v>
      </c>
      <c r="K25" s="13" t="s">
        <v>810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873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104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294</v>
      </c>
      <c r="B9" s="12" t="s">
        <v>119</v>
      </c>
      <c r="C9" s="12" t="s">
        <v>41</v>
      </c>
      <c r="D9" s="13" t="s">
        <v>874</v>
      </c>
      <c r="E9" s="12" t="s">
        <v>122</v>
      </c>
      <c r="F9" s="12" t="s">
        <v>123</v>
      </c>
      <c r="G9" s="13" t="s">
        <v>875</v>
      </c>
      <c r="H9" s="12" t="s">
        <v>86</v>
      </c>
      <c r="I9" s="12" t="s">
        <v>101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296</v>
      </c>
      <c r="B10" s="12" t="s">
        <v>126</v>
      </c>
      <c r="C10" s="12" t="s">
        <v>41</v>
      </c>
      <c r="D10" s="13" t="s">
        <v>876</v>
      </c>
      <c r="E10" s="12" t="s">
        <v>122</v>
      </c>
      <c r="F10" s="12" t="s">
        <v>122</v>
      </c>
      <c r="G10" s="13" t="s">
        <v>570</v>
      </c>
      <c r="H10" s="12" t="s">
        <v>86</v>
      </c>
      <c r="I10" s="12" t="s">
        <v>101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297</v>
      </c>
      <c r="B11" s="12" t="s">
        <v>130</v>
      </c>
      <c r="C11" s="12" t="s">
        <v>41</v>
      </c>
      <c r="D11" s="13" t="s">
        <v>877</v>
      </c>
      <c r="E11" s="12" t="s">
        <v>122</v>
      </c>
      <c r="F11" s="12" t="s">
        <v>132</v>
      </c>
      <c r="G11" s="13" t="s">
        <v>878</v>
      </c>
      <c r="H11" s="12" t="s">
        <v>86</v>
      </c>
      <c r="I11" s="12" t="s">
        <v>101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299</v>
      </c>
      <c r="B12" s="12" t="s">
        <v>135</v>
      </c>
      <c r="C12" s="12" t="s">
        <v>41</v>
      </c>
      <c r="D12" s="13" t="s">
        <v>879</v>
      </c>
      <c r="E12" s="12" t="s">
        <v>122</v>
      </c>
      <c r="F12" s="12" t="s">
        <v>137</v>
      </c>
      <c r="G12" s="13" t="s">
        <v>880</v>
      </c>
      <c r="H12" s="12" t="s">
        <v>86</v>
      </c>
      <c r="I12" s="12" t="s">
        <v>101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301</v>
      </c>
      <c r="B13" s="12" t="s">
        <v>140</v>
      </c>
      <c r="C13" s="12" t="s">
        <v>41</v>
      </c>
      <c r="D13" s="13" t="s">
        <v>881</v>
      </c>
      <c r="E13" s="12" t="s">
        <v>122</v>
      </c>
      <c r="F13" s="12" t="s">
        <v>142</v>
      </c>
      <c r="G13" s="13" t="s">
        <v>882</v>
      </c>
      <c r="H13" s="12" t="s">
        <v>86</v>
      </c>
      <c r="I13" s="12" t="s">
        <v>101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303</v>
      </c>
      <c r="B14" s="12" t="s">
        <v>145</v>
      </c>
      <c r="C14" s="12" t="s">
        <v>41</v>
      </c>
      <c r="D14" s="13" t="s">
        <v>883</v>
      </c>
      <c r="E14" s="12" t="s">
        <v>122</v>
      </c>
      <c r="F14" s="12" t="s">
        <v>147</v>
      </c>
      <c r="G14" s="13" t="s">
        <v>884</v>
      </c>
      <c r="H14" s="12" t="s">
        <v>86</v>
      </c>
      <c r="I14" s="12" t="s">
        <v>101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305</v>
      </c>
      <c r="B15" s="12" t="s">
        <v>150</v>
      </c>
      <c r="C15" s="12" t="s">
        <v>41</v>
      </c>
      <c r="D15" s="13" t="s">
        <v>885</v>
      </c>
      <c r="E15" s="12" t="s">
        <v>122</v>
      </c>
      <c r="F15" s="12" t="s">
        <v>152</v>
      </c>
      <c r="G15" s="13" t="s">
        <v>884</v>
      </c>
      <c r="H15" s="12" t="s">
        <v>86</v>
      </c>
      <c r="I15" s="12" t="s">
        <v>101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307</v>
      </c>
      <c r="B16" s="12" t="s">
        <v>155</v>
      </c>
      <c r="C16" s="12" t="s">
        <v>41</v>
      </c>
      <c r="D16" s="13" t="s">
        <v>886</v>
      </c>
      <c r="E16" s="12" t="s">
        <v>122</v>
      </c>
      <c r="F16" s="12" t="s">
        <v>157</v>
      </c>
      <c r="G16" s="13" t="s">
        <v>887</v>
      </c>
      <c r="H16" s="12" t="s">
        <v>88</v>
      </c>
      <c r="I16" s="12" t="s">
        <v>100</v>
      </c>
      <c r="J16" s="14" t="n">
        <v>46228</v>
      </c>
      <c r="K16" s="13" t="s">
        <v>888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309</v>
      </c>
      <c r="B17" s="12" t="s">
        <v>161</v>
      </c>
      <c r="C17" s="12" t="s">
        <v>41</v>
      </c>
      <c r="D17" s="13" t="s">
        <v>889</v>
      </c>
      <c r="E17" s="12" t="s">
        <v>122</v>
      </c>
      <c r="F17" s="12" t="s">
        <v>163</v>
      </c>
      <c r="G17" s="13" t="s">
        <v>890</v>
      </c>
      <c r="H17" s="12" t="s">
        <v>84</v>
      </c>
      <c r="I17" s="12" t="s">
        <v>100</v>
      </c>
      <c r="J17" s="14"/>
      <c r="K17" s="13" t="s">
        <v>891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311</v>
      </c>
      <c r="B18" s="12" t="s">
        <v>167</v>
      </c>
      <c r="C18" s="12" t="s">
        <v>41</v>
      </c>
      <c r="D18" s="13" t="s">
        <v>892</v>
      </c>
      <c r="E18" s="12" t="s">
        <v>122</v>
      </c>
      <c r="F18" s="12" t="s">
        <v>163</v>
      </c>
      <c r="G18" s="13" t="s">
        <v>893</v>
      </c>
      <c r="H18" s="12" t="s">
        <v>84</v>
      </c>
      <c r="I18" s="12" t="s">
        <v>100</v>
      </c>
      <c r="J18" s="14"/>
      <c r="K18" s="13" t="s">
        <v>792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312</v>
      </c>
      <c r="B19" s="12" t="s">
        <v>650</v>
      </c>
      <c r="C19" s="12" t="s">
        <v>41</v>
      </c>
      <c r="D19" s="13" t="s">
        <v>894</v>
      </c>
      <c r="E19" s="12" t="s">
        <v>122</v>
      </c>
      <c r="F19" s="12" t="s">
        <v>147</v>
      </c>
      <c r="G19" s="13" t="s">
        <v>884</v>
      </c>
      <c r="H19" s="12" t="s">
        <v>86</v>
      </c>
      <c r="I19" s="12" t="s">
        <v>101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314</v>
      </c>
      <c r="B20" s="12" t="s">
        <v>175</v>
      </c>
      <c r="C20" s="12" t="s">
        <v>41</v>
      </c>
      <c r="D20" s="13" t="s">
        <v>895</v>
      </c>
      <c r="E20" s="12" t="s">
        <v>122</v>
      </c>
      <c r="F20" s="12" t="s">
        <v>163</v>
      </c>
      <c r="G20" s="13" t="s">
        <v>890</v>
      </c>
      <c r="H20" s="12" t="s">
        <v>84</v>
      </c>
      <c r="I20" s="12" t="s">
        <v>100</v>
      </c>
      <c r="J20" s="14"/>
      <c r="K20" s="13" t="s">
        <v>896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315</v>
      </c>
      <c r="B21" s="12" t="s">
        <v>179</v>
      </c>
      <c r="C21" s="12" t="s">
        <v>41</v>
      </c>
      <c r="D21" s="13" t="s">
        <v>897</v>
      </c>
      <c r="E21" s="12" t="s">
        <v>122</v>
      </c>
      <c r="F21" s="12" t="s">
        <v>181</v>
      </c>
      <c r="G21" s="13" t="s">
        <v>898</v>
      </c>
      <c r="H21" s="12" t="s">
        <v>86</v>
      </c>
      <c r="I21" s="12" t="s">
        <v>101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317</v>
      </c>
      <c r="B22" s="12" t="s">
        <v>184</v>
      </c>
      <c r="C22" s="12" t="s">
        <v>41</v>
      </c>
      <c r="D22" s="13" t="s">
        <v>899</v>
      </c>
      <c r="E22" s="12" t="s">
        <v>122</v>
      </c>
      <c r="F22" s="12" t="s">
        <v>181</v>
      </c>
      <c r="G22" s="13" t="s">
        <v>900</v>
      </c>
      <c r="H22" s="12" t="s">
        <v>86</v>
      </c>
      <c r="I22" s="12" t="s">
        <v>101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319</v>
      </c>
      <c r="B23" s="12" t="s">
        <v>188</v>
      </c>
      <c r="C23" s="12" t="s">
        <v>41</v>
      </c>
      <c r="D23" s="13" t="s">
        <v>901</v>
      </c>
      <c r="E23" s="12" t="s">
        <v>190</v>
      </c>
      <c r="F23" s="12" t="s">
        <v>190</v>
      </c>
      <c r="G23" s="13" t="s">
        <v>191</v>
      </c>
      <c r="H23" s="12" t="s">
        <v>86</v>
      </c>
      <c r="I23" s="12" t="s">
        <v>101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320</v>
      </c>
      <c r="B24" s="12" t="s">
        <v>610</v>
      </c>
      <c r="C24" s="12" t="s">
        <v>41</v>
      </c>
      <c r="D24" s="13" t="s">
        <v>902</v>
      </c>
      <c r="E24" s="12" t="s">
        <v>122</v>
      </c>
      <c r="F24" s="12" t="s">
        <v>122</v>
      </c>
      <c r="G24" s="13" t="s">
        <v>903</v>
      </c>
      <c r="H24" s="12" t="s">
        <v>86</v>
      </c>
      <c r="I24" s="12" t="s">
        <v>101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904</v>
      </c>
      <c r="B25" s="12" t="s">
        <v>193</v>
      </c>
      <c r="C25" s="12" t="s">
        <v>41</v>
      </c>
      <c r="D25" s="13" t="s">
        <v>905</v>
      </c>
      <c r="E25" s="12" t="s">
        <v>122</v>
      </c>
      <c r="F25" s="12" t="s">
        <v>122</v>
      </c>
      <c r="G25" s="13" t="s">
        <v>906</v>
      </c>
      <c r="H25" s="12" t="s">
        <v>84</v>
      </c>
      <c r="I25" s="12" t="s">
        <v>100</v>
      </c>
      <c r="J25" s="14"/>
      <c r="K25" s="13" t="s">
        <v>810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104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760</v>
      </c>
      <c r="B9" s="12" t="s">
        <v>119</v>
      </c>
      <c r="C9" s="12" t="s">
        <v>42</v>
      </c>
      <c r="D9" s="13" t="s">
        <v>909</v>
      </c>
      <c r="E9" s="12" t="s">
        <v>122</v>
      </c>
      <c r="F9" s="12" t="s">
        <v>123</v>
      </c>
      <c r="G9" s="13" t="s">
        <v>910</v>
      </c>
      <c r="H9" s="12" t="s">
        <v>86</v>
      </c>
      <c r="I9" s="12" t="s">
        <v>101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763</v>
      </c>
      <c r="B10" s="12" t="s">
        <v>126</v>
      </c>
      <c r="C10" s="12" t="s">
        <v>42</v>
      </c>
      <c r="D10" s="13" t="s">
        <v>911</v>
      </c>
      <c r="E10" s="12" t="s">
        <v>122</v>
      </c>
      <c r="F10" s="12" t="s">
        <v>122</v>
      </c>
      <c r="G10" s="13" t="s">
        <v>570</v>
      </c>
      <c r="H10" s="12" t="s">
        <v>86</v>
      </c>
      <c r="I10" s="12" t="s">
        <v>101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766</v>
      </c>
      <c r="B11" s="12" t="s">
        <v>130</v>
      </c>
      <c r="C11" s="12" t="s">
        <v>42</v>
      </c>
      <c r="D11" s="13" t="s">
        <v>912</v>
      </c>
      <c r="E11" s="12" t="s">
        <v>122</v>
      </c>
      <c r="F11" s="12" t="s">
        <v>132</v>
      </c>
      <c r="G11" s="13" t="s">
        <v>913</v>
      </c>
      <c r="H11" s="12" t="s">
        <v>86</v>
      </c>
      <c r="I11" s="12" t="s">
        <v>101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769</v>
      </c>
      <c r="B12" s="12" t="s">
        <v>135</v>
      </c>
      <c r="C12" s="12" t="s">
        <v>42</v>
      </c>
      <c r="D12" s="13" t="s">
        <v>914</v>
      </c>
      <c r="E12" s="12" t="s">
        <v>122</v>
      </c>
      <c r="F12" s="12" t="s">
        <v>137</v>
      </c>
      <c r="G12" s="13" t="s">
        <v>915</v>
      </c>
      <c r="H12" s="12" t="s">
        <v>86</v>
      </c>
      <c r="I12" s="12" t="s">
        <v>101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773</v>
      </c>
      <c r="B13" s="12" t="s">
        <v>140</v>
      </c>
      <c r="C13" s="12" t="s">
        <v>42</v>
      </c>
      <c r="D13" s="13" t="s">
        <v>916</v>
      </c>
      <c r="E13" s="12" t="s">
        <v>122</v>
      </c>
      <c r="F13" s="12" t="s">
        <v>142</v>
      </c>
      <c r="G13" s="13" t="s">
        <v>917</v>
      </c>
      <c r="H13" s="12" t="s">
        <v>86</v>
      </c>
      <c r="I13" s="12" t="s">
        <v>101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776</v>
      </c>
      <c r="B14" s="12" t="s">
        <v>145</v>
      </c>
      <c r="C14" s="12" t="s">
        <v>42</v>
      </c>
      <c r="D14" s="13" t="s">
        <v>918</v>
      </c>
      <c r="E14" s="12" t="s">
        <v>122</v>
      </c>
      <c r="F14" s="12" t="s">
        <v>147</v>
      </c>
      <c r="G14" s="13" t="s">
        <v>919</v>
      </c>
      <c r="H14" s="12" t="s">
        <v>86</v>
      </c>
      <c r="I14" s="12" t="s">
        <v>101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779</v>
      </c>
      <c r="B15" s="12" t="s">
        <v>150</v>
      </c>
      <c r="C15" s="12" t="s">
        <v>42</v>
      </c>
      <c r="D15" s="13" t="s">
        <v>920</v>
      </c>
      <c r="E15" s="12" t="s">
        <v>122</v>
      </c>
      <c r="F15" s="12" t="s">
        <v>152</v>
      </c>
      <c r="G15" s="13" t="s">
        <v>919</v>
      </c>
      <c r="H15" s="12" t="s">
        <v>86</v>
      </c>
      <c r="I15" s="12" t="s">
        <v>101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781</v>
      </c>
      <c r="B16" s="12" t="s">
        <v>155</v>
      </c>
      <c r="C16" s="12" t="s">
        <v>42</v>
      </c>
      <c r="D16" s="13" t="s">
        <v>921</v>
      </c>
      <c r="E16" s="12" t="s">
        <v>122</v>
      </c>
      <c r="F16" s="12" t="s">
        <v>157</v>
      </c>
      <c r="G16" s="13" t="s">
        <v>922</v>
      </c>
      <c r="H16" s="12" t="s">
        <v>88</v>
      </c>
      <c r="I16" s="12" t="s">
        <v>100</v>
      </c>
      <c r="J16" s="14" t="n">
        <v>46228</v>
      </c>
      <c r="K16" s="13" t="s">
        <v>923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785</v>
      </c>
      <c r="B17" s="12" t="s">
        <v>161</v>
      </c>
      <c r="C17" s="12" t="s">
        <v>42</v>
      </c>
      <c r="D17" s="13" t="s">
        <v>924</v>
      </c>
      <c r="E17" s="12" t="s">
        <v>122</v>
      </c>
      <c r="F17" s="12" t="s">
        <v>163</v>
      </c>
      <c r="G17" s="13" t="s">
        <v>925</v>
      </c>
      <c r="H17" s="12" t="s">
        <v>84</v>
      </c>
      <c r="I17" s="12" t="s">
        <v>100</v>
      </c>
      <c r="J17" s="14"/>
      <c r="K17" s="13" t="s">
        <v>891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789</v>
      </c>
      <c r="B18" s="12" t="s">
        <v>167</v>
      </c>
      <c r="C18" s="12" t="s">
        <v>42</v>
      </c>
      <c r="D18" s="13" t="s">
        <v>926</v>
      </c>
      <c r="E18" s="12" t="s">
        <v>122</v>
      </c>
      <c r="F18" s="12" t="s">
        <v>163</v>
      </c>
      <c r="G18" s="13" t="s">
        <v>927</v>
      </c>
      <c r="H18" s="12" t="s">
        <v>84</v>
      </c>
      <c r="I18" s="12" t="s">
        <v>100</v>
      </c>
      <c r="J18" s="14"/>
      <c r="K18" s="13" t="s">
        <v>792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793</v>
      </c>
      <c r="B19" s="12" t="s">
        <v>650</v>
      </c>
      <c r="C19" s="12" t="s">
        <v>42</v>
      </c>
      <c r="D19" s="13" t="s">
        <v>928</v>
      </c>
      <c r="E19" s="12" t="s">
        <v>122</v>
      </c>
      <c r="F19" s="12" t="s">
        <v>147</v>
      </c>
      <c r="G19" s="13" t="s">
        <v>919</v>
      </c>
      <c r="H19" s="12" t="s">
        <v>86</v>
      </c>
      <c r="I19" s="12" t="s">
        <v>101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795</v>
      </c>
      <c r="B20" s="12" t="s">
        <v>175</v>
      </c>
      <c r="C20" s="12" t="s">
        <v>42</v>
      </c>
      <c r="D20" s="13" t="s">
        <v>929</v>
      </c>
      <c r="E20" s="12" t="s">
        <v>122</v>
      </c>
      <c r="F20" s="12" t="s">
        <v>163</v>
      </c>
      <c r="G20" s="13" t="s">
        <v>925</v>
      </c>
      <c r="H20" s="12" t="s">
        <v>84</v>
      </c>
      <c r="I20" s="12" t="s">
        <v>100</v>
      </c>
      <c r="J20" s="14"/>
      <c r="K20" s="13" t="s">
        <v>896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798</v>
      </c>
      <c r="B21" s="12" t="s">
        <v>179</v>
      </c>
      <c r="C21" s="12" t="s">
        <v>42</v>
      </c>
      <c r="D21" s="13" t="s">
        <v>930</v>
      </c>
      <c r="E21" s="12" t="s">
        <v>122</v>
      </c>
      <c r="F21" s="12" t="s">
        <v>181</v>
      </c>
      <c r="G21" s="13" t="s">
        <v>931</v>
      </c>
      <c r="H21" s="12" t="s">
        <v>86</v>
      </c>
      <c r="I21" s="12" t="s">
        <v>101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801</v>
      </c>
      <c r="B22" s="12" t="s">
        <v>184</v>
      </c>
      <c r="C22" s="12" t="s">
        <v>42</v>
      </c>
      <c r="D22" s="13" t="s">
        <v>932</v>
      </c>
      <c r="E22" s="12" t="s">
        <v>122</v>
      </c>
      <c r="F22" s="12" t="s">
        <v>181</v>
      </c>
      <c r="G22" s="13" t="s">
        <v>933</v>
      </c>
      <c r="H22" s="12" t="s">
        <v>86</v>
      </c>
      <c r="I22" s="12" t="s">
        <v>101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804</v>
      </c>
      <c r="B23" s="12" t="s">
        <v>188</v>
      </c>
      <c r="C23" s="12" t="s">
        <v>42</v>
      </c>
      <c r="D23" s="13" t="s">
        <v>934</v>
      </c>
      <c r="E23" s="12" t="s">
        <v>190</v>
      </c>
      <c r="F23" s="12" t="s">
        <v>190</v>
      </c>
      <c r="G23" s="13" t="s">
        <v>191</v>
      </c>
      <c r="H23" s="12" t="s">
        <v>86</v>
      </c>
      <c r="I23" s="12" t="s">
        <v>101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807</v>
      </c>
      <c r="B24" s="12" t="s">
        <v>610</v>
      </c>
      <c r="C24" s="12" t="s">
        <v>42</v>
      </c>
      <c r="D24" s="13" t="s">
        <v>935</v>
      </c>
      <c r="E24" s="12" t="s">
        <v>122</v>
      </c>
      <c r="F24" s="12" t="s">
        <v>122</v>
      </c>
      <c r="G24" s="13" t="s">
        <v>936</v>
      </c>
      <c r="H24" s="12" t="s">
        <v>86</v>
      </c>
      <c r="I24" s="12" t="s">
        <v>101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937</v>
      </c>
      <c r="B25" s="12" t="s">
        <v>193</v>
      </c>
      <c r="C25" s="12" t="s">
        <v>42</v>
      </c>
      <c r="D25" s="13" t="s">
        <v>938</v>
      </c>
      <c r="E25" s="12" t="s">
        <v>122</v>
      </c>
      <c r="F25" s="12" t="s">
        <v>122</v>
      </c>
      <c r="G25" s="13" t="s">
        <v>939</v>
      </c>
      <c r="H25" s="12" t="s">
        <v>84</v>
      </c>
      <c r="I25" s="12" t="s">
        <v>100</v>
      </c>
      <c r="J25" s="14"/>
      <c r="K25" s="13" t="s">
        <v>810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941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104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363</v>
      </c>
      <c r="B9" s="12" t="s">
        <v>119</v>
      </c>
      <c r="C9" s="12" t="s">
        <v>43</v>
      </c>
      <c r="D9" s="13" t="s">
        <v>942</v>
      </c>
      <c r="E9" s="12" t="s">
        <v>122</v>
      </c>
      <c r="F9" s="12" t="s">
        <v>123</v>
      </c>
      <c r="G9" s="13" t="s">
        <v>943</v>
      </c>
      <c r="H9" s="12" t="s">
        <v>86</v>
      </c>
      <c r="I9" s="12" t="s">
        <v>101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365</v>
      </c>
      <c r="B10" s="12" t="s">
        <v>126</v>
      </c>
      <c r="C10" s="12" t="s">
        <v>43</v>
      </c>
      <c r="D10" s="13" t="s">
        <v>944</v>
      </c>
      <c r="E10" s="12" t="s">
        <v>122</v>
      </c>
      <c r="F10" s="12" t="s">
        <v>122</v>
      </c>
      <c r="G10" s="13" t="s">
        <v>570</v>
      </c>
      <c r="H10" s="12" t="s">
        <v>86</v>
      </c>
      <c r="I10" s="12" t="s">
        <v>101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366</v>
      </c>
      <c r="B11" s="12" t="s">
        <v>130</v>
      </c>
      <c r="C11" s="12" t="s">
        <v>43</v>
      </c>
      <c r="D11" s="13" t="s">
        <v>945</v>
      </c>
      <c r="E11" s="12" t="s">
        <v>122</v>
      </c>
      <c r="F11" s="12" t="s">
        <v>132</v>
      </c>
      <c r="G11" s="13" t="s">
        <v>946</v>
      </c>
      <c r="H11" s="12" t="s">
        <v>86</v>
      </c>
      <c r="I11" s="12" t="s">
        <v>101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368</v>
      </c>
      <c r="B12" s="12" t="s">
        <v>135</v>
      </c>
      <c r="C12" s="12" t="s">
        <v>43</v>
      </c>
      <c r="D12" s="13" t="s">
        <v>947</v>
      </c>
      <c r="E12" s="12" t="s">
        <v>122</v>
      </c>
      <c r="F12" s="12" t="s">
        <v>137</v>
      </c>
      <c r="G12" s="13" t="s">
        <v>948</v>
      </c>
      <c r="H12" s="12" t="s">
        <v>86</v>
      </c>
      <c r="I12" s="12" t="s">
        <v>101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370</v>
      </c>
      <c r="B13" s="12" t="s">
        <v>140</v>
      </c>
      <c r="C13" s="12" t="s">
        <v>43</v>
      </c>
      <c r="D13" s="13" t="s">
        <v>949</v>
      </c>
      <c r="E13" s="12" t="s">
        <v>122</v>
      </c>
      <c r="F13" s="12" t="s">
        <v>142</v>
      </c>
      <c r="G13" s="13" t="s">
        <v>950</v>
      </c>
      <c r="H13" s="12" t="s">
        <v>86</v>
      </c>
      <c r="I13" s="12" t="s">
        <v>101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372</v>
      </c>
      <c r="B14" s="12" t="s">
        <v>145</v>
      </c>
      <c r="C14" s="12" t="s">
        <v>43</v>
      </c>
      <c r="D14" s="13" t="s">
        <v>951</v>
      </c>
      <c r="E14" s="12" t="s">
        <v>122</v>
      </c>
      <c r="F14" s="12" t="s">
        <v>147</v>
      </c>
      <c r="G14" s="13" t="s">
        <v>952</v>
      </c>
      <c r="H14" s="12" t="s">
        <v>86</v>
      </c>
      <c r="I14" s="12" t="s">
        <v>101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374</v>
      </c>
      <c r="B15" s="12" t="s">
        <v>150</v>
      </c>
      <c r="C15" s="12" t="s">
        <v>43</v>
      </c>
      <c r="D15" s="13" t="s">
        <v>953</v>
      </c>
      <c r="E15" s="12" t="s">
        <v>122</v>
      </c>
      <c r="F15" s="12" t="s">
        <v>152</v>
      </c>
      <c r="G15" s="13" t="s">
        <v>952</v>
      </c>
      <c r="H15" s="12" t="s">
        <v>86</v>
      </c>
      <c r="I15" s="12" t="s">
        <v>101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376</v>
      </c>
      <c r="B16" s="12" t="s">
        <v>155</v>
      </c>
      <c r="C16" s="12" t="s">
        <v>43</v>
      </c>
      <c r="D16" s="13" t="s">
        <v>954</v>
      </c>
      <c r="E16" s="12" t="s">
        <v>122</v>
      </c>
      <c r="F16" s="12" t="s">
        <v>157</v>
      </c>
      <c r="G16" s="13" t="s">
        <v>955</v>
      </c>
      <c r="H16" s="12" t="s">
        <v>88</v>
      </c>
      <c r="I16" s="12" t="s">
        <v>100</v>
      </c>
      <c r="J16" s="14" t="n">
        <v>46228</v>
      </c>
      <c r="K16" s="13" t="s">
        <v>956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378</v>
      </c>
      <c r="B17" s="12" t="s">
        <v>161</v>
      </c>
      <c r="C17" s="12" t="s">
        <v>43</v>
      </c>
      <c r="D17" s="13" t="s">
        <v>957</v>
      </c>
      <c r="E17" s="12" t="s">
        <v>122</v>
      </c>
      <c r="F17" s="12" t="s">
        <v>163</v>
      </c>
      <c r="G17" s="13" t="s">
        <v>958</v>
      </c>
      <c r="H17" s="12" t="s">
        <v>84</v>
      </c>
      <c r="I17" s="12" t="s">
        <v>100</v>
      </c>
      <c r="J17" s="14"/>
      <c r="K17" s="13" t="s">
        <v>891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380</v>
      </c>
      <c r="B18" s="12" t="s">
        <v>167</v>
      </c>
      <c r="C18" s="12" t="s">
        <v>43</v>
      </c>
      <c r="D18" s="13" t="s">
        <v>959</v>
      </c>
      <c r="E18" s="12" t="s">
        <v>122</v>
      </c>
      <c r="F18" s="12" t="s">
        <v>163</v>
      </c>
      <c r="G18" s="13" t="s">
        <v>960</v>
      </c>
      <c r="H18" s="12" t="s">
        <v>84</v>
      </c>
      <c r="I18" s="12" t="s">
        <v>100</v>
      </c>
      <c r="J18" s="14"/>
      <c r="K18" s="13" t="s">
        <v>792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381</v>
      </c>
      <c r="B19" s="12" t="s">
        <v>650</v>
      </c>
      <c r="C19" s="12" t="s">
        <v>43</v>
      </c>
      <c r="D19" s="13" t="s">
        <v>961</v>
      </c>
      <c r="E19" s="12" t="s">
        <v>122</v>
      </c>
      <c r="F19" s="12" t="s">
        <v>147</v>
      </c>
      <c r="G19" s="13" t="s">
        <v>952</v>
      </c>
      <c r="H19" s="12" t="s">
        <v>86</v>
      </c>
      <c r="I19" s="12" t="s">
        <v>101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383</v>
      </c>
      <c r="B20" s="12" t="s">
        <v>175</v>
      </c>
      <c r="C20" s="12" t="s">
        <v>43</v>
      </c>
      <c r="D20" s="13" t="s">
        <v>962</v>
      </c>
      <c r="E20" s="12" t="s">
        <v>122</v>
      </c>
      <c r="F20" s="12" t="s">
        <v>163</v>
      </c>
      <c r="G20" s="13" t="s">
        <v>958</v>
      </c>
      <c r="H20" s="12" t="s">
        <v>84</v>
      </c>
      <c r="I20" s="12" t="s">
        <v>100</v>
      </c>
      <c r="J20" s="14"/>
      <c r="K20" s="13" t="s">
        <v>896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384</v>
      </c>
      <c r="B21" s="12" t="s">
        <v>179</v>
      </c>
      <c r="C21" s="12" t="s">
        <v>43</v>
      </c>
      <c r="D21" s="13" t="s">
        <v>963</v>
      </c>
      <c r="E21" s="12" t="s">
        <v>122</v>
      </c>
      <c r="F21" s="12" t="s">
        <v>181</v>
      </c>
      <c r="G21" s="13" t="s">
        <v>964</v>
      </c>
      <c r="H21" s="12" t="s">
        <v>86</v>
      </c>
      <c r="I21" s="12" t="s">
        <v>101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386</v>
      </c>
      <c r="B22" s="12" t="s">
        <v>184</v>
      </c>
      <c r="C22" s="12" t="s">
        <v>43</v>
      </c>
      <c r="D22" s="13" t="s">
        <v>965</v>
      </c>
      <c r="E22" s="12" t="s">
        <v>122</v>
      </c>
      <c r="F22" s="12" t="s">
        <v>181</v>
      </c>
      <c r="G22" s="13" t="s">
        <v>966</v>
      </c>
      <c r="H22" s="12" t="s">
        <v>86</v>
      </c>
      <c r="I22" s="12" t="s">
        <v>101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388</v>
      </c>
      <c r="B23" s="12" t="s">
        <v>188</v>
      </c>
      <c r="C23" s="12" t="s">
        <v>43</v>
      </c>
      <c r="D23" s="13" t="s">
        <v>967</v>
      </c>
      <c r="E23" s="12" t="s">
        <v>190</v>
      </c>
      <c r="F23" s="12" t="s">
        <v>190</v>
      </c>
      <c r="G23" s="13" t="s">
        <v>191</v>
      </c>
      <c r="H23" s="12" t="s">
        <v>86</v>
      </c>
      <c r="I23" s="12" t="s">
        <v>101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389</v>
      </c>
      <c r="B24" s="12" t="s">
        <v>610</v>
      </c>
      <c r="C24" s="12" t="s">
        <v>43</v>
      </c>
      <c r="D24" s="13" t="s">
        <v>968</v>
      </c>
      <c r="E24" s="12" t="s">
        <v>122</v>
      </c>
      <c r="F24" s="12" t="s">
        <v>122</v>
      </c>
      <c r="G24" s="13" t="s">
        <v>969</v>
      </c>
      <c r="H24" s="12" t="s">
        <v>86</v>
      </c>
      <c r="I24" s="12" t="s">
        <v>101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970</v>
      </c>
      <c r="B25" s="12" t="s">
        <v>193</v>
      </c>
      <c r="C25" s="12" t="s">
        <v>43</v>
      </c>
      <c r="D25" s="13" t="s">
        <v>971</v>
      </c>
      <c r="E25" s="12" t="s">
        <v>122</v>
      </c>
      <c r="F25" s="12" t="s">
        <v>122</v>
      </c>
      <c r="G25" s="13" t="s">
        <v>972</v>
      </c>
      <c r="H25" s="12" t="s">
        <v>84</v>
      </c>
      <c r="I25" s="12" t="s">
        <v>100</v>
      </c>
      <c r="J25" s="14"/>
      <c r="K25" s="13" t="s">
        <v>810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104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975</v>
      </c>
      <c r="B9" s="12" t="s">
        <v>119</v>
      </c>
      <c r="C9" s="12" t="s">
        <v>44</v>
      </c>
      <c r="D9" s="13" t="s">
        <v>976</v>
      </c>
      <c r="E9" s="12" t="s">
        <v>122</v>
      </c>
      <c r="F9" s="12" t="s">
        <v>123</v>
      </c>
      <c r="G9" s="13" t="s">
        <v>977</v>
      </c>
      <c r="H9" s="12" t="s">
        <v>86</v>
      </c>
      <c r="I9" s="12" t="s">
        <v>101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978</v>
      </c>
      <c r="B10" s="12" t="s">
        <v>126</v>
      </c>
      <c r="C10" s="12" t="s">
        <v>44</v>
      </c>
      <c r="D10" s="13" t="s">
        <v>979</v>
      </c>
      <c r="E10" s="12" t="s">
        <v>122</v>
      </c>
      <c r="F10" s="12" t="s">
        <v>122</v>
      </c>
      <c r="G10" s="13" t="s">
        <v>570</v>
      </c>
      <c r="H10" s="12" t="s">
        <v>86</v>
      </c>
      <c r="I10" s="12" t="s">
        <v>101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980</v>
      </c>
      <c r="B11" s="12" t="s">
        <v>130</v>
      </c>
      <c r="C11" s="12" t="s">
        <v>44</v>
      </c>
      <c r="D11" s="13" t="s">
        <v>981</v>
      </c>
      <c r="E11" s="12" t="s">
        <v>122</v>
      </c>
      <c r="F11" s="12" t="s">
        <v>132</v>
      </c>
      <c r="G11" s="13" t="s">
        <v>982</v>
      </c>
      <c r="H11" s="12" t="s">
        <v>86</v>
      </c>
      <c r="I11" s="12" t="s">
        <v>101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983</v>
      </c>
      <c r="B12" s="12" t="s">
        <v>135</v>
      </c>
      <c r="C12" s="12" t="s">
        <v>44</v>
      </c>
      <c r="D12" s="13" t="s">
        <v>984</v>
      </c>
      <c r="E12" s="12" t="s">
        <v>122</v>
      </c>
      <c r="F12" s="12" t="s">
        <v>137</v>
      </c>
      <c r="G12" s="13" t="s">
        <v>985</v>
      </c>
      <c r="H12" s="12" t="s">
        <v>86</v>
      </c>
      <c r="I12" s="12" t="s">
        <v>101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986</v>
      </c>
      <c r="B13" s="12" t="s">
        <v>140</v>
      </c>
      <c r="C13" s="12" t="s">
        <v>44</v>
      </c>
      <c r="D13" s="13" t="s">
        <v>987</v>
      </c>
      <c r="E13" s="12" t="s">
        <v>122</v>
      </c>
      <c r="F13" s="12" t="s">
        <v>142</v>
      </c>
      <c r="G13" s="13" t="s">
        <v>988</v>
      </c>
      <c r="H13" s="12" t="s">
        <v>86</v>
      </c>
      <c r="I13" s="12" t="s">
        <v>101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989</v>
      </c>
      <c r="B14" s="12" t="s">
        <v>145</v>
      </c>
      <c r="C14" s="12" t="s">
        <v>44</v>
      </c>
      <c r="D14" s="13" t="s">
        <v>990</v>
      </c>
      <c r="E14" s="12" t="s">
        <v>122</v>
      </c>
      <c r="F14" s="12" t="s">
        <v>147</v>
      </c>
      <c r="G14" s="13" t="s">
        <v>991</v>
      </c>
      <c r="H14" s="12" t="s">
        <v>86</v>
      </c>
      <c r="I14" s="12" t="s">
        <v>101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992</v>
      </c>
      <c r="B15" s="12" t="s">
        <v>150</v>
      </c>
      <c r="C15" s="12" t="s">
        <v>44</v>
      </c>
      <c r="D15" s="13" t="s">
        <v>993</v>
      </c>
      <c r="E15" s="12" t="s">
        <v>122</v>
      </c>
      <c r="F15" s="12" t="s">
        <v>152</v>
      </c>
      <c r="G15" s="13" t="s">
        <v>991</v>
      </c>
      <c r="H15" s="12" t="s">
        <v>86</v>
      </c>
      <c r="I15" s="12" t="s">
        <v>101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994</v>
      </c>
      <c r="B16" s="12" t="s">
        <v>155</v>
      </c>
      <c r="C16" s="12" t="s">
        <v>44</v>
      </c>
      <c r="D16" s="13" t="s">
        <v>995</v>
      </c>
      <c r="E16" s="12" t="s">
        <v>122</v>
      </c>
      <c r="F16" s="12" t="s">
        <v>157</v>
      </c>
      <c r="G16" s="13" t="s">
        <v>996</v>
      </c>
      <c r="H16" s="12" t="s">
        <v>88</v>
      </c>
      <c r="I16" s="12" t="s">
        <v>100</v>
      </c>
      <c r="J16" s="14" t="n">
        <v>46228</v>
      </c>
      <c r="K16" s="13" t="s">
        <v>997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998</v>
      </c>
      <c r="B17" s="12" t="s">
        <v>161</v>
      </c>
      <c r="C17" s="12" t="s">
        <v>44</v>
      </c>
      <c r="D17" s="13" t="s">
        <v>999</v>
      </c>
      <c r="E17" s="12" t="s">
        <v>122</v>
      </c>
      <c r="F17" s="12" t="s">
        <v>163</v>
      </c>
      <c r="G17" s="13" t="s">
        <v>1000</v>
      </c>
      <c r="H17" s="12" t="s">
        <v>84</v>
      </c>
      <c r="I17" s="12" t="s">
        <v>100</v>
      </c>
      <c r="J17" s="14"/>
      <c r="K17" s="13" t="s">
        <v>891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1001</v>
      </c>
      <c r="B18" s="12" t="s">
        <v>167</v>
      </c>
      <c r="C18" s="12" t="s">
        <v>44</v>
      </c>
      <c r="D18" s="13" t="s">
        <v>1002</v>
      </c>
      <c r="E18" s="12" t="s">
        <v>122</v>
      </c>
      <c r="F18" s="12" t="s">
        <v>163</v>
      </c>
      <c r="G18" s="13" t="s">
        <v>1003</v>
      </c>
      <c r="H18" s="12" t="s">
        <v>84</v>
      </c>
      <c r="I18" s="12" t="s">
        <v>100</v>
      </c>
      <c r="J18" s="14"/>
      <c r="K18" s="13" t="s">
        <v>792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1004</v>
      </c>
      <c r="B19" s="12" t="s">
        <v>650</v>
      </c>
      <c r="C19" s="12" t="s">
        <v>44</v>
      </c>
      <c r="D19" s="13" t="s">
        <v>1005</v>
      </c>
      <c r="E19" s="12" t="s">
        <v>122</v>
      </c>
      <c r="F19" s="12" t="s">
        <v>147</v>
      </c>
      <c r="G19" s="13" t="s">
        <v>991</v>
      </c>
      <c r="H19" s="12" t="s">
        <v>86</v>
      </c>
      <c r="I19" s="12" t="s">
        <v>101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1006</v>
      </c>
      <c r="B20" s="12" t="s">
        <v>175</v>
      </c>
      <c r="C20" s="12" t="s">
        <v>44</v>
      </c>
      <c r="D20" s="13" t="s">
        <v>1007</v>
      </c>
      <c r="E20" s="12" t="s">
        <v>122</v>
      </c>
      <c r="F20" s="12" t="s">
        <v>163</v>
      </c>
      <c r="G20" s="13" t="s">
        <v>1000</v>
      </c>
      <c r="H20" s="12" t="s">
        <v>84</v>
      </c>
      <c r="I20" s="12" t="s">
        <v>100</v>
      </c>
      <c r="J20" s="14"/>
      <c r="K20" s="13" t="s">
        <v>896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1008</v>
      </c>
      <c r="B21" s="12" t="s">
        <v>179</v>
      </c>
      <c r="C21" s="12" t="s">
        <v>44</v>
      </c>
      <c r="D21" s="13" t="s">
        <v>1009</v>
      </c>
      <c r="E21" s="12" t="s">
        <v>122</v>
      </c>
      <c r="F21" s="12" t="s">
        <v>181</v>
      </c>
      <c r="G21" s="13" t="s">
        <v>1010</v>
      </c>
      <c r="H21" s="12" t="s">
        <v>86</v>
      </c>
      <c r="I21" s="12" t="s">
        <v>101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1011</v>
      </c>
      <c r="B22" s="12" t="s">
        <v>184</v>
      </c>
      <c r="C22" s="12" t="s">
        <v>44</v>
      </c>
      <c r="D22" s="13" t="s">
        <v>1012</v>
      </c>
      <c r="E22" s="12" t="s">
        <v>122</v>
      </c>
      <c r="F22" s="12" t="s">
        <v>181</v>
      </c>
      <c r="G22" s="13" t="s">
        <v>1013</v>
      </c>
      <c r="H22" s="12" t="s">
        <v>86</v>
      </c>
      <c r="I22" s="12" t="s">
        <v>101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1014</v>
      </c>
      <c r="B23" s="12" t="s">
        <v>188</v>
      </c>
      <c r="C23" s="12" t="s">
        <v>44</v>
      </c>
      <c r="D23" s="13" t="s">
        <v>1015</v>
      </c>
      <c r="E23" s="12" t="s">
        <v>190</v>
      </c>
      <c r="F23" s="12" t="s">
        <v>190</v>
      </c>
      <c r="G23" s="13" t="s">
        <v>191</v>
      </c>
      <c r="H23" s="12" t="s">
        <v>86</v>
      </c>
      <c r="I23" s="12" t="s">
        <v>101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1016</v>
      </c>
      <c r="B24" s="12" t="s">
        <v>610</v>
      </c>
      <c r="C24" s="12" t="s">
        <v>44</v>
      </c>
      <c r="D24" s="13" t="s">
        <v>1017</v>
      </c>
      <c r="E24" s="12" t="s">
        <v>122</v>
      </c>
      <c r="F24" s="12" t="s">
        <v>122</v>
      </c>
      <c r="G24" s="13" t="s">
        <v>1018</v>
      </c>
      <c r="H24" s="12" t="s">
        <v>86</v>
      </c>
      <c r="I24" s="12" t="s">
        <v>101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1019</v>
      </c>
      <c r="B25" s="12" t="s">
        <v>193</v>
      </c>
      <c r="C25" s="12" t="s">
        <v>44</v>
      </c>
      <c r="D25" s="13" t="s">
        <v>1020</v>
      </c>
      <c r="E25" s="12" t="s">
        <v>122</v>
      </c>
      <c r="F25" s="12" t="s">
        <v>122</v>
      </c>
      <c r="G25" s="13" t="s">
        <v>1021</v>
      </c>
      <c r="H25" s="12" t="s">
        <v>84</v>
      </c>
      <c r="I25" s="12" t="s">
        <v>100</v>
      </c>
      <c r="J25" s="14"/>
      <c r="K25" s="13" t="s">
        <v>1022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15</v>
      </c>
      <c r="D4" s="5" t="s">
        <v>104</v>
      </c>
      <c r="E4" s="6" t="n">
        <f aca="false">SUM(M9:M25)</f>
        <v>11</v>
      </c>
      <c r="G4" s="5" t="s">
        <v>13</v>
      </c>
      <c r="H4" s="7" t="n">
        <f aca="false">IF(B4=0,0,E4/B4)</f>
        <v>0.733333333333333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1025</v>
      </c>
      <c r="B9" s="12" t="s">
        <v>119</v>
      </c>
      <c r="C9" s="12" t="s">
        <v>45</v>
      </c>
      <c r="D9" s="13" t="s">
        <v>1026</v>
      </c>
      <c r="E9" s="12" t="s">
        <v>122</v>
      </c>
      <c r="F9" s="12" t="s">
        <v>123</v>
      </c>
      <c r="G9" s="13" t="s">
        <v>1027</v>
      </c>
      <c r="H9" s="12" t="s">
        <v>86</v>
      </c>
      <c r="I9" s="12" t="s">
        <v>101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1028</v>
      </c>
      <c r="B10" s="12" t="s">
        <v>126</v>
      </c>
      <c r="C10" s="12" t="s">
        <v>45</v>
      </c>
      <c r="D10" s="13" t="s">
        <v>1029</v>
      </c>
      <c r="E10" s="12" t="s">
        <v>122</v>
      </c>
      <c r="F10" s="12" t="s">
        <v>122</v>
      </c>
      <c r="G10" s="13" t="s">
        <v>570</v>
      </c>
      <c r="H10" s="12" t="s">
        <v>86</v>
      </c>
      <c r="I10" s="12" t="s">
        <v>101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1030</v>
      </c>
      <c r="B11" s="12" t="s">
        <v>130</v>
      </c>
      <c r="C11" s="12" t="s">
        <v>45</v>
      </c>
      <c r="D11" s="13" t="s">
        <v>1031</v>
      </c>
      <c r="E11" s="12" t="s">
        <v>122</v>
      </c>
      <c r="F11" s="12" t="s">
        <v>132</v>
      </c>
      <c r="G11" s="13" t="s">
        <v>1032</v>
      </c>
      <c r="H11" s="12" t="s">
        <v>86</v>
      </c>
      <c r="I11" s="12" t="s">
        <v>101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1033</v>
      </c>
      <c r="B12" s="12" t="s">
        <v>135</v>
      </c>
      <c r="C12" s="12" t="s">
        <v>45</v>
      </c>
      <c r="D12" s="13" t="s">
        <v>1034</v>
      </c>
      <c r="E12" s="12" t="s">
        <v>122</v>
      </c>
      <c r="F12" s="12" t="s">
        <v>137</v>
      </c>
      <c r="G12" s="13" t="s">
        <v>1035</v>
      </c>
      <c r="H12" s="12" t="s">
        <v>86</v>
      </c>
      <c r="I12" s="12" t="s">
        <v>101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1036</v>
      </c>
      <c r="B13" s="12" t="s">
        <v>140</v>
      </c>
      <c r="C13" s="12" t="s">
        <v>45</v>
      </c>
      <c r="D13" s="13" t="s">
        <v>1037</v>
      </c>
      <c r="E13" s="12" t="s">
        <v>122</v>
      </c>
      <c r="F13" s="12" t="s">
        <v>142</v>
      </c>
      <c r="G13" s="13" t="s">
        <v>1038</v>
      </c>
      <c r="H13" s="12" t="s">
        <v>86</v>
      </c>
      <c r="I13" s="12" t="s">
        <v>101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1039</v>
      </c>
      <c r="B14" s="12" t="s">
        <v>145</v>
      </c>
      <c r="C14" s="12" t="s">
        <v>45</v>
      </c>
      <c r="D14" s="13" t="s">
        <v>1040</v>
      </c>
      <c r="E14" s="12" t="s">
        <v>122</v>
      </c>
      <c r="F14" s="12" t="s">
        <v>147</v>
      </c>
      <c r="G14" s="13" t="s">
        <v>1041</v>
      </c>
      <c r="H14" s="12" t="s">
        <v>86</v>
      </c>
      <c r="I14" s="12" t="s">
        <v>101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1042</v>
      </c>
      <c r="B15" s="12" t="s">
        <v>150</v>
      </c>
      <c r="C15" s="12" t="s">
        <v>45</v>
      </c>
      <c r="D15" s="13" t="s">
        <v>1043</v>
      </c>
      <c r="E15" s="12" t="s">
        <v>122</v>
      </c>
      <c r="F15" s="12" t="s">
        <v>152</v>
      </c>
      <c r="G15" s="13" t="s">
        <v>1041</v>
      </c>
      <c r="H15" s="12" t="s">
        <v>86</v>
      </c>
      <c r="I15" s="12" t="s">
        <v>101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1044</v>
      </c>
      <c r="B16" s="12" t="s">
        <v>155</v>
      </c>
      <c r="C16" s="12" t="s">
        <v>45</v>
      </c>
      <c r="D16" s="13" t="s">
        <v>1045</v>
      </c>
      <c r="E16" s="12" t="s">
        <v>122</v>
      </c>
      <c r="F16" s="12" t="s">
        <v>157</v>
      </c>
      <c r="G16" s="13" t="s">
        <v>1046</v>
      </c>
      <c r="H16" s="12" t="s">
        <v>84</v>
      </c>
      <c r="I16" s="12" t="s">
        <v>100</v>
      </c>
      <c r="J16" s="14" t="n">
        <v>46228</v>
      </c>
      <c r="K16" s="13" t="s">
        <v>1047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1048</v>
      </c>
      <c r="B17" s="12" t="s">
        <v>161</v>
      </c>
      <c r="C17" s="12" t="s">
        <v>45</v>
      </c>
      <c r="D17" s="13" t="s">
        <v>1049</v>
      </c>
      <c r="E17" s="12" t="s">
        <v>122</v>
      </c>
      <c r="F17" s="12" t="s">
        <v>163</v>
      </c>
      <c r="G17" s="13" t="s">
        <v>1050</v>
      </c>
      <c r="H17" s="12" t="s">
        <v>84</v>
      </c>
      <c r="I17" s="12" t="s">
        <v>100</v>
      </c>
      <c r="J17" s="14"/>
      <c r="K17" s="13" t="s">
        <v>1051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1052</v>
      </c>
      <c r="B18" s="12" t="s">
        <v>175</v>
      </c>
      <c r="C18" s="12" t="s">
        <v>45</v>
      </c>
      <c r="D18" s="13" t="s">
        <v>1053</v>
      </c>
      <c r="E18" s="12" t="s">
        <v>122</v>
      </c>
      <c r="F18" s="12" t="s">
        <v>163</v>
      </c>
      <c r="G18" s="13" t="s">
        <v>1050</v>
      </c>
      <c r="H18" s="12" t="s">
        <v>84</v>
      </c>
      <c r="I18" s="12" t="s">
        <v>100</v>
      </c>
      <c r="J18" s="14"/>
      <c r="K18" s="13" t="s">
        <v>1051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1054</v>
      </c>
      <c r="B19" s="12" t="s">
        <v>179</v>
      </c>
      <c r="C19" s="12" t="s">
        <v>45</v>
      </c>
      <c r="D19" s="13" t="s">
        <v>1055</v>
      </c>
      <c r="E19" s="12" t="s">
        <v>122</v>
      </c>
      <c r="F19" s="12" t="s">
        <v>181</v>
      </c>
      <c r="G19" s="13" t="s">
        <v>1056</v>
      </c>
      <c r="H19" s="12" t="s">
        <v>86</v>
      </c>
      <c r="I19" s="12" t="s">
        <v>101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1057</v>
      </c>
      <c r="B20" s="12" t="s">
        <v>184</v>
      </c>
      <c r="C20" s="12" t="s">
        <v>45</v>
      </c>
      <c r="D20" s="13" t="s">
        <v>1058</v>
      </c>
      <c r="E20" s="12" t="s">
        <v>122</v>
      </c>
      <c r="F20" s="12" t="s">
        <v>181</v>
      </c>
      <c r="G20" s="13" t="s">
        <v>1059</v>
      </c>
      <c r="H20" s="12" t="s">
        <v>86</v>
      </c>
      <c r="I20" s="12" t="s">
        <v>101</v>
      </c>
      <c r="J20" s="14" t="n">
        <v>46228</v>
      </c>
      <c r="K20" s="13" t="s">
        <v>896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1060</v>
      </c>
      <c r="B21" s="12" t="s">
        <v>188</v>
      </c>
      <c r="C21" s="12" t="s">
        <v>45</v>
      </c>
      <c r="D21" s="13" t="s">
        <v>1061</v>
      </c>
      <c r="E21" s="12" t="s">
        <v>190</v>
      </c>
      <c r="F21" s="12" t="s">
        <v>190</v>
      </c>
      <c r="G21" s="13" t="s">
        <v>191</v>
      </c>
      <c r="H21" s="12" t="s">
        <v>86</v>
      </c>
      <c r="I21" s="12" t="s">
        <v>101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1062</v>
      </c>
      <c r="B22" s="12" t="s">
        <v>610</v>
      </c>
      <c r="C22" s="12" t="s">
        <v>45</v>
      </c>
      <c r="D22" s="13" t="s">
        <v>1063</v>
      </c>
      <c r="E22" s="12" t="s">
        <v>122</v>
      </c>
      <c r="F22" s="12" t="s">
        <v>122</v>
      </c>
      <c r="G22" s="13" t="s">
        <v>1064</v>
      </c>
      <c r="H22" s="12" t="s">
        <v>86</v>
      </c>
      <c r="I22" s="12" t="s">
        <v>101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1065</v>
      </c>
      <c r="B23" s="12" t="s">
        <v>193</v>
      </c>
      <c r="C23" s="12" t="s">
        <v>45</v>
      </c>
      <c r="D23" s="13" t="s">
        <v>1020</v>
      </c>
      <c r="E23" s="12" t="s">
        <v>122</v>
      </c>
      <c r="F23" s="12" t="s">
        <v>122</v>
      </c>
      <c r="G23" s="13" t="s">
        <v>616</v>
      </c>
      <c r="H23" s="12" t="s">
        <v>84</v>
      </c>
      <c r="I23" s="12" t="s">
        <v>100</v>
      </c>
      <c r="J23" s="14" t="n">
        <v>46228</v>
      </c>
      <c r="K23" s="13" t="s">
        <v>1066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104</v>
      </c>
      <c r="E4" s="6" t="n">
        <f aca="false">SUM(M9:M25)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1069</v>
      </c>
      <c r="B9" s="12" t="s">
        <v>119</v>
      </c>
      <c r="C9" s="12" t="s">
        <v>1070</v>
      </c>
      <c r="D9" s="13" t="s">
        <v>1071</v>
      </c>
      <c r="E9" s="12" t="s">
        <v>122</v>
      </c>
      <c r="F9" s="12" t="s">
        <v>123</v>
      </c>
      <c r="G9" s="13" t="s">
        <v>1072</v>
      </c>
      <c r="H9" s="12" t="s">
        <v>86</v>
      </c>
      <c r="I9" s="12" t="s">
        <v>101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1073</v>
      </c>
      <c r="B10" s="12" t="s">
        <v>170</v>
      </c>
      <c r="C10" s="12" t="s">
        <v>1074</v>
      </c>
      <c r="D10" s="13" t="s">
        <v>1075</v>
      </c>
      <c r="E10" s="12" t="s">
        <v>122</v>
      </c>
      <c r="F10" s="12" t="s">
        <v>142</v>
      </c>
      <c r="G10" s="13" t="s">
        <v>1076</v>
      </c>
      <c r="H10" s="12" t="s">
        <v>86</v>
      </c>
      <c r="I10" s="12" t="s">
        <v>101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1077</v>
      </c>
      <c r="B11" s="12" t="s">
        <v>1078</v>
      </c>
      <c r="C11" s="12" t="s">
        <v>1079</v>
      </c>
      <c r="D11" s="13" t="s">
        <v>1080</v>
      </c>
      <c r="E11" s="12" t="s">
        <v>122</v>
      </c>
      <c r="F11" s="12" t="s">
        <v>142</v>
      </c>
      <c r="G11" s="13" t="s">
        <v>1076</v>
      </c>
      <c r="H11" s="12" t="s">
        <v>86</v>
      </c>
      <c r="I11" s="12" t="s">
        <v>101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1081</v>
      </c>
      <c r="B12" s="12" t="s">
        <v>126</v>
      </c>
      <c r="C12" s="12" t="s">
        <v>46</v>
      </c>
      <c r="D12" s="13" t="s">
        <v>1082</v>
      </c>
      <c r="E12" s="12" t="s">
        <v>122</v>
      </c>
      <c r="F12" s="12" t="s">
        <v>122</v>
      </c>
      <c r="G12" s="13" t="s">
        <v>570</v>
      </c>
      <c r="H12" s="12" t="s">
        <v>86</v>
      </c>
      <c r="I12" s="12" t="s">
        <v>101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1083</v>
      </c>
      <c r="B13" s="12" t="s">
        <v>130</v>
      </c>
      <c r="C13" s="12" t="s">
        <v>46</v>
      </c>
      <c r="D13" s="13" t="s">
        <v>1084</v>
      </c>
      <c r="E13" s="12" t="s">
        <v>122</v>
      </c>
      <c r="F13" s="12" t="s">
        <v>132</v>
      </c>
      <c r="G13" s="13" t="s">
        <v>1085</v>
      </c>
      <c r="H13" s="12" t="s">
        <v>86</v>
      </c>
      <c r="I13" s="12" t="s">
        <v>101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1086</v>
      </c>
      <c r="B14" s="12" t="s">
        <v>135</v>
      </c>
      <c r="C14" s="12" t="s">
        <v>46</v>
      </c>
      <c r="D14" s="13" t="s">
        <v>1087</v>
      </c>
      <c r="E14" s="12" t="s">
        <v>122</v>
      </c>
      <c r="F14" s="12" t="s">
        <v>137</v>
      </c>
      <c r="G14" s="13" t="s">
        <v>1088</v>
      </c>
      <c r="H14" s="12" t="s">
        <v>86</v>
      </c>
      <c r="I14" s="12" t="s">
        <v>101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1089</v>
      </c>
      <c r="B15" s="12" t="s">
        <v>145</v>
      </c>
      <c r="C15" s="12" t="s">
        <v>46</v>
      </c>
      <c r="D15" s="13" t="s">
        <v>1090</v>
      </c>
      <c r="E15" s="12" t="s">
        <v>122</v>
      </c>
      <c r="F15" s="12" t="s">
        <v>147</v>
      </c>
      <c r="G15" s="13" t="s">
        <v>1091</v>
      </c>
      <c r="H15" s="12" t="s">
        <v>86</v>
      </c>
      <c r="I15" s="12" t="s">
        <v>101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1092</v>
      </c>
      <c r="B16" s="12" t="s">
        <v>150</v>
      </c>
      <c r="C16" s="12" t="s">
        <v>1093</v>
      </c>
      <c r="D16" s="13" t="s">
        <v>1094</v>
      </c>
      <c r="E16" s="12" t="s">
        <v>122</v>
      </c>
      <c r="F16" s="12" t="s">
        <v>152</v>
      </c>
      <c r="G16" s="13" t="s">
        <v>1091</v>
      </c>
      <c r="H16" s="12" t="s">
        <v>86</v>
      </c>
      <c r="I16" s="12" t="s">
        <v>101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1095</v>
      </c>
      <c r="B17" s="12" t="s">
        <v>155</v>
      </c>
      <c r="C17" s="12" t="s">
        <v>46</v>
      </c>
      <c r="D17" s="13" t="s">
        <v>1096</v>
      </c>
      <c r="E17" s="12" t="s">
        <v>122</v>
      </c>
      <c r="F17" s="12" t="s">
        <v>157</v>
      </c>
      <c r="G17" s="13" t="s">
        <v>1097</v>
      </c>
      <c r="H17" s="12" t="s">
        <v>84</v>
      </c>
      <c r="I17" s="12" t="s">
        <v>100</v>
      </c>
      <c r="J17" s="14"/>
      <c r="K17" s="13" t="s">
        <v>1047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1098</v>
      </c>
      <c r="B18" s="12" t="s">
        <v>161</v>
      </c>
      <c r="C18" s="12" t="s">
        <v>46</v>
      </c>
      <c r="D18" s="13" t="s">
        <v>1099</v>
      </c>
      <c r="E18" s="12" t="s">
        <v>122</v>
      </c>
      <c r="F18" s="12" t="s">
        <v>163</v>
      </c>
      <c r="G18" s="13" t="s">
        <v>1100</v>
      </c>
      <c r="H18" s="12" t="s">
        <v>84</v>
      </c>
      <c r="I18" s="12" t="s">
        <v>100</v>
      </c>
      <c r="J18" s="14"/>
      <c r="K18" s="13" t="s">
        <v>1051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1101</v>
      </c>
      <c r="B19" s="12" t="s">
        <v>175</v>
      </c>
      <c r="C19" s="12" t="s">
        <v>46</v>
      </c>
      <c r="D19" s="13" t="s">
        <v>1102</v>
      </c>
      <c r="E19" s="12" t="s">
        <v>122</v>
      </c>
      <c r="F19" s="12" t="s">
        <v>163</v>
      </c>
      <c r="G19" s="13" t="s">
        <v>1100</v>
      </c>
      <c r="H19" s="12" t="s">
        <v>84</v>
      </c>
      <c r="I19" s="12" t="s">
        <v>100</v>
      </c>
      <c r="J19" s="14" t="n">
        <v>46228</v>
      </c>
      <c r="K19" s="13" t="s">
        <v>1051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1103</v>
      </c>
      <c r="B20" s="12" t="s">
        <v>179</v>
      </c>
      <c r="C20" s="12" t="s">
        <v>46</v>
      </c>
      <c r="D20" s="13" t="s">
        <v>1104</v>
      </c>
      <c r="E20" s="12" t="s">
        <v>122</v>
      </c>
      <c r="F20" s="12" t="s">
        <v>181</v>
      </c>
      <c r="G20" s="13" t="s">
        <v>1105</v>
      </c>
      <c r="H20" s="12" t="s">
        <v>86</v>
      </c>
      <c r="I20" s="12" t="s">
        <v>101</v>
      </c>
      <c r="J20" s="14" t="n">
        <v>46228</v>
      </c>
      <c r="K20" s="13" t="s">
        <v>896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1106</v>
      </c>
      <c r="B21" s="12" t="s">
        <v>184</v>
      </c>
      <c r="C21" s="12" t="s">
        <v>46</v>
      </c>
      <c r="D21" s="13" t="s">
        <v>1107</v>
      </c>
      <c r="E21" s="12" t="s">
        <v>122</v>
      </c>
      <c r="F21" s="12" t="s">
        <v>181</v>
      </c>
      <c r="G21" s="13" t="s">
        <v>1108</v>
      </c>
      <c r="H21" s="12" t="s">
        <v>86</v>
      </c>
      <c r="I21" s="12" t="s">
        <v>101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1109</v>
      </c>
      <c r="B22" s="12" t="s">
        <v>188</v>
      </c>
      <c r="C22" s="12" t="s">
        <v>46</v>
      </c>
      <c r="D22" s="13" t="s">
        <v>1110</v>
      </c>
      <c r="E22" s="12" t="s">
        <v>190</v>
      </c>
      <c r="F22" s="12" t="s">
        <v>190</v>
      </c>
      <c r="G22" s="13" t="s">
        <v>191</v>
      </c>
      <c r="H22" s="12" t="s">
        <v>86</v>
      </c>
      <c r="I22" s="12" t="s">
        <v>101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1111</v>
      </c>
      <c r="B23" s="12" t="s">
        <v>610</v>
      </c>
      <c r="C23" s="12" t="s">
        <v>46</v>
      </c>
      <c r="D23" s="13" t="s">
        <v>1112</v>
      </c>
      <c r="E23" s="12" t="s">
        <v>122</v>
      </c>
      <c r="F23" s="12" t="s">
        <v>122</v>
      </c>
      <c r="G23" s="13" t="s">
        <v>1064</v>
      </c>
      <c r="H23" s="12" t="s">
        <v>86</v>
      </c>
      <c r="I23" s="12" t="s">
        <v>101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1113</v>
      </c>
      <c r="B24" s="12" t="s">
        <v>193</v>
      </c>
      <c r="C24" s="12" t="s">
        <v>46</v>
      </c>
      <c r="D24" s="13" t="s">
        <v>1114</v>
      </c>
      <c r="E24" s="12" t="s">
        <v>122</v>
      </c>
      <c r="F24" s="12" t="s">
        <v>122</v>
      </c>
      <c r="G24" s="13" t="s">
        <v>616</v>
      </c>
      <c r="H24" s="12" t="s">
        <v>84</v>
      </c>
      <c r="I24" s="12" t="s">
        <v>100</v>
      </c>
      <c r="J24" s="14" t="n">
        <v>46228</v>
      </c>
      <c r="K24" s="13" t="s">
        <v>1066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104</v>
      </c>
      <c r="E4" s="6" t="n">
        <f aca="false">SUM(M9:M25)</f>
        <v>16</v>
      </c>
      <c r="G4" s="5" t="s">
        <v>13</v>
      </c>
      <c r="H4" s="7" t="n">
        <f aca="false">IF(B4=0,0,E4/B4)</f>
        <v>1</v>
      </c>
      <c r="J4" s="5" t="s">
        <v>14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105</v>
      </c>
      <c r="B5" s="6" t="str">
        <f aca="false">IF(COUNTIFS(I9:I25,"yes",M9:M25,0)&gt;0,"open","complete")</f>
        <v>complete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1117</v>
      </c>
      <c r="B9" s="12" t="s">
        <v>119</v>
      </c>
      <c r="C9" s="12" t="s">
        <v>1070</v>
      </c>
      <c r="D9" s="13" t="s">
        <v>1118</v>
      </c>
      <c r="E9" s="12" t="s">
        <v>122</v>
      </c>
      <c r="F9" s="12" t="s">
        <v>123</v>
      </c>
      <c r="G9" s="13" t="s">
        <v>1072</v>
      </c>
      <c r="H9" s="12" t="s">
        <v>86</v>
      </c>
      <c r="I9" s="12" t="s">
        <v>101</v>
      </c>
      <c r="J9" s="14" t="s">
        <v>122</v>
      </c>
      <c r="K9" s="13" t="s">
        <v>1119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1120</v>
      </c>
      <c r="B10" s="12" t="s">
        <v>1121</v>
      </c>
      <c r="C10" s="12" t="s">
        <v>770</v>
      </c>
      <c r="D10" s="13" t="s">
        <v>1122</v>
      </c>
      <c r="E10" s="12" t="s">
        <v>122</v>
      </c>
      <c r="F10" s="12" t="s">
        <v>142</v>
      </c>
      <c r="G10" s="13" t="s">
        <v>1076</v>
      </c>
      <c r="H10" s="12" t="s">
        <v>86</v>
      </c>
      <c r="I10" s="12" t="s">
        <v>101</v>
      </c>
      <c r="J10" s="14" t="s">
        <v>122</v>
      </c>
      <c r="K10" s="13" t="s">
        <v>1119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1123</v>
      </c>
      <c r="B11" s="12" t="s">
        <v>1074</v>
      </c>
      <c r="C11" s="12" t="s">
        <v>32</v>
      </c>
      <c r="D11" s="13" t="s">
        <v>1124</v>
      </c>
      <c r="E11" s="12" t="s">
        <v>122</v>
      </c>
      <c r="F11" s="12" t="s">
        <v>142</v>
      </c>
      <c r="G11" s="13" t="s">
        <v>1076</v>
      </c>
      <c r="H11" s="12" t="s">
        <v>86</v>
      </c>
      <c r="I11" s="12" t="s">
        <v>101</v>
      </c>
      <c r="J11" s="14" t="s">
        <v>122</v>
      </c>
      <c r="K11" s="13" t="s">
        <v>1119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1125</v>
      </c>
      <c r="B12" s="12" t="s">
        <v>1126</v>
      </c>
      <c r="C12" s="12" t="s">
        <v>1127</v>
      </c>
      <c r="D12" s="13" t="s">
        <v>1128</v>
      </c>
      <c r="E12" s="12" t="s">
        <v>122</v>
      </c>
      <c r="F12" s="12" t="s">
        <v>122</v>
      </c>
      <c r="G12" s="13" t="s">
        <v>570</v>
      </c>
      <c r="H12" s="12" t="s">
        <v>86</v>
      </c>
      <c r="I12" s="12" t="s">
        <v>101</v>
      </c>
      <c r="J12" s="14" t="s">
        <v>122</v>
      </c>
      <c r="K12" s="13" t="s">
        <v>1119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1129</v>
      </c>
      <c r="B13" s="12" t="s">
        <v>126</v>
      </c>
      <c r="C13" s="12" t="s">
        <v>47</v>
      </c>
      <c r="D13" s="13" t="s">
        <v>1130</v>
      </c>
      <c r="E13" s="12" t="s">
        <v>122</v>
      </c>
      <c r="F13" s="12" t="s">
        <v>132</v>
      </c>
      <c r="G13" s="13" t="s">
        <v>1085</v>
      </c>
      <c r="H13" s="12" t="s">
        <v>86</v>
      </c>
      <c r="I13" s="12" t="s">
        <v>101</v>
      </c>
      <c r="J13" s="14" t="s">
        <v>122</v>
      </c>
      <c r="K13" s="13" t="s">
        <v>1119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1131</v>
      </c>
      <c r="B14" s="12" t="s">
        <v>130</v>
      </c>
      <c r="C14" s="12" t="s">
        <v>47</v>
      </c>
      <c r="D14" s="13" t="s">
        <v>1132</v>
      </c>
      <c r="E14" s="12" t="s">
        <v>122</v>
      </c>
      <c r="F14" s="12" t="s">
        <v>137</v>
      </c>
      <c r="G14" s="13" t="s">
        <v>1088</v>
      </c>
      <c r="H14" s="12" t="s">
        <v>86</v>
      </c>
      <c r="I14" s="12" t="s">
        <v>101</v>
      </c>
      <c r="J14" s="14" t="s">
        <v>122</v>
      </c>
      <c r="K14" s="13" t="s">
        <v>1119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1133</v>
      </c>
      <c r="B15" s="12" t="s">
        <v>135</v>
      </c>
      <c r="C15" s="12" t="s">
        <v>47</v>
      </c>
      <c r="D15" s="13" t="s">
        <v>1134</v>
      </c>
      <c r="E15" s="12" t="s">
        <v>122</v>
      </c>
      <c r="F15" s="12" t="s">
        <v>147</v>
      </c>
      <c r="G15" s="13" t="s">
        <v>1091</v>
      </c>
      <c r="H15" s="12" t="s">
        <v>86</v>
      </c>
      <c r="I15" s="12" t="s">
        <v>101</v>
      </c>
      <c r="J15" s="14" t="s">
        <v>122</v>
      </c>
      <c r="K15" s="13" t="s">
        <v>1119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1135</v>
      </c>
      <c r="B16" s="12" t="s">
        <v>145</v>
      </c>
      <c r="C16" s="12" t="s">
        <v>47</v>
      </c>
      <c r="D16" s="13" t="s">
        <v>1136</v>
      </c>
      <c r="E16" s="12" t="s">
        <v>122</v>
      </c>
      <c r="F16" s="12" t="s">
        <v>152</v>
      </c>
      <c r="G16" s="13" t="s">
        <v>1091</v>
      </c>
      <c r="H16" s="12" t="s">
        <v>86</v>
      </c>
      <c r="I16" s="12" t="s">
        <v>101</v>
      </c>
      <c r="J16" s="14" t="s">
        <v>122</v>
      </c>
      <c r="K16" s="13" t="s">
        <v>1119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1137</v>
      </c>
      <c r="B17" s="12" t="s">
        <v>150</v>
      </c>
      <c r="C17" s="12" t="s">
        <v>1138</v>
      </c>
      <c r="D17" s="13" t="s">
        <v>1139</v>
      </c>
      <c r="E17" s="12" t="s">
        <v>122</v>
      </c>
      <c r="F17" s="12" t="s">
        <v>157</v>
      </c>
      <c r="G17" s="13" t="s">
        <v>1097</v>
      </c>
      <c r="H17" s="12" t="s">
        <v>86</v>
      </c>
      <c r="I17" s="12" t="s">
        <v>100</v>
      </c>
      <c r="J17" s="14" t="s">
        <v>122</v>
      </c>
      <c r="K17" s="13" t="s">
        <v>1119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1140</v>
      </c>
      <c r="B18" s="12" t="s">
        <v>155</v>
      </c>
      <c r="C18" s="12" t="s">
        <v>47</v>
      </c>
      <c r="D18" s="13" t="s">
        <v>1141</v>
      </c>
      <c r="E18" s="12" t="s">
        <v>122</v>
      </c>
      <c r="F18" s="12" t="s">
        <v>163</v>
      </c>
      <c r="G18" s="13" t="s">
        <v>1100</v>
      </c>
      <c r="H18" s="12" t="s">
        <v>86</v>
      </c>
      <c r="I18" s="12" t="s">
        <v>100</v>
      </c>
      <c r="J18" s="14" t="s">
        <v>122</v>
      </c>
      <c r="K18" s="13" t="s">
        <v>1119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1142</v>
      </c>
      <c r="B19" s="12" t="s">
        <v>175</v>
      </c>
      <c r="C19" s="12" t="s">
        <v>47</v>
      </c>
      <c r="D19" s="13" t="s">
        <v>1143</v>
      </c>
      <c r="E19" s="12" t="s">
        <v>122</v>
      </c>
      <c r="F19" s="12" t="s">
        <v>163</v>
      </c>
      <c r="G19" s="13" t="s">
        <v>1100</v>
      </c>
      <c r="H19" s="12" t="s">
        <v>86</v>
      </c>
      <c r="I19" s="12" t="s">
        <v>100</v>
      </c>
      <c r="J19" s="14" t="s">
        <v>122</v>
      </c>
      <c r="K19" s="13" t="s">
        <v>1144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1145</v>
      </c>
      <c r="B20" s="12" t="s">
        <v>179</v>
      </c>
      <c r="C20" s="12" t="s">
        <v>47</v>
      </c>
      <c r="D20" s="13" t="s">
        <v>1146</v>
      </c>
      <c r="E20" s="12" t="s">
        <v>122</v>
      </c>
      <c r="F20" s="12" t="s">
        <v>181</v>
      </c>
      <c r="G20" s="13" t="s">
        <v>1105</v>
      </c>
      <c r="H20" s="12" t="s">
        <v>86</v>
      </c>
      <c r="I20" s="12" t="s">
        <v>101</v>
      </c>
      <c r="J20" s="14" t="s">
        <v>122</v>
      </c>
      <c r="K20" s="13" t="s">
        <v>1119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1147</v>
      </c>
      <c r="B21" s="12" t="s">
        <v>184</v>
      </c>
      <c r="C21" s="12" t="s">
        <v>47</v>
      </c>
      <c r="D21" s="13" t="s">
        <v>1148</v>
      </c>
      <c r="E21" s="12" t="s">
        <v>122</v>
      </c>
      <c r="F21" s="12" t="s">
        <v>181</v>
      </c>
      <c r="G21" s="13" t="s">
        <v>1108</v>
      </c>
      <c r="H21" s="12" t="s">
        <v>86</v>
      </c>
      <c r="I21" s="12" t="s">
        <v>101</v>
      </c>
      <c r="J21" s="14" t="s">
        <v>122</v>
      </c>
      <c r="K21" s="13" t="s">
        <v>1119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1149</v>
      </c>
      <c r="B22" s="12" t="s">
        <v>188</v>
      </c>
      <c r="C22" s="12" t="s">
        <v>47</v>
      </c>
      <c r="D22" s="13" t="s">
        <v>1150</v>
      </c>
      <c r="E22" s="12" t="s">
        <v>190</v>
      </c>
      <c r="F22" s="12" t="s">
        <v>190</v>
      </c>
      <c r="G22" s="13" t="s">
        <v>191</v>
      </c>
      <c r="H22" s="12" t="s">
        <v>86</v>
      </c>
      <c r="I22" s="12" t="s">
        <v>101</v>
      </c>
      <c r="J22" s="14" t="s">
        <v>122</v>
      </c>
      <c r="K22" s="13" t="s">
        <v>1119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1151</v>
      </c>
      <c r="B23" s="12" t="s">
        <v>610</v>
      </c>
      <c r="C23" s="12" t="s">
        <v>47</v>
      </c>
      <c r="D23" s="13" t="s">
        <v>1152</v>
      </c>
      <c r="E23" s="12" t="s">
        <v>122</v>
      </c>
      <c r="F23" s="12" t="s">
        <v>122</v>
      </c>
      <c r="G23" s="13" t="s">
        <v>1064</v>
      </c>
      <c r="H23" s="12" t="s">
        <v>86</v>
      </c>
      <c r="I23" s="12" t="s">
        <v>101</v>
      </c>
      <c r="J23" s="14" t="s">
        <v>122</v>
      </c>
      <c r="K23" s="13" t="s">
        <v>1119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1153</v>
      </c>
      <c r="B24" s="12" t="s">
        <v>193</v>
      </c>
      <c r="C24" s="12" t="s">
        <v>47</v>
      </c>
      <c r="D24" s="13" t="s">
        <v>1114</v>
      </c>
      <c r="E24" s="12" t="s">
        <v>122</v>
      </c>
      <c r="F24" s="12" t="s">
        <v>122</v>
      </c>
      <c r="G24" s="13" t="s">
        <v>616</v>
      </c>
      <c r="H24" s="12" t="s">
        <v>86</v>
      </c>
      <c r="I24" s="12" t="s">
        <v>101</v>
      </c>
      <c r="J24" s="14" t="s">
        <v>122</v>
      </c>
      <c r="K24" s="13" t="s">
        <v>1119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104</v>
      </c>
      <c r="E4" s="6" t="n">
        <f aca="false">SUM(M9:M25)</f>
        <v>13</v>
      </c>
      <c r="G4" s="5" t="s">
        <v>13</v>
      </c>
      <c r="H4" s="7" t="n">
        <f aca="false">IF(B4=0,0,E4/B4)</f>
        <v>0.8125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1156</v>
      </c>
      <c r="B9" s="12" t="s">
        <v>119</v>
      </c>
      <c r="C9" s="12" t="s">
        <v>1157</v>
      </c>
      <c r="D9" s="13" t="s">
        <v>1158</v>
      </c>
      <c r="E9" s="12" t="s">
        <v>122</v>
      </c>
      <c r="F9" s="12" t="s">
        <v>123</v>
      </c>
      <c r="G9" s="13" t="s">
        <v>1159</v>
      </c>
      <c r="H9" s="12" t="s">
        <v>86</v>
      </c>
      <c r="I9" s="12" t="s">
        <v>101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1160</v>
      </c>
      <c r="B10" s="12" t="s">
        <v>1161</v>
      </c>
      <c r="C10" s="12" t="s">
        <v>770</v>
      </c>
      <c r="D10" s="13" t="s">
        <v>1162</v>
      </c>
      <c r="E10" s="12" t="s">
        <v>122</v>
      </c>
      <c r="F10" s="12" t="s">
        <v>142</v>
      </c>
      <c r="G10" s="13" t="s">
        <v>1163</v>
      </c>
      <c r="H10" s="12" t="s">
        <v>86</v>
      </c>
      <c r="I10" s="12" t="s">
        <v>101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1164</v>
      </c>
      <c r="B11" s="12" t="s">
        <v>1121</v>
      </c>
      <c r="C11" s="12" t="s">
        <v>1165</v>
      </c>
      <c r="D11" s="13" t="s">
        <v>1166</v>
      </c>
      <c r="E11" s="12" t="s">
        <v>122</v>
      </c>
      <c r="F11" s="12" t="s">
        <v>147</v>
      </c>
      <c r="G11" s="13" t="s">
        <v>1167</v>
      </c>
      <c r="H11" s="12" t="s">
        <v>86</v>
      </c>
      <c r="I11" s="12" t="s">
        <v>101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1168</v>
      </c>
      <c r="B12" s="12" t="s">
        <v>150</v>
      </c>
      <c r="C12" s="12" t="s">
        <v>1169</v>
      </c>
      <c r="D12" s="13" t="s">
        <v>1170</v>
      </c>
      <c r="E12" s="12" t="s">
        <v>122</v>
      </c>
      <c r="F12" s="12" t="s">
        <v>147</v>
      </c>
      <c r="G12" s="13" t="s">
        <v>1167</v>
      </c>
      <c r="H12" s="12" t="s">
        <v>86</v>
      </c>
      <c r="I12" s="12" t="s">
        <v>101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1171</v>
      </c>
      <c r="B13" s="12" t="s">
        <v>170</v>
      </c>
      <c r="C13" s="12" t="s">
        <v>1172</v>
      </c>
      <c r="D13" s="13" t="s">
        <v>1173</v>
      </c>
      <c r="E13" s="12" t="s">
        <v>122</v>
      </c>
      <c r="F13" s="12" t="s">
        <v>142</v>
      </c>
      <c r="G13" s="13" t="s">
        <v>1163</v>
      </c>
      <c r="H13" s="12" t="s">
        <v>86</v>
      </c>
      <c r="I13" s="12" t="s">
        <v>101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1174</v>
      </c>
      <c r="B14" s="12" t="s">
        <v>126</v>
      </c>
      <c r="C14" s="12" t="s">
        <v>48</v>
      </c>
      <c r="D14" s="13" t="s">
        <v>1175</v>
      </c>
      <c r="E14" s="12" t="s">
        <v>122</v>
      </c>
      <c r="F14" s="12" t="s">
        <v>122</v>
      </c>
      <c r="G14" s="13" t="s">
        <v>128</v>
      </c>
      <c r="H14" s="12" t="s">
        <v>86</v>
      </c>
      <c r="I14" s="12" t="s">
        <v>101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1176</v>
      </c>
      <c r="B15" s="12" t="s">
        <v>130</v>
      </c>
      <c r="C15" s="12" t="s">
        <v>48</v>
      </c>
      <c r="D15" s="13" t="s">
        <v>1177</v>
      </c>
      <c r="E15" s="12" t="s">
        <v>122</v>
      </c>
      <c r="F15" s="12" t="s">
        <v>132</v>
      </c>
      <c r="G15" s="13" t="s">
        <v>1178</v>
      </c>
      <c r="H15" s="12" t="s">
        <v>86</v>
      </c>
      <c r="I15" s="12" t="s">
        <v>101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1179</v>
      </c>
      <c r="B16" s="12" t="s">
        <v>135</v>
      </c>
      <c r="C16" s="12" t="s">
        <v>48</v>
      </c>
      <c r="D16" s="13" t="s">
        <v>1180</v>
      </c>
      <c r="E16" s="12" t="s">
        <v>122</v>
      </c>
      <c r="F16" s="12" t="s">
        <v>137</v>
      </c>
      <c r="G16" s="13" t="s">
        <v>1181</v>
      </c>
      <c r="H16" s="12" t="s">
        <v>86</v>
      </c>
      <c r="I16" s="12" t="s">
        <v>101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1182</v>
      </c>
      <c r="B17" s="12" t="s">
        <v>155</v>
      </c>
      <c r="C17" s="12" t="s">
        <v>48</v>
      </c>
      <c r="D17" s="13" t="s">
        <v>1183</v>
      </c>
      <c r="E17" s="12" t="s">
        <v>122</v>
      </c>
      <c r="F17" s="12" t="s">
        <v>157</v>
      </c>
      <c r="G17" s="13" t="s">
        <v>1184</v>
      </c>
      <c r="H17" s="12" t="s">
        <v>84</v>
      </c>
      <c r="I17" s="12" t="s">
        <v>100</v>
      </c>
      <c r="J17" s="14"/>
      <c r="K17" s="13" t="s">
        <v>1185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1186</v>
      </c>
      <c r="B18" s="12" t="s">
        <v>161</v>
      </c>
      <c r="C18" s="12" t="s">
        <v>48</v>
      </c>
      <c r="D18" s="13" t="s">
        <v>1187</v>
      </c>
      <c r="E18" s="12" t="s">
        <v>122</v>
      </c>
      <c r="F18" s="12" t="s">
        <v>163</v>
      </c>
      <c r="G18" s="13" t="s">
        <v>1188</v>
      </c>
      <c r="H18" s="12" t="s">
        <v>84</v>
      </c>
      <c r="I18" s="12" t="s">
        <v>100</v>
      </c>
      <c r="J18" s="14"/>
      <c r="K18" s="13" t="s">
        <v>1185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1189</v>
      </c>
      <c r="B19" s="12" t="s">
        <v>175</v>
      </c>
      <c r="C19" s="12" t="s">
        <v>48</v>
      </c>
      <c r="D19" s="13" t="s">
        <v>1190</v>
      </c>
      <c r="E19" s="12" t="s">
        <v>122</v>
      </c>
      <c r="F19" s="12" t="s">
        <v>163</v>
      </c>
      <c r="G19" s="13" t="s">
        <v>1188</v>
      </c>
      <c r="H19" s="12" t="s">
        <v>84</v>
      </c>
      <c r="I19" s="12" t="s">
        <v>100</v>
      </c>
      <c r="J19" s="14"/>
      <c r="K19" s="13" t="s">
        <v>1185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1191</v>
      </c>
      <c r="B20" s="12" t="s">
        <v>179</v>
      </c>
      <c r="C20" s="12" t="s">
        <v>48</v>
      </c>
      <c r="D20" s="13" t="s">
        <v>1192</v>
      </c>
      <c r="E20" s="12" t="s">
        <v>122</v>
      </c>
      <c r="F20" s="12" t="s">
        <v>181</v>
      </c>
      <c r="G20" s="13" t="s">
        <v>1193</v>
      </c>
      <c r="H20" s="12" t="s">
        <v>86</v>
      </c>
      <c r="I20" s="12" t="s">
        <v>101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1194</v>
      </c>
      <c r="B21" s="12" t="s">
        <v>184</v>
      </c>
      <c r="C21" s="12" t="s">
        <v>48</v>
      </c>
      <c r="D21" s="13" t="s">
        <v>1195</v>
      </c>
      <c r="E21" s="12" t="s">
        <v>122</v>
      </c>
      <c r="F21" s="12" t="s">
        <v>181</v>
      </c>
      <c r="G21" s="13" t="s">
        <v>1196</v>
      </c>
      <c r="H21" s="12" t="s">
        <v>86</v>
      </c>
      <c r="I21" s="12" t="s">
        <v>101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1197</v>
      </c>
      <c r="B22" s="12" t="s">
        <v>188</v>
      </c>
      <c r="C22" s="12" t="s">
        <v>48</v>
      </c>
      <c r="D22" s="13" t="s">
        <v>1198</v>
      </c>
      <c r="E22" s="12" t="s">
        <v>190</v>
      </c>
      <c r="F22" s="12" t="s">
        <v>190</v>
      </c>
      <c r="G22" s="13" t="s">
        <v>191</v>
      </c>
      <c r="H22" s="12" t="s">
        <v>86</v>
      </c>
      <c r="I22" s="12" t="s">
        <v>101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1199</v>
      </c>
      <c r="B23" s="12" t="s">
        <v>610</v>
      </c>
      <c r="C23" s="12" t="s">
        <v>1200</v>
      </c>
      <c r="D23" s="13" t="s">
        <v>1201</v>
      </c>
      <c r="E23" s="12" t="s">
        <v>122</v>
      </c>
      <c r="F23" s="12" t="s">
        <v>1202</v>
      </c>
      <c r="G23" s="13" t="s">
        <v>1203</v>
      </c>
      <c r="H23" s="12" t="s">
        <v>86</v>
      </c>
      <c r="I23" s="12" t="s">
        <v>101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1204</v>
      </c>
      <c r="B24" s="12" t="s">
        <v>193</v>
      </c>
      <c r="C24" s="12" t="s">
        <v>48</v>
      </c>
      <c r="D24" s="13" t="s">
        <v>1114</v>
      </c>
      <c r="E24" s="12" t="s">
        <v>122</v>
      </c>
      <c r="F24" s="12" t="s">
        <v>122</v>
      </c>
      <c r="G24" s="13" t="s">
        <v>570</v>
      </c>
      <c r="H24" s="12" t="s">
        <v>86</v>
      </c>
      <c r="I24" s="12" t="s">
        <v>101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104</v>
      </c>
      <c r="E4" s="6" t="n">
        <f aca="false">SUM(M9:M25)</f>
        <v>14</v>
      </c>
      <c r="G4" s="5" t="s">
        <v>13</v>
      </c>
      <c r="H4" s="7" t="n">
        <f aca="false">IF(B4=0,0,E4/B4)</f>
        <v>0.823529411764706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1207</v>
      </c>
      <c r="B9" s="12" t="s">
        <v>119</v>
      </c>
      <c r="C9" s="12" t="s">
        <v>49</v>
      </c>
      <c r="D9" s="13" t="s">
        <v>1208</v>
      </c>
      <c r="E9" s="12" t="s">
        <v>122</v>
      </c>
      <c r="F9" s="12" t="s">
        <v>123</v>
      </c>
      <c r="G9" s="13" t="s">
        <v>1209</v>
      </c>
      <c r="H9" s="12" t="s">
        <v>86</v>
      </c>
      <c r="I9" s="12" t="s">
        <v>101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1210</v>
      </c>
      <c r="B10" s="12" t="s">
        <v>150</v>
      </c>
      <c r="C10" s="12" t="s">
        <v>49</v>
      </c>
      <c r="D10" s="13" t="s">
        <v>1211</v>
      </c>
      <c r="E10" s="12" t="s">
        <v>122</v>
      </c>
      <c r="F10" s="12" t="s">
        <v>142</v>
      </c>
      <c r="G10" s="13" t="s">
        <v>1212</v>
      </c>
      <c r="H10" s="12" t="s">
        <v>86</v>
      </c>
      <c r="I10" s="12" t="s">
        <v>101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1213</v>
      </c>
      <c r="B11" s="12" t="s">
        <v>1121</v>
      </c>
      <c r="C11" s="12" t="s">
        <v>49</v>
      </c>
      <c r="D11" s="13" t="s">
        <v>1214</v>
      </c>
      <c r="E11" s="12" t="s">
        <v>122</v>
      </c>
      <c r="F11" s="12" t="s">
        <v>147</v>
      </c>
      <c r="G11" s="13" t="s">
        <v>1215</v>
      </c>
      <c r="H11" s="12" t="s">
        <v>86</v>
      </c>
      <c r="I11" s="12" t="s">
        <v>101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1216</v>
      </c>
      <c r="B12" s="12" t="s">
        <v>1217</v>
      </c>
      <c r="C12" s="12" t="s">
        <v>49</v>
      </c>
      <c r="D12" s="13" t="s">
        <v>1218</v>
      </c>
      <c r="E12" s="12" t="s">
        <v>122</v>
      </c>
      <c r="F12" s="12" t="s">
        <v>147</v>
      </c>
      <c r="G12" s="13" t="s">
        <v>1215</v>
      </c>
      <c r="H12" s="12" t="s">
        <v>86</v>
      </c>
      <c r="I12" s="12" t="s">
        <v>101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1219</v>
      </c>
      <c r="B13" s="12" t="s">
        <v>1220</v>
      </c>
      <c r="C13" s="12" t="s">
        <v>1221</v>
      </c>
      <c r="D13" s="13" t="s">
        <v>1222</v>
      </c>
      <c r="E13" s="12" t="s">
        <v>122</v>
      </c>
      <c r="F13" s="12" t="s">
        <v>147</v>
      </c>
      <c r="G13" s="13" t="s">
        <v>1223</v>
      </c>
      <c r="H13" s="12" t="s">
        <v>86</v>
      </c>
      <c r="I13" s="12" t="s">
        <v>101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1224</v>
      </c>
      <c r="B14" s="12" t="s">
        <v>170</v>
      </c>
      <c r="C14" s="12" t="s">
        <v>49</v>
      </c>
      <c r="D14" s="13" t="s">
        <v>1225</v>
      </c>
      <c r="E14" s="12" t="s">
        <v>122</v>
      </c>
      <c r="F14" s="12" t="s">
        <v>142</v>
      </c>
      <c r="G14" s="13" t="s">
        <v>1212</v>
      </c>
      <c r="H14" s="12" t="s">
        <v>86</v>
      </c>
      <c r="I14" s="12" t="s">
        <v>101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1226</v>
      </c>
      <c r="B15" s="12" t="s">
        <v>126</v>
      </c>
      <c r="C15" s="12" t="s">
        <v>49</v>
      </c>
      <c r="D15" s="13" t="s">
        <v>1227</v>
      </c>
      <c r="E15" s="12" t="s">
        <v>122</v>
      </c>
      <c r="F15" s="12" t="s">
        <v>122</v>
      </c>
      <c r="G15" s="13" t="s">
        <v>128</v>
      </c>
      <c r="H15" s="12" t="s">
        <v>86</v>
      </c>
      <c r="I15" s="12" t="s">
        <v>101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1228</v>
      </c>
      <c r="B16" s="12" t="s">
        <v>130</v>
      </c>
      <c r="C16" s="12" t="s">
        <v>49</v>
      </c>
      <c r="D16" s="13" t="s">
        <v>1229</v>
      </c>
      <c r="E16" s="12" t="s">
        <v>122</v>
      </c>
      <c r="F16" s="12" t="s">
        <v>132</v>
      </c>
      <c r="G16" s="13" t="s">
        <v>1230</v>
      </c>
      <c r="H16" s="12" t="s">
        <v>86</v>
      </c>
      <c r="I16" s="12" t="s">
        <v>101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1231</v>
      </c>
      <c r="B17" s="12" t="s">
        <v>135</v>
      </c>
      <c r="C17" s="12" t="s">
        <v>49</v>
      </c>
      <c r="D17" s="13" t="s">
        <v>1232</v>
      </c>
      <c r="E17" s="12" t="s">
        <v>122</v>
      </c>
      <c r="F17" s="12" t="s">
        <v>137</v>
      </c>
      <c r="G17" s="13" t="s">
        <v>1233</v>
      </c>
      <c r="H17" s="12" t="s">
        <v>86</v>
      </c>
      <c r="I17" s="12" t="s">
        <v>101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1234</v>
      </c>
      <c r="B18" s="12" t="s">
        <v>155</v>
      </c>
      <c r="C18" s="12" t="s">
        <v>49</v>
      </c>
      <c r="D18" s="13" t="s">
        <v>1235</v>
      </c>
      <c r="E18" s="12" t="s">
        <v>122</v>
      </c>
      <c r="F18" s="12" t="s">
        <v>157</v>
      </c>
      <c r="G18" s="13" t="s">
        <v>1236</v>
      </c>
      <c r="H18" s="12" t="s">
        <v>84</v>
      </c>
      <c r="I18" s="12" t="s">
        <v>100</v>
      </c>
      <c r="J18" s="14"/>
      <c r="K18" s="13" t="s">
        <v>1185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1237</v>
      </c>
      <c r="B19" s="12" t="s">
        <v>161</v>
      </c>
      <c r="C19" s="12" t="s">
        <v>49</v>
      </c>
      <c r="D19" s="13" t="s">
        <v>1238</v>
      </c>
      <c r="E19" s="12" t="s">
        <v>122</v>
      </c>
      <c r="F19" s="12" t="s">
        <v>163</v>
      </c>
      <c r="G19" s="13" t="s">
        <v>1239</v>
      </c>
      <c r="H19" s="12" t="s">
        <v>84</v>
      </c>
      <c r="I19" s="12" t="s">
        <v>100</v>
      </c>
      <c r="J19" s="14"/>
      <c r="K19" s="13" t="s">
        <v>1185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1240</v>
      </c>
      <c r="B20" s="12" t="s">
        <v>175</v>
      </c>
      <c r="C20" s="12" t="s">
        <v>49</v>
      </c>
      <c r="D20" s="13" t="s">
        <v>1241</v>
      </c>
      <c r="E20" s="12" t="s">
        <v>122</v>
      </c>
      <c r="F20" s="12" t="s">
        <v>163</v>
      </c>
      <c r="G20" s="13" t="s">
        <v>1239</v>
      </c>
      <c r="H20" s="12" t="s">
        <v>84</v>
      </c>
      <c r="I20" s="12" t="s">
        <v>100</v>
      </c>
      <c r="J20" s="14"/>
      <c r="K20" s="13" t="s">
        <v>1185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1242</v>
      </c>
      <c r="B21" s="12" t="s">
        <v>179</v>
      </c>
      <c r="C21" s="12" t="s">
        <v>49</v>
      </c>
      <c r="D21" s="13" t="s">
        <v>1243</v>
      </c>
      <c r="E21" s="12" t="s">
        <v>122</v>
      </c>
      <c r="F21" s="12" t="s">
        <v>181</v>
      </c>
      <c r="G21" s="13" t="s">
        <v>1244</v>
      </c>
      <c r="H21" s="12" t="s">
        <v>86</v>
      </c>
      <c r="I21" s="12" t="s">
        <v>101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1245</v>
      </c>
      <c r="B22" s="12" t="s">
        <v>184</v>
      </c>
      <c r="C22" s="12" t="s">
        <v>49</v>
      </c>
      <c r="D22" s="13" t="s">
        <v>1246</v>
      </c>
      <c r="E22" s="12" t="s">
        <v>122</v>
      </c>
      <c r="F22" s="12" t="s">
        <v>181</v>
      </c>
      <c r="G22" s="13" t="s">
        <v>1247</v>
      </c>
      <c r="H22" s="12" t="s">
        <v>86</v>
      </c>
      <c r="I22" s="12" t="s">
        <v>101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1248</v>
      </c>
      <c r="B23" s="12" t="s">
        <v>188</v>
      </c>
      <c r="C23" s="12" t="s">
        <v>49</v>
      </c>
      <c r="D23" s="13" t="s">
        <v>1249</v>
      </c>
      <c r="E23" s="12" t="s">
        <v>190</v>
      </c>
      <c r="F23" s="12" t="s">
        <v>190</v>
      </c>
      <c r="G23" s="13" t="s">
        <v>191</v>
      </c>
      <c r="H23" s="12" t="s">
        <v>86</v>
      </c>
      <c r="I23" s="12" t="s">
        <v>101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1250</v>
      </c>
      <c r="B24" s="12" t="s">
        <v>610</v>
      </c>
      <c r="C24" s="12" t="s">
        <v>1200</v>
      </c>
      <c r="D24" s="13" t="s">
        <v>1251</v>
      </c>
      <c r="E24" s="12" t="s">
        <v>122</v>
      </c>
      <c r="F24" s="12" t="s">
        <v>1202</v>
      </c>
      <c r="G24" s="13" t="s">
        <v>1252</v>
      </c>
      <c r="H24" s="12" t="s">
        <v>86</v>
      </c>
      <c r="I24" s="12" t="s">
        <v>101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1253</v>
      </c>
      <c r="B25" s="12" t="s">
        <v>193</v>
      </c>
      <c r="C25" s="12" t="s">
        <v>49</v>
      </c>
      <c r="D25" s="13" t="s">
        <v>1254</v>
      </c>
      <c r="E25" s="12" t="s">
        <v>122</v>
      </c>
      <c r="F25" s="12" t="s">
        <v>122</v>
      </c>
      <c r="G25" s="13" t="s">
        <v>128</v>
      </c>
      <c r="H25" s="12" t="s">
        <v>86</v>
      </c>
      <c r="I25" s="12" t="s">
        <v>101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104</v>
      </c>
      <c r="E4" s="6" t="n">
        <f aca="false">SUM(M9:M30)</f>
        <v>19</v>
      </c>
      <c r="G4" s="5" t="s">
        <v>13</v>
      </c>
      <c r="H4" s="7" t="n">
        <f aca="false">IF(B4=0,0,E4/B4)</f>
        <v>0.863636363636364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1257</v>
      </c>
      <c r="B9" s="12" t="s">
        <v>119</v>
      </c>
      <c r="C9" s="12" t="s">
        <v>1258</v>
      </c>
      <c r="D9" s="13" t="s">
        <v>1259</v>
      </c>
      <c r="E9" s="12" t="s">
        <v>122</v>
      </c>
      <c r="F9" s="12" t="s">
        <v>123</v>
      </c>
      <c r="G9" s="13" t="s">
        <v>1260</v>
      </c>
      <c r="H9" s="12" t="s">
        <v>86</v>
      </c>
      <c r="I9" s="12" t="s">
        <v>101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1261</v>
      </c>
      <c r="B10" s="12" t="s">
        <v>1262</v>
      </c>
      <c r="C10" s="12" t="s">
        <v>770</v>
      </c>
      <c r="D10" s="13" t="s">
        <v>1263</v>
      </c>
      <c r="E10" s="12" t="s">
        <v>122</v>
      </c>
      <c r="F10" s="12" t="s">
        <v>1264</v>
      </c>
      <c r="G10" s="13" t="s">
        <v>1265</v>
      </c>
      <c r="H10" s="12" t="s">
        <v>86</v>
      </c>
      <c r="I10" s="12" t="s">
        <v>101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1266</v>
      </c>
      <c r="B11" s="12" t="s">
        <v>1267</v>
      </c>
      <c r="C11" s="12" t="s">
        <v>1074</v>
      </c>
      <c r="D11" s="13" t="s">
        <v>1268</v>
      </c>
      <c r="E11" s="12" t="s">
        <v>122</v>
      </c>
      <c r="F11" s="12" t="s">
        <v>142</v>
      </c>
      <c r="G11" s="13" t="s">
        <v>1269</v>
      </c>
      <c r="H11" s="12" t="s">
        <v>86</v>
      </c>
      <c r="I11" s="12" t="s">
        <v>101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1270</v>
      </c>
      <c r="B12" s="12" t="s">
        <v>1271</v>
      </c>
      <c r="C12" s="12" t="s">
        <v>1271</v>
      </c>
      <c r="D12" s="13" t="s">
        <v>1272</v>
      </c>
      <c r="E12" s="12" t="s">
        <v>122</v>
      </c>
      <c r="F12" s="12" t="s">
        <v>147</v>
      </c>
      <c r="G12" s="13" t="s">
        <v>1273</v>
      </c>
      <c r="H12" s="12" t="s">
        <v>86</v>
      </c>
      <c r="I12" s="12" t="s">
        <v>101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1274</v>
      </c>
      <c r="B13" s="12" t="s">
        <v>1275</v>
      </c>
      <c r="C13" s="12" t="s">
        <v>1074</v>
      </c>
      <c r="D13" s="13" t="s">
        <v>1276</v>
      </c>
      <c r="E13" s="12" t="s">
        <v>122</v>
      </c>
      <c r="F13" s="12" t="s">
        <v>147</v>
      </c>
      <c r="G13" s="13" t="s">
        <v>1273</v>
      </c>
      <c r="H13" s="12" t="s">
        <v>86</v>
      </c>
      <c r="I13" s="12" t="s">
        <v>101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1277</v>
      </c>
      <c r="B14" s="12" t="s">
        <v>1278</v>
      </c>
      <c r="C14" s="12" t="s">
        <v>1074</v>
      </c>
      <c r="D14" s="13" t="s">
        <v>1279</v>
      </c>
      <c r="E14" s="12" t="s">
        <v>122</v>
      </c>
      <c r="F14" s="12" t="s">
        <v>147</v>
      </c>
      <c r="G14" s="13" t="s">
        <v>1273</v>
      </c>
      <c r="H14" s="12" t="s">
        <v>86</v>
      </c>
      <c r="I14" s="12" t="s">
        <v>101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1280</v>
      </c>
      <c r="B15" s="12" t="s">
        <v>1281</v>
      </c>
      <c r="C15" s="12" t="s">
        <v>770</v>
      </c>
      <c r="D15" s="13" t="s">
        <v>1282</v>
      </c>
      <c r="E15" s="12" t="s">
        <v>122</v>
      </c>
      <c r="F15" s="12" t="s">
        <v>147</v>
      </c>
      <c r="G15" s="13" t="s">
        <v>1273</v>
      </c>
      <c r="H15" s="12" t="s">
        <v>86</v>
      </c>
      <c r="I15" s="12" t="s">
        <v>101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1283</v>
      </c>
      <c r="B16" s="12" t="s">
        <v>150</v>
      </c>
      <c r="C16" s="12" t="s">
        <v>1284</v>
      </c>
      <c r="D16" s="13" t="s">
        <v>1285</v>
      </c>
      <c r="E16" s="12" t="s">
        <v>122</v>
      </c>
      <c r="F16" s="12" t="s">
        <v>147</v>
      </c>
      <c r="G16" s="13" t="s">
        <v>1273</v>
      </c>
      <c r="H16" s="12" t="s">
        <v>86</v>
      </c>
      <c r="I16" s="12" t="s">
        <v>101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1286</v>
      </c>
      <c r="B17" s="12" t="s">
        <v>170</v>
      </c>
      <c r="C17" s="12" t="s">
        <v>1172</v>
      </c>
      <c r="D17" s="13" t="s">
        <v>1287</v>
      </c>
      <c r="E17" s="12" t="s">
        <v>122</v>
      </c>
      <c r="F17" s="12" t="s">
        <v>142</v>
      </c>
      <c r="G17" s="13" t="s">
        <v>1288</v>
      </c>
      <c r="H17" s="12" t="s">
        <v>86</v>
      </c>
      <c r="I17" s="12" t="s">
        <v>101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1289</v>
      </c>
      <c r="B18" s="12" t="s">
        <v>126</v>
      </c>
      <c r="C18" s="12" t="s">
        <v>50</v>
      </c>
      <c r="D18" s="13" t="s">
        <v>1290</v>
      </c>
      <c r="E18" s="12" t="s">
        <v>122</v>
      </c>
      <c r="F18" s="12" t="s">
        <v>122</v>
      </c>
      <c r="G18" s="13" t="s">
        <v>128</v>
      </c>
      <c r="H18" s="12" t="s">
        <v>86</v>
      </c>
      <c r="I18" s="12" t="s">
        <v>101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1291</v>
      </c>
      <c r="B19" s="12" t="s">
        <v>130</v>
      </c>
      <c r="C19" s="12" t="s">
        <v>50</v>
      </c>
      <c r="D19" s="13" t="s">
        <v>1292</v>
      </c>
      <c r="E19" s="12" t="s">
        <v>122</v>
      </c>
      <c r="F19" s="12" t="s">
        <v>132</v>
      </c>
      <c r="G19" s="13" t="s">
        <v>1293</v>
      </c>
      <c r="H19" s="12" t="s">
        <v>86</v>
      </c>
      <c r="I19" s="12" t="s">
        <v>101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1294</v>
      </c>
      <c r="B20" s="12" t="s">
        <v>135</v>
      </c>
      <c r="C20" s="12" t="s">
        <v>50</v>
      </c>
      <c r="D20" s="13" t="s">
        <v>1295</v>
      </c>
      <c r="E20" s="12" t="s">
        <v>122</v>
      </c>
      <c r="F20" s="12" t="s">
        <v>137</v>
      </c>
      <c r="G20" s="13" t="s">
        <v>1296</v>
      </c>
      <c r="H20" s="12" t="s">
        <v>86</v>
      </c>
      <c r="I20" s="12" t="s">
        <v>101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1297</v>
      </c>
      <c r="B21" s="12" t="s">
        <v>1298</v>
      </c>
      <c r="C21" s="12" t="s">
        <v>50</v>
      </c>
      <c r="D21" s="13" t="s">
        <v>1299</v>
      </c>
      <c r="E21" s="12" t="s">
        <v>122</v>
      </c>
      <c r="F21" s="12" t="s">
        <v>122</v>
      </c>
      <c r="G21" s="13" t="s">
        <v>1300</v>
      </c>
      <c r="H21" s="12" t="s">
        <v>86</v>
      </c>
      <c r="I21" s="12" t="s">
        <v>101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1301</v>
      </c>
      <c r="B22" s="12" t="s">
        <v>610</v>
      </c>
      <c r="C22" s="12" t="s">
        <v>50</v>
      </c>
      <c r="D22" s="13" t="s">
        <v>1302</v>
      </c>
      <c r="E22" s="12" t="s">
        <v>122</v>
      </c>
      <c r="F22" s="12" t="s">
        <v>147</v>
      </c>
      <c r="G22" s="13" t="s">
        <v>1303</v>
      </c>
      <c r="H22" s="12" t="s">
        <v>86</v>
      </c>
      <c r="I22" s="12" t="s">
        <v>101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1304</v>
      </c>
      <c r="B23" s="12" t="s">
        <v>155</v>
      </c>
      <c r="C23" s="12" t="s">
        <v>50</v>
      </c>
      <c r="D23" s="13" t="s">
        <v>1305</v>
      </c>
      <c r="E23" s="12" t="s">
        <v>122</v>
      </c>
      <c r="F23" s="12" t="s">
        <v>157</v>
      </c>
      <c r="G23" s="13" t="s">
        <v>1306</v>
      </c>
      <c r="H23" s="12" t="s">
        <v>84</v>
      </c>
      <c r="I23" s="12" t="s">
        <v>100</v>
      </c>
      <c r="J23" s="14"/>
      <c r="K23" s="13" t="s">
        <v>1307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1308</v>
      </c>
      <c r="B24" s="12" t="s">
        <v>161</v>
      </c>
      <c r="C24" s="12" t="s">
        <v>50</v>
      </c>
      <c r="D24" s="13" t="s">
        <v>1309</v>
      </c>
      <c r="E24" s="12" t="s">
        <v>122</v>
      </c>
      <c r="F24" s="12" t="s">
        <v>163</v>
      </c>
      <c r="G24" s="13" t="s">
        <v>1310</v>
      </c>
      <c r="H24" s="12" t="s">
        <v>84</v>
      </c>
      <c r="I24" s="12" t="s">
        <v>100</v>
      </c>
      <c r="J24" s="14"/>
      <c r="K24" s="13" t="s">
        <v>1307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1311</v>
      </c>
      <c r="B25" s="12" t="s">
        <v>175</v>
      </c>
      <c r="C25" s="12" t="s">
        <v>50</v>
      </c>
      <c r="D25" s="13" t="s">
        <v>1312</v>
      </c>
      <c r="E25" s="12" t="s">
        <v>122</v>
      </c>
      <c r="F25" s="12" t="s">
        <v>163</v>
      </c>
      <c r="G25" s="13" t="s">
        <v>1310</v>
      </c>
      <c r="H25" s="12" t="s">
        <v>84</v>
      </c>
      <c r="I25" s="12" t="s">
        <v>100</v>
      </c>
      <c r="J25" s="14"/>
      <c r="K25" s="13" t="s">
        <v>1307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1313</v>
      </c>
      <c r="B26" s="12" t="s">
        <v>179</v>
      </c>
      <c r="C26" s="12" t="s">
        <v>50</v>
      </c>
      <c r="D26" s="13" t="s">
        <v>1314</v>
      </c>
      <c r="E26" s="12" t="s">
        <v>122</v>
      </c>
      <c r="F26" s="12" t="s">
        <v>181</v>
      </c>
      <c r="G26" s="13" t="s">
        <v>1315</v>
      </c>
      <c r="H26" s="12" t="s">
        <v>86</v>
      </c>
      <c r="I26" s="12" t="s">
        <v>101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1316</v>
      </c>
      <c r="B27" s="12" t="s">
        <v>184</v>
      </c>
      <c r="C27" s="12" t="s">
        <v>50</v>
      </c>
      <c r="D27" s="13" t="s">
        <v>1317</v>
      </c>
      <c r="E27" s="12" t="s">
        <v>122</v>
      </c>
      <c r="F27" s="12" t="s">
        <v>181</v>
      </c>
      <c r="G27" s="13" t="s">
        <v>1318</v>
      </c>
      <c r="H27" s="12" t="s">
        <v>86</v>
      </c>
      <c r="I27" s="12" t="s">
        <v>101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1319</v>
      </c>
      <c r="B28" s="12" t="s">
        <v>188</v>
      </c>
      <c r="C28" s="12" t="s">
        <v>50</v>
      </c>
      <c r="D28" s="13" t="s">
        <v>1320</v>
      </c>
      <c r="E28" s="12" t="s">
        <v>190</v>
      </c>
      <c r="F28" s="12" t="s">
        <v>190</v>
      </c>
      <c r="G28" s="13" t="s">
        <v>191</v>
      </c>
      <c r="H28" s="12" t="s">
        <v>86</v>
      </c>
      <c r="I28" s="12" t="s">
        <v>101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1321</v>
      </c>
      <c r="B29" s="12" t="s">
        <v>1200</v>
      </c>
      <c r="C29" s="12" t="s">
        <v>50</v>
      </c>
      <c r="D29" s="13" t="s">
        <v>1322</v>
      </c>
      <c r="E29" s="12" t="s">
        <v>122</v>
      </c>
      <c r="F29" s="12" t="s">
        <v>1202</v>
      </c>
      <c r="G29" s="13" t="s">
        <v>1323</v>
      </c>
      <c r="H29" s="12" t="s">
        <v>86</v>
      </c>
      <c r="I29" s="12" t="s">
        <v>101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1324</v>
      </c>
      <c r="B30" s="12" t="s">
        <v>193</v>
      </c>
      <c r="C30" s="12" t="s">
        <v>50</v>
      </c>
      <c r="D30" s="13" t="s">
        <v>1325</v>
      </c>
      <c r="E30" s="12" t="s">
        <v>122</v>
      </c>
      <c r="F30" s="12" t="s">
        <v>122</v>
      </c>
      <c r="G30" s="13" t="s">
        <v>128</v>
      </c>
      <c r="H30" s="12" t="s">
        <v>86</v>
      </c>
      <c r="I30" s="12" t="s">
        <v>101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1327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COUNTA(A9:A27)</f>
        <v>19</v>
      </c>
      <c r="D4" s="5" t="s">
        <v>104</v>
      </c>
      <c r="E4" s="6" t="n">
        <f aca="false">SUM(M9:M27)</f>
        <v>15</v>
      </c>
      <c r="G4" s="5" t="s">
        <v>13</v>
      </c>
      <c r="H4" s="7" t="n">
        <f aca="false">IF(B4=0,0,E4/B4)</f>
        <v>0.789473684210526</v>
      </c>
      <c r="J4" s="5" t="s">
        <v>14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IF(COUNTIFS(I9:I27,"yes",M9:M27,0)&gt;0,"open","complete")</f>
        <v>open</v>
      </c>
      <c r="D5" s="5" t="s">
        <v>15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565</v>
      </c>
      <c r="B9" s="12" t="s">
        <v>119</v>
      </c>
      <c r="C9" s="12" t="s">
        <v>1328</v>
      </c>
      <c r="D9" s="13" t="s">
        <v>1329</v>
      </c>
      <c r="E9" s="12" t="s">
        <v>122</v>
      </c>
      <c r="F9" s="12" t="s">
        <v>123</v>
      </c>
      <c r="G9" s="13" t="s">
        <v>1330</v>
      </c>
      <c r="H9" s="12" t="s">
        <v>86</v>
      </c>
      <c r="I9" s="12" t="s">
        <v>101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568</v>
      </c>
      <c r="B10" s="12" t="s">
        <v>1331</v>
      </c>
      <c r="C10" s="12" t="s">
        <v>1332</v>
      </c>
      <c r="D10" s="13" t="s">
        <v>1333</v>
      </c>
      <c r="E10" s="12" t="s">
        <v>122</v>
      </c>
      <c r="F10" s="12" t="s">
        <v>142</v>
      </c>
      <c r="G10" s="13" t="s">
        <v>1334</v>
      </c>
      <c r="H10" s="12" t="s">
        <v>86</v>
      </c>
      <c r="I10" s="12" t="s">
        <v>101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571</v>
      </c>
      <c r="B11" s="12" t="s">
        <v>126</v>
      </c>
      <c r="C11" s="12" t="s">
        <v>51</v>
      </c>
      <c r="D11" s="13" t="s">
        <v>1335</v>
      </c>
      <c r="E11" s="12" t="s">
        <v>122</v>
      </c>
      <c r="F11" s="12" t="s">
        <v>122</v>
      </c>
      <c r="G11" s="13" t="s">
        <v>570</v>
      </c>
      <c r="H11" s="12" t="s">
        <v>86</v>
      </c>
      <c r="I11" s="12" t="s">
        <v>101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574</v>
      </c>
      <c r="B12" s="12" t="s">
        <v>130</v>
      </c>
      <c r="C12" s="12" t="s">
        <v>51</v>
      </c>
      <c r="D12" s="13" t="s">
        <v>1336</v>
      </c>
      <c r="E12" s="12" t="s">
        <v>122</v>
      </c>
      <c r="F12" s="12" t="s">
        <v>132</v>
      </c>
      <c r="G12" s="13" t="s">
        <v>1337</v>
      </c>
      <c r="H12" s="12" t="s">
        <v>86</v>
      </c>
      <c r="I12" s="12" t="s">
        <v>101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577</v>
      </c>
      <c r="B13" s="12" t="s">
        <v>135</v>
      </c>
      <c r="C13" s="12" t="s">
        <v>51</v>
      </c>
      <c r="D13" s="13" t="s">
        <v>1338</v>
      </c>
      <c r="E13" s="12" t="s">
        <v>122</v>
      </c>
      <c r="F13" s="12" t="s">
        <v>137</v>
      </c>
      <c r="G13" s="13" t="s">
        <v>1339</v>
      </c>
      <c r="H13" s="12" t="s">
        <v>86</v>
      </c>
      <c r="I13" s="12" t="s">
        <v>101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580</v>
      </c>
      <c r="B14" s="12" t="s">
        <v>140</v>
      </c>
      <c r="C14" s="12" t="s">
        <v>51</v>
      </c>
      <c r="D14" s="13" t="s">
        <v>1340</v>
      </c>
      <c r="E14" s="12" t="s">
        <v>122</v>
      </c>
      <c r="F14" s="12" t="s">
        <v>142</v>
      </c>
      <c r="G14" s="13" t="s">
        <v>1334</v>
      </c>
      <c r="H14" s="12" t="s">
        <v>86</v>
      </c>
      <c r="I14" s="12" t="s">
        <v>101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583</v>
      </c>
      <c r="B15" s="12" t="s">
        <v>145</v>
      </c>
      <c r="C15" s="12" t="s">
        <v>1341</v>
      </c>
      <c r="D15" s="13" t="s">
        <v>1342</v>
      </c>
      <c r="E15" s="12" t="s">
        <v>122</v>
      </c>
      <c r="F15" s="12" t="s">
        <v>147</v>
      </c>
      <c r="G15" s="13" t="s">
        <v>1343</v>
      </c>
      <c r="H15" s="12" t="s">
        <v>86</v>
      </c>
      <c r="I15" s="12" t="s">
        <v>101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585</v>
      </c>
      <c r="B16" s="12" t="s">
        <v>1281</v>
      </c>
      <c r="C16" s="12" t="s">
        <v>1344</v>
      </c>
      <c r="D16" s="13" t="s">
        <v>1345</v>
      </c>
      <c r="E16" s="12" t="s">
        <v>122</v>
      </c>
      <c r="F16" s="12" t="s">
        <v>147</v>
      </c>
      <c r="G16" s="13" t="s">
        <v>1343</v>
      </c>
      <c r="H16" s="12" t="s">
        <v>86</v>
      </c>
      <c r="I16" s="12" t="s">
        <v>101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588</v>
      </c>
      <c r="B17" s="12" t="s">
        <v>150</v>
      </c>
      <c r="C17" s="12" t="s">
        <v>1346</v>
      </c>
      <c r="D17" s="13" t="s">
        <v>1347</v>
      </c>
      <c r="E17" s="12" t="s">
        <v>122</v>
      </c>
      <c r="F17" s="12" t="s">
        <v>152</v>
      </c>
      <c r="G17" s="13" t="s">
        <v>1343</v>
      </c>
      <c r="H17" s="12" t="s">
        <v>86</v>
      </c>
      <c r="I17" s="12" t="s">
        <v>101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592</v>
      </c>
      <c r="B18" s="12" t="s">
        <v>155</v>
      </c>
      <c r="C18" s="12" t="s">
        <v>51</v>
      </c>
      <c r="D18" s="13" t="s">
        <v>1348</v>
      </c>
      <c r="E18" s="12" t="s">
        <v>122</v>
      </c>
      <c r="F18" s="12" t="s">
        <v>157</v>
      </c>
      <c r="G18" s="13" t="s">
        <v>1349</v>
      </c>
      <c r="H18" s="12" t="s">
        <v>88</v>
      </c>
      <c r="I18" s="12" t="s">
        <v>100</v>
      </c>
      <c r="J18" s="14" t="n">
        <v>46229</v>
      </c>
      <c r="K18" s="13" t="s">
        <v>1350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596</v>
      </c>
      <c r="B19" s="12" t="s">
        <v>161</v>
      </c>
      <c r="C19" s="12" t="s">
        <v>51</v>
      </c>
      <c r="D19" s="13" t="s">
        <v>1351</v>
      </c>
      <c r="E19" s="12" t="s">
        <v>122</v>
      </c>
      <c r="F19" s="12" t="s">
        <v>163</v>
      </c>
      <c r="G19" s="13" t="s">
        <v>1352</v>
      </c>
      <c r="H19" s="12" t="s">
        <v>84</v>
      </c>
      <c r="I19" s="12" t="s">
        <v>100</v>
      </c>
      <c r="J19" s="14"/>
      <c r="K19" s="13" t="s">
        <v>891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598</v>
      </c>
      <c r="B20" s="12" t="s">
        <v>167</v>
      </c>
      <c r="C20" s="12" t="s">
        <v>51</v>
      </c>
      <c r="D20" s="13" t="s">
        <v>1353</v>
      </c>
      <c r="E20" s="12" t="s">
        <v>122</v>
      </c>
      <c r="F20" s="12" t="s">
        <v>163</v>
      </c>
      <c r="G20" s="13" t="s">
        <v>1354</v>
      </c>
      <c r="H20" s="12" t="s">
        <v>84</v>
      </c>
      <c r="I20" s="12" t="s">
        <v>100</v>
      </c>
      <c r="J20" s="14"/>
      <c r="K20" s="13" t="s">
        <v>792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601</v>
      </c>
      <c r="B21" s="12" t="s">
        <v>1267</v>
      </c>
      <c r="C21" s="12" t="s">
        <v>1328</v>
      </c>
      <c r="D21" s="13" t="s">
        <v>1355</v>
      </c>
      <c r="E21" s="12" t="s">
        <v>122</v>
      </c>
      <c r="F21" s="12" t="s">
        <v>147</v>
      </c>
      <c r="G21" s="13" t="s">
        <v>1356</v>
      </c>
      <c r="H21" s="12" t="s">
        <v>86</v>
      </c>
      <c r="I21" s="12" t="s">
        <v>101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604</v>
      </c>
      <c r="B22" s="12" t="s">
        <v>175</v>
      </c>
      <c r="C22" s="12" t="s">
        <v>51</v>
      </c>
      <c r="D22" s="13" t="s">
        <v>1357</v>
      </c>
      <c r="E22" s="12" t="s">
        <v>122</v>
      </c>
      <c r="F22" s="12" t="s">
        <v>163</v>
      </c>
      <c r="G22" s="13" t="s">
        <v>1352</v>
      </c>
      <c r="H22" s="12" t="s">
        <v>84</v>
      </c>
      <c r="I22" s="12" t="s">
        <v>100</v>
      </c>
      <c r="J22" s="14"/>
      <c r="K22" s="13" t="s">
        <v>896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607</v>
      </c>
      <c r="B23" s="12" t="s">
        <v>179</v>
      </c>
      <c r="C23" s="12" t="s">
        <v>51</v>
      </c>
      <c r="D23" s="13" t="s">
        <v>1358</v>
      </c>
      <c r="E23" s="12" t="s">
        <v>122</v>
      </c>
      <c r="F23" s="12" t="s">
        <v>181</v>
      </c>
      <c r="G23" s="13" t="s">
        <v>1359</v>
      </c>
      <c r="H23" s="12" t="s">
        <v>86</v>
      </c>
      <c r="I23" s="12" t="s">
        <v>101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609</v>
      </c>
      <c r="B24" s="12" t="s">
        <v>184</v>
      </c>
      <c r="C24" s="12" t="s">
        <v>51</v>
      </c>
      <c r="D24" s="13" t="s">
        <v>1360</v>
      </c>
      <c r="E24" s="12" t="s">
        <v>122</v>
      </c>
      <c r="F24" s="12" t="s">
        <v>181</v>
      </c>
      <c r="G24" s="13" t="s">
        <v>1361</v>
      </c>
      <c r="H24" s="12" t="s">
        <v>86</v>
      </c>
      <c r="I24" s="12" t="s">
        <v>101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614</v>
      </c>
      <c r="B25" s="12" t="s">
        <v>188</v>
      </c>
      <c r="C25" s="12" t="s">
        <v>51</v>
      </c>
      <c r="D25" s="13" t="s">
        <v>1362</v>
      </c>
      <c r="E25" s="12" t="s">
        <v>190</v>
      </c>
      <c r="F25" s="12" t="s">
        <v>190</v>
      </c>
      <c r="G25" s="13" t="s">
        <v>191</v>
      </c>
      <c r="H25" s="12" t="s">
        <v>86</v>
      </c>
      <c r="I25" s="12" t="s">
        <v>101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1363</v>
      </c>
      <c r="B26" s="12" t="s">
        <v>610</v>
      </c>
      <c r="C26" s="12" t="s">
        <v>51</v>
      </c>
      <c r="D26" s="13" t="s">
        <v>1364</v>
      </c>
      <c r="E26" s="12" t="s">
        <v>122</v>
      </c>
      <c r="F26" s="12" t="s">
        <v>122</v>
      </c>
      <c r="G26" s="13" t="s">
        <v>1365</v>
      </c>
      <c r="H26" s="12" t="s">
        <v>86</v>
      </c>
      <c r="I26" s="12" t="s">
        <v>101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1366</v>
      </c>
      <c r="B27" s="12" t="s">
        <v>193</v>
      </c>
      <c r="C27" s="12" t="s">
        <v>51</v>
      </c>
      <c r="D27" s="13" t="s">
        <v>1367</v>
      </c>
      <c r="E27" s="12" t="s">
        <v>122</v>
      </c>
      <c r="F27" s="12" t="s">
        <v>122</v>
      </c>
      <c r="G27" s="13" t="s">
        <v>1368</v>
      </c>
      <c r="H27" s="12" t="s">
        <v>84</v>
      </c>
      <c r="I27" s="12" t="s">
        <v>100</v>
      </c>
      <c r="J27" s="14"/>
      <c r="K27" s="13" t="s">
        <v>1369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104</v>
      </c>
      <c r="E4" s="6" t="n">
        <f aca="false">SUM(M9:M30)</f>
        <v>16</v>
      </c>
      <c r="G4" s="5" t="s">
        <v>13</v>
      </c>
      <c r="H4" s="7" t="n">
        <f aca="false">IF(B4=0,0,E4/B4)</f>
        <v>0.727272727272727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760</v>
      </c>
      <c r="B9" s="12" t="s">
        <v>119</v>
      </c>
      <c r="C9" s="12" t="s">
        <v>1372</v>
      </c>
      <c r="D9" s="13" t="s">
        <v>1373</v>
      </c>
      <c r="E9" s="12" t="s">
        <v>122</v>
      </c>
      <c r="F9" s="12" t="s">
        <v>123</v>
      </c>
      <c r="G9" s="13" t="s">
        <v>1374</v>
      </c>
      <c r="H9" s="12" t="s">
        <v>86</v>
      </c>
      <c r="I9" s="12" t="s">
        <v>101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763</v>
      </c>
      <c r="B10" s="12" t="s">
        <v>1331</v>
      </c>
      <c r="C10" s="12" t="s">
        <v>1172</v>
      </c>
      <c r="D10" s="13" t="s">
        <v>1375</v>
      </c>
      <c r="E10" s="12" t="s">
        <v>122</v>
      </c>
      <c r="F10" s="12" t="s">
        <v>142</v>
      </c>
      <c r="G10" s="13" t="s">
        <v>1376</v>
      </c>
      <c r="H10" s="12" t="s">
        <v>86</v>
      </c>
      <c r="I10" s="12" t="s">
        <v>101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766</v>
      </c>
      <c r="B11" s="12" t="s">
        <v>126</v>
      </c>
      <c r="C11" s="12" t="s">
        <v>52</v>
      </c>
      <c r="D11" s="13" t="s">
        <v>1377</v>
      </c>
      <c r="E11" s="12" t="s">
        <v>122</v>
      </c>
      <c r="F11" s="12" t="s">
        <v>122</v>
      </c>
      <c r="G11" s="13" t="s">
        <v>128</v>
      </c>
      <c r="H11" s="12" t="s">
        <v>86</v>
      </c>
      <c r="I11" s="12" t="s">
        <v>101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769</v>
      </c>
      <c r="B12" s="12" t="s">
        <v>130</v>
      </c>
      <c r="C12" s="12" t="s">
        <v>1378</v>
      </c>
      <c r="D12" s="13" t="s">
        <v>1379</v>
      </c>
      <c r="E12" s="12" t="s">
        <v>122</v>
      </c>
      <c r="F12" s="12" t="s">
        <v>132</v>
      </c>
      <c r="G12" s="13" t="s">
        <v>1380</v>
      </c>
      <c r="H12" s="12" t="s">
        <v>86</v>
      </c>
      <c r="I12" s="12" t="s">
        <v>101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773</v>
      </c>
      <c r="B13" s="12" t="s">
        <v>135</v>
      </c>
      <c r="C13" s="12" t="s">
        <v>1381</v>
      </c>
      <c r="D13" s="13" t="s">
        <v>1382</v>
      </c>
      <c r="E13" s="12" t="s">
        <v>122</v>
      </c>
      <c r="F13" s="12" t="s">
        <v>137</v>
      </c>
      <c r="G13" s="13" t="s">
        <v>1383</v>
      </c>
      <c r="H13" s="12" t="s">
        <v>86</v>
      </c>
      <c r="I13" s="12" t="s">
        <v>101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776</v>
      </c>
      <c r="B14" s="12" t="s">
        <v>1384</v>
      </c>
      <c r="C14" s="12" t="s">
        <v>1385</v>
      </c>
      <c r="D14" s="13" t="s">
        <v>1386</v>
      </c>
      <c r="E14" s="12" t="s">
        <v>122</v>
      </c>
      <c r="F14" s="12" t="s">
        <v>142</v>
      </c>
      <c r="G14" s="13" t="s">
        <v>1387</v>
      </c>
      <c r="H14" s="12" t="s">
        <v>86</v>
      </c>
      <c r="I14" s="12" t="s">
        <v>101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779</v>
      </c>
      <c r="B15" s="12" t="s">
        <v>1121</v>
      </c>
      <c r="C15" s="12" t="s">
        <v>1372</v>
      </c>
      <c r="D15" s="13" t="s">
        <v>1388</v>
      </c>
      <c r="E15" s="12" t="s">
        <v>122</v>
      </c>
      <c r="F15" s="12" t="s">
        <v>147</v>
      </c>
      <c r="G15" s="13" t="s">
        <v>1389</v>
      </c>
      <c r="H15" s="12" t="s">
        <v>86</v>
      </c>
      <c r="I15" s="12" t="s">
        <v>101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781</v>
      </c>
      <c r="B16" s="12" t="s">
        <v>1390</v>
      </c>
      <c r="C16" s="12" t="s">
        <v>1391</v>
      </c>
      <c r="D16" s="13" t="s">
        <v>1392</v>
      </c>
      <c r="E16" s="12" t="s">
        <v>122</v>
      </c>
      <c r="F16" s="12" t="s">
        <v>147</v>
      </c>
      <c r="G16" s="13" t="s">
        <v>1393</v>
      </c>
      <c r="H16" s="12" t="s">
        <v>86</v>
      </c>
      <c r="I16" s="12" t="s">
        <v>101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785</v>
      </c>
      <c r="B17" s="12" t="s">
        <v>1394</v>
      </c>
      <c r="C17" s="12" t="s">
        <v>1395</v>
      </c>
      <c r="D17" s="13" t="s">
        <v>1396</v>
      </c>
      <c r="E17" s="12" t="s">
        <v>122</v>
      </c>
      <c r="F17" s="12" t="s">
        <v>147</v>
      </c>
      <c r="G17" s="13" t="s">
        <v>1389</v>
      </c>
      <c r="H17" s="12" t="s">
        <v>86</v>
      </c>
      <c r="I17" s="12" t="s">
        <v>101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789</v>
      </c>
      <c r="B18" s="12" t="s">
        <v>1397</v>
      </c>
      <c r="C18" s="12" t="s">
        <v>1372</v>
      </c>
      <c r="D18" s="13" t="s">
        <v>1398</v>
      </c>
      <c r="E18" s="12" t="s">
        <v>122</v>
      </c>
      <c r="F18" s="12" t="s">
        <v>147</v>
      </c>
      <c r="G18" s="13" t="s">
        <v>1393</v>
      </c>
      <c r="H18" s="12" t="s">
        <v>86</v>
      </c>
      <c r="I18" s="12" t="s">
        <v>101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793</v>
      </c>
      <c r="B19" s="12" t="s">
        <v>170</v>
      </c>
      <c r="C19" s="12" t="s">
        <v>1399</v>
      </c>
      <c r="D19" s="13" t="s">
        <v>1400</v>
      </c>
      <c r="E19" s="12" t="s">
        <v>122</v>
      </c>
      <c r="F19" s="12" t="s">
        <v>142</v>
      </c>
      <c r="G19" s="13" t="s">
        <v>1387</v>
      </c>
      <c r="H19" s="12" t="s">
        <v>86</v>
      </c>
      <c r="I19" s="12" t="s">
        <v>101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795</v>
      </c>
      <c r="B20" s="12" t="s">
        <v>150</v>
      </c>
      <c r="C20" s="12" t="s">
        <v>52</v>
      </c>
      <c r="D20" s="13" t="s">
        <v>1401</v>
      </c>
      <c r="E20" s="12" t="s">
        <v>122</v>
      </c>
      <c r="F20" s="12" t="s">
        <v>152</v>
      </c>
      <c r="G20" s="13" t="s">
        <v>1389</v>
      </c>
      <c r="H20" s="12" t="s">
        <v>86</v>
      </c>
      <c r="I20" s="12" t="s">
        <v>101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798</v>
      </c>
      <c r="B21" s="12" t="s">
        <v>155</v>
      </c>
      <c r="C21" s="12" t="s">
        <v>52</v>
      </c>
      <c r="D21" s="13" t="s">
        <v>1402</v>
      </c>
      <c r="E21" s="12" t="s">
        <v>122</v>
      </c>
      <c r="F21" s="12" t="s">
        <v>157</v>
      </c>
      <c r="G21" s="13" t="s">
        <v>1403</v>
      </c>
      <c r="H21" s="12" t="s">
        <v>84</v>
      </c>
      <c r="I21" s="12" t="s">
        <v>100</v>
      </c>
      <c r="J21" s="14"/>
      <c r="K21" s="13" t="s">
        <v>1404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801</v>
      </c>
      <c r="B22" s="12" t="s">
        <v>161</v>
      </c>
      <c r="C22" s="12" t="s">
        <v>1405</v>
      </c>
      <c r="D22" s="13" t="s">
        <v>1406</v>
      </c>
      <c r="E22" s="12" t="s">
        <v>122</v>
      </c>
      <c r="F22" s="12" t="s">
        <v>163</v>
      </c>
      <c r="G22" s="13" t="s">
        <v>1407</v>
      </c>
      <c r="H22" s="12" t="s">
        <v>84</v>
      </c>
      <c r="I22" s="12" t="s">
        <v>100</v>
      </c>
      <c r="J22" s="14"/>
      <c r="K22" s="13" t="s">
        <v>1408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804</v>
      </c>
      <c r="B23" s="12" t="s">
        <v>1409</v>
      </c>
      <c r="C23" s="12" t="s">
        <v>1074</v>
      </c>
      <c r="D23" s="13" t="s">
        <v>1410</v>
      </c>
      <c r="E23" s="12" t="s">
        <v>122</v>
      </c>
      <c r="F23" s="12" t="s">
        <v>163</v>
      </c>
      <c r="G23" s="13" t="s">
        <v>1411</v>
      </c>
      <c r="H23" s="12" t="s">
        <v>84</v>
      </c>
      <c r="I23" s="12" t="s">
        <v>100</v>
      </c>
      <c r="J23" s="14"/>
      <c r="K23" s="13" t="s">
        <v>1412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807</v>
      </c>
      <c r="B24" s="12" t="s">
        <v>1413</v>
      </c>
      <c r="C24" s="12" t="s">
        <v>52</v>
      </c>
      <c r="D24" s="13" t="s">
        <v>1414</v>
      </c>
      <c r="E24" s="12" t="s">
        <v>122</v>
      </c>
      <c r="F24" s="12" t="s">
        <v>163</v>
      </c>
      <c r="G24" s="13" t="s">
        <v>1407</v>
      </c>
      <c r="H24" s="12" t="s">
        <v>84</v>
      </c>
      <c r="I24" s="12" t="s">
        <v>100</v>
      </c>
      <c r="J24" s="14"/>
      <c r="K24" s="13" t="s">
        <v>1415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937</v>
      </c>
      <c r="B25" s="12" t="s">
        <v>167</v>
      </c>
      <c r="C25" s="12" t="s">
        <v>52</v>
      </c>
      <c r="D25" s="13" t="s">
        <v>542</v>
      </c>
      <c r="E25" s="12" t="s">
        <v>122</v>
      </c>
      <c r="F25" s="12" t="s">
        <v>163</v>
      </c>
      <c r="G25" s="13" t="s">
        <v>1416</v>
      </c>
      <c r="H25" s="12" t="s">
        <v>84</v>
      </c>
      <c r="I25" s="12" t="s">
        <v>100</v>
      </c>
      <c r="J25" s="14"/>
      <c r="K25" s="13" t="s">
        <v>1417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1418</v>
      </c>
      <c r="B26" s="12" t="s">
        <v>175</v>
      </c>
      <c r="C26" s="12" t="s">
        <v>52</v>
      </c>
      <c r="D26" s="13" t="s">
        <v>1419</v>
      </c>
      <c r="E26" s="12" t="s">
        <v>122</v>
      </c>
      <c r="F26" s="12" t="s">
        <v>163</v>
      </c>
      <c r="G26" s="13" t="s">
        <v>1407</v>
      </c>
      <c r="H26" s="12" t="s">
        <v>84</v>
      </c>
      <c r="I26" s="12" t="s">
        <v>100</v>
      </c>
      <c r="J26" s="14"/>
      <c r="K26" s="13" t="s">
        <v>551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1420</v>
      </c>
      <c r="B27" s="12" t="s">
        <v>179</v>
      </c>
      <c r="C27" s="12" t="s">
        <v>52</v>
      </c>
      <c r="D27" s="13" t="s">
        <v>1421</v>
      </c>
      <c r="E27" s="12" t="s">
        <v>122</v>
      </c>
      <c r="F27" s="12" t="s">
        <v>181</v>
      </c>
      <c r="G27" s="13" t="s">
        <v>1422</v>
      </c>
      <c r="H27" s="12" t="s">
        <v>86</v>
      </c>
      <c r="I27" s="12" t="s">
        <v>101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1423</v>
      </c>
      <c r="B28" s="12" t="s">
        <v>184</v>
      </c>
      <c r="C28" s="12" t="s">
        <v>52</v>
      </c>
      <c r="D28" s="13" t="s">
        <v>1424</v>
      </c>
      <c r="E28" s="12" t="s">
        <v>122</v>
      </c>
      <c r="F28" s="12" t="s">
        <v>181</v>
      </c>
      <c r="G28" s="13" t="s">
        <v>1425</v>
      </c>
      <c r="H28" s="12" t="s">
        <v>86</v>
      </c>
      <c r="I28" s="12" t="s">
        <v>101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1426</v>
      </c>
      <c r="B29" s="12" t="s">
        <v>188</v>
      </c>
      <c r="C29" s="12" t="s">
        <v>52</v>
      </c>
      <c r="D29" s="13" t="s">
        <v>1427</v>
      </c>
      <c r="E29" s="12" t="s">
        <v>190</v>
      </c>
      <c r="F29" s="12" t="s">
        <v>190</v>
      </c>
      <c r="G29" s="13" t="s">
        <v>191</v>
      </c>
      <c r="H29" s="12" t="s">
        <v>86</v>
      </c>
      <c r="I29" s="12" t="s">
        <v>101</v>
      </c>
      <c r="J29" s="14" t="s">
        <v>1428</v>
      </c>
      <c r="K29" s="13" t="s">
        <v>1429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1430</v>
      </c>
      <c r="B30" s="12" t="s">
        <v>193</v>
      </c>
      <c r="C30" s="12" t="s">
        <v>52</v>
      </c>
      <c r="D30" s="13" t="s">
        <v>1431</v>
      </c>
      <c r="E30" s="12" t="s">
        <v>122</v>
      </c>
      <c r="F30" s="12" t="s">
        <v>122</v>
      </c>
      <c r="G30" s="13" t="s">
        <v>562</v>
      </c>
      <c r="H30" s="12" t="s">
        <v>86</v>
      </c>
      <c r="I30" s="12" t="s">
        <v>101</v>
      </c>
      <c r="J30" s="14" t="s">
        <v>1428</v>
      </c>
      <c r="K30" s="13" t="s">
        <v>1432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104</v>
      </c>
      <c r="E4" s="6" t="n">
        <f aca="false">SUM(M9:M30)</f>
        <v>16</v>
      </c>
      <c r="G4" s="5" t="s">
        <v>13</v>
      </c>
      <c r="H4" s="7" t="n">
        <f aca="false">IF(B4=0,0,E4/B4)</f>
        <v>0.727272727272727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1435</v>
      </c>
      <c r="B9" s="12" t="s">
        <v>119</v>
      </c>
      <c r="C9" s="12" t="s">
        <v>1372</v>
      </c>
      <c r="D9" s="13" t="s">
        <v>1436</v>
      </c>
      <c r="E9" s="12" t="s">
        <v>122</v>
      </c>
      <c r="F9" s="12" t="s">
        <v>123</v>
      </c>
      <c r="G9" s="13" t="s">
        <v>1437</v>
      </c>
      <c r="H9" s="12" t="s">
        <v>86</v>
      </c>
      <c r="I9" s="12" t="s">
        <v>101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1438</v>
      </c>
      <c r="B10" s="12" t="s">
        <v>1331</v>
      </c>
      <c r="C10" s="12" t="s">
        <v>1172</v>
      </c>
      <c r="D10" s="13" t="s">
        <v>1375</v>
      </c>
      <c r="E10" s="12" t="s">
        <v>122</v>
      </c>
      <c r="F10" s="12" t="s">
        <v>142</v>
      </c>
      <c r="G10" s="13" t="s">
        <v>1439</v>
      </c>
      <c r="H10" s="12" t="s">
        <v>86</v>
      </c>
      <c r="I10" s="12" t="s">
        <v>101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1440</v>
      </c>
      <c r="B11" s="12" t="s">
        <v>126</v>
      </c>
      <c r="C11" s="12" t="s">
        <v>53</v>
      </c>
      <c r="D11" s="13" t="s">
        <v>1441</v>
      </c>
      <c r="E11" s="12" t="s">
        <v>122</v>
      </c>
      <c r="F11" s="12" t="s">
        <v>122</v>
      </c>
      <c r="G11" s="13" t="s">
        <v>128</v>
      </c>
      <c r="H11" s="12" t="s">
        <v>86</v>
      </c>
      <c r="I11" s="12" t="s">
        <v>101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1442</v>
      </c>
      <c r="B12" s="12" t="s">
        <v>130</v>
      </c>
      <c r="C12" s="12" t="s">
        <v>1378</v>
      </c>
      <c r="D12" s="13" t="s">
        <v>1443</v>
      </c>
      <c r="E12" s="12" t="s">
        <v>122</v>
      </c>
      <c r="F12" s="12" t="s">
        <v>132</v>
      </c>
      <c r="G12" s="13" t="s">
        <v>1444</v>
      </c>
      <c r="H12" s="12" t="s">
        <v>86</v>
      </c>
      <c r="I12" s="12" t="s">
        <v>101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1445</v>
      </c>
      <c r="B13" s="12" t="s">
        <v>135</v>
      </c>
      <c r="C13" s="12" t="s">
        <v>1381</v>
      </c>
      <c r="D13" s="13" t="s">
        <v>1382</v>
      </c>
      <c r="E13" s="12" t="s">
        <v>122</v>
      </c>
      <c r="F13" s="12" t="s">
        <v>137</v>
      </c>
      <c r="G13" s="13" t="s">
        <v>1446</v>
      </c>
      <c r="H13" s="12" t="s">
        <v>86</v>
      </c>
      <c r="I13" s="12" t="s">
        <v>101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1447</v>
      </c>
      <c r="B14" s="12" t="s">
        <v>1384</v>
      </c>
      <c r="C14" s="12" t="s">
        <v>1385</v>
      </c>
      <c r="D14" s="13" t="s">
        <v>1448</v>
      </c>
      <c r="E14" s="12" t="s">
        <v>122</v>
      </c>
      <c r="F14" s="12" t="s">
        <v>142</v>
      </c>
      <c r="G14" s="13" t="s">
        <v>1449</v>
      </c>
      <c r="H14" s="12" t="s">
        <v>86</v>
      </c>
      <c r="I14" s="12" t="s">
        <v>101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1450</v>
      </c>
      <c r="B15" s="12" t="s">
        <v>1121</v>
      </c>
      <c r="C15" s="12" t="s">
        <v>1372</v>
      </c>
      <c r="D15" s="13" t="s">
        <v>1388</v>
      </c>
      <c r="E15" s="12" t="s">
        <v>122</v>
      </c>
      <c r="F15" s="12" t="s">
        <v>147</v>
      </c>
      <c r="G15" s="13" t="s">
        <v>1451</v>
      </c>
      <c r="H15" s="12" t="s">
        <v>86</v>
      </c>
      <c r="I15" s="12" t="s">
        <v>101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1452</v>
      </c>
      <c r="B16" s="12" t="s">
        <v>1390</v>
      </c>
      <c r="C16" s="12" t="s">
        <v>1391</v>
      </c>
      <c r="D16" s="13" t="s">
        <v>1453</v>
      </c>
      <c r="E16" s="12" t="s">
        <v>122</v>
      </c>
      <c r="F16" s="12" t="s">
        <v>147</v>
      </c>
      <c r="G16" s="13" t="s">
        <v>1454</v>
      </c>
      <c r="H16" s="12" t="s">
        <v>86</v>
      </c>
      <c r="I16" s="12" t="s">
        <v>101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1455</v>
      </c>
      <c r="B17" s="12" t="s">
        <v>1394</v>
      </c>
      <c r="C17" s="12" t="s">
        <v>1395</v>
      </c>
      <c r="D17" s="13" t="s">
        <v>1396</v>
      </c>
      <c r="E17" s="12" t="s">
        <v>122</v>
      </c>
      <c r="F17" s="12" t="s">
        <v>147</v>
      </c>
      <c r="G17" s="13" t="s">
        <v>1451</v>
      </c>
      <c r="H17" s="12" t="s">
        <v>86</v>
      </c>
      <c r="I17" s="12" t="s">
        <v>101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1456</v>
      </c>
      <c r="B18" s="12" t="s">
        <v>1397</v>
      </c>
      <c r="C18" s="12" t="s">
        <v>1372</v>
      </c>
      <c r="D18" s="13" t="s">
        <v>1457</v>
      </c>
      <c r="E18" s="12" t="s">
        <v>122</v>
      </c>
      <c r="F18" s="12" t="s">
        <v>147</v>
      </c>
      <c r="G18" s="13" t="s">
        <v>1454</v>
      </c>
      <c r="H18" s="12" t="s">
        <v>86</v>
      </c>
      <c r="I18" s="12" t="s">
        <v>101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1458</v>
      </c>
      <c r="B19" s="12" t="s">
        <v>170</v>
      </c>
      <c r="C19" s="12" t="s">
        <v>1399</v>
      </c>
      <c r="D19" s="13" t="s">
        <v>1400</v>
      </c>
      <c r="E19" s="12" t="s">
        <v>122</v>
      </c>
      <c r="F19" s="12" t="s">
        <v>142</v>
      </c>
      <c r="G19" s="13" t="s">
        <v>1449</v>
      </c>
      <c r="H19" s="12" t="s">
        <v>86</v>
      </c>
      <c r="I19" s="12" t="s">
        <v>101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1459</v>
      </c>
      <c r="B20" s="12" t="s">
        <v>150</v>
      </c>
      <c r="C20" s="12" t="s">
        <v>53</v>
      </c>
      <c r="D20" s="13" t="s">
        <v>1460</v>
      </c>
      <c r="E20" s="12" t="s">
        <v>122</v>
      </c>
      <c r="F20" s="12" t="s">
        <v>152</v>
      </c>
      <c r="G20" s="13" t="s">
        <v>1451</v>
      </c>
      <c r="H20" s="12" t="s">
        <v>86</v>
      </c>
      <c r="I20" s="12" t="s">
        <v>101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1461</v>
      </c>
      <c r="B21" s="12" t="s">
        <v>155</v>
      </c>
      <c r="C21" s="12" t="s">
        <v>53</v>
      </c>
      <c r="D21" s="13" t="s">
        <v>1402</v>
      </c>
      <c r="E21" s="12" t="s">
        <v>122</v>
      </c>
      <c r="F21" s="12" t="s">
        <v>157</v>
      </c>
      <c r="G21" s="13" t="s">
        <v>1462</v>
      </c>
      <c r="H21" s="12" t="s">
        <v>84</v>
      </c>
      <c r="I21" s="12" t="s">
        <v>100</v>
      </c>
      <c r="J21" s="14"/>
      <c r="K21" s="13" t="s">
        <v>1404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1463</v>
      </c>
      <c r="B22" s="12" t="s">
        <v>161</v>
      </c>
      <c r="C22" s="12" t="s">
        <v>1405</v>
      </c>
      <c r="D22" s="13" t="s">
        <v>1406</v>
      </c>
      <c r="E22" s="12" t="s">
        <v>122</v>
      </c>
      <c r="F22" s="12" t="s">
        <v>163</v>
      </c>
      <c r="G22" s="13" t="s">
        <v>1464</v>
      </c>
      <c r="H22" s="12" t="s">
        <v>84</v>
      </c>
      <c r="I22" s="12" t="s">
        <v>100</v>
      </c>
      <c r="J22" s="14"/>
      <c r="K22" s="13" t="s">
        <v>1408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1465</v>
      </c>
      <c r="B23" s="12" t="s">
        <v>1409</v>
      </c>
      <c r="C23" s="12" t="s">
        <v>1074</v>
      </c>
      <c r="D23" s="13" t="s">
        <v>1466</v>
      </c>
      <c r="E23" s="12" t="s">
        <v>122</v>
      </c>
      <c r="F23" s="12" t="s">
        <v>163</v>
      </c>
      <c r="G23" s="13" t="s">
        <v>1467</v>
      </c>
      <c r="H23" s="12" t="s">
        <v>84</v>
      </c>
      <c r="I23" s="12" t="s">
        <v>100</v>
      </c>
      <c r="J23" s="14"/>
      <c r="K23" s="13" t="s">
        <v>1412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1468</v>
      </c>
      <c r="B24" s="12" t="s">
        <v>1413</v>
      </c>
      <c r="C24" s="12" t="s">
        <v>53</v>
      </c>
      <c r="D24" s="13" t="s">
        <v>1414</v>
      </c>
      <c r="E24" s="12" t="s">
        <v>122</v>
      </c>
      <c r="F24" s="12" t="s">
        <v>163</v>
      </c>
      <c r="G24" s="13" t="s">
        <v>1464</v>
      </c>
      <c r="H24" s="12" t="s">
        <v>84</v>
      </c>
      <c r="I24" s="12" t="s">
        <v>100</v>
      </c>
      <c r="J24" s="14"/>
      <c r="K24" s="13" t="s">
        <v>1415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1469</v>
      </c>
      <c r="B25" s="12" t="s">
        <v>167</v>
      </c>
      <c r="C25" s="12" t="s">
        <v>53</v>
      </c>
      <c r="D25" s="13" t="s">
        <v>542</v>
      </c>
      <c r="E25" s="12" t="s">
        <v>122</v>
      </c>
      <c r="F25" s="12" t="s">
        <v>163</v>
      </c>
      <c r="G25" s="13" t="s">
        <v>1470</v>
      </c>
      <c r="H25" s="12" t="s">
        <v>84</v>
      </c>
      <c r="I25" s="12" t="s">
        <v>100</v>
      </c>
      <c r="J25" s="14"/>
      <c r="K25" s="13" t="s">
        <v>1417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1471</v>
      </c>
      <c r="B26" s="12" t="s">
        <v>175</v>
      </c>
      <c r="C26" s="12" t="s">
        <v>53</v>
      </c>
      <c r="D26" s="13" t="s">
        <v>1472</v>
      </c>
      <c r="E26" s="12" t="s">
        <v>122</v>
      </c>
      <c r="F26" s="12" t="s">
        <v>163</v>
      </c>
      <c r="G26" s="13" t="s">
        <v>1464</v>
      </c>
      <c r="H26" s="12" t="s">
        <v>84</v>
      </c>
      <c r="I26" s="12" t="s">
        <v>100</v>
      </c>
      <c r="J26" s="14"/>
      <c r="K26" s="13" t="s">
        <v>551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1473</v>
      </c>
      <c r="B27" s="12" t="s">
        <v>179</v>
      </c>
      <c r="C27" s="12" t="s">
        <v>53</v>
      </c>
      <c r="D27" s="13" t="s">
        <v>1421</v>
      </c>
      <c r="E27" s="12" t="s">
        <v>122</v>
      </c>
      <c r="F27" s="12" t="s">
        <v>181</v>
      </c>
      <c r="G27" s="13" t="s">
        <v>1474</v>
      </c>
      <c r="H27" s="12" t="s">
        <v>86</v>
      </c>
      <c r="I27" s="12" t="s">
        <v>101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1475</v>
      </c>
      <c r="B28" s="12" t="s">
        <v>184</v>
      </c>
      <c r="C28" s="12" t="s">
        <v>53</v>
      </c>
      <c r="D28" s="13" t="s">
        <v>1476</v>
      </c>
      <c r="E28" s="12" t="s">
        <v>122</v>
      </c>
      <c r="F28" s="12" t="s">
        <v>181</v>
      </c>
      <c r="G28" s="13" t="s">
        <v>1477</v>
      </c>
      <c r="H28" s="12" t="s">
        <v>86</v>
      </c>
      <c r="I28" s="12" t="s">
        <v>101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1478</v>
      </c>
      <c r="B29" s="12" t="s">
        <v>188</v>
      </c>
      <c r="C29" s="12" t="s">
        <v>53</v>
      </c>
      <c r="D29" s="13" t="s">
        <v>1479</v>
      </c>
      <c r="E29" s="12" t="s">
        <v>190</v>
      </c>
      <c r="F29" s="12" t="s">
        <v>190</v>
      </c>
      <c r="G29" s="13" t="s">
        <v>191</v>
      </c>
      <c r="H29" s="12" t="s">
        <v>86</v>
      </c>
      <c r="I29" s="12" t="s">
        <v>101</v>
      </c>
      <c r="J29" s="14" t="n">
        <v>46229</v>
      </c>
      <c r="K29" s="13" t="s">
        <v>1429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1480</v>
      </c>
      <c r="B30" s="12" t="s">
        <v>193</v>
      </c>
      <c r="C30" s="12" t="s">
        <v>53</v>
      </c>
      <c r="D30" s="13" t="s">
        <v>1431</v>
      </c>
      <c r="E30" s="12" t="s">
        <v>122</v>
      </c>
      <c r="F30" s="12" t="s">
        <v>122</v>
      </c>
      <c r="G30" s="13" t="s">
        <v>562</v>
      </c>
      <c r="H30" s="12" t="s">
        <v>86</v>
      </c>
      <c r="I30" s="12" t="s">
        <v>101</v>
      </c>
      <c r="J30" s="14" t="n">
        <v>46229</v>
      </c>
      <c r="K30" s="13" t="s">
        <v>1432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1482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104</v>
      </c>
      <c r="E4" s="6" t="n">
        <f aca="false">SUM(M9:M30)</f>
        <v>17</v>
      </c>
      <c r="G4" s="5" t="s">
        <v>13</v>
      </c>
      <c r="H4" s="7" t="n">
        <f aca="false">IF(B4=0,0,E4/B4)</f>
        <v>0.772727272727273</v>
      </c>
      <c r="J4" s="5" t="s">
        <v>14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1483</v>
      </c>
      <c r="B9" s="12" t="s">
        <v>119</v>
      </c>
      <c r="C9" s="12" t="s">
        <v>770</v>
      </c>
      <c r="D9" s="13" t="s">
        <v>1484</v>
      </c>
      <c r="E9" s="12" t="s">
        <v>122</v>
      </c>
      <c r="F9" s="12" t="s">
        <v>123</v>
      </c>
      <c r="G9" s="13" t="s">
        <v>1485</v>
      </c>
      <c r="H9" s="12" t="s">
        <v>86</v>
      </c>
      <c r="I9" s="12" t="s">
        <v>101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1486</v>
      </c>
      <c r="B10" s="12" t="s">
        <v>1331</v>
      </c>
      <c r="C10" s="12" t="s">
        <v>1487</v>
      </c>
      <c r="D10" s="13" t="s">
        <v>1488</v>
      </c>
      <c r="E10" s="12" t="s">
        <v>122</v>
      </c>
      <c r="F10" s="12" t="s">
        <v>142</v>
      </c>
      <c r="G10" s="13" t="s">
        <v>1489</v>
      </c>
      <c r="H10" s="12" t="s">
        <v>86</v>
      </c>
      <c r="I10" s="12" t="s">
        <v>101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1490</v>
      </c>
      <c r="B11" s="12" t="s">
        <v>126</v>
      </c>
      <c r="C11" s="12" t="s">
        <v>54</v>
      </c>
      <c r="D11" s="13" t="s">
        <v>1491</v>
      </c>
      <c r="E11" s="12" t="s">
        <v>122</v>
      </c>
      <c r="F11" s="12" t="s">
        <v>122</v>
      </c>
      <c r="G11" s="13" t="s">
        <v>128</v>
      </c>
      <c r="H11" s="12" t="s">
        <v>86</v>
      </c>
      <c r="I11" s="12" t="s">
        <v>101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1492</v>
      </c>
      <c r="B12" s="12" t="s">
        <v>130</v>
      </c>
      <c r="C12" s="12" t="s">
        <v>1487</v>
      </c>
      <c r="D12" s="13" t="s">
        <v>1493</v>
      </c>
      <c r="E12" s="12" t="s">
        <v>122</v>
      </c>
      <c r="F12" s="12" t="s">
        <v>132</v>
      </c>
      <c r="G12" s="13" t="s">
        <v>1494</v>
      </c>
      <c r="H12" s="12" t="s">
        <v>86</v>
      </c>
      <c r="I12" s="12" t="s">
        <v>101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1495</v>
      </c>
      <c r="B13" s="12" t="s">
        <v>135</v>
      </c>
      <c r="C13" s="12" t="s">
        <v>1487</v>
      </c>
      <c r="D13" s="13" t="s">
        <v>1496</v>
      </c>
      <c r="E13" s="12" t="s">
        <v>122</v>
      </c>
      <c r="F13" s="12" t="s">
        <v>137</v>
      </c>
      <c r="G13" s="13" t="s">
        <v>1497</v>
      </c>
      <c r="H13" s="12" t="s">
        <v>86</v>
      </c>
      <c r="I13" s="12" t="s">
        <v>101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1498</v>
      </c>
      <c r="B14" s="12" t="s">
        <v>1121</v>
      </c>
      <c r="C14" s="12" t="s">
        <v>770</v>
      </c>
      <c r="D14" s="13" t="s">
        <v>1499</v>
      </c>
      <c r="E14" s="12" t="s">
        <v>122</v>
      </c>
      <c r="F14" s="12" t="s">
        <v>147</v>
      </c>
      <c r="G14" s="13" t="s">
        <v>1500</v>
      </c>
      <c r="H14" s="12" t="s">
        <v>86</v>
      </c>
      <c r="I14" s="12" t="s">
        <v>101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1501</v>
      </c>
      <c r="B15" s="12" t="s">
        <v>1502</v>
      </c>
      <c r="C15" s="12" t="s">
        <v>770</v>
      </c>
      <c r="D15" s="13" t="s">
        <v>1503</v>
      </c>
      <c r="E15" s="12" t="s">
        <v>122</v>
      </c>
      <c r="F15" s="12" t="s">
        <v>147</v>
      </c>
      <c r="G15" s="13" t="s">
        <v>1500</v>
      </c>
      <c r="H15" s="12" t="s">
        <v>86</v>
      </c>
      <c r="I15" s="12" t="s">
        <v>101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1504</v>
      </c>
      <c r="B16" s="12" t="s">
        <v>1505</v>
      </c>
      <c r="C16" s="12" t="s">
        <v>770</v>
      </c>
      <c r="D16" s="13" t="s">
        <v>1506</v>
      </c>
      <c r="E16" s="12" t="s">
        <v>122</v>
      </c>
      <c r="F16" s="12" t="s">
        <v>147</v>
      </c>
      <c r="G16" s="13" t="s">
        <v>1507</v>
      </c>
      <c r="H16" s="12" t="s">
        <v>86</v>
      </c>
      <c r="I16" s="12" t="s">
        <v>101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1508</v>
      </c>
      <c r="B17" s="12" t="s">
        <v>1509</v>
      </c>
      <c r="C17" s="12" t="s">
        <v>1487</v>
      </c>
      <c r="D17" s="13" t="s">
        <v>1510</v>
      </c>
      <c r="E17" s="12" t="s">
        <v>122</v>
      </c>
      <c r="F17" s="12" t="s">
        <v>147</v>
      </c>
      <c r="G17" s="13" t="s">
        <v>1500</v>
      </c>
      <c r="H17" s="12" t="s">
        <v>86</v>
      </c>
      <c r="I17" s="12" t="s">
        <v>101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1511</v>
      </c>
      <c r="B18" s="12" t="s">
        <v>1397</v>
      </c>
      <c r="C18" s="12" t="s">
        <v>770</v>
      </c>
      <c r="D18" s="13" t="s">
        <v>1512</v>
      </c>
      <c r="E18" s="12" t="s">
        <v>122</v>
      </c>
      <c r="F18" s="12" t="s">
        <v>147</v>
      </c>
      <c r="G18" s="13" t="s">
        <v>1507</v>
      </c>
      <c r="H18" s="12" t="s">
        <v>86</v>
      </c>
      <c r="I18" s="12" t="s">
        <v>101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1513</v>
      </c>
      <c r="B19" s="12" t="s">
        <v>170</v>
      </c>
      <c r="C19" s="12" t="s">
        <v>770</v>
      </c>
      <c r="D19" s="13" t="s">
        <v>1514</v>
      </c>
      <c r="E19" s="12" t="s">
        <v>122</v>
      </c>
      <c r="F19" s="12" t="s">
        <v>142</v>
      </c>
      <c r="G19" s="13" t="s">
        <v>1515</v>
      </c>
      <c r="H19" s="12" t="s">
        <v>86</v>
      </c>
      <c r="I19" s="12" t="s">
        <v>101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1516</v>
      </c>
      <c r="B20" s="12" t="s">
        <v>150</v>
      </c>
      <c r="C20" s="12" t="s">
        <v>54</v>
      </c>
      <c r="D20" s="13" t="s">
        <v>1517</v>
      </c>
      <c r="E20" s="12" t="s">
        <v>122</v>
      </c>
      <c r="F20" s="12" t="s">
        <v>152</v>
      </c>
      <c r="G20" s="13" t="s">
        <v>1500</v>
      </c>
      <c r="H20" s="12" t="s">
        <v>86</v>
      </c>
      <c r="I20" s="12" t="s">
        <v>101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1518</v>
      </c>
      <c r="B21" s="12" t="s">
        <v>1519</v>
      </c>
      <c r="C21" s="12" t="s">
        <v>770</v>
      </c>
      <c r="D21" s="13" t="s">
        <v>1520</v>
      </c>
      <c r="E21" s="12" t="s">
        <v>122</v>
      </c>
      <c r="F21" s="12" t="s">
        <v>147</v>
      </c>
      <c r="G21" s="13" t="s">
        <v>1521</v>
      </c>
      <c r="H21" s="12" t="s">
        <v>86</v>
      </c>
      <c r="I21" s="12" t="s">
        <v>101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1522</v>
      </c>
      <c r="B22" s="12" t="s">
        <v>155</v>
      </c>
      <c r="C22" s="12" t="s">
        <v>54</v>
      </c>
      <c r="D22" s="13" t="s">
        <v>1523</v>
      </c>
      <c r="E22" s="12" t="s">
        <v>122</v>
      </c>
      <c r="F22" s="12" t="s">
        <v>157</v>
      </c>
      <c r="G22" s="13" t="s">
        <v>1524</v>
      </c>
      <c r="H22" s="12" t="s">
        <v>84</v>
      </c>
      <c r="I22" s="12" t="s">
        <v>100</v>
      </c>
      <c r="J22" s="14"/>
      <c r="K22" s="13" t="s">
        <v>1404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1525</v>
      </c>
      <c r="B23" s="12" t="s">
        <v>161</v>
      </c>
      <c r="C23" s="12" t="s">
        <v>770</v>
      </c>
      <c r="D23" s="13" t="s">
        <v>1526</v>
      </c>
      <c r="E23" s="12" t="s">
        <v>122</v>
      </c>
      <c r="F23" s="12" t="s">
        <v>163</v>
      </c>
      <c r="G23" s="13" t="s">
        <v>1527</v>
      </c>
      <c r="H23" s="12" t="s">
        <v>84</v>
      </c>
      <c r="I23" s="12" t="s">
        <v>100</v>
      </c>
      <c r="J23" s="14"/>
      <c r="K23" s="13" t="s">
        <v>1528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1529</v>
      </c>
      <c r="B24" s="12" t="s">
        <v>167</v>
      </c>
      <c r="C24" s="12" t="s">
        <v>1487</v>
      </c>
      <c r="D24" s="13" t="s">
        <v>542</v>
      </c>
      <c r="E24" s="12" t="s">
        <v>122</v>
      </c>
      <c r="F24" s="12" t="s">
        <v>163</v>
      </c>
      <c r="G24" s="13" t="s">
        <v>1530</v>
      </c>
      <c r="H24" s="12" t="s">
        <v>84</v>
      </c>
      <c r="I24" s="12" t="s">
        <v>100</v>
      </c>
      <c r="J24" s="14"/>
      <c r="K24" s="13" t="s">
        <v>1531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1532</v>
      </c>
      <c r="B25" s="12" t="s">
        <v>1413</v>
      </c>
      <c r="C25" s="12" t="s">
        <v>54</v>
      </c>
      <c r="D25" s="13" t="s">
        <v>1533</v>
      </c>
      <c r="E25" s="12" t="s">
        <v>122</v>
      </c>
      <c r="F25" s="12" t="s">
        <v>163</v>
      </c>
      <c r="G25" s="13" t="s">
        <v>1527</v>
      </c>
      <c r="H25" s="12" t="s">
        <v>84</v>
      </c>
      <c r="I25" s="12" t="s">
        <v>100</v>
      </c>
      <c r="J25" s="14"/>
      <c r="K25" s="13" t="s">
        <v>1415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1534</v>
      </c>
      <c r="B26" s="12" t="s">
        <v>175</v>
      </c>
      <c r="C26" s="12" t="s">
        <v>54</v>
      </c>
      <c r="D26" s="13" t="s">
        <v>1535</v>
      </c>
      <c r="E26" s="12" t="s">
        <v>122</v>
      </c>
      <c r="F26" s="12" t="s">
        <v>163</v>
      </c>
      <c r="G26" s="13" t="s">
        <v>1527</v>
      </c>
      <c r="H26" s="12" t="s">
        <v>84</v>
      </c>
      <c r="I26" s="12" t="s">
        <v>100</v>
      </c>
      <c r="J26" s="14"/>
      <c r="K26" s="13" t="s">
        <v>551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1536</v>
      </c>
      <c r="B27" s="12" t="s">
        <v>179</v>
      </c>
      <c r="C27" s="12" t="s">
        <v>54</v>
      </c>
      <c r="D27" s="13" t="s">
        <v>1537</v>
      </c>
      <c r="E27" s="12" t="s">
        <v>122</v>
      </c>
      <c r="F27" s="12" t="s">
        <v>181</v>
      </c>
      <c r="G27" s="13" t="s">
        <v>1538</v>
      </c>
      <c r="H27" s="12" t="s">
        <v>86</v>
      </c>
      <c r="I27" s="12" t="s">
        <v>101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1539</v>
      </c>
      <c r="B28" s="12" t="s">
        <v>184</v>
      </c>
      <c r="C28" s="12" t="s">
        <v>54</v>
      </c>
      <c r="D28" s="13" t="s">
        <v>1540</v>
      </c>
      <c r="E28" s="12" t="s">
        <v>122</v>
      </c>
      <c r="F28" s="12" t="s">
        <v>181</v>
      </c>
      <c r="G28" s="13" t="s">
        <v>1541</v>
      </c>
      <c r="H28" s="12" t="s">
        <v>86</v>
      </c>
      <c r="I28" s="12" t="s">
        <v>101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1542</v>
      </c>
      <c r="B29" s="12" t="s">
        <v>188</v>
      </c>
      <c r="C29" s="12" t="s">
        <v>54</v>
      </c>
      <c r="D29" s="13" t="s">
        <v>1543</v>
      </c>
      <c r="E29" s="12" t="s">
        <v>190</v>
      </c>
      <c r="F29" s="12" t="s">
        <v>190</v>
      </c>
      <c r="G29" s="13" t="s">
        <v>191</v>
      </c>
      <c r="H29" s="12" t="s">
        <v>86</v>
      </c>
      <c r="I29" s="12" t="s">
        <v>101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1544</v>
      </c>
      <c r="B30" s="12" t="s">
        <v>193</v>
      </c>
      <c r="C30" s="12" t="s">
        <v>54</v>
      </c>
      <c r="D30" s="13" t="s">
        <v>1431</v>
      </c>
      <c r="E30" s="12" t="s">
        <v>122</v>
      </c>
      <c r="F30" s="12" t="s">
        <v>122</v>
      </c>
      <c r="G30" s="13" t="s">
        <v>562</v>
      </c>
      <c r="H30" s="12" t="s">
        <v>86</v>
      </c>
      <c r="I30" s="12" t="s">
        <v>101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COUNTA(A9:A28)</f>
        <v>20</v>
      </c>
      <c r="D4" s="5" t="s">
        <v>104</v>
      </c>
      <c r="E4" s="6" t="n">
        <f aca="false">SUM(M9:M28)</f>
        <v>18</v>
      </c>
      <c r="G4" s="5" t="s">
        <v>13</v>
      </c>
      <c r="H4" s="7" t="n">
        <f aca="false">IF(B4=0,0,E4/B4)</f>
        <v>0.9</v>
      </c>
      <c r="J4" s="5" t="s">
        <v>14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IF(COUNTIFS(I9:I28,"yes",M9:M28,0)&gt;0,"open","complete")</f>
        <v>open</v>
      </c>
      <c r="D5" s="5" t="s">
        <v>15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1547</v>
      </c>
      <c r="B9" s="1" t="s">
        <v>119</v>
      </c>
      <c r="C9" s="1" t="s">
        <v>1548</v>
      </c>
      <c r="D9" s="1" t="s">
        <v>1549</v>
      </c>
      <c r="E9" s="1" t="s">
        <v>122</v>
      </c>
      <c r="F9" s="1" t="s">
        <v>123</v>
      </c>
      <c r="G9" s="1" t="s">
        <v>1550</v>
      </c>
      <c r="H9" s="1" t="s">
        <v>86</v>
      </c>
      <c r="I9" s="1" t="s">
        <v>101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1551</v>
      </c>
      <c r="B10" s="1" t="s">
        <v>1331</v>
      </c>
      <c r="C10" s="1" t="s">
        <v>1548</v>
      </c>
      <c r="D10" s="1" t="s">
        <v>1552</v>
      </c>
      <c r="E10" s="1" t="s">
        <v>122</v>
      </c>
      <c r="F10" s="1" t="s">
        <v>142</v>
      </c>
      <c r="G10" s="1" t="s">
        <v>1553</v>
      </c>
      <c r="H10" s="1" t="s">
        <v>86</v>
      </c>
      <c r="I10" s="1" t="s">
        <v>101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1554</v>
      </c>
      <c r="B11" s="1" t="s">
        <v>126</v>
      </c>
      <c r="C11" s="1" t="s">
        <v>1555</v>
      </c>
      <c r="D11" s="1" t="s">
        <v>1556</v>
      </c>
      <c r="E11" s="1" t="s">
        <v>122</v>
      </c>
      <c r="F11" s="1" t="s">
        <v>122</v>
      </c>
      <c r="G11" s="1" t="s">
        <v>128</v>
      </c>
      <c r="H11" s="1" t="s">
        <v>86</v>
      </c>
      <c r="I11" s="1" t="s">
        <v>101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1557</v>
      </c>
      <c r="B12" s="1" t="s">
        <v>130</v>
      </c>
      <c r="C12" s="1" t="s">
        <v>1548</v>
      </c>
      <c r="D12" s="1" t="s">
        <v>1558</v>
      </c>
      <c r="E12" s="1" t="s">
        <v>122</v>
      </c>
      <c r="F12" s="1" t="s">
        <v>132</v>
      </c>
      <c r="G12" s="1" t="s">
        <v>1559</v>
      </c>
      <c r="H12" s="1" t="s">
        <v>86</v>
      </c>
      <c r="I12" s="1" t="s">
        <v>101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1560</v>
      </c>
      <c r="B13" s="1" t="s">
        <v>135</v>
      </c>
      <c r="C13" s="1" t="s">
        <v>1548</v>
      </c>
      <c r="D13" s="1" t="s">
        <v>1561</v>
      </c>
      <c r="E13" s="1" t="s">
        <v>122</v>
      </c>
      <c r="F13" s="1" t="s">
        <v>137</v>
      </c>
      <c r="G13" s="1" t="s">
        <v>1562</v>
      </c>
      <c r="H13" s="1" t="s">
        <v>86</v>
      </c>
      <c r="I13" s="1" t="s">
        <v>101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1563</v>
      </c>
      <c r="B14" s="1" t="s">
        <v>1564</v>
      </c>
      <c r="C14" s="1" t="s">
        <v>1548</v>
      </c>
      <c r="D14" s="1" t="s">
        <v>1565</v>
      </c>
      <c r="E14" s="1" t="s">
        <v>122</v>
      </c>
      <c r="F14" s="1" t="s">
        <v>147</v>
      </c>
      <c r="G14" s="1" t="s">
        <v>1566</v>
      </c>
      <c r="H14" s="1" t="s">
        <v>86</v>
      </c>
      <c r="I14" s="1" t="s">
        <v>101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1567</v>
      </c>
      <c r="B15" s="1" t="s">
        <v>1568</v>
      </c>
      <c r="C15" s="1" t="s">
        <v>770</v>
      </c>
      <c r="D15" s="1" t="s">
        <v>1569</v>
      </c>
      <c r="E15" s="1" t="s">
        <v>122</v>
      </c>
      <c r="F15" s="1" t="s">
        <v>147</v>
      </c>
      <c r="G15" s="1" t="s">
        <v>1566</v>
      </c>
      <c r="H15" s="1" t="s">
        <v>86</v>
      </c>
      <c r="I15" s="1" t="s">
        <v>101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1570</v>
      </c>
      <c r="B16" s="1" t="s">
        <v>1571</v>
      </c>
      <c r="C16" s="1" t="s">
        <v>1548</v>
      </c>
      <c r="D16" s="1" t="s">
        <v>1572</v>
      </c>
      <c r="E16" s="1" t="s">
        <v>122</v>
      </c>
      <c r="F16" s="1" t="s">
        <v>147</v>
      </c>
      <c r="G16" s="1" t="s">
        <v>1566</v>
      </c>
      <c r="H16" s="1" t="s">
        <v>86</v>
      </c>
      <c r="I16" s="1" t="s">
        <v>101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1573</v>
      </c>
      <c r="B17" s="1" t="s">
        <v>78</v>
      </c>
      <c r="C17" s="1" t="s">
        <v>770</v>
      </c>
      <c r="D17" s="1" t="s">
        <v>1574</v>
      </c>
      <c r="E17" s="1" t="s">
        <v>122</v>
      </c>
      <c r="F17" s="1" t="s">
        <v>142</v>
      </c>
      <c r="G17" s="1" t="s">
        <v>1575</v>
      </c>
      <c r="H17" s="1" t="s">
        <v>86</v>
      </c>
      <c r="I17" s="1" t="s">
        <v>101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1576</v>
      </c>
      <c r="B18" s="1" t="s">
        <v>1577</v>
      </c>
      <c r="C18" s="1" t="s">
        <v>1548</v>
      </c>
      <c r="D18" s="1" t="s">
        <v>1578</v>
      </c>
      <c r="E18" s="1" t="s">
        <v>122</v>
      </c>
      <c r="F18" s="1" t="s">
        <v>147</v>
      </c>
      <c r="G18" s="1" t="s">
        <v>1566</v>
      </c>
      <c r="H18" s="1" t="s">
        <v>86</v>
      </c>
      <c r="I18" s="1" t="s">
        <v>101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1579</v>
      </c>
      <c r="B19" s="1" t="s">
        <v>1580</v>
      </c>
      <c r="C19" s="1" t="s">
        <v>1548</v>
      </c>
      <c r="D19" s="1" t="s">
        <v>1581</v>
      </c>
      <c r="E19" s="1" t="s">
        <v>122</v>
      </c>
      <c r="F19" s="1" t="s">
        <v>147</v>
      </c>
      <c r="G19" s="1" t="s">
        <v>1575</v>
      </c>
      <c r="H19" s="1" t="s">
        <v>86</v>
      </c>
      <c r="I19" s="1" t="s">
        <v>101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1582</v>
      </c>
      <c r="B20" s="1" t="s">
        <v>1397</v>
      </c>
      <c r="C20" s="1" t="s">
        <v>770</v>
      </c>
      <c r="D20" s="1" t="s">
        <v>1583</v>
      </c>
      <c r="E20" s="1" t="s">
        <v>122</v>
      </c>
      <c r="F20" s="1" t="s">
        <v>147</v>
      </c>
      <c r="G20" s="1" t="s">
        <v>1566</v>
      </c>
      <c r="H20" s="1" t="s">
        <v>86</v>
      </c>
      <c r="I20" s="1" t="s">
        <v>101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1584</v>
      </c>
      <c r="B21" s="1" t="s">
        <v>170</v>
      </c>
      <c r="C21" s="1" t="s">
        <v>1548</v>
      </c>
      <c r="D21" s="1" t="s">
        <v>1585</v>
      </c>
      <c r="E21" s="1" t="s">
        <v>122</v>
      </c>
      <c r="F21" s="1" t="s">
        <v>147</v>
      </c>
      <c r="G21" s="1" t="s">
        <v>1566</v>
      </c>
      <c r="H21" s="1" t="s">
        <v>86</v>
      </c>
      <c r="I21" s="1" t="s">
        <v>101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1586</v>
      </c>
      <c r="B22" s="1" t="s">
        <v>150</v>
      </c>
      <c r="C22" s="1" t="s">
        <v>1548</v>
      </c>
      <c r="D22" s="1" t="s">
        <v>1587</v>
      </c>
      <c r="E22" s="1" t="s">
        <v>122</v>
      </c>
      <c r="F22" s="1" t="s">
        <v>152</v>
      </c>
      <c r="G22" s="1" t="s">
        <v>1566</v>
      </c>
      <c r="H22" s="1" t="s">
        <v>86</v>
      </c>
      <c r="I22" s="1" t="s">
        <v>101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1588</v>
      </c>
      <c r="B23" s="1" t="s">
        <v>155</v>
      </c>
      <c r="C23" s="1" t="s">
        <v>1555</v>
      </c>
      <c r="D23" s="1" t="s">
        <v>1589</v>
      </c>
      <c r="E23" s="1" t="s">
        <v>122</v>
      </c>
      <c r="F23" s="1" t="s">
        <v>157</v>
      </c>
      <c r="G23" s="1" t="s">
        <v>1590</v>
      </c>
      <c r="H23" s="1" t="s">
        <v>80</v>
      </c>
      <c r="I23" s="1" t="s">
        <v>100</v>
      </c>
      <c r="J23" s="10" t="n">
        <v>46229</v>
      </c>
      <c r="K23" s="1" t="s">
        <v>1591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1592</v>
      </c>
      <c r="B24" s="1" t="s">
        <v>175</v>
      </c>
      <c r="C24" s="1" t="s">
        <v>1555</v>
      </c>
      <c r="D24" s="1" t="s">
        <v>1593</v>
      </c>
      <c r="E24" s="1" t="s">
        <v>122</v>
      </c>
      <c r="F24" s="1" t="s">
        <v>163</v>
      </c>
      <c r="G24" s="1" t="s">
        <v>1594</v>
      </c>
      <c r="H24" s="1" t="s">
        <v>80</v>
      </c>
      <c r="I24" s="1" t="s">
        <v>100</v>
      </c>
      <c r="J24" s="10" t="n">
        <v>46229</v>
      </c>
      <c r="K24" s="1" t="s">
        <v>1595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1596</v>
      </c>
      <c r="B25" s="1" t="s">
        <v>179</v>
      </c>
      <c r="C25" s="1" t="s">
        <v>1555</v>
      </c>
      <c r="D25" s="1" t="s">
        <v>1597</v>
      </c>
      <c r="E25" s="1" t="s">
        <v>122</v>
      </c>
      <c r="F25" s="1" t="s">
        <v>181</v>
      </c>
      <c r="G25" s="1" t="s">
        <v>1598</v>
      </c>
      <c r="H25" s="1" t="s">
        <v>86</v>
      </c>
      <c r="I25" s="1" t="s">
        <v>101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1599</v>
      </c>
      <c r="B26" s="1" t="s">
        <v>184</v>
      </c>
      <c r="C26" s="1" t="s">
        <v>1555</v>
      </c>
      <c r="D26" s="1" t="s">
        <v>1600</v>
      </c>
      <c r="E26" s="1" t="s">
        <v>122</v>
      </c>
      <c r="F26" s="1" t="s">
        <v>181</v>
      </c>
      <c r="G26" s="1" t="s">
        <v>1601</v>
      </c>
      <c r="H26" s="1" t="s">
        <v>86</v>
      </c>
      <c r="I26" s="1" t="s">
        <v>101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1602</v>
      </c>
      <c r="B27" s="1" t="s">
        <v>188</v>
      </c>
      <c r="C27" s="1" t="s">
        <v>1555</v>
      </c>
      <c r="D27" s="1" t="s">
        <v>1603</v>
      </c>
      <c r="E27" s="1" t="s">
        <v>190</v>
      </c>
      <c r="F27" s="1" t="s">
        <v>190</v>
      </c>
      <c r="G27" s="1" t="s">
        <v>191</v>
      </c>
      <c r="H27" s="1" t="s">
        <v>86</v>
      </c>
      <c r="I27" s="1" t="s">
        <v>101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1604</v>
      </c>
      <c r="B28" s="1" t="s">
        <v>193</v>
      </c>
      <c r="C28" s="1" t="s">
        <v>1555</v>
      </c>
      <c r="D28" s="1" t="s">
        <v>1605</v>
      </c>
      <c r="E28" s="1" t="s">
        <v>122</v>
      </c>
      <c r="F28" s="1" t="s">
        <v>122</v>
      </c>
      <c r="G28" s="1" t="s">
        <v>195</v>
      </c>
      <c r="H28" s="1" t="s">
        <v>86</v>
      </c>
      <c r="I28" s="1" t="s">
        <v>101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COUNTA(A9:A28)</f>
        <v>20</v>
      </c>
      <c r="D4" s="5" t="s">
        <v>104</v>
      </c>
      <c r="E4" s="6" t="n">
        <f aca="false">SUM(M9:M28)</f>
        <v>18</v>
      </c>
      <c r="G4" s="5" t="s">
        <v>13</v>
      </c>
      <c r="H4" s="7" t="n">
        <f aca="false">IF(B4=0,0,E4/B4)</f>
        <v>0.9</v>
      </c>
      <c r="J4" s="5" t="s">
        <v>14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IF(COUNTIFS(I9:I28,"yes",M9:M28,0)&gt;0,"open","complete")</f>
        <v>open</v>
      </c>
      <c r="D5" s="5" t="s">
        <v>15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42" hidden="false" customHeight="true" outlineLevel="0" collapsed="false">
      <c r="A9" s="1" t="s">
        <v>1608</v>
      </c>
      <c r="B9" s="1" t="s">
        <v>119</v>
      </c>
      <c r="C9" s="1" t="s">
        <v>1609</v>
      </c>
      <c r="D9" s="1" t="s">
        <v>1610</v>
      </c>
      <c r="E9" s="1" t="s">
        <v>122</v>
      </c>
      <c r="F9" s="1" t="s">
        <v>123</v>
      </c>
      <c r="G9" s="1" t="s">
        <v>1611</v>
      </c>
      <c r="H9" s="1" t="s">
        <v>86</v>
      </c>
      <c r="I9" s="1" t="s">
        <v>101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1612</v>
      </c>
      <c r="B10" s="1" t="s">
        <v>1331</v>
      </c>
      <c r="C10" s="1" t="s">
        <v>1609</v>
      </c>
      <c r="D10" s="1" t="s">
        <v>1613</v>
      </c>
      <c r="E10" s="1" t="s">
        <v>122</v>
      </c>
      <c r="F10" s="1" t="s">
        <v>142</v>
      </c>
      <c r="G10" s="1" t="s">
        <v>1614</v>
      </c>
      <c r="H10" s="1" t="s">
        <v>86</v>
      </c>
      <c r="I10" s="1" t="s">
        <v>101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1615</v>
      </c>
      <c r="B11" s="1" t="s">
        <v>126</v>
      </c>
      <c r="C11" s="1" t="s">
        <v>56</v>
      </c>
      <c r="D11" s="1" t="s">
        <v>1616</v>
      </c>
      <c r="E11" s="1" t="s">
        <v>122</v>
      </c>
      <c r="F11" s="1" t="s">
        <v>122</v>
      </c>
      <c r="G11" s="1" t="s">
        <v>128</v>
      </c>
      <c r="H11" s="1" t="s">
        <v>86</v>
      </c>
      <c r="I11" s="1" t="s">
        <v>101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1617</v>
      </c>
      <c r="B12" s="1" t="s">
        <v>130</v>
      </c>
      <c r="C12" s="1" t="s">
        <v>1609</v>
      </c>
      <c r="D12" s="1" t="s">
        <v>1618</v>
      </c>
      <c r="E12" s="1" t="s">
        <v>122</v>
      </c>
      <c r="F12" s="1" t="s">
        <v>132</v>
      </c>
      <c r="G12" s="1" t="s">
        <v>1619</v>
      </c>
      <c r="H12" s="1" t="s">
        <v>86</v>
      </c>
      <c r="I12" s="1" t="s">
        <v>101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1620</v>
      </c>
      <c r="B13" s="1" t="s">
        <v>135</v>
      </c>
      <c r="C13" s="1" t="s">
        <v>1609</v>
      </c>
      <c r="D13" s="1" t="s">
        <v>1621</v>
      </c>
      <c r="E13" s="1" t="s">
        <v>122</v>
      </c>
      <c r="F13" s="1" t="s">
        <v>137</v>
      </c>
      <c r="G13" s="1" t="s">
        <v>1622</v>
      </c>
      <c r="H13" s="1" t="s">
        <v>86</v>
      </c>
      <c r="I13" s="1" t="s">
        <v>101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1623</v>
      </c>
      <c r="B14" s="1" t="s">
        <v>1564</v>
      </c>
      <c r="C14" s="1" t="s">
        <v>1609</v>
      </c>
      <c r="D14" s="1" t="s">
        <v>1624</v>
      </c>
      <c r="E14" s="1" t="s">
        <v>122</v>
      </c>
      <c r="F14" s="1" t="s">
        <v>147</v>
      </c>
      <c r="G14" s="1" t="s">
        <v>1625</v>
      </c>
      <c r="H14" s="1" t="s">
        <v>86</v>
      </c>
      <c r="I14" s="1" t="s">
        <v>101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1626</v>
      </c>
      <c r="B15" s="1" t="s">
        <v>1568</v>
      </c>
      <c r="C15" s="1" t="s">
        <v>770</v>
      </c>
      <c r="D15" s="1" t="s">
        <v>1627</v>
      </c>
      <c r="E15" s="1" t="s">
        <v>122</v>
      </c>
      <c r="F15" s="1" t="s">
        <v>147</v>
      </c>
      <c r="G15" s="1" t="s">
        <v>1625</v>
      </c>
      <c r="H15" s="1" t="s">
        <v>86</v>
      </c>
      <c r="I15" s="1" t="s">
        <v>101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1628</v>
      </c>
      <c r="B16" s="1" t="s">
        <v>1571</v>
      </c>
      <c r="C16" s="1" t="s">
        <v>770</v>
      </c>
      <c r="D16" s="1" t="s">
        <v>1629</v>
      </c>
      <c r="E16" s="1" t="s">
        <v>122</v>
      </c>
      <c r="F16" s="1" t="s">
        <v>147</v>
      </c>
      <c r="G16" s="1" t="s">
        <v>1625</v>
      </c>
      <c r="H16" s="1" t="s">
        <v>86</v>
      </c>
      <c r="I16" s="1" t="s">
        <v>101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1630</v>
      </c>
      <c r="B17" s="1" t="s">
        <v>78</v>
      </c>
      <c r="C17" s="1" t="s">
        <v>770</v>
      </c>
      <c r="D17" s="1" t="s">
        <v>1631</v>
      </c>
      <c r="E17" s="1" t="s">
        <v>122</v>
      </c>
      <c r="F17" s="1" t="s">
        <v>142</v>
      </c>
      <c r="G17" s="1" t="s">
        <v>1632</v>
      </c>
      <c r="H17" s="1" t="s">
        <v>86</v>
      </c>
      <c r="I17" s="1" t="s">
        <v>101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1633</v>
      </c>
      <c r="B18" s="1" t="s">
        <v>1577</v>
      </c>
      <c r="C18" s="1" t="s">
        <v>1609</v>
      </c>
      <c r="D18" s="1" t="s">
        <v>1634</v>
      </c>
      <c r="E18" s="1" t="s">
        <v>122</v>
      </c>
      <c r="F18" s="1" t="s">
        <v>147</v>
      </c>
      <c r="G18" s="1" t="s">
        <v>1632</v>
      </c>
      <c r="H18" s="1" t="s">
        <v>86</v>
      </c>
      <c r="I18" s="1" t="s">
        <v>101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1635</v>
      </c>
      <c r="B19" s="1" t="s">
        <v>1580</v>
      </c>
      <c r="C19" s="1" t="s">
        <v>1609</v>
      </c>
      <c r="D19" s="1" t="s">
        <v>1636</v>
      </c>
      <c r="E19" s="1" t="s">
        <v>122</v>
      </c>
      <c r="F19" s="1" t="s">
        <v>142</v>
      </c>
      <c r="G19" s="1" t="s">
        <v>1614</v>
      </c>
      <c r="H19" s="1" t="s">
        <v>86</v>
      </c>
      <c r="I19" s="1" t="s">
        <v>101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1637</v>
      </c>
      <c r="B20" s="1" t="s">
        <v>1397</v>
      </c>
      <c r="C20" s="1" t="s">
        <v>770</v>
      </c>
      <c r="D20" s="1" t="s">
        <v>1638</v>
      </c>
      <c r="E20" s="1" t="s">
        <v>122</v>
      </c>
      <c r="F20" s="1" t="s">
        <v>147</v>
      </c>
      <c r="G20" s="1" t="s">
        <v>1625</v>
      </c>
      <c r="H20" s="1" t="s">
        <v>86</v>
      </c>
      <c r="I20" s="1" t="s">
        <v>101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1639</v>
      </c>
      <c r="B21" s="1" t="s">
        <v>170</v>
      </c>
      <c r="C21" s="1" t="s">
        <v>1609</v>
      </c>
      <c r="D21" s="1" t="s">
        <v>1640</v>
      </c>
      <c r="E21" s="1" t="s">
        <v>122</v>
      </c>
      <c r="F21" s="1" t="s">
        <v>147</v>
      </c>
      <c r="G21" s="1" t="s">
        <v>1625</v>
      </c>
      <c r="H21" s="1" t="s">
        <v>86</v>
      </c>
      <c r="I21" s="1" t="s">
        <v>101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1641</v>
      </c>
      <c r="B22" s="1" t="s">
        <v>150</v>
      </c>
      <c r="C22" s="1" t="s">
        <v>1609</v>
      </c>
      <c r="D22" s="1" t="s">
        <v>1642</v>
      </c>
      <c r="E22" s="1" t="s">
        <v>122</v>
      </c>
      <c r="F22" s="1" t="s">
        <v>152</v>
      </c>
      <c r="G22" s="1" t="s">
        <v>1625</v>
      </c>
      <c r="H22" s="1" t="s">
        <v>86</v>
      </c>
      <c r="I22" s="1" t="s">
        <v>101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1643</v>
      </c>
      <c r="B23" s="1" t="s">
        <v>155</v>
      </c>
      <c r="C23" s="1" t="s">
        <v>56</v>
      </c>
      <c r="D23" s="1" t="s">
        <v>1644</v>
      </c>
      <c r="E23" s="1" t="s">
        <v>122</v>
      </c>
      <c r="F23" s="1" t="s">
        <v>157</v>
      </c>
      <c r="G23" s="1" t="s">
        <v>1645</v>
      </c>
      <c r="H23" s="1" t="s">
        <v>80</v>
      </c>
      <c r="I23" s="1" t="s">
        <v>100</v>
      </c>
      <c r="J23" s="10" t="n">
        <v>46229</v>
      </c>
      <c r="K23" s="1" t="s">
        <v>1646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1647</v>
      </c>
      <c r="B24" s="1" t="s">
        <v>175</v>
      </c>
      <c r="C24" s="1" t="s">
        <v>56</v>
      </c>
      <c r="D24" s="1" t="s">
        <v>1648</v>
      </c>
      <c r="E24" s="1" t="s">
        <v>122</v>
      </c>
      <c r="F24" s="1" t="s">
        <v>163</v>
      </c>
      <c r="G24" s="1" t="s">
        <v>1649</v>
      </c>
      <c r="H24" s="1" t="s">
        <v>80</v>
      </c>
      <c r="I24" s="1" t="s">
        <v>100</v>
      </c>
      <c r="J24" s="10" t="n">
        <v>46229</v>
      </c>
      <c r="K24" s="1" t="s">
        <v>1650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1651</v>
      </c>
      <c r="B25" s="1" t="s">
        <v>179</v>
      </c>
      <c r="C25" s="1" t="s">
        <v>56</v>
      </c>
      <c r="D25" s="1" t="s">
        <v>1597</v>
      </c>
      <c r="E25" s="1" t="s">
        <v>122</v>
      </c>
      <c r="F25" s="1" t="s">
        <v>181</v>
      </c>
      <c r="G25" s="1" t="s">
        <v>1652</v>
      </c>
      <c r="H25" s="1" t="s">
        <v>86</v>
      </c>
      <c r="I25" s="1" t="s">
        <v>101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1653</v>
      </c>
      <c r="B26" s="1" t="s">
        <v>184</v>
      </c>
      <c r="C26" s="1" t="s">
        <v>56</v>
      </c>
      <c r="D26" s="1" t="s">
        <v>1600</v>
      </c>
      <c r="E26" s="1" t="s">
        <v>122</v>
      </c>
      <c r="F26" s="1" t="s">
        <v>181</v>
      </c>
      <c r="G26" s="1" t="s">
        <v>1654</v>
      </c>
      <c r="H26" s="1" t="s">
        <v>86</v>
      </c>
      <c r="I26" s="1" t="s">
        <v>101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1655</v>
      </c>
      <c r="B27" s="1" t="s">
        <v>188</v>
      </c>
      <c r="C27" s="1" t="s">
        <v>56</v>
      </c>
      <c r="D27" s="1" t="s">
        <v>1656</v>
      </c>
      <c r="E27" s="1" t="s">
        <v>190</v>
      </c>
      <c r="F27" s="1" t="s">
        <v>190</v>
      </c>
      <c r="G27" s="1" t="s">
        <v>191</v>
      </c>
      <c r="H27" s="1" t="s">
        <v>86</v>
      </c>
      <c r="I27" s="1" t="s">
        <v>101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1657</v>
      </c>
      <c r="B28" s="1" t="s">
        <v>193</v>
      </c>
      <c r="C28" s="1" t="s">
        <v>56</v>
      </c>
      <c r="D28" s="1" t="s">
        <v>1658</v>
      </c>
      <c r="E28" s="1" t="s">
        <v>122</v>
      </c>
      <c r="F28" s="1" t="s">
        <v>122</v>
      </c>
      <c r="G28" s="1" t="s">
        <v>195</v>
      </c>
      <c r="H28" s="1" t="s">
        <v>86</v>
      </c>
      <c r="I28" s="1" t="s">
        <v>101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1660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104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42" hidden="false" customHeight="true" outlineLevel="0" collapsed="false">
      <c r="A9" s="1" t="s">
        <v>1661</v>
      </c>
      <c r="B9" s="1" t="s">
        <v>78</v>
      </c>
      <c r="C9" s="1" t="s">
        <v>1662</v>
      </c>
      <c r="D9" s="1" t="s">
        <v>1663</v>
      </c>
      <c r="E9" s="1" t="s">
        <v>122</v>
      </c>
      <c r="F9" s="1" t="s">
        <v>123</v>
      </c>
      <c r="G9" s="1" t="s">
        <v>1664</v>
      </c>
      <c r="H9" s="1" t="s">
        <v>86</v>
      </c>
      <c r="I9" s="1" t="s">
        <v>101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1665</v>
      </c>
      <c r="B10" s="1" t="s">
        <v>1331</v>
      </c>
      <c r="C10" s="1" t="s">
        <v>1172</v>
      </c>
      <c r="D10" s="1" t="s">
        <v>1666</v>
      </c>
      <c r="E10" s="1" t="s">
        <v>122</v>
      </c>
      <c r="F10" s="1" t="s">
        <v>142</v>
      </c>
      <c r="G10" s="1" t="s">
        <v>1667</v>
      </c>
      <c r="H10" s="1" t="s">
        <v>86</v>
      </c>
      <c r="I10" s="1" t="s">
        <v>101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1668</v>
      </c>
      <c r="B11" s="1" t="s">
        <v>126</v>
      </c>
      <c r="C11" s="1" t="s">
        <v>57</v>
      </c>
      <c r="D11" s="1" t="s">
        <v>1669</v>
      </c>
      <c r="E11" s="1" t="s">
        <v>122</v>
      </c>
      <c r="F11" s="1" t="s">
        <v>122</v>
      </c>
      <c r="G11" s="1" t="s">
        <v>128</v>
      </c>
      <c r="H11" s="1" t="s">
        <v>86</v>
      </c>
      <c r="I11" s="1" t="s">
        <v>101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1670</v>
      </c>
      <c r="B12" s="1" t="s">
        <v>130</v>
      </c>
      <c r="C12" s="1" t="s">
        <v>1172</v>
      </c>
      <c r="D12" s="1" t="s">
        <v>1671</v>
      </c>
      <c r="E12" s="1" t="s">
        <v>122</v>
      </c>
      <c r="F12" s="1" t="s">
        <v>132</v>
      </c>
      <c r="G12" s="1" t="s">
        <v>1672</v>
      </c>
      <c r="H12" s="1" t="s">
        <v>86</v>
      </c>
      <c r="I12" s="1" t="s">
        <v>101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1673</v>
      </c>
      <c r="B13" s="1" t="s">
        <v>135</v>
      </c>
      <c r="C13" s="1" t="s">
        <v>1172</v>
      </c>
      <c r="D13" s="1" t="s">
        <v>1674</v>
      </c>
      <c r="E13" s="1" t="s">
        <v>122</v>
      </c>
      <c r="F13" s="1" t="s">
        <v>137</v>
      </c>
      <c r="G13" s="1" t="s">
        <v>1675</v>
      </c>
      <c r="H13" s="1" t="s">
        <v>86</v>
      </c>
      <c r="I13" s="1" t="s">
        <v>101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1676</v>
      </c>
      <c r="B14" s="1" t="s">
        <v>1564</v>
      </c>
      <c r="C14" s="1" t="s">
        <v>1677</v>
      </c>
      <c r="D14" s="1" t="s">
        <v>1678</v>
      </c>
      <c r="E14" s="1" t="s">
        <v>122</v>
      </c>
      <c r="F14" s="1" t="s">
        <v>147</v>
      </c>
      <c r="G14" s="1" t="s">
        <v>1679</v>
      </c>
      <c r="H14" s="1" t="s">
        <v>86</v>
      </c>
      <c r="I14" s="1" t="s">
        <v>101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1680</v>
      </c>
      <c r="B15" s="1" t="s">
        <v>1681</v>
      </c>
      <c r="C15" s="1" t="s">
        <v>1682</v>
      </c>
      <c r="D15" s="1" t="s">
        <v>1683</v>
      </c>
      <c r="E15" s="1" t="s">
        <v>122</v>
      </c>
      <c r="F15" s="1" t="s">
        <v>157</v>
      </c>
      <c r="G15" s="1" t="s">
        <v>1684</v>
      </c>
      <c r="H15" s="1" t="s">
        <v>88</v>
      </c>
      <c r="I15" s="1" t="s">
        <v>100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1685</v>
      </c>
      <c r="B16" s="1" t="s">
        <v>1686</v>
      </c>
      <c r="C16" s="1" t="s">
        <v>770</v>
      </c>
      <c r="D16" s="1" t="s">
        <v>1687</v>
      </c>
      <c r="E16" s="1" t="s">
        <v>122</v>
      </c>
      <c r="F16" s="1" t="s">
        <v>157</v>
      </c>
      <c r="G16" s="1" t="s">
        <v>1684</v>
      </c>
      <c r="H16" s="1" t="s">
        <v>88</v>
      </c>
      <c r="I16" s="1" t="s">
        <v>100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1688</v>
      </c>
      <c r="B17" s="1" t="s">
        <v>1074</v>
      </c>
      <c r="C17" s="1" t="s">
        <v>1689</v>
      </c>
      <c r="D17" s="1" t="s">
        <v>1690</v>
      </c>
      <c r="E17" s="1" t="s">
        <v>122</v>
      </c>
      <c r="F17" s="1" t="s">
        <v>147</v>
      </c>
      <c r="G17" s="1" t="s">
        <v>1691</v>
      </c>
      <c r="H17" s="1" t="s">
        <v>86</v>
      </c>
      <c r="I17" s="1" t="s">
        <v>101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1692</v>
      </c>
      <c r="B18" s="1" t="s">
        <v>1693</v>
      </c>
      <c r="C18" s="1" t="s">
        <v>1694</v>
      </c>
      <c r="D18" s="1" t="s">
        <v>1695</v>
      </c>
      <c r="E18" s="1" t="s">
        <v>122</v>
      </c>
      <c r="F18" s="1" t="s">
        <v>152</v>
      </c>
      <c r="G18" s="1" t="s">
        <v>1696</v>
      </c>
      <c r="H18" s="1" t="s">
        <v>86</v>
      </c>
      <c r="I18" s="1" t="s">
        <v>101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1697</v>
      </c>
      <c r="B19" s="1" t="s">
        <v>1698</v>
      </c>
      <c r="C19" s="1" t="s">
        <v>1699</v>
      </c>
      <c r="D19" s="1" t="s">
        <v>1700</v>
      </c>
      <c r="E19" s="1" t="s">
        <v>122</v>
      </c>
      <c r="F19" s="1" t="s">
        <v>142</v>
      </c>
      <c r="G19" s="1" t="s">
        <v>1696</v>
      </c>
      <c r="H19" s="1" t="s">
        <v>86</v>
      </c>
      <c r="I19" s="1" t="s">
        <v>101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1701</v>
      </c>
      <c r="B20" s="1" t="s">
        <v>1702</v>
      </c>
      <c r="C20" s="1" t="s">
        <v>1699</v>
      </c>
      <c r="D20" s="1" t="s">
        <v>1703</v>
      </c>
      <c r="E20" s="1" t="s">
        <v>122</v>
      </c>
      <c r="F20" s="1" t="s">
        <v>147</v>
      </c>
      <c r="G20" s="1" t="s">
        <v>1679</v>
      </c>
      <c r="H20" s="1" t="s">
        <v>86</v>
      </c>
      <c r="I20" s="1" t="s">
        <v>101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1704</v>
      </c>
      <c r="B21" s="1" t="s">
        <v>1705</v>
      </c>
      <c r="C21" s="1" t="s">
        <v>32</v>
      </c>
      <c r="D21" s="1" t="s">
        <v>1706</v>
      </c>
      <c r="E21" s="1" t="s">
        <v>122</v>
      </c>
      <c r="F21" s="1" t="s">
        <v>147</v>
      </c>
      <c r="G21" s="1" t="s">
        <v>1679</v>
      </c>
      <c r="H21" s="1" t="s">
        <v>86</v>
      </c>
      <c r="I21" s="1" t="s">
        <v>101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1707</v>
      </c>
      <c r="B22" s="1" t="s">
        <v>170</v>
      </c>
      <c r="C22" s="1" t="s">
        <v>1172</v>
      </c>
      <c r="D22" s="1" t="s">
        <v>1708</v>
      </c>
      <c r="E22" s="1" t="s">
        <v>122</v>
      </c>
      <c r="F22" s="1" t="s">
        <v>147</v>
      </c>
      <c r="G22" s="1" t="s">
        <v>1696</v>
      </c>
      <c r="H22" s="1" t="s">
        <v>86</v>
      </c>
      <c r="I22" s="1" t="s">
        <v>101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1709</v>
      </c>
      <c r="B23" s="1" t="s">
        <v>161</v>
      </c>
      <c r="C23" s="1" t="s">
        <v>1710</v>
      </c>
      <c r="D23" s="1" t="s">
        <v>1711</v>
      </c>
      <c r="E23" s="1" t="s">
        <v>122</v>
      </c>
      <c r="F23" s="1" t="s">
        <v>147</v>
      </c>
      <c r="G23" s="1" t="s">
        <v>1691</v>
      </c>
      <c r="H23" s="1" t="s">
        <v>86</v>
      </c>
      <c r="I23" s="1" t="s">
        <v>101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1712</v>
      </c>
      <c r="B24" s="1" t="s">
        <v>150</v>
      </c>
      <c r="C24" s="1" t="s">
        <v>1172</v>
      </c>
      <c r="D24" s="1" t="s">
        <v>1713</v>
      </c>
      <c r="E24" s="1" t="s">
        <v>122</v>
      </c>
      <c r="F24" s="1" t="s">
        <v>152</v>
      </c>
      <c r="G24" s="1" t="s">
        <v>1679</v>
      </c>
      <c r="H24" s="1" t="s">
        <v>86</v>
      </c>
      <c r="I24" s="1" t="s">
        <v>101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1714</v>
      </c>
      <c r="B25" s="1" t="s">
        <v>155</v>
      </c>
      <c r="C25" s="1" t="s">
        <v>57</v>
      </c>
      <c r="D25" s="1" t="s">
        <v>1715</v>
      </c>
      <c r="E25" s="1" t="s">
        <v>122</v>
      </c>
      <c r="F25" s="1" t="s">
        <v>157</v>
      </c>
      <c r="G25" s="1" t="s">
        <v>1684</v>
      </c>
      <c r="H25" s="1" t="s">
        <v>88</v>
      </c>
      <c r="I25" s="1" t="s">
        <v>100</v>
      </c>
      <c r="J25" s="10" t="n">
        <v>46229</v>
      </c>
      <c r="K25" s="1" t="s">
        <v>1716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1717</v>
      </c>
      <c r="B26" s="1" t="s">
        <v>175</v>
      </c>
      <c r="C26" s="1" t="s">
        <v>57</v>
      </c>
      <c r="D26" s="1" t="s">
        <v>1718</v>
      </c>
      <c r="E26" s="1" t="s">
        <v>122</v>
      </c>
      <c r="F26" s="1" t="s">
        <v>163</v>
      </c>
      <c r="G26" s="1" t="s">
        <v>1719</v>
      </c>
      <c r="H26" s="1" t="s">
        <v>80</v>
      </c>
      <c r="I26" s="1" t="s">
        <v>100</v>
      </c>
      <c r="J26" s="10" t="n">
        <v>46229</v>
      </c>
      <c r="K26" s="1" t="s">
        <v>1650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1720</v>
      </c>
      <c r="B27" s="1" t="s">
        <v>179</v>
      </c>
      <c r="C27" s="1" t="s">
        <v>57</v>
      </c>
      <c r="D27" s="1" t="s">
        <v>1721</v>
      </c>
      <c r="E27" s="1" t="s">
        <v>122</v>
      </c>
      <c r="F27" s="1" t="s">
        <v>181</v>
      </c>
      <c r="G27" s="1" t="s">
        <v>1722</v>
      </c>
      <c r="H27" s="1" t="s">
        <v>86</v>
      </c>
      <c r="I27" s="1" t="s">
        <v>101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1723</v>
      </c>
      <c r="B28" s="1" t="s">
        <v>184</v>
      </c>
      <c r="C28" s="1" t="s">
        <v>57</v>
      </c>
      <c r="D28" s="1" t="s">
        <v>1724</v>
      </c>
      <c r="E28" s="1" t="s">
        <v>122</v>
      </c>
      <c r="F28" s="1" t="s">
        <v>181</v>
      </c>
      <c r="G28" s="1" t="s">
        <v>1725</v>
      </c>
      <c r="H28" s="1" t="s">
        <v>86</v>
      </c>
      <c r="I28" s="1" t="s">
        <v>101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1726</v>
      </c>
      <c r="B29" s="1" t="s">
        <v>610</v>
      </c>
      <c r="C29" s="1" t="s">
        <v>57</v>
      </c>
      <c r="D29" s="1" t="s">
        <v>1727</v>
      </c>
      <c r="E29" s="1" t="s">
        <v>122</v>
      </c>
      <c r="F29" s="1" t="s">
        <v>612</v>
      </c>
      <c r="G29" s="1" t="s">
        <v>1728</v>
      </c>
      <c r="H29" s="1" t="s">
        <v>86</v>
      </c>
      <c r="I29" s="1" t="s">
        <v>101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1729</v>
      </c>
      <c r="B30" s="1" t="s">
        <v>188</v>
      </c>
      <c r="C30" s="1" t="s">
        <v>57</v>
      </c>
      <c r="D30" s="1" t="s">
        <v>1730</v>
      </c>
      <c r="E30" s="1" t="s">
        <v>190</v>
      </c>
      <c r="F30" s="1" t="s">
        <v>190</v>
      </c>
      <c r="G30" s="1" t="s">
        <v>191</v>
      </c>
      <c r="H30" s="1" t="s">
        <v>86</v>
      </c>
      <c r="I30" s="1" t="s">
        <v>101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1731</v>
      </c>
      <c r="B31" s="1" t="s">
        <v>193</v>
      </c>
      <c r="C31" s="1" t="s">
        <v>57</v>
      </c>
      <c r="D31" s="1" t="s">
        <v>1732</v>
      </c>
      <c r="E31" s="1" t="s">
        <v>122</v>
      </c>
      <c r="F31" s="1" t="s">
        <v>122</v>
      </c>
      <c r="G31" s="1" t="s">
        <v>195</v>
      </c>
      <c r="H31" s="1" t="s">
        <v>86</v>
      </c>
      <c r="I31" s="1" t="s">
        <v>101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104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42" hidden="false" customHeight="true" outlineLevel="0" collapsed="false">
      <c r="A9" s="1" t="s">
        <v>1735</v>
      </c>
      <c r="B9" s="1" t="s">
        <v>78</v>
      </c>
      <c r="C9" s="1" t="s">
        <v>1172</v>
      </c>
      <c r="D9" s="1" t="s">
        <v>1736</v>
      </c>
      <c r="E9" s="1" t="s">
        <v>122</v>
      </c>
      <c r="F9" s="1" t="s">
        <v>123</v>
      </c>
      <c r="G9" s="1" t="s">
        <v>1737</v>
      </c>
      <c r="H9" s="8" t="s">
        <v>86</v>
      </c>
      <c r="I9" s="8" t="s">
        <v>101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1738</v>
      </c>
      <c r="B10" s="1" t="s">
        <v>1331</v>
      </c>
      <c r="C10" s="1" t="s">
        <v>1739</v>
      </c>
      <c r="D10" s="1" t="s">
        <v>1740</v>
      </c>
      <c r="E10" s="1" t="s">
        <v>122</v>
      </c>
      <c r="F10" s="1" t="s">
        <v>142</v>
      </c>
      <c r="G10" s="1" t="s">
        <v>1741</v>
      </c>
      <c r="H10" s="8" t="s">
        <v>86</v>
      </c>
      <c r="I10" s="8" t="s">
        <v>101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1742</v>
      </c>
      <c r="B11" s="1" t="s">
        <v>126</v>
      </c>
      <c r="C11" s="1" t="s">
        <v>58</v>
      </c>
      <c r="D11" s="1" t="s">
        <v>1743</v>
      </c>
      <c r="E11" s="1" t="s">
        <v>122</v>
      </c>
      <c r="F11" s="1" t="s">
        <v>122</v>
      </c>
      <c r="G11" s="1" t="s">
        <v>128</v>
      </c>
      <c r="H11" s="8" t="s">
        <v>86</v>
      </c>
      <c r="I11" s="8" t="s">
        <v>101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1744</v>
      </c>
      <c r="B12" s="1" t="s">
        <v>130</v>
      </c>
      <c r="C12" s="1" t="s">
        <v>1172</v>
      </c>
      <c r="D12" s="1" t="s">
        <v>1745</v>
      </c>
      <c r="E12" s="1" t="s">
        <v>122</v>
      </c>
      <c r="F12" s="1" t="s">
        <v>132</v>
      </c>
      <c r="G12" s="1" t="s">
        <v>1746</v>
      </c>
      <c r="H12" s="8" t="s">
        <v>86</v>
      </c>
      <c r="I12" s="8" t="s">
        <v>101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1747</v>
      </c>
      <c r="B13" s="1" t="s">
        <v>135</v>
      </c>
      <c r="C13" s="1" t="s">
        <v>1172</v>
      </c>
      <c r="D13" s="1" t="s">
        <v>1748</v>
      </c>
      <c r="E13" s="1" t="s">
        <v>122</v>
      </c>
      <c r="F13" s="1" t="s">
        <v>137</v>
      </c>
      <c r="G13" s="1" t="s">
        <v>1749</v>
      </c>
      <c r="H13" s="8" t="s">
        <v>86</v>
      </c>
      <c r="I13" s="8" t="s">
        <v>101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1750</v>
      </c>
      <c r="B14" s="1" t="s">
        <v>1564</v>
      </c>
      <c r="C14" s="1" t="s">
        <v>1751</v>
      </c>
      <c r="D14" s="1" t="s">
        <v>1752</v>
      </c>
      <c r="E14" s="1" t="s">
        <v>122</v>
      </c>
      <c r="F14" s="1" t="s">
        <v>147</v>
      </c>
      <c r="G14" s="1" t="s">
        <v>1753</v>
      </c>
      <c r="H14" s="8" t="s">
        <v>86</v>
      </c>
      <c r="I14" s="8" t="s">
        <v>101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1754</v>
      </c>
      <c r="B15" s="1" t="s">
        <v>1681</v>
      </c>
      <c r="C15" s="1" t="s">
        <v>1172</v>
      </c>
      <c r="D15" s="1" t="s">
        <v>1755</v>
      </c>
      <c r="E15" s="1" t="s">
        <v>122</v>
      </c>
      <c r="F15" s="1" t="s">
        <v>157</v>
      </c>
      <c r="G15" s="1" t="s">
        <v>1756</v>
      </c>
      <c r="H15" s="8" t="s">
        <v>88</v>
      </c>
      <c r="I15" s="8" t="s">
        <v>100</v>
      </c>
      <c r="J15" s="10" t="n">
        <v>46229</v>
      </c>
      <c r="K15" s="1" t="s">
        <v>1757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1758</v>
      </c>
      <c r="B16" s="1" t="s">
        <v>1686</v>
      </c>
      <c r="C16" s="1" t="s">
        <v>1759</v>
      </c>
      <c r="D16" s="1" t="s">
        <v>1760</v>
      </c>
      <c r="E16" s="1" t="s">
        <v>122</v>
      </c>
      <c r="F16" s="1" t="s">
        <v>157</v>
      </c>
      <c r="G16" s="1" t="s">
        <v>1756</v>
      </c>
      <c r="H16" s="8" t="s">
        <v>88</v>
      </c>
      <c r="I16" s="8" t="s">
        <v>100</v>
      </c>
      <c r="J16" s="10" t="n">
        <v>46229</v>
      </c>
      <c r="K16" s="1" t="s">
        <v>1761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1762</v>
      </c>
      <c r="B17" s="1" t="s">
        <v>1763</v>
      </c>
      <c r="C17" s="1" t="s">
        <v>1764</v>
      </c>
      <c r="D17" s="1" t="s">
        <v>1765</v>
      </c>
      <c r="E17" s="1" t="s">
        <v>122</v>
      </c>
      <c r="F17" s="1" t="s">
        <v>147</v>
      </c>
      <c r="G17" s="1" t="s">
        <v>1766</v>
      </c>
      <c r="H17" s="8" t="s">
        <v>86</v>
      </c>
      <c r="I17" s="8" t="s">
        <v>101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1767</v>
      </c>
      <c r="B18" s="1" t="s">
        <v>1577</v>
      </c>
      <c r="C18" s="1" t="s">
        <v>1768</v>
      </c>
      <c r="D18" s="1" t="s">
        <v>1769</v>
      </c>
      <c r="E18" s="1" t="s">
        <v>122</v>
      </c>
      <c r="F18" s="1" t="s">
        <v>147</v>
      </c>
      <c r="G18" s="1" t="s">
        <v>1766</v>
      </c>
      <c r="H18" s="8" t="s">
        <v>86</v>
      </c>
      <c r="I18" s="8" t="s">
        <v>101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1770</v>
      </c>
      <c r="B19" s="1" t="s">
        <v>1771</v>
      </c>
      <c r="C19" s="1" t="s">
        <v>1764</v>
      </c>
      <c r="D19" s="1" t="s">
        <v>1772</v>
      </c>
      <c r="E19" s="1" t="s">
        <v>122</v>
      </c>
      <c r="F19" s="1" t="s">
        <v>147</v>
      </c>
      <c r="G19" s="1" t="s">
        <v>1753</v>
      </c>
      <c r="H19" s="8" t="s">
        <v>86</v>
      </c>
      <c r="I19" s="8" t="s">
        <v>101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1773</v>
      </c>
      <c r="B20" s="1" t="s">
        <v>1774</v>
      </c>
      <c r="C20" s="1" t="s">
        <v>1074</v>
      </c>
      <c r="D20" s="1" t="s">
        <v>1775</v>
      </c>
      <c r="E20" s="1" t="s">
        <v>122</v>
      </c>
      <c r="F20" s="1" t="s">
        <v>142</v>
      </c>
      <c r="G20" s="1" t="s">
        <v>1776</v>
      </c>
      <c r="H20" s="8" t="s">
        <v>86</v>
      </c>
      <c r="I20" s="8" t="s">
        <v>101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1777</v>
      </c>
      <c r="B21" s="1" t="s">
        <v>1778</v>
      </c>
      <c r="C21" s="1" t="s">
        <v>1778</v>
      </c>
      <c r="D21" s="1" t="s">
        <v>1779</v>
      </c>
      <c r="E21" s="1" t="s">
        <v>122</v>
      </c>
      <c r="F21" s="1" t="s">
        <v>157</v>
      </c>
      <c r="G21" s="1" t="s">
        <v>1756</v>
      </c>
      <c r="H21" s="8" t="s">
        <v>88</v>
      </c>
      <c r="I21" s="8" t="s">
        <v>100</v>
      </c>
      <c r="J21" s="10" t="n">
        <v>46229</v>
      </c>
      <c r="K21" s="1" t="s">
        <v>1780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1781</v>
      </c>
      <c r="B22" s="1" t="s">
        <v>170</v>
      </c>
      <c r="C22" s="1" t="s">
        <v>1751</v>
      </c>
      <c r="D22" s="1" t="s">
        <v>1782</v>
      </c>
      <c r="E22" s="1" t="s">
        <v>122</v>
      </c>
      <c r="F22" s="1" t="s">
        <v>147</v>
      </c>
      <c r="G22" s="1" t="s">
        <v>1776</v>
      </c>
      <c r="H22" s="8" t="s">
        <v>86</v>
      </c>
      <c r="I22" s="8" t="s">
        <v>101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1783</v>
      </c>
      <c r="B23" s="1" t="s">
        <v>161</v>
      </c>
      <c r="C23" s="1" t="s">
        <v>1710</v>
      </c>
      <c r="D23" s="1" t="s">
        <v>1784</v>
      </c>
      <c r="E23" s="1" t="s">
        <v>122</v>
      </c>
      <c r="F23" s="1" t="s">
        <v>147</v>
      </c>
      <c r="G23" s="1" t="s">
        <v>1766</v>
      </c>
      <c r="H23" s="8" t="s">
        <v>86</v>
      </c>
      <c r="I23" s="8" t="s">
        <v>101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1785</v>
      </c>
      <c r="B24" s="1" t="s">
        <v>1217</v>
      </c>
      <c r="C24" s="1" t="s">
        <v>1710</v>
      </c>
      <c r="D24" s="1" t="s">
        <v>1786</v>
      </c>
      <c r="E24" s="1" t="s">
        <v>122</v>
      </c>
      <c r="F24" s="1" t="s">
        <v>147</v>
      </c>
      <c r="G24" s="1" t="s">
        <v>1753</v>
      </c>
      <c r="H24" s="8" t="s">
        <v>86</v>
      </c>
      <c r="I24" s="8" t="s">
        <v>101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1787</v>
      </c>
      <c r="B25" s="1" t="s">
        <v>150</v>
      </c>
      <c r="C25" s="1" t="s">
        <v>1172</v>
      </c>
      <c r="D25" s="1" t="s">
        <v>1788</v>
      </c>
      <c r="E25" s="1" t="s">
        <v>122</v>
      </c>
      <c r="F25" s="1" t="s">
        <v>152</v>
      </c>
      <c r="G25" s="1" t="s">
        <v>1753</v>
      </c>
      <c r="H25" s="8" t="s">
        <v>86</v>
      </c>
      <c r="I25" s="8" t="s">
        <v>101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1789</v>
      </c>
      <c r="B26" s="1" t="s">
        <v>155</v>
      </c>
      <c r="C26" s="1" t="s">
        <v>58</v>
      </c>
      <c r="D26" s="1" t="s">
        <v>1790</v>
      </c>
      <c r="E26" s="1" t="s">
        <v>122</v>
      </c>
      <c r="F26" s="1" t="s">
        <v>157</v>
      </c>
      <c r="G26" s="1" t="s">
        <v>1756</v>
      </c>
      <c r="H26" s="8" t="s">
        <v>88</v>
      </c>
      <c r="I26" s="8" t="s">
        <v>100</v>
      </c>
      <c r="J26" s="10" t="n">
        <v>46229</v>
      </c>
      <c r="K26" s="1" t="s">
        <v>1791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1792</v>
      </c>
      <c r="B27" s="1" t="s">
        <v>175</v>
      </c>
      <c r="C27" s="1" t="s">
        <v>58</v>
      </c>
      <c r="D27" s="1" t="s">
        <v>1793</v>
      </c>
      <c r="E27" s="1" t="s">
        <v>122</v>
      </c>
      <c r="F27" s="1" t="s">
        <v>163</v>
      </c>
      <c r="G27" s="1" t="s">
        <v>1794</v>
      </c>
      <c r="H27" s="8" t="s">
        <v>80</v>
      </c>
      <c r="I27" s="8" t="s">
        <v>100</v>
      </c>
      <c r="J27" s="10" t="n">
        <v>46229</v>
      </c>
      <c r="K27" s="1" t="s">
        <v>1795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1796</v>
      </c>
      <c r="B28" s="1" t="s">
        <v>179</v>
      </c>
      <c r="C28" s="1" t="s">
        <v>58</v>
      </c>
      <c r="D28" s="1" t="s">
        <v>1797</v>
      </c>
      <c r="E28" s="1" t="s">
        <v>122</v>
      </c>
      <c r="F28" s="1" t="s">
        <v>181</v>
      </c>
      <c r="G28" s="1" t="s">
        <v>1798</v>
      </c>
      <c r="H28" s="8" t="s">
        <v>86</v>
      </c>
      <c r="I28" s="8" t="s">
        <v>101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1799</v>
      </c>
      <c r="B29" s="1" t="s">
        <v>610</v>
      </c>
      <c r="C29" s="1" t="s">
        <v>58</v>
      </c>
      <c r="D29" s="1" t="s">
        <v>1800</v>
      </c>
      <c r="E29" s="1" t="s">
        <v>122</v>
      </c>
      <c r="F29" s="1" t="s">
        <v>612</v>
      </c>
      <c r="G29" s="1" t="s">
        <v>1801</v>
      </c>
      <c r="H29" s="8" t="s">
        <v>86</v>
      </c>
      <c r="I29" s="8" t="s">
        <v>101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1802</v>
      </c>
      <c r="B30" s="1" t="s">
        <v>188</v>
      </c>
      <c r="C30" s="1" t="s">
        <v>58</v>
      </c>
      <c r="D30" s="1" t="s">
        <v>1803</v>
      </c>
      <c r="E30" s="1" t="s">
        <v>190</v>
      </c>
      <c r="F30" s="1" t="s">
        <v>190</v>
      </c>
      <c r="G30" s="1" t="s">
        <v>191</v>
      </c>
      <c r="H30" s="8" t="s">
        <v>86</v>
      </c>
      <c r="I30" s="8" t="s">
        <v>101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1804</v>
      </c>
      <c r="B31" s="1" t="s">
        <v>193</v>
      </c>
      <c r="C31" s="1" t="s">
        <v>58</v>
      </c>
      <c r="D31" s="1" t="s">
        <v>1805</v>
      </c>
      <c r="E31" s="1" t="s">
        <v>122</v>
      </c>
      <c r="F31" s="1" t="s">
        <v>122</v>
      </c>
      <c r="G31" s="1" t="s">
        <v>195</v>
      </c>
      <c r="H31" s="8" t="s">
        <v>86</v>
      </c>
      <c r="I31" s="8" t="s">
        <v>101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104</v>
      </c>
      <c r="E4" s="6" t="n">
        <f aca="false">SUM(M9:M30)</f>
        <v>21</v>
      </c>
      <c r="G4" s="5" t="s">
        <v>13</v>
      </c>
      <c r="H4" s="7" t="n">
        <f aca="false">IF(B4=0,0,E4/B4)</f>
        <v>0.954545454545455</v>
      </c>
      <c r="J4" s="5" t="s">
        <v>14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1808</v>
      </c>
      <c r="B9" s="12" t="s">
        <v>78</v>
      </c>
      <c r="C9" s="12" t="s">
        <v>59</v>
      </c>
      <c r="D9" s="13" t="s">
        <v>1809</v>
      </c>
      <c r="E9" s="12" t="s">
        <v>122</v>
      </c>
      <c r="F9" s="12" t="s">
        <v>123</v>
      </c>
      <c r="G9" s="13" t="s">
        <v>1810</v>
      </c>
      <c r="H9" s="12" t="s">
        <v>86</v>
      </c>
      <c r="I9" s="12" t="s">
        <v>101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1811</v>
      </c>
      <c r="B10" s="12" t="s">
        <v>1331</v>
      </c>
      <c r="C10" s="12" t="s">
        <v>59</v>
      </c>
      <c r="D10" s="13" t="s">
        <v>1812</v>
      </c>
      <c r="E10" s="12" t="s">
        <v>122</v>
      </c>
      <c r="F10" s="12" t="s">
        <v>142</v>
      </c>
      <c r="G10" s="13" t="s">
        <v>1813</v>
      </c>
      <c r="H10" s="12" t="s">
        <v>86</v>
      </c>
      <c r="I10" s="12" t="s">
        <v>101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1814</v>
      </c>
      <c r="B11" s="12" t="s">
        <v>126</v>
      </c>
      <c r="C11" s="12" t="s">
        <v>59</v>
      </c>
      <c r="D11" s="13" t="s">
        <v>1815</v>
      </c>
      <c r="E11" s="12" t="s">
        <v>122</v>
      </c>
      <c r="F11" s="12" t="s">
        <v>122</v>
      </c>
      <c r="G11" s="13" t="s">
        <v>128</v>
      </c>
      <c r="H11" s="12" t="s">
        <v>86</v>
      </c>
      <c r="I11" s="12" t="s">
        <v>101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1816</v>
      </c>
      <c r="B12" s="12" t="s">
        <v>130</v>
      </c>
      <c r="C12" s="12" t="s">
        <v>59</v>
      </c>
      <c r="D12" s="13" t="s">
        <v>1817</v>
      </c>
      <c r="E12" s="12" t="s">
        <v>122</v>
      </c>
      <c r="F12" s="12" t="s">
        <v>132</v>
      </c>
      <c r="G12" s="13" t="s">
        <v>1818</v>
      </c>
      <c r="H12" s="12" t="s">
        <v>86</v>
      </c>
      <c r="I12" s="12" t="s">
        <v>101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1819</v>
      </c>
      <c r="B13" s="12" t="s">
        <v>135</v>
      </c>
      <c r="C13" s="12" t="s">
        <v>59</v>
      </c>
      <c r="D13" s="13" t="s">
        <v>1820</v>
      </c>
      <c r="E13" s="12" t="s">
        <v>122</v>
      </c>
      <c r="F13" s="12" t="s">
        <v>137</v>
      </c>
      <c r="G13" s="13" t="s">
        <v>1821</v>
      </c>
      <c r="H13" s="12" t="s">
        <v>86</v>
      </c>
      <c r="I13" s="12" t="s">
        <v>101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1822</v>
      </c>
      <c r="B14" s="12" t="s">
        <v>1564</v>
      </c>
      <c r="C14" s="12" t="s">
        <v>59</v>
      </c>
      <c r="D14" s="13" t="s">
        <v>1823</v>
      </c>
      <c r="E14" s="12" t="s">
        <v>122</v>
      </c>
      <c r="F14" s="12" t="s">
        <v>147</v>
      </c>
      <c r="G14" s="13" t="s">
        <v>1824</v>
      </c>
      <c r="H14" s="12" t="s">
        <v>86</v>
      </c>
      <c r="I14" s="12" t="s">
        <v>101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1825</v>
      </c>
      <c r="B15" s="12" t="s">
        <v>1681</v>
      </c>
      <c r="C15" s="12" t="s">
        <v>59</v>
      </c>
      <c r="D15" s="13" t="s">
        <v>1826</v>
      </c>
      <c r="E15" s="12" t="s">
        <v>122</v>
      </c>
      <c r="F15" s="12" t="s">
        <v>157</v>
      </c>
      <c r="G15" s="13" t="s">
        <v>1827</v>
      </c>
      <c r="H15" s="12" t="s">
        <v>88</v>
      </c>
      <c r="I15" s="12" t="s">
        <v>100</v>
      </c>
      <c r="J15" s="14" t="n">
        <v>46229</v>
      </c>
      <c r="K15" s="13" t="s">
        <v>1757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1828</v>
      </c>
      <c r="B16" s="12" t="s">
        <v>1829</v>
      </c>
      <c r="C16" s="12" t="s">
        <v>59</v>
      </c>
      <c r="D16" s="13" t="s">
        <v>1830</v>
      </c>
      <c r="E16" s="12" t="s">
        <v>122</v>
      </c>
      <c r="F16" s="12" t="s">
        <v>157</v>
      </c>
      <c r="G16" s="13" t="s">
        <v>1827</v>
      </c>
      <c r="H16" s="12" t="s">
        <v>88</v>
      </c>
      <c r="I16" s="12" t="s">
        <v>100</v>
      </c>
      <c r="J16" s="14" t="n">
        <v>46229</v>
      </c>
      <c r="K16" s="13" t="s">
        <v>1831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1832</v>
      </c>
      <c r="B17" s="12" t="s">
        <v>1833</v>
      </c>
      <c r="C17" s="12" t="s">
        <v>59</v>
      </c>
      <c r="D17" s="13" t="s">
        <v>1834</v>
      </c>
      <c r="E17" s="12" t="s">
        <v>122</v>
      </c>
      <c r="F17" s="12" t="s">
        <v>147</v>
      </c>
      <c r="G17" s="13" t="s">
        <v>1835</v>
      </c>
      <c r="H17" s="12" t="s">
        <v>86</v>
      </c>
      <c r="I17" s="12" t="s">
        <v>101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1836</v>
      </c>
      <c r="B18" s="12" t="s">
        <v>1837</v>
      </c>
      <c r="C18" s="12" t="s">
        <v>59</v>
      </c>
      <c r="D18" s="13" t="s">
        <v>1838</v>
      </c>
      <c r="E18" s="12" t="s">
        <v>122</v>
      </c>
      <c r="F18" s="12" t="s">
        <v>147</v>
      </c>
      <c r="G18" s="13" t="s">
        <v>1824</v>
      </c>
      <c r="H18" s="12" t="s">
        <v>86</v>
      </c>
      <c r="I18" s="12" t="s">
        <v>101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1839</v>
      </c>
      <c r="B19" s="12" t="s">
        <v>1840</v>
      </c>
      <c r="C19" s="12" t="s">
        <v>59</v>
      </c>
      <c r="D19" s="13" t="s">
        <v>1841</v>
      </c>
      <c r="E19" s="12" t="s">
        <v>122</v>
      </c>
      <c r="F19" s="12" t="s">
        <v>147</v>
      </c>
      <c r="G19" s="13" t="s">
        <v>1842</v>
      </c>
      <c r="H19" s="12" t="s">
        <v>86</v>
      </c>
      <c r="I19" s="12" t="s">
        <v>101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1843</v>
      </c>
      <c r="B20" s="12" t="s">
        <v>170</v>
      </c>
      <c r="C20" s="12" t="s">
        <v>59</v>
      </c>
      <c r="D20" s="13" t="s">
        <v>1844</v>
      </c>
      <c r="E20" s="12" t="s">
        <v>122</v>
      </c>
      <c r="F20" s="12" t="s">
        <v>157</v>
      </c>
      <c r="G20" s="13" t="s">
        <v>1827</v>
      </c>
      <c r="H20" s="12" t="s">
        <v>88</v>
      </c>
      <c r="I20" s="12" t="s">
        <v>100</v>
      </c>
      <c r="J20" s="14" t="n">
        <v>46229</v>
      </c>
      <c r="K20" s="13" t="s">
        <v>1845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1846</v>
      </c>
      <c r="B21" s="12" t="s">
        <v>150</v>
      </c>
      <c r="C21" s="12" t="s">
        <v>59</v>
      </c>
      <c r="D21" s="13" t="s">
        <v>1847</v>
      </c>
      <c r="E21" s="12" t="s">
        <v>122</v>
      </c>
      <c r="F21" s="12" t="s">
        <v>152</v>
      </c>
      <c r="G21" s="13" t="s">
        <v>1824</v>
      </c>
      <c r="H21" s="12" t="s">
        <v>86</v>
      </c>
      <c r="I21" s="12" t="s">
        <v>101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1848</v>
      </c>
      <c r="B22" s="12" t="s">
        <v>161</v>
      </c>
      <c r="C22" s="12" t="s">
        <v>59</v>
      </c>
      <c r="D22" s="13" t="s">
        <v>1849</v>
      </c>
      <c r="E22" s="12" t="s">
        <v>122</v>
      </c>
      <c r="F22" s="12" t="s">
        <v>147</v>
      </c>
      <c r="G22" s="13" t="s">
        <v>1835</v>
      </c>
      <c r="H22" s="12" t="s">
        <v>86</v>
      </c>
      <c r="I22" s="12" t="s">
        <v>101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1850</v>
      </c>
      <c r="B23" s="12" t="s">
        <v>1851</v>
      </c>
      <c r="C23" s="12" t="s">
        <v>59</v>
      </c>
      <c r="D23" s="13" t="s">
        <v>1852</v>
      </c>
      <c r="E23" s="12" t="s">
        <v>122</v>
      </c>
      <c r="F23" s="12" t="s">
        <v>157</v>
      </c>
      <c r="G23" s="13" t="s">
        <v>1827</v>
      </c>
      <c r="H23" s="12" t="s">
        <v>88</v>
      </c>
      <c r="I23" s="12" t="s">
        <v>100</v>
      </c>
      <c r="J23" s="14" t="n">
        <v>46229</v>
      </c>
      <c r="K23" s="13" t="s">
        <v>1853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1854</v>
      </c>
      <c r="B24" s="12" t="s">
        <v>155</v>
      </c>
      <c r="C24" s="12" t="s">
        <v>59</v>
      </c>
      <c r="D24" s="13" t="s">
        <v>1855</v>
      </c>
      <c r="E24" s="12" t="s">
        <v>122</v>
      </c>
      <c r="F24" s="12" t="s">
        <v>157</v>
      </c>
      <c r="G24" s="13" t="s">
        <v>1827</v>
      </c>
      <c r="H24" s="12" t="s">
        <v>88</v>
      </c>
      <c r="I24" s="12" t="s">
        <v>100</v>
      </c>
      <c r="J24" s="14" t="n">
        <v>46229</v>
      </c>
      <c r="K24" s="13" t="s">
        <v>1856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1857</v>
      </c>
      <c r="B25" s="12" t="s">
        <v>175</v>
      </c>
      <c r="C25" s="12" t="s">
        <v>59</v>
      </c>
      <c r="D25" s="13" t="s">
        <v>1858</v>
      </c>
      <c r="E25" s="12" t="s">
        <v>122</v>
      </c>
      <c r="F25" s="12" t="s">
        <v>163</v>
      </c>
      <c r="G25" s="13" t="s">
        <v>1859</v>
      </c>
      <c r="H25" s="12" t="s">
        <v>80</v>
      </c>
      <c r="I25" s="12" t="s">
        <v>100</v>
      </c>
      <c r="J25" s="14" t="n">
        <v>46229</v>
      </c>
      <c r="K25" s="13" t="s">
        <v>1795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1860</v>
      </c>
      <c r="B26" s="12" t="s">
        <v>179</v>
      </c>
      <c r="C26" s="12" t="s">
        <v>59</v>
      </c>
      <c r="D26" s="13" t="s">
        <v>1861</v>
      </c>
      <c r="E26" s="12" t="s">
        <v>122</v>
      </c>
      <c r="F26" s="12" t="s">
        <v>181</v>
      </c>
      <c r="G26" s="13" t="s">
        <v>1862</v>
      </c>
      <c r="H26" s="12" t="s">
        <v>86</v>
      </c>
      <c r="I26" s="12" t="s">
        <v>101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1863</v>
      </c>
      <c r="B27" s="12" t="s">
        <v>184</v>
      </c>
      <c r="C27" s="12" t="s">
        <v>59</v>
      </c>
      <c r="D27" s="13" t="s">
        <v>1864</v>
      </c>
      <c r="E27" s="12" t="s">
        <v>122</v>
      </c>
      <c r="F27" s="12" t="s">
        <v>181</v>
      </c>
      <c r="G27" s="13" t="s">
        <v>1865</v>
      </c>
      <c r="H27" s="12" t="s">
        <v>86</v>
      </c>
      <c r="I27" s="12" t="s">
        <v>101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1866</v>
      </c>
      <c r="B28" s="12" t="s">
        <v>610</v>
      </c>
      <c r="C28" s="12" t="s">
        <v>59</v>
      </c>
      <c r="D28" s="13" t="s">
        <v>1867</v>
      </c>
      <c r="E28" s="12" t="s">
        <v>122</v>
      </c>
      <c r="F28" s="12" t="s">
        <v>612</v>
      </c>
      <c r="G28" s="13" t="s">
        <v>1868</v>
      </c>
      <c r="H28" s="12" t="s">
        <v>86</v>
      </c>
      <c r="I28" s="12" t="s">
        <v>101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1869</v>
      </c>
      <c r="B29" s="12" t="s">
        <v>188</v>
      </c>
      <c r="C29" s="12" t="s">
        <v>59</v>
      </c>
      <c r="D29" s="13" t="s">
        <v>1870</v>
      </c>
      <c r="E29" s="12" t="s">
        <v>190</v>
      </c>
      <c r="F29" s="12" t="s">
        <v>190</v>
      </c>
      <c r="G29" s="13" t="s">
        <v>191</v>
      </c>
      <c r="H29" s="12" t="s">
        <v>86</v>
      </c>
      <c r="I29" s="12" t="s">
        <v>101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1871</v>
      </c>
      <c r="B30" s="12" t="s">
        <v>193</v>
      </c>
      <c r="C30" s="12" t="s">
        <v>59</v>
      </c>
      <c r="D30" s="13" t="s">
        <v>1872</v>
      </c>
      <c r="E30" s="12" t="s">
        <v>122</v>
      </c>
      <c r="F30" s="12" t="s">
        <v>122</v>
      </c>
      <c r="G30" s="13" t="s">
        <v>195</v>
      </c>
      <c r="H30" s="12" t="s">
        <v>86</v>
      </c>
      <c r="I30" s="12" t="s">
        <v>101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104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42" hidden="false" customHeight="true" outlineLevel="0" collapsed="false">
      <c r="A9" s="1" t="s">
        <v>1874</v>
      </c>
      <c r="B9" s="1" t="s">
        <v>78</v>
      </c>
      <c r="C9" s="1" t="s">
        <v>1172</v>
      </c>
      <c r="D9" s="1" t="s">
        <v>1875</v>
      </c>
      <c r="E9" s="1" t="s">
        <v>122</v>
      </c>
      <c r="F9" s="1" t="s">
        <v>123</v>
      </c>
      <c r="G9" s="1" t="s">
        <v>1876</v>
      </c>
      <c r="H9" s="1" t="s">
        <v>86</v>
      </c>
      <c r="I9" s="1" t="s">
        <v>101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1877</v>
      </c>
      <c r="B10" s="1" t="s">
        <v>1331</v>
      </c>
      <c r="C10" s="1" t="s">
        <v>1172</v>
      </c>
      <c r="D10" s="1" t="s">
        <v>1878</v>
      </c>
      <c r="E10" s="1" t="s">
        <v>122</v>
      </c>
      <c r="F10" s="1" t="s">
        <v>142</v>
      </c>
      <c r="G10" s="1" t="s">
        <v>1879</v>
      </c>
      <c r="H10" s="1" t="s">
        <v>86</v>
      </c>
      <c r="I10" s="1" t="s">
        <v>101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1880</v>
      </c>
      <c r="B11" s="1" t="s">
        <v>126</v>
      </c>
      <c r="C11" s="1" t="s">
        <v>1881</v>
      </c>
      <c r="D11" s="1" t="s">
        <v>1882</v>
      </c>
      <c r="E11" s="1" t="s">
        <v>122</v>
      </c>
      <c r="F11" s="1" t="s">
        <v>122</v>
      </c>
      <c r="G11" s="1" t="s">
        <v>1883</v>
      </c>
      <c r="H11" s="1" t="s">
        <v>86</v>
      </c>
      <c r="I11" s="1" t="s">
        <v>101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1884</v>
      </c>
      <c r="B12" s="1" t="s">
        <v>130</v>
      </c>
      <c r="C12" s="1" t="s">
        <v>1172</v>
      </c>
      <c r="D12" s="1" t="s">
        <v>1885</v>
      </c>
      <c r="E12" s="1" t="s">
        <v>122</v>
      </c>
      <c r="F12" s="1" t="s">
        <v>132</v>
      </c>
      <c r="G12" s="1" t="s">
        <v>1886</v>
      </c>
      <c r="H12" s="1" t="s">
        <v>86</v>
      </c>
      <c r="I12" s="1" t="s">
        <v>101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1887</v>
      </c>
      <c r="B13" s="1" t="s">
        <v>135</v>
      </c>
      <c r="C13" s="1" t="s">
        <v>1172</v>
      </c>
      <c r="D13" s="1" t="s">
        <v>1888</v>
      </c>
      <c r="E13" s="1" t="s">
        <v>122</v>
      </c>
      <c r="F13" s="1" t="s">
        <v>137</v>
      </c>
      <c r="G13" s="1" t="s">
        <v>1889</v>
      </c>
      <c r="H13" s="1" t="s">
        <v>86</v>
      </c>
      <c r="I13" s="1" t="s">
        <v>101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1890</v>
      </c>
      <c r="B14" s="1" t="s">
        <v>1564</v>
      </c>
      <c r="C14" s="1" t="s">
        <v>1891</v>
      </c>
      <c r="D14" s="1" t="s">
        <v>1892</v>
      </c>
      <c r="E14" s="1" t="s">
        <v>122</v>
      </c>
      <c r="F14" s="1" t="s">
        <v>147</v>
      </c>
      <c r="G14" s="1" t="s">
        <v>1893</v>
      </c>
      <c r="H14" s="1" t="s">
        <v>86</v>
      </c>
      <c r="I14" s="1" t="s">
        <v>101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1894</v>
      </c>
      <c r="B15" s="1" t="s">
        <v>1686</v>
      </c>
      <c r="C15" s="1" t="s">
        <v>1895</v>
      </c>
      <c r="D15" s="1" t="s">
        <v>1896</v>
      </c>
      <c r="E15" s="1" t="s">
        <v>122</v>
      </c>
      <c r="F15" s="1" t="s">
        <v>157</v>
      </c>
      <c r="G15" s="1" t="s">
        <v>1897</v>
      </c>
      <c r="H15" s="1" t="s">
        <v>88</v>
      </c>
      <c r="I15" s="1" t="s">
        <v>100</v>
      </c>
      <c r="J15" s="10" t="n">
        <v>46230</v>
      </c>
      <c r="K15" s="1" t="s">
        <v>1898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1899</v>
      </c>
      <c r="B16" s="1" t="s">
        <v>1331</v>
      </c>
      <c r="C16" s="1" t="s">
        <v>1900</v>
      </c>
      <c r="D16" s="1" t="s">
        <v>1901</v>
      </c>
      <c r="E16" s="1" t="s">
        <v>122</v>
      </c>
      <c r="F16" s="1" t="s">
        <v>157</v>
      </c>
      <c r="G16" s="1" t="s">
        <v>1897</v>
      </c>
      <c r="H16" s="1" t="s">
        <v>88</v>
      </c>
      <c r="I16" s="1" t="s">
        <v>100</v>
      </c>
      <c r="J16" s="10" t="n">
        <v>46230</v>
      </c>
      <c r="K16" s="1" t="s">
        <v>1902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1903</v>
      </c>
      <c r="B17" s="1" t="s">
        <v>1904</v>
      </c>
      <c r="C17" s="1" t="s">
        <v>1905</v>
      </c>
      <c r="D17" s="1" t="s">
        <v>1906</v>
      </c>
      <c r="E17" s="1" t="s">
        <v>122</v>
      </c>
      <c r="F17" s="1" t="s">
        <v>147</v>
      </c>
      <c r="G17" s="1" t="s">
        <v>1893</v>
      </c>
      <c r="H17" s="1" t="s">
        <v>86</v>
      </c>
      <c r="I17" s="1" t="s">
        <v>101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1907</v>
      </c>
      <c r="B18" s="1" t="s">
        <v>1577</v>
      </c>
      <c r="C18" s="1" t="s">
        <v>1908</v>
      </c>
      <c r="D18" s="1" t="s">
        <v>1909</v>
      </c>
      <c r="E18" s="1" t="s">
        <v>122</v>
      </c>
      <c r="F18" s="1" t="s">
        <v>147</v>
      </c>
      <c r="G18" s="1" t="s">
        <v>1910</v>
      </c>
      <c r="H18" s="1" t="s">
        <v>86</v>
      </c>
      <c r="I18" s="1" t="s">
        <v>101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1911</v>
      </c>
      <c r="B19" s="1" t="s">
        <v>1912</v>
      </c>
      <c r="C19" s="1" t="s">
        <v>1913</v>
      </c>
      <c r="D19" s="1" t="s">
        <v>1914</v>
      </c>
      <c r="E19" s="1" t="s">
        <v>122</v>
      </c>
      <c r="F19" s="1" t="s">
        <v>147</v>
      </c>
      <c r="G19" s="1" t="s">
        <v>1893</v>
      </c>
      <c r="H19" s="1" t="s">
        <v>86</v>
      </c>
      <c r="I19" s="1" t="s">
        <v>101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1915</v>
      </c>
      <c r="B20" s="1" t="s">
        <v>1571</v>
      </c>
      <c r="C20" s="1" t="s">
        <v>1405</v>
      </c>
      <c r="D20" s="1" t="s">
        <v>1916</v>
      </c>
      <c r="E20" s="1" t="s">
        <v>122</v>
      </c>
      <c r="F20" s="1" t="s">
        <v>147</v>
      </c>
      <c r="G20" s="1" t="s">
        <v>1893</v>
      </c>
      <c r="H20" s="1" t="s">
        <v>86</v>
      </c>
      <c r="I20" s="1" t="s">
        <v>101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1917</v>
      </c>
      <c r="B21" s="1" t="s">
        <v>170</v>
      </c>
      <c r="C21" s="1" t="s">
        <v>1918</v>
      </c>
      <c r="D21" s="1" t="s">
        <v>1919</v>
      </c>
      <c r="E21" s="1" t="s">
        <v>122</v>
      </c>
      <c r="F21" s="1" t="s">
        <v>147</v>
      </c>
      <c r="G21" s="1" t="s">
        <v>1920</v>
      </c>
      <c r="H21" s="1" t="s">
        <v>86</v>
      </c>
      <c r="I21" s="1" t="s">
        <v>101</v>
      </c>
      <c r="J21" s="10" t="n">
        <v>46230</v>
      </c>
      <c r="K21" s="1" t="s">
        <v>1780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1921</v>
      </c>
      <c r="B22" s="1" t="s">
        <v>161</v>
      </c>
      <c r="C22" s="1" t="s">
        <v>1895</v>
      </c>
      <c r="D22" s="1" t="s">
        <v>1922</v>
      </c>
      <c r="E22" s="1" t="s">
        <v>122</v>
      </c>
      <c r="F22" s="1" t="s">
        <v>147</v>
      </c>
      <c r="G22" s="1" t="s">
        <v>1910</v>
      </c>
      <c r="H22" s="1" t="s">
        <v>86</v>
      </c>
      <c r="I22" s="1" t="s">
        <v>101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1923</v>
      </c>
      <c r="B23" s="1" t="s">
        <v>1217</v>
      </c>
      <c r="C23" s="1" t="s">
        <v>1895</v>
      </c>
      <c r="D23" s="1" t="s">
        <v>1924</v>
      </c>
      <c r="E23" s="1" t="s">
        <v>122</v>
      </c>
      <c r="F23" s="1" t="s">
        <v>147</v>
      </c>
      <c r="G23" s="1" t="s">
        <v>1893</v>
      </c>
      <c r="H23" s="1" t="s">
        <v>86</v>
      </c>
      <c r="I23" s="1" t="s">
        <v>101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1925</v>
      </c>
      <c r="B24" s="1" t="s">
        <v>150</v>
      </c>
      <c r="C24" s="1" t="s">
        <v>1172</v>
      </c>
      <c r="D24" s="1" t="s">
        <v>1926</v>
      </c>
      <c r="E24" s="1" t="s">
        <v>122</v>
      </c>
      <c r="F24" s="1" t="s">
        <v>152</v>
      </c>
      <c r="G24" s="1" t="s">
        <v>1893</v>
      </c>
      <c r="H24" s="1" t="s">
        <v>86</v>
      </c>
      <c r="I24" s="1" t="s">
        <v>101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1927</v>
      </c>
      <c r="B25" s="1" t="s">
        <v>155</v>
      </c>
      <c r="C25" s="1" t="s">
        <v>1881</v>
      </c>
      <c r="D25" s="1" t="s">
        <v>1928</v>
      </c>
      <c r="E25" s="1" t="s">
        <v>122</v>
      </c>
      <c r="F25" s="1" t="s">
        <v>157</v>
      </c>
      <c r="G25" s="1" t="s">
        <v>1897</v>
      </c>
      <c r="H25" s="1" t="s">
        <v>88</v>
      </c>
      <c r="I25" s="1" t="s">
        <v>100</v>
      </c>
      <c r="J25" s="10" t="n">
        <v>46230</v>
      </c>
      <c r="K25" s="1" t="s">
        <v>1929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1930</v>
      </c>
      <c r="B26" s="1" t="s">
        <v>1571</v>
      </c>
      <c r="C26" s="1" t="s">
        <v>1931</v>
      </c>
      <c r="D26" s="1" t="s">
        <v>1932</v>
      </c>
      <c r="E26" s="1" t="s">
        <v>122</v>
      </c>
      <c r="F26" s="1" t="s">
        <v>147</v>
      </c>
      <c r="G26" s="1" t="s">
        <v>1893</v>
      </c>
      <c r="H26" s="1" t="s">
        <v>86</v>
      </c>
      <c r="I26" s="1" t="s">
        <v>101</v>
      </c>
      <c r="J26" s="10" t="n">
        <v>46230</v>
      </c>
      <c r="K26" s="1" t="s">
        <v>1791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1933</v>
      </c>
      <c r="B27" s="1" t="s">
        <v>175</v>
      </c>
      <c r="C27" s="1" t="s">
        <v>60</v>
      </c>
      <c r="D27" s="1" t="s">
        <v>1934</v>
      </c>
      <c r="E27" s="1" t="s">
        <v>122</v>
      </c>
      <c r="F27" s="1" t="s">
        <v>163</v>
      </c>
      <c r="G27" s="1" t="s">
        <v>1935</v>
      </c>
      <c r="H27" s="1" t="s">
        <v>80</v>
      </c>
      <c r="I27" s="1" t="s">
        <v>100</v>
      </c>
      <c r="J27" s="10" t="n">
        <v>46230</v>
      </c>
      <c r="K27" s="1" t="s">
        <v>1795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1936</v>
      </c>
      <c r="B28" s="1" t="s">
        <v>179</v>
      </c>
      <c r="C28" s="1" t="s">
        <v>60</v>
      </c>
      <c r="D28" s="1" t="s">
        <v>1797</v>
      </c>
      <c r="E28" s="1" t="s">
        <v>122</v>
      </c>
      <c r="F28" s="1" t="s">
        <v>181</v>
      </c>
      <c r="G28" s="1" t="s">
        <v>1937</v>
      </c>
      <c r="H28" s="1" t="s">
        <v>86</v>
      </c>
      <c r="I28" s="1" t="s">
        <v>101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1938</v>
      </c>
      <c r="B29" s="1" t="s">
        <v>610</v>
      </c>
      <c r="C29" s="1" t="s">
        <v>60</v>
      </c>
      <c r="D29" s="1" t="s">
        <v>1939</v>
      </c>
      <c r="E29" s="1" t="s">
        <v>122</v>
      </c>
      <c r="F29" s="1" t="s">
        <v>612</v>
      </c>
      <c r="G29" s="1" t="s">
        <v>1940</v>
      </c>
      <c r="H29" s="1" t="s">
        <v>86</v>
      </c>
      <c r="I29" s="1" t="s">
        <v>101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1941</v>
      </c>
      <c r="B30" s="1" t="s">
        <v>188</v>
      </c>
      <c r="C30" s="1" t="s">
        <v>60</v>
      </c>
      <c r="D30" s="1" t="s">
        <v>1942</v>
      </c>
      <c r="E30" s="1" t="s">
        <v>190</v>
      </c>
      <c r="F30" s="1" t="s">
        <v>190</v>
      </c>
      <c r="G30" s="1" t="s">
        <v>191</v>
      </c>
      <c r="H30" s="1" t="s">
        <v>86</v>
      </c>
      <c r="I30" s="1" t="s">
        <v>101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1943</v>
      </c>
      <c r="B31" s="1" t="s">
        <v>193</v>
      </c>
      <c r="C31" s="1" t="s">
        <v>60</v>
      </c>
      <c r="D31" s="1" t="s">
        <v>1805</v>
      </c>
      <c r="E31" s="1" t="s">
        <v>122</v>
      </c>
      <c r="F31" s="1" t="s">
        <v>122</v>
      </c>
      <c r="G31" s="1" t="s">
        <v>195</v>
      </c>
      <c r="H31" s="1" t="s">
        <v>86</v>
      </c>
      <c r="I31" s="1" t="s">
        <v>101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104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42" hidden="false" customHeight="true" outlineLevel="0" collapsed="false">
      <c r="A9" s="1" t="s">
        <v>1945</v>
      </c>
      <c r="B9" s="1" t="s">
        <v>78</v>
      </c>
      <c r="C9" s="1" t="s">
        <v>1172</v>
      </c>
      <c r="D9" s="1" t="s">
        <v>1946</v>
      </c>
      <c r="E9" s="1" t="s">
        <v>122</v>
      </c>
      <c r="F9" s="1" t="s">
        <v>123</v>
      </c>
      <c r="G9" s="1" t="s">
        <v>1947</v>
      </c>
      <c r="H9" s="1" t="s">
        <v>86</v>
      </c>
      <c r="I9" s="1" t="s">
        <v>101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1948</v>
      </c>
      <c r="B10" s="1" t="s">
        <v>1331</v>
      </c>
      <c r="C10" s="1" t="s">
        <v>1172</v>
      </c>
      <c r="D10" s="1" t="s">
        <v>1949</v>
      </c>
      <c r="E10" s="1" t="s">
        <v>122</v>
      </c>
      <c r="F10" s="1" t="s">
        <v>142</v>
      </c>
      <c r="G10" s="1" t="s">
        <v>1950</v>
      </c>
      <c r="H10" s="1" t="s">
        <v>86</v>
      </c>
      <c r="I10" s="1" t="s">
        <v>101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1951</v>
      </c>
      <c r="B11" s="1" t="s">
        <v>126</v>
      </c>
      <c r="C11" s="1" t="s">
        <v>1952</v>
      </c>
      <c r="D11" s="1" t="s">
        <v>1953</v>
      </c>
      <c r="E11" s="1" t="s">
        <v>122</v>
      </c>
      <c r="F11" s="1" t="s">
        <v>122</v>
      </c>
      <c r="G11" s="1" t="s">
        <v>1883</v>
      </c>
      <c r="H11" s="1" t="s">
        <v>86</v>
      </c>
      <c r="I11" s="1" t="s">
        <v>101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1954</v>
      </c>
      <c r="B12" s="1" t="s">
        <v>130</v>
      </c>
      <c r="C12" s="1" t="s">
        <v>1172</v>
      </c>
      <c r="D12" s="1" t="s">
        <v>1955</v>
      </c>
      <c r="E12" s="1" t="s">
        <v>122</v>
      </c>
      <c r="F12" s="1" t="s">
        <v>132</v>
      </c>
      <c r="G12" s="1" t="s">
        <v>1956</v>
      </c>
      <c r="H12" s="1" t="s">
        <v>86</v>
      </c>
      <c r="I12" s="1" t="s">
        <v>101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1957</v>
      </c>
      <c r="B13" s="1" t="s">
        <v>135</v>
      </c>
      <c r="C13" s="1" t="s">
        <v>1172</v>
      </c>
      <c r="D13" s="1" t="s">
        <v>1958</v>
      </c>
      <c r="E13" s="1" t="s">
        <v>122</v>
      </c>
      <c r="F13" s="1" t="s">
        <v>137</v>
      </c>
      <c r="G13" s="1" t="s">
        <v>1959</v>
      </c>
      <c r="H13" s="1" t="s">
        <v>86</v>
      </c>
      <c r="I13" s="1" t="s">
        <v>101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1960</v>
      </c>
      <c r="B14" s="1" t="s">
        <v>1961</v>
      </c>
      <c r="C14" s="1" t="s">
        <v>1405</v>
      </c>
      <c r="D14" s="1" t="s">
        <v>1962</v>
      </c>
      <c r="E14" s="1" t="s">
        <v>122</v>
      </c>
      <c r="F14" s="1" t="s">
        <v>147</v>
      </c>
      <c r="G14" s="1" t="s">
        <v>1963</v>
      </c>
      <c r="H14" s="1" t="s">
        <v>86</v>
      </c>
      <c r="I14" s="1" t="s">
        <v>101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1964</v>
      </c>
      <c r="B15" s="1" t="s">
        <v>1686</v>
      </c>
      <c r="C15" s="1" t="s">
        <v>1895</v>
      </c>
      <c r="D15" s="1" t="s">
        <v>1965</v>
      </c>
      <c r="E15" s="1" t="s">
        <v>122</v>
      </c>
      <c r="F15" s="1" t="s">
        <v>157</v>
      </c>
      <c r="G15" s="1" t="s">
        <v>1966</v>
      </c>
      <c r="H15" s="1" t="s">
        <v>88</v>
      </c>
      <c r="I15" s="1" t="s">
        <v>100</v>
      </c>
      <c r="J15" s="10" t="n">
        <v>46230</v>
      </c>
      <c r="K15" s="1" t="s">
        <v>1967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1968</v>
      </c>
      <c r="B16" s="1" t="s">
        <v>1331</v>
      </c>
      <c r="C16" s="1" t="s">
        <v>1969</v>
      </c>
      <c r="D16" s="1" t="s">
        <v>1970</v>
      </c>
      <c r="E16" s="1" t="s">
        <v>122</v>
      </c>
      <c r="F16" s="1" t="s">
        <v>157</v>
      </c>
      <c r="G16" s="1" t="s">
        <v>1966</v>
      </c>
      <c r="H16" s="1" t="s">
        <v>88</v>
      </c>
      <c r="I16" s="1" t="s">
        <v>100</v>
      </c>
      <c r="J16" s="10" t="n">
        <v>46230</v>
      </c>
      <c r="K16" s="1" t="s">
        <v>1967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1971</v>
      </c>
      <c r="B17" s="1" t="s">
        <v>1904</v>
      </c>
      <c r="C17" s="1" t="s">
        <v>1905</v>
      </c>
      <c r="D17" s="1" t="s">
        <v>1972</v>
      </c>
      <c r="E17" s="1" t="s">
        <v>122</v>
      </c>
      <c r="F17" s="1" t="s">
        <v>147</v>
      </c>
      <c r="G17" s="1" t="s">
        <v>1963</v>
      </c>
      <c r="H17" s="1" t="s">
        <v>86</v>
      </c>
      <c r="I17" s="1" t="s">
        <v>101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1973</v>
      </c>
      <c r="B18" s="1" t="s">
        <v>1577</v>
      </c>
      <c r="C18" s="1" t="s">
        <v>1908</v>
      </c>
      <c r="D18" s="1" t="s">
        <v>1974</v>
      </c>
      <c r="E18" s="1" t="s">
        <v>122</v>
      </c>
      <c r="F18" s="1" t="s">
        <v>147</v>
      </c>
      <c r="G18" s="1" t="s">
        <v>1963</v>
      </c>
      <c r="H18" s="1" t="s">
        <v>86</v>
      </c>
      <c r="I18" s="1" t="s">
        <v>101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1975</v>
      </c>
      <c r="B19" s="1" t="s">
        <v>1912</v>
      </c>
      <c r="C19" s="1" t="s">
        <v>1913</v>
      </c>
      <c r="D19" s="1" t="s">
        <v>1976</v>
      </c>
      <c r="E19" s="1" t="s">
        <v>122</v>
      </c>
      <c r="F19" s="1" t="s">
        <v>147</v>
      </c>
      <c r="G19" s="1" t="s">
        <v>1963</v>
      </c>
      <c r="H19" s="1" t="s">
        <v>86</v>
      </c>
      <c r="I19" s="1" t="s">
        <v>101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1977</v>
      </c>
      <c r="B20" s="1" t="s">
        <v>1571</v>
      </c>
      <c r="C20" s="1" t="s">
        <v>1931</v>
      </c>
      <c r="D20" s="1" t="s">
        <v>1932</v>
      </c>
      <c r="E20" s="1" t="s">
        <v>122</v>
      </c>
      <c r="F20" s="1" t="s">
        <v>147</v>
      </c>
      <c r="G20" s="1" t="s">
        <v>1963</v>
      </c>
      <c r="H20" s="1" t="s">
        <v>86</v>
      </c>
      <c r="I20" s="1" t="s">
        <v>101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1978</v>
      </c>
      <c r="B21" s="1" t="s">
        <v>170</v>
      </c>
      <c r="C21" s="1" t="s">
        <v>1979</v>
      </c>
      <c r="D21" s="1" t="s">
        <v>1980</v>
      </c>
      <c r="E21" s="1" t="s">
        <v>122</v>
      </c>
      <c r="F21" s="1" t="s">
        <v>147</v>
      </c>
      <c r="G21" s="1" t="s">
        <v>1963</v>
      </c>
      <c r="H21" s="1" t="s">
        <v>86</v>
      </c>
      <c r="I21" s="1" t="s">
        <v>101</v>
      </c>
      <c r="J21" s="10" t="n">
        <v>46230</v>
      </c>
      <c r="K21" s="1" t="s">
        <v>1780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1981</v>
      </c>
      <c r="B22" s="1" t="s">
        <v>161</v>
      </c>
      <c r="C22" s="1" t="s">
        <v>1172</v>
      </c>
      <c r="D22" s="1" t="s">
        <v>1982</v>
      </c>
      <c r="E22" s="1" t="s">
        <v>122</v>
      </c>
      <c r="F22" s="1" t="s">
        <v>147</v>
      </c>
      <c r="G22" s="1" t="s">
        <v>1963</v>
      </c>
      <c r="H22" s="1" t="s">
        <v>86</v>
      </c>
      <c r="I22" s="1" t="s">
        <v>101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1983</v>
      </c>
      <c r="B23" s="1" t="s">
        <v>1217</v>
      </c>
      <c r="C23" s="1" t="s">
        <v>1172</v>
      </c>
      <c r="D23" s="1" t="s">
        <v>1984</v>
      </c>
      <c r="E23" s="1" t="s">
        <v>122</v>
      </c>
      <c r="F23" s="1" t="s">
        <v>147</v>
      </c>
      <c r="G23" s="1" t="s">
        <v>1963</v>
      </c>
      <c r="H23" s="1" t="s">
        <v>86</v>
      </c>
      <c r="I23" s="1" t="s">
        <v>101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1985</v>
      </c>
      <c r="B24" s="1" t="s">
        <v>150</v>
      </c>
      <c r="C24" s="1" t="s">
        <v>1172</v>
      </c>
      <c r="D24" s="1" t="s">
        <v>1986</v>
      </c>
      <c r="E24" s="1" t="s">
        <v>122</v>
      </c>
      <c r="F24" s="1" t="s">
        <v>152</v>
      </c>
      <c r="G24" s="1" t="s">
        <v>1963</v>
      </c>
      <c r="H24" s="1" t="s">
        <v>86</v>
      </c>
      <c r="I24" s="1" t="s">
        <v>101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1987</v>
      </c>
      <c r="B25" s="1" t="s">
        <v>155</v>
      </c>
      <c r="C25" s="1" t="s">
        <v>1172</v>
      </c>
      <c r="D25" s="1" t="s">
        <v>1988</v>
      </c>
      <c r="E25" s="1" t="s">
        <v>122</v>
      </c>
      <c r="F25" s="1" t="s">
        <v>157</v>
      </c>
      <c r="G25" s="1" t="s">
        <v>1966</v>
      </c>
      <c r="H25" s="1" t="s">
        <v>88</v>
      </c>
      <c r="I25" s="1" t="s">
        <v>100</v>
      </c>
      <c r="J25" s="10" t="n">
        <v>46230</v>
      </c>
      <c r="K25" s="1" t="s">
        <v>1989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1990</v>
      </c>
      <c r="B26" s="1" t="s">
        <v>1991</v>
      </c>
      <c r="C26" s="1" t="s">
        <v>1172</v>
      </c>
      <c r="D26" s="1" t="s">
        <v>1992</v>
      </c>
      <c r="E26" s="1" t="s">
        <v>122</v>
      </c>
      <c r="F26" s="1" t="s">
        <v>147</v>
      </c>
      <c r="G26" s="1" t="s">
        <v>1963</v>
      </c>
      <c r="H26" s="1" t="s">
        <v>86</v>
      </c>
      <c r="I26" s="1" t="s">
        <v>101</v>
      </c>
      <c r="J26" s="10" t="n">
        <v>46230</v>
      </c>
      <c r="K26" s="1" t="s">
        <v>1791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1993</v>
      </c>
      <c r="B27" s="1" t="s">
        <v>175</v>
      </c>
      <c r="C27" s="1" t="s">
        <v>61</v>
      </c>
      <c r="D27" s="1" t="s">
        <v>1934</v>
      </c>
      <c r="E27" s="1" t="s">
        <v>122</v>
      </c>
      <c r="F27" s="1" t="s">
        <v>163</v>
      </c>
      <c r="G27" s="1" t="s">
        <v>1994</v>
      </c>
      <c r="H27" s="1" t="s">
        <v>80</v>
      </c>
      <c r="I27" s="1" t="s">
        <v>100</v>
      </c>
      <c r="J27" s="10" t="n">
        <v>46230</v>
      </c>
      <c r="K27" s="1" t="s">
        <v>1795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1995</v>
      </c>
      <c r="B28" s="1" t="s">
        <v>179</v>
      </c>
      <c r="C28" s="1" t="s">
        <v>61</v>
      </c>
      <c r="D28" s="1" t="s">
        <v>1797</v>
      </c>
      <c r="E28" s="1" t="s">
        <v>122</v>
      </c>
      <c r="F28" s="1" t="s">
        <v>181</v>
      </c>
      <c r="G28" s="1" t="s">
        <v>1996</v>
      </c>
      <c r="H28" s="1" t="s">
        <v>86</v>
      </c>
      <c r="I28" s="1" t="s">
        <v>101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1997</v>
      </c>
      <c r="B29" s="1" t="s">
        <v>610</v>
      </c>
      <c r="C29" s="1" t="s">
        <v>61</v>
      </c>
      <c r="D29" s="1" t="s">
        <v>1939</v>
      </c>
      <c r="E29" s="1" t="s">
        <v>122</v>
      </c>
      <c r="F29" s="1" t="s">
        <v>612</v>
      </c>
      <c r="G29" s="1" t="s">
        <v>1998</v>
      </c>
      <c r="H29" s="1" t="s">
        <v>86</v>
      </c>
      <c r="I29" s="1" t="s">
        <v>101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1999</v>
      </c>
      <c r="B30" s="1" t="s">
        <v>188</v>
      </c>
      <c r="C30" s="1" t="s">
        <v>61</v>
      </c>
      <c r="D30" s="1" t="s">
        <v>1942</v>
      </c>
      <c r="E30" s="1" t="s">
        <v>190</v>
      </c>
      <c r="F30" s="1" t="s">
        <v>190</v>
      </c>
      <c r="G30" s="1" t="s">
        <v>191</v>
      </c>
      <c r="H30" s="1" t="s">
        <v>86</v>
      </c>
      <c r="I30" s="1" t="s">
        <v>101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2000</v>
      </c>
      <c r="B31" s="1" t="s">
        <v>193</v>
      </c>
      <c r="C31" s="1" t="s">
        <v>61</v>
      </c>
      <c r="D31" s="1" t="s">
        <v>1805</v>
      </c>
      <c r="E31" s="1" t="s">
        <v>122</v>
      </c>
      <c r="F31" s="1" t="s">
        <v>122</v>
      </c>
      <c r="G31" s="1" t="s">
        <v>195</v>
      </c>
      <c r="H31" s="1" t="s">
        <v>86</v>
      </c>
      <c r="I31" s="1" t="s">
        <v>101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104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42" hidden="false" customHeight="true" outlineLevel="0" collapsed="false">
      <c r="A9" s="1" t="s">
        <v>2002</v>
      </c>
      <c r="B9" s="1" t="s">
        <v>78</v>
      </c>
      <c r="C9" s="1" t="s">
        <v>1172</v>
      </c>
      <c r="D9" s="1" t="s">
        <v>2003</v>
      </c>
      <c r="E9" s="1" t="s">
        <v>122</v>
      </c>
      <c r="F9" s="1" t="s">
        <v>123</v>
      </c>
      <c r="G9" s="1" t="s">
        <v>2004</v>
      </c>
      <c r="H9" s="1" t="s">
        <v>86</v>
      </c>
      <c r="I9" s="1" t="s">
        <v>101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2005</v>
      </c>
      <c r="B10" s="1" t="s">
        <v>1331</v>
      </c>
      <c r="C10" s="1" t="s">
        <v>1172</v>
      </c>
      <c r="D10" s="1" t="s">
        <v>1949</v>
      </c>
      <c r="E10" s="1" t="s">
        <v>122</v>
      </c>
      <c r="F10" s="1" t="s">
        <v>142</v>
      </c>
      <c r="G10" s="1" t="s">
        <v>2006</v>
      </c>
      <c r="H10" s="1" t="s">
        <v>86</v>
      </c>
      <c r="I10" s="1" t="s">
        <v>101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2007</v>
      </c>
      <c r="B11" s="1" t="s">
        <v>126</v>
      </c>
      <c r="C11" s="1" t="s">
        <v>62</v>
      </c>
      <c r="D11" s="1" t="s">
        <v>1953</v>
      </c>
      <c r="E11" s="1" t="s">
        <v>122</v>
      </c>
      <c r="F11" s="1" t="s">
        <v>122</v>
      </c>
      <c r="G11" s="1" t="s">
        <v>1883</v>
      </c>
      <c r="H11" s="1" t="s">
        <v>86</v>
      </c>
      <c r="I11" s="1" t="s">
        <v>101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2008</v>
      </c>
      <c r="B12" s="1" t="s">
        <v>130</v>
      </c>
      <c r="C12" s="1" t="s">
        <v>1172</v>
      </c>
      <c r="D12" s="1" t="s">
        <v>1955</v>
      </c>
      <c r="E12" s="1" t="s">
        <v>122</v>
      </c>
      <c r="F12" s="1" t="s">
        <v>132</v>
      </c>
      <c r="G12" s="1" t="s">
        <v>2009</v>
      </c>
      <c r="H12" s="1" t="s">
        <v>86</v>
      </c>
      <c r="I12" s="1" t="s">
        <v>101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2010</v>
      </c>
      <c r="B13" s="1" t="s">
        <v>135</v>
      </c>
      <c r="C13" s="1" t="s">
        <v>1172</v>
      </c>
      <c r="D13" s="1" t="s">
        <v>1958</v>
      </c>
      <c r="E13" s="1" t="s">
        <v>122</v>
      </c>
      <c r="F13" s="1" t="s">
        <v>137</v>
      </c>
      <c r="G13" s="1" t="s">
        <v>2011</v>
      </c>
      <c r="H13" s="1" t="s">
        <v>86</v>
      </c>
      <c r="I13" s="1" t="s">
        <v>101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2012</v>
      </c>
      <c r="B14" s="1" t="s">
        <v>1564</v>
      </c>
      <c r="C14" s="1" t="s">
        <v>2013</v>
      </c>
      <c r="D14" s="1" t="s">
        <v>2014</v>
      </c>
      <c r="E14" s="1" t="s">
        <v>122</v>
      </c>
      <c r="F14" s="1" t="s">
        <v>147</v>
      </c>
      <c r="G14" s="1" t="s">
        <v>2015</v>
      </c>
      <c r="H14" s="1" t="s">
        <v>86</v>
      </c>
      <c r="I14" s="1" t="s">
        <v>101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2016</v>
      </c>
      <c r="B15" s="1" t="s">
        <v>2017</v>
      </c>
      <c r="C15" s="1" t="s">
        <v>1372</v>
      </c>
      <c r="D15" s="1" t="s">
        <v>2018</v>
      </c>
      <c r="E15" s="1" t="s">
        <v>122</v>
      </c>
      <c r="F15" s="1" t="s">
        <v>147</v>
      </c>
      <c r="G15" s="1" t="s">
        <v>2015</v>
      </c>
      <c r="H15" s="1" t="s">
        <v>86</v>
      </c>
      <c r="I15" s="1" t="s">
        <v>101</v>
      </c>
      <c r="J15" s="10" t="n">
        <v>46230</v>
      </c>
      <c r="K15" s="1" t="s">
        <v>1757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2019</v>
      </c>
      <c r="B16" s="1" t="s">
        <v>1686</v>
      </c>
      <c r="C16" s="1" t="s">
        <v>2020</v>
      </c>
      <c r="D16" s="1" t="s">
        <v>2021</v>
      </c>
      <c r="E16" s="1" t="s">
        <v>122</v>
      </c>
      <c r="F16" s="1" t="s">
        <v>157</v>
      </c>
      <c r="G16" s="1" t="s">
        <v>2022</v>
      </c>
      <c r="H16" s="1" t="s">
        <v>88</v>
      </c>
      <c r="I16" s="1" t="s">
        <v>100</v>
      </c>
      <c r="J16" s="10" t="n">
        <v>46230</v>
      </c>
      <c r="K16" s="1" t="s">
        <v>1967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2023</v>
      </c>
      <c r="B17" s="1" t="s">
        <v>1577</v>
      </c>
      <c r="C17" s="1" t="s">
        <v>2024</v>
      </c>
      <c r="D17" s="1" t="s">
        <v>2025</v>
      </c>
      <c r="E17" s="1" t="s">
        <v>122</v>
      </c>
      <c r="F17" s="1" t="s">
        <v>147</v>
      </c>
      <c r="G17" s="1" t="s">
        <v>2015</v>
      </c>
      <c r="H17" s="1" t="s">
        <v>86</v>
      </c>
      <c r="I17" s="1" t="s">
        <v>101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2026</v>
      </c>
      <c r="B18" s="1" t="s">
        <v>1904</v>
      </c>
      <c r="C18" s="1" t="s">
        <v>1905</v>
      </c>
      <c r="D18" s="1" t="s">
        <v>2027</v>
      </c>
      <c r="E18" s="1" t="s">
        <v>122</v>
      </c>
      <c r="F18" s="1" t="s">
        <v>147</v>
      </c>
      <c r="G18" s="1" t="s">
        <v>2015</v>
      </c>
      <c r="H18" s="1" t="s">
        <v>86</v>
      </c>
      <c r="I18" s="1" t="s">
        <v>101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2028</v>
      </c>
      <c r="B19" s="1" t="s">
        <v>1912</v>
      </c>
      <c r="C19" s="1" t="s">
        <v>1913</v>
      </c>
      <c r="D19" s="1" t="s">
        <v>2029</v>
      </c>
      <c r="E19" s="1" t="s">
        <v>122</v>
      </c>
      <c r="F19" s="1" t="s">
        <v>147</v>
      </c>
      <c r="G19" s="1" t="s">
        <v>2015</v>
      </c>
      <c r="H19" s="1" t="s">
        <v>86</v>
      </c>
      <c r="I19" s="1" t="s">
        <v>101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2030</v>
      </c>
      <c r="B20" s="1" t="s">
        <v>1571</v>
      </c>
      <c r="C20" s="1" t="s">
        <v>1931</v>
      </c>
      <c r="D20" s="1" t="s">
        <v>1932</v>
      </c>
      <c r="E20" s="1" t="s">
        <v>122</v>
      </c>
      <c r="F20" s="1" t="s">
        <v>147</v>
      </c>
      <c r="G20" s="1" t="s">
        <v>2015</v>
      </c>
      <c r="H20" s="1" t="s">
        <v>86</v>
      </c>
      <c r="I20" s="1" t="s">
        <v>101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2031</v>
      </c>
      <c r="B21" s="1" t="s">
        <v>170</v>
      </c>
      <c r="C21" s="1" t="s">
        <v>1979</v>
      </c>
      <c r="D21" s="1" t="s">
        <v>1980</v>
      </c>
      <c r="E21" s="1" t="s">
        <v>122</v>
      </c>
      <c r="F21" s="1" t="s">
        <v>147</v>
      </c>
      <c r="G21" s="1" t="s">
        <v>2015</v>
      </c>
      <c r="H21" s="1" t="s">
        <v>86</v>
      </c>
      <c r="I21" s="1" t="s">
        <v>101</v>
      </c>
      <c r="J21" s="10" t="n">
        <v>46230</v>
      </c>
      <c r="K21" s="1" t="s">
        <v>1780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2032</v>
      </c>
      <c r="B22" s="1" t="s">
        <v>161</v>
      </c>
      <c r="C22" s="1" t="s">
        <v>1172</v>
      </c>
      <c r="D22" s="1" t="s">
        <v>1982</v>
      </c>
      <c r="E22" s="1" t="s">
        <v>122</v>
      </c>
      <c r="F22" s="1" t="s">
        <v>147</v>
      </c>
      <c r="G22" s="1" t="s">
        <v>2015</v>
      </c>
      <c r="H22" s="1" t="s">
        <v>86</v>
      </c>
      <c r="I22" s="1" t="s">
        <v>101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2033</v>
      </c>
      <c r="B23" s="1" t="s">
        <v>1217</v>
      </c>
      <c r="C23" s="1" t="s">
        <v>1172</v>
      </c>
      <c r="D23" s="1" t="s">
        <v>1984</v>
      </c>
      <c r="E23" s="1" t="s">
        <v>122</v>
      </c>
      <c r="F23" s="1" t="s">
        <v>147</v>
      </c>
      <c r="G23" s="1" t="s">
        <v>2015</v>
      </c>
      <c r="H23" s="1" t="s">
        <v>86</v>
      </c>
      <c r="I23" s="1" t="s">
        <v>101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2034</v>
      </c>
      <c r="B24" s="1" t="s">
        <v>150</v>
      </c>
      <c r="C24" s="1" t="s">
        <v>1172</v>
      </c>
      <c r="D24" s="1" t="s">
        <v>1986</v>
      </c>
      <c r="E24" s="1" t="s">
        <v>122</v>
      </c>
      <c r="F24" s="1" t="s">
        <v>152</v>
      </c>
      <c r="G24" s="1" t="s">
        <v>2015</v>
      </c>
      <c r="H24" s="1" t="s">
        <v>86</v>
      </c>
      <c r="I24" s="1" t="s">
        <v>101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2035</v>
      </c>
      <c r="B25" s="1" t="s">
        <v>155</v>
      </c>
      <c r="C25" s="1" t="s">
        <v>1172</v>
      </c>
      <c r="D25" s="1" t="s">
        <v>1988</v>
      </c>
      <c r="E25" s="1" t="s">
        <v>122</v>
      </c>
      <c r="F25" s="1" t="s">
        <v>157</v>
      </c>
      <c r="G25" s="1" t="s">
        <v>2022</v>
      </c>
      <c r="H25" s="1" t="s">
        <v>88</v>
      </c>
      <c r="I25" s="1" t="s">
        <v>100</v>
      </c>
      <c r="J25" s="10" t="n">
        <v>46230</v>
      </c>
      <c r="K25" s="1" t="s">
        <v>1989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2036</v>
      </c>
      <c r="B26" s="1" t="s">
        <v>1991</v>
      </c>
      <c r="C26" s="1" t="s">
        <v>1172</v>
      </c>
      <c r="D26" s="1" t="s">
        <v>1992</v>
      </c>
      <c r="E26" s="1" t="s">
        <v>122</v>
      </c>
      <c r="F26" s="1" t="s">
        <v>147</v>
      </c>
      <c r="G26" s="1" t="s">
        <v>2015</v>
      </c>
      <c r="H26" s="1" t="s">
        <v>86</v>
      </c>
      <c r="I26" s="1" t="s">
        <v>101</v>
      </c>
      <c r="J26" s="10" t="n">
        <v>46230</v>
      </c>
      <c r="K26" s="1" t="s">
        <v>1791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2037</v>
      </c>
      <c r="B27" s="1" t="s">
        <v>175</v>
      </c>
      <c r="C27" s="1" t="s">
        <v>62</v>
      </c>
      <c r="D27" s="1" t="s">
        <v>1934</v>
      </c>
      <c r="E27" s="1" t="s">
        <v>122</v>
      </c>
      <c r="F27" s="1" t="s">
        <v>163</v>
      </c>
      <c r="G27" s="1" t="s">
        <v>2038</v>
      </c>
      <c r="H27" s="1" t="s">
        <v>80</v>
      </c>
      <c r="I27" s="1" t="s">
        <v>100</v>
      </c>
      <c r="J27" s="10" t="n">
        <v>46230</v>
      </c>
      <c r="K27" s="1" t="s">
        <v>1795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2039</v>
      </c>
      <c r="B28" s="1" t="s">
        <v>179</v>
      </c>
      <c r="C28" s="1" t="s">
        <v>62</v>
      </c>
      <c r="D28" s="1" t="s">
        <v>1797</v>
      </c>
      <c r="E28" s="1" t="s">
        <v>122</v>
      </c>
      <c r="F28" s="1" t="s">
        <v>181</v>
      </c>
      <c r="G28" s="1" t="s">
        <v>2040</v>
      </c>
      <c r="H28" s="1" t="s">
        <v>86</v>
      </c>
      <c r="I28" s="1" t="s">
        <v>101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2041</v>
      </c>
      <c r="B29" s="1" t="s">
        <v>610</v>
      </c>
      <c r="C29" s="1" t="s">
        <v>62</v>
      </c>
      <c r="D29" s="1" t="s">
        <v>1939</v>
      </c>
      <c r="E29" s="1" t="s">
        <v>122</v>
      </c>
      <c r="F29" s="1" t="s">
        <v>612</v>
      </c>
      <c r="G29" s="1" t="s">
        <v>2042</v>
      </c>
      <c r="H29" s="1" t="s">
        <v>86</v>
      </c>
      <c r="I29" s="1" t="s">
        <v>101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2043</v>
      </c>
      <c r="B30" s="1" t="s">
        <v>188</v>
      </c>
      <c r="C30" s="1" t="s">
        <v>62</v>
      </c>
      <c r="D30" s="1" t="s">
        <v>1942</v>
      </c>
      <c r="E30" s="1" t="s">
        <v>190</v>
      </c>
      <c r="F30" s="1" t="s">
        <v>190</v>
      </c>
      <c r="G30" s="1" t="s">
        <v>191</v>
      </c>
      <c r="H30" s="1" t="s">
        <v>86</v>
      </c>
      <c r="I30" s="1" t="s">
        <v>101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2044</v>
      </c>
      <c r="B31" s="1" t="s">
        <v>193</v>
      </c>
      <c r="C31" s="1" t="s">
        <v>62</v>
      </c>
      <c r="D31" s="1" t="s">
        <v>1805</v>
      </c>
      <c r="E31" s="1" t="s">
        <v>122</v>
      </c>
      <c r="F31" s="1" t="s">
        <v>122</v>
      </c>
      <c r="G31" s="1" t="s">
        <v>195</v>
      </c>
      <c r="H31" s="1" t="s">
        <v>86</v>
      </c>
      <c r="I31" s="1" t="s">
        <v>101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104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42" hidden="false" customHeight="true" outlineLevel="0" collapsed="false">
      <c r="A9" s="1" t="s">
        <v>2046</v>
      </c>
      <c r="B9" s="1" t="s">
        <v>78</v>
      </c>
      <c r="C9" s="1" t="s">
        <v>1172</v>
      </c>
      <c r="D9" s="1" t="s">
        <v>2047</v>
      </c>
      <c r="E9" s="1" t="s">
        <v>122</v>
      </c>
      <c r="F9" s="1" t="s">
        <v>123</v>
      </c>
      <c r="G9" s="1" t="s">
        <v>2048</v>
      </c>
      <c r="H9" s="1" t="s">
        <v>86</v>
      </c>
      <c r="I9" s="1" t="s">
        <v>101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2049</v>
      </c>
      <c r="B10" s="1" t="s">
        <v>1331</v>
      </c>
      <c r="C10" s="1" t="s">
        <v>1172</v>
      </c>
      <c r="D10" s="1" t="s">
        <v>1949</v>
      </c>
      <c r="E10" s="1" t="s">
        <v>122</v>
      </c>
      <c r="F10" s="1" t="s">
        <v>142</v>
      </c>
      <c r="G10" s="1" t="s">
        <v>2050</v>
      </c>
      <c r="H10" s="1" t="s">
        <v>86</v>
      </c>
      <c r="I10" s="1" t="s">
        <v>101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2051</v>
      </c>
      <c r="B11" s="1" t="s">
        <v>126</v>
      </c>
      <c r="C11" s="1" t="s">
        <v>2052</v>
      </c>
      <c r="D11" s="1" t="s">
        <v>1953</v>
      </c>
      <c r="E11" s="1" t="s">
        <v>122</v>
      </c>
      <c r="F11" s="1" t="s">
        <v>122</v>
      </c>
      <c r="G11" s="1" t="s">
        <v>1883</v>
      </c>
      <c r="H11" s="1" t="s">
        <v>86</v>
      </c>
      <c r="I11" s="1" t="s">
        <v>101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2053</v>
      </c>
      <c r="B12" s="1" t="s">
        <v>130</v>
      </c>
      <c r="C12" s="1" t="s">
        <v>1172</v>
      </c>
      <c r="D12" s="1" t="s">
        <v>1955</v>
      </c>
      <c r="E12" s="1" t="s">
        <v>122</v>
      </c>
      <c r="F12" s="1" t="s">
        <v>132</v>
      </c>
      <c r="G12" s="1" t="s">
        <v>2054</v>
      </c>
      <c r="H12" s="1" t="s">
        <v>86</v>
      </c>
      <c r="I12" s="1" t="s">
        <v>101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2055</v>
      </c>
      <c r="B13" s="1" t="s">
        <v>135</v>
      </c>
      <c r="C13" s="1" t="s">
        <v>1172</v>
      </c>
      <c r="D13" s="1" t="s">
        <v>1958</v>
      </c>
      <c r="E13" s="1" t="s">
        <v>122</v>
      </c>
      <c r="F13" s="1" t="s">
        <v>137</v>
      </c>
      <c r="G13" s="1" t="s">
        <v>2056</v>
      </c>
      <c r="H13" s="1" t="s">
        <v>86</v>
      </c>
      <c r="I13" s="1" t="s">
        <v>101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2057</v>
      </c>
      <c r="B14" s="1" t="s">
        <v>1564</v>
      </c>
      <c r="C14" s="1" t="s">
        <v>2058</v>
      </c>
      <c r="D14" s="1" t="s">
        <v>2059</v>
      </c>
      <c r="E14" s="1" t="s">
        <v>122</v>
      </c>
      <c r="F14" s="1" t="s">
        <v>147</v>
      </c>
      <c r="G14" s="1" t="s">
        <v>2060</v>
      </c>
      <c r="H14" s="1" t="s">
        <v>86</v>
      </c>
      <c r="I14" s="1" t="s">
        <v>101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2061</v>
      </c>
      <c r="B15" s="1" t="s">
        <v>2062</v>
      </c>
      <c r="C15" s="1" t="s">
        <v>2063</v>
      </c>
      <c r="D15" s="1" t="s">
        <v>2064</v>
      </c>
      <c r="E15" s="1" t="s">
        <v>122</v>
      </c>
      <c r="F15" s="1" t="s">
        <v>147</v>
      </c>
      <c r="G15" s="1" t="s">
        <v>2060</v>
      </c>
      <c r="H15" s="1" t="s">
        <v>86</v>
      </c>
      <c r="I15" s="1" t="s">
        <v>101</v>
      </c>
      <c r="J15" s="10" t="n">
        <v>46230</v>
      </c>
      <c r="K15" s="1" t="s">
        <v>1757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2065</v>
      </c>
      <c r="B16" s="1" t="s">
        <v>1686</v>
      </c>
      <c r="C16" s="1" t="s">
        <v>2066</v>
      </c>
      <c r="D16" s="1" t="s">
        <v>2067</v>
      </c>
      <c r="E16" s="1" t="s">
        <v>122</v>
      </c>
      <c r="F16" s="1" t="s">
        <v>157</v>
      </c>
      <c r="G16" s="1" t="s">
        <v>2068</v>
      </c>
      <c r="H16" s="1" t="s">
        <v>88</v>
      </c>
      <c r="I16" s="1" t="s">
        <v>100</v>
      </c>
      <c r="J16" s="10" t="n">
        <v>46230</v>
      </c>
      <c r="K16" s="1" t="s">
        <v>1967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2069</v>
      </c>
      <c r="B17" s="1" t="s">
        <v>2017</v>
      </c>
      <c r="C17" s="1" t="s">
        <v>1710</v>
      </c>
      <c r="D17" s="1" t="s">
        <v>2070</v>
      </c>
      <c r="E17" s="1" t="s">
        <v>122</v>
      </c>
      <c r="F17" s="1" t="s">
        <v>147</v>
      </c>
      <c r="G17" s="1" t="s">
        <v>2060</v>
      </c>
      <c r="H17" s="1" t="s">
        <v>86</v>
      </c>
      <c r="I17" s="1" t="s">
        <v>101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2071</v>
      </c>
      <c r="B18" s="1" t="s">
        <v>2072</v>
      </c>
      <c r="C18" s="1" t="s">
        <v>2073</v>
      </c>
      <c r="D18" s="1" t="s">
        <v>2074</v>
      </c>
      <c r="E18" s="1" t="s">
        <v>122</v>
      </c>
      <c r="F18" s="1" t="s">
        <v>147</v>
      </c>
      <c r="G18" s="1" t="s">
        <v>2060</v>
      </c>
      <c r="H18" s="1" t="s">
        <v>86</v>
      </c>
      <c r="I18" s="1" t="s">
        <v>101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2075</v>
      </c>
      <c r="B19" s="1" t="s">
        <v>1577</v>
      </c>
      <c r="C19" s="1" t="s">
        <v>2076</v>
      </c>
      <c r="D19" s="1" t="s">
        <v>2077</v>
      </c>
      <c r="E19" s="1" t="s">
        <v>122</v>
      </c>
      <c r="F19" s="1" t="s">
        <v>147</v>
      </c>
      <c r="G19" s="1" t="s">
        <v>2060</v>
      </c>
      <c r="H19" s="1" t="s">
        <v>86</v>
      </c>
      <c r="I19" s="1" t="s">
        <v>101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2078</v>
      </c>
      <c r="B20" s="1" t="s">
        <v>1571</v>
      </c>
      <c r="C20" s="1" t="s">
        <v>1931</v>
      </c>
      <c r="D20" s="1" t="s">
        <v>1932</v>
      </c>
      <c r="E20" s="1" t="s">
        <v>122</v>
      </c>
      <c r="F20" s="1" t="s">
        <v>147</v>
      </c>
      <c r="G20" s="1" t="s">
        <v>2060</v>
      </c>
      <c r="H20" s="1" t="s">
        <v>86</v>
      </c>
      <c r="I20" s="1" t="s">
        <v>101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2079</v>
      </c>
      <c r="B21" s="1" t="s">
        <v>170</v>
      </c>
      <c r="C21" s="1" t="s">
        <v>1979</v>
      </c>
      <c r="D21" s="1" t="s">
        <v>1980</v>
      </c>
      <c r="E21" s="1" t="s">
        <v>122</v>
      </c>
      <c r="F21" s="1" t="s">
        <v>147</v>
      </c>
      <c r="G21" s="1" t="s">
        <v>2060</v>
      </c>
      <c r="H21" s="1" t="s">
        <v>86</v>
      </c>
      <c r="I21" s="1" t="s">
        <v>101</v>
      </c>
      <c r="J21" s="10" t="n">
        <v>46230</v>
      </c>
      <c r="K21" s="1" t="s">
        <v>1780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2080</v>
      </c>
      <c r="B22" s="1" t="s">
        <v>161</v>
      </c>
      <c r="C22" s="1" t="s">
        <v>1172</v>
      </c>
      <c r="D22" s="1" t="s">
        <v>1982</v>
      </c>
      <c r="E22" s="1" t="s">
        <v>122</v>
      </c>
      <c r="F22" s="1" t="s">
        <v>147</v>
      </c>
      <c r="G22" s="1" t="s">
        <v>2060</v>
      </c>
      <c r="H22" s="1" t="s">
        <v>86</v>
      </c>
      <c r="I22" s="1" t="s">
        <v>101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2081</v>
      </c>
      <c r="B23" s="1" t="s">
        <v>1217</v>
      </c>
      <c r="C23" s="1" t="s">
        <v>1172</v>
      </c>
      <c r="D23" s="1" t="s">
        <v>1984</v>
      </c>
      <c r="E23" s="1" t="s">
        <v>122</v>
      </c>
      <c r="F23" s="1" t="s">
        <v>147</v>
      </c>
      <c r="G23" s="1" t="s">
        <v>2060</v>
      </c>
      <c r="H23" s="1" t="s">
        <v>86</v>
      </c>
      <c r="I23" s="1" t="s">
        <v>101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2082</v>
      </c>
      <c r="B24" s="1" t="s">
        <v>150</v>
      </c>
      <c r="C24" s="1" t="s">
        <v>1172</v>
      </c>
      <c r="D24" s="1" t="s">
        <v>1986</v>
      </c>
      <c r="E24" s="1" t="s">
        <v>122</v>
      </c>
      <c r="F24" s="1" t="s">
        <v>152</v>
      </c>
      <c r="G24" s="1" t="s">
        <v>2060</v>
      </c>
      <c r="H24" s="1" t="s">
        <v>86</v>
      </c>
      <c r="I24" s="1" t="s">
        <v>101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2083</v>
      </c>
      <c r="B25" s="1" t="s">
        <v>155</v>
      </c>
      <c r="C25" s="1" t="s">
        <v>1172</v>
      </c>
      <c r="D25" s="1" t="s">
        <v>1988</v>
      </c>
      <c r="E25" s="1" t="s">
        <v>122</v>
      </c>
      <c r="F25" s="1" t="s">
        <v>157</v>
      </c>
      <c r="G25" s="1" t="s">
        <v>2068</v>
      </c>
      <c r="H25" s="1" t="s">
        <v>88</v>
      </c>
      <c r="I25" s="1" t="s">
        <v>100</v>
      </c>
      <c r="J25" s="10" t="n">
        <v>46230</v>
      </c>
      <c r="K25" s="1" t="s">
        <v>1989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2084</v>
      </c>
      <c r="B26" s="1" t="s">
        <v>1991</v>
      </c>
      <c r="C26" s="1" t="s">
        <v>1172</v>
      </c>
      <c r="D26" s="1" t="s">
        <v>1992</v>
      </c>
      <c r="E26" s="1" t="s">
        <v>122</v>
      </c>
      <c r="F26" s="1" t="s">
        <v>147</v>
      </c>
      <c r="G26" s="1" t="s">
        <v>2060</v>
      </c>
      <c r="H26" s="1" t="s">
        <v>86</v>
      </c>
      <c r="I26" s="1" t="s">
        <v>101</v>
      </c>
      <c r="J26" s="10" t="n">
        <v>46230</v>
      </c>
      <c r="K26" s="1" t="s">
        <v>1791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2085</v>
      </c>
      <c r="B27" s="1" t="s">
        <v>175</v>
      </c>
      <c r="C27" s="1" t="s">
        <v>63</v>
      </c>
      <c r="D27" s="1" t="s">
        <v>1934</v>
      </c>
      <c r="E27" s="1" t="s">
        <v>122</v>
      </c>
      <c r="F27" s="1" t="s">
        <v>163</v>
      </c>
      <c r="G27" s="1" t="s">
        <v>2086</v>
      </c>
      <c r="H27" s="1" t="s">
        <v>80</v>
      </c>
      <c r="I27" s="1" t="s">
        <v>100</v>
      </c>
      <c r="J27" s="10" t="n">
        <v>46230</v>
      </c>
      <c r="K27" s="1" t="s">
        <v>1795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2087</v>
      </c>
      <c r="B28" s="1" t="s">
        <v>179</v>
      </c>
      <c r="C28" s="1" t="s">
        <v>63</v>
      </c>
      <c r="D28" s="1" t="s">
        <v>1797</v>
      </c>
      <c r="E28" s="1" t="s">
        <v>122</v>
      </c>
      <c r="F28" s="1" t="s">
        <v>181</v>
      </c>
      <c r="G28" s="1" t="s">
        <v>2088</v>
      </c>
      <c r="H28" s="1" t="s">
        <v>86</v>
      </c>
      <c r="I28" s="1" t="s">
        <v>101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2089</v>
      </c>
      <c r="B29" s="1" t="s">
        <v>610</v>
      </c>
      <c r="C29" s="1" t="s">
        <v>63</v>
      </c>
      <c r="D29" s="1" t="s">
        <v>1939</v>
      </c>
      <c r="E29" s="1" t="s">
        <v>122</v>
      </c>
      <c r="F29" s="1" t="s">
        <v>612</v>
      </c>
      <c r="G29" s="1" t="s">
        <v>2090</v>
      </c>
      <c r="H29" s="1" t="s">
        <v>86</v>
      </c>
      <c r="I29" s="1" t="s">
        <v>101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2091</v>
      </c>
      <c r="B30" s="1" t="s">
        <v>188</v>
      </c>
      <c r="C30" s="1" t="s">
        <v>63</v>
      </c>
      <c r="D30" s="1" t="s">
        <v>1942</v>
      </c>
      <c r="E30" s="1" t="s">
        <v>190</v>
      </c>
      <c r="F30" s="1" t="s">
        <v>190</v>
      </c>
      <c r="G30" s="1" t="s">
        <v>191</v>
      </c>
      <c r="H30" s="1" t="s">
        <v>86</v>
      </c>
      <c r="I30" s="1" t="s">
        <v>101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2092</v>
      </c>
      <c r="B31" s="1" t="s">
        <v>193</v>
      </c>
      <c r="C31" s="1" t="s">
        <v>63</v>
      </c>
      <c r="D31" s="1" t="s">
        <v>1805</v>
      </c>
      <c r="E31" s="1" t="s">
        <v>122</v>
      </c>
      <c r="F31" s="1" t="s">
        <v>122</v>
      </c>
      <c r="G31" s="1" t="s">
        <v>195</v>
      </c>
      <c r="H31" s="1" t="s">
        <v>86</v>
      </c>
      <c r="I31" s="1" t="s">
        <v>101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2094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COUNTA(A9:A36)</f>
        <v>28</v>
      </c>
      <c r="D4" s="5" t="s">
        <v>104</v>
      </c>
      <c r="E4" s="6" t="n">
        <f aca="false">SUM(M9:M36)</f>
        <v>27</v>
      </c>
      <c r="G4" s="5" t="s">
        <v>13</v>
      </c>
      <c r="H4" s="7" t="n">
        <f aca="false">IF(B4=0,0,E4/B4)</f>
        <v>0.964285714285714</v>
      </c>
      <c r="J4" s="5" t="s">
        <v>14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IF(COUNTIFS(I9:I36,"yes",M9:M36,0)&gt;0,"open","complete")</f>
        <v>open</v>
      </c>
      <c r="D5" s="5" t="s">
        <v>15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2095</v>
      </c>
      <c r="B9" s="12" t="s">
        <v>78</v>
      </c>
      <c r="C9" s="12" t="s">
        <v>1172</v>
      </c>
      <c r="D9" s="13" t="s">
        <v>2096</v>
      </c>
      <c r="E9" s="12" t="s">
        <v>122</v>
      </c>
      <c r="F9" s="12" t="s">
        <v>123</v>
      </c>
      <c r="G9" s="13" t="s">
        <v>2097</v>
      </c>
      <c r="H9" s="12" t="s">
        <v>86</v>
      </c>
      <c r="I9" s="12" t="s">
        <v>101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2098</v>
      </c>
      <c r="B10" s="12" t="s">
        <v>1331</v>
      </c>
      <c r="C10" s="12" t="s">
        <v>2099</v>
      </c>
      <c r="D10" s="13" t="s">
        <v>2100</v>
      </c>
      <c r="E10" s="12" t="s">
        <v>122</v>
      </c>
      <c r="F10" s="12" t="s">
        <v>142</v>
      </c>
      <c r="G10" s="13" t="s">
        <v>2101</v>
      </c>
      <c r="H10" s="12" t="s">
        <v>86</v>
      </c>
      <c r="I10" s="12" t="s">
        <v>101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2102</v>
      </c>
      <c r="B11" s="12" t="s">
        <v>126</v>
      </c>
      <c r="C11" s="12" t="s">
        <v>2103</v>
      </c>
      <c r="D11" s="13" t="s">
        <v>2104</v>
      </c>
      <c r="E11" s="12" t="s">
        <v>122</v>
      </c>
      <c r="F11" s="12" t="s">
        <v>122</v>
      </c>
      <c r="G11" s="13" t="s">
        <v>1883</v>
      </c>
      <c r="H11" s="12" t="s">
        <v>86</v>
      </c>
      <c r="I11" s="12" t="s">
        <v>101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2105</v>
      </c>
      <c r="B12" s="12" t="s">
        <v>130</v>
      </c>
      <c r="C12" s="12" t="s">
        <v>1172</v>
      </c>
      <c r="D12" s="13" t="s">
        <v>2106</v>
      </c>
      <c r="E12" s="12" t="s">
        <v>122</v>
      </c>
      <c r="F12" s="12" t="s">
        <v>132</v>
      </c>
      <c r="G12" s="13" t="s">
        <v>2107</v>
      </c>
      <c r="H12" s="12" t="s">
        <v>86</v>
      </c>
      <c r="I12" s="12" t="s">
        <v>101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2108</v>
      </c>
      <c r="B13" s="12" t="s">
        <v>135</v>
      </c>
      <c r="C13" s="12" t="s">
        <v>1172</v>
      </c>
      <c r="D13" s="13" t="s">
        <v>2109</v>
      </c>
      <c r="E13" s="12" t="s">
        <v>122</v>
      </c>
      <c r="F13" s="12" t="s">
        <v>137</v>
      </c>
      <c r="G13" s="13" t="s">
        <v>2110</v>
      </c>
      <c r="H13" s="12" t="s">
        <v>86</v>
      </c>
      <c r="I13" s="12" t="s">
        <v>101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2111</v>
      </c>
      <c r="B14" s="12" t="s">
        <v>1564</v>
      </c>
      <c r="C14" s="12" t="s">
        <v>2099</v>
      </c>
      <c r="D14" s="13" t="s">
        <v>2112</v>
      </c>
      <c r="E14" s="12" t="s">
        <v>122</v>
      </c>
      <c r="F14" s="12" t="s">
        <v>147</v>
      </c>
      <c r="G14" s="13" t="s">
        <v>2113</v>
      </c>
      <c r="H14" s="12" t="s">
        <v>86</v>
      </c>
      <c r="I14" s="12" t="s">
        <v>101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2114</v>
      </c>
      <c r="B15" s="12" t="s">
        <v>1121</v>
      </c>
      <c r="C15" s="12" t="s">
        <v>770</v>
      </c>
      <c r="D15" s="13" t="s">
        <v>2115</v>
      </c>
      <c r="E15" s="12" t="s">
        <v>122</v>
      </c>
      <c r="F15" s="12" t="s">
        <v>147</v>
      </c>
      <c r="G15" s="13" t="s">
        <v>2116</v>
      </c>
      <c r="H15" s="12" t="s">
        <v>86</v>
      </c>
      <c r="I15" s="12" t="s">
        <v>101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2117</v>
      </c>
      <c r="B16" s="12" t="s">
        <v>1763</v>
      </c>
      <c r="C16" s="12" t="s">
        <v>1548</v>
      </c>
      <c r="D16" s="13" t="s">
        <v>2118</v>
      </c>
      <c r="E16" s="12" t="s">
        <v>122</v>
      </c>
      <c r="F16" s="12" t="s">
        <v>147</v>
      </c>
      <c r="G16" s="13" t="s">
        <v>2116</v>
      </c>
      <c r="H16" s="12" t="s">
        <v>86</v>
      </c>
      <c r="I16" s="12" t="s">
        <v>101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2119</v>
      </c>
      <c r="B17" s="12" t="s">
        <v>1686</v>
      </c>
      <c r="C17" s="12" t="s">
        <v>1172</v>
      </c>
      <c r="D17" s="13" t="s">
        <v>2120</v>
      </c>
      <c r="E17" s="12" t="s">
        <v>122</v>
      </c>
      <c r="F17" s="12" t="s">
        <v>147</v>
      </c>
      <c r="G17" s="13" t="s">
        <v>2113</v>
      </c>
      <c r="H17" s="12" t="s">
        <v>86</v>
      </c>
      <c r="I17" s="12" t="s">
        <v>101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2121</v>
      </c>
      <c r="B18" s="12" t="s">
        <v>1278</v>
      </c>
      <c r="C18" s="12" t="s">
        <v>770</v>
      </c>
      <c r="D18" s="13" t="s">
        <v>2122</v>
      </c>
      <c r="E18" s="12" t="s">
        <v>122</v>
      </c>
      <c r="F18" s="12" t="s">
        <v>147</v>
      </c>
      <c r="G18" s="13" t="s">
        <v>2123</v>
      </c>
      <c r="H18" s="12" t="s">
        <v>86</v>
      </c>
      <c r="I18" s="12" t="s">
        <v>101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2124</v>
      </c>
      <c r="B19" s="12" t="s">
        <v>1904</v>
      </c>
      <c r="C19" s="12" t="s">
        <v>2125</v>
      </c>
      <c r="D19" s="13" t="s">
        <v>2126</v>
      </c>
      <c r="E19" s="12" t="s">
        <v>122</v>
      </c>
      <c r="F19" s="12" t="s">
        <v>147</v>
      </c>
      <c r="G19" s="13" t="s">
        <v>2116</v>
      </c>
      <c r="H19" s="12" t="s">
        <v>86</v>
      </c>
      <c r="I19" s="12" t="s">
        <v>101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2127</v>
      </c>
      <c r="B20" s="12" t="s">
        <v>1384</v>
      </c>
      <c r="C20" s="12" t="s">
        <v>2128</v>
      </c>
      <c r="D20" s="13" t="s">
        <v>2129</v>
      </c>
      <c r="E20" s="12" t="s">
        <v>122</v>
      </c>
      <c r="F20" s="12" t="s">
        <v>147</v>
      </c>
      <c r="G20" s="13" t="s">
        <v>2113</v>
      </c>
      <c r="H20" s="12" t="s">
        <v>86</v>
      </c>
      <c r="I20" s="12" t="s">
        <v>101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2130</v>
      </c>
      <c r="B21" s="12" t="s">
        <v>2131</v>
      </c>
      <c r="C21" s="12" t="s">
        <v>1548</v>
      </c>
      <c r="D21" s="13" t="s">
        <v>2132</v>
      </c>
      <c r="E21" s="12" t="s">
        <v>122</v>
      </c>
      <c r="F21" s="12" t="s">
        <v>142</v>
      </c>
      <c r="G21" s="13" t="s">
        <v>2133</v>
      </c>
      <c r="H21" s="12" t="s">
        <v>86</v>
      </c>
      <c r="I21" s="12" t="s">
        <v>101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2134</v>
      </c>
      <c r="B22" s="12" t="s">
        <v>2135</v>
      </c>
      <c r="C22" s="12" t="s">
        <v>843</v>
      </c>
      <c r="D22" s="13" t="s">
        <v>2136</v>
      </c>
      <c r="E22" s="12" t="s">
        <v>122</v>
      </c>
      <c r="F22" s="12" t="s">
        <v>147</v>
      </c>
      <c r="G22" s="13" t="s">
        <v>2123</v>
      </c>
      <c r="H22" s="12" t="s">
        <v>86</v>
      </c>
      <c r="I22" s="12" t="s">
        <v>101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2137</v>
      </c>
      <c r="B23" s="12" t="s">
        <v>1074</v>
      </c>
      <c r="C23" s="12" t="s">
        <v>2138</v>
      </c>
      <c r="D23" s="13" t="s">
        <v>2139</v>
      </c>
      <c r="E23" s="12" t="s">
        <v>122</v>
      </c>
      <c r="F23" s="12" t="s">
        <v>147</v>
      </c>
      <c r="G23" s="13" t="s">
        <v>2113</v>
      </c>
      <c r="H23" s="12" t="s">
        <v>86</v>
      </c>
      <c r="I23" s="12" t="s">
        <v>101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2140</v>
      </c>
      <c r="B24" s="12" t="s">
        <v>170</v>
      </c>
      <c r="C24" s="12" t="s">
        <v>1172</v>
      </c>
      <c r="D24" s="13" t="s">
        <v>2141</v>
      </c>
      <c r="E24" s="12" t="s">
        <v>122</v>
      </c>
      <c r="F24" s="12" t="s">
        <v>147</v>
      </c>
      <c r="G24" s="13" t="s">
        <v>2133</v>
      </c>
      <c r="H24" s="12" t="s">
        <v>86</v>
      </c>
      <c r="I24" s="12" t="s">
        <v>101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2142</v>
      </c>
      <c r="B25" s="12" t="s">
        <v>2143</v>
      </c>
      <c r="C25" s="12" t="s">
        <v>770</v>
      </c>
      <c r="D25" s="13" t="s">
        <v>2144</v>
      </c>
      <c r="E25" s="12" t="s">
        <v>122</v>
      </c>
      <c r="F25" s="12" t="s">
        <v>147</v>
      </c>
      <c r="G25" s="13" t="s">
        <v>2116</v>
      </c>
      <c r="H25" s="12" t="s">
        <v>86</v>
      </c>
      <c r="I25" s="12" t="s">
        <v>101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2145</v>
      </c>
      <c r="B26" s="12" t="s">
        <v>1519</v>
      </c>
      <c r="C26" s="12" t="s">
        <v>770</v>
      </c>
      <c r="D26" s="13" t="s">
        <v>2146</v>
      </c>
      <c r="E26" s="12" t="s">
        <v>122</v>
      </c>
      <c r="F26" s="12" t="s">
        <v>157</v>
      </c>
      <c r="G26" s="13" t="s">
        <v>2147</v>
      </c>
      <c r="H26" s="12" t="s">
        <v>88</v>
      </c>
      <c r="I26" s="12" t="s">
        <v>100</v>
      </c>
      <c r="J26" s="14" t="n">
        <v>46230</v>
      </c>
      <c r="K26" s="13" t="s">
        <v>2148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2149</v>
      </c>
      <c r="B27" s="12" t="s">
        <v>161</v>
      </c>
      <c r="C27" s="12" t="s">
        <v>1172</v>
      </c>
      <c r="D27" s="13" t="s">
        <v>2150</v>
      </c>
      <c r="E27" s="12" t="s">
        <v>122</v>
      </c>
      <c r="F27" s="12" t="s">
        <v>147</v>
      </c>
      <c r="G27" s="13" t="s">
        <v>2116</v>
      </c>
      <c r="H27" s="12" t="s">
        <v>86</v>
      </c>
      <c r="I27" s="12" t="s">
        <v>101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2151</v>
      </c>
      <c r="B28" s="12" t="s">
        <v>2152</v>
      </c>
      <c r="C28" s="12" t="s">
        <v>1172</v>
      </c>
      <c r="D28" s="13" t="s">
        <v>2153</v>
      </c>
      <c r="E28" s="12" t="s">
        <v>122</v>
      </c>
      <c r="F28" s="12" t="s">
        <v>147</v>
      </c>
      <c r="G28" s="13" t="s">
        <v>2116</v>
      </c>
      <c r="H28" s="12" t="s">
        <v>86</v>
      </c>
      <c r="I28" s="12" t="s">
        <v>101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2154</v>
      </c>
      <c r="B29" s="12" t="s">
        <v>150</v>
      </c>
      <c r="C29" s="12" t="s">
        <v>1172</v>
      </c>
      <c r="D29" s="13" t="s">
        <v>2155</v>
      </c>
      <c r="E29" s="12" t="s">
        <v>122</v>
      </c>
      <c r="F29" s="12" t="s">
        <v>152</v>
      </c>
      <c r="G29" s="13" t="s">
        <v>2113</v>
      </c>
      <c r="H29" s="12" t="s">
        <v>86</v>
      </c>
      <c r="I29" s="12" t="s">
        <v>101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2156</v>
      </c>
      <c r="B30" s="12" t="s">
        <v>155</v>
      </c>
      <c r="C30" s="12" t="s">
        <v>1172</v>
      </c>
      <c r="D30" s="13" t="s">
        <v>2157</v>
      </c>
      <c r="E30" s="12" t="s">
        <v>122</v>
      </c>
      <c r="F30" s="12" t="s">
        <v>157</v>
      </c>
      <c r="G30" s="13" t="s">
        <v>2158</v>
      </c>
      <c r="H30" s="12" t="s">
        <v>88</v>
      </c>
      <c r="I30" s="12" t="s">
        <v>100</v>
      </c>
      <c r="J30" s="14" t="n">
        <v>46230</v>
      </c>
      <c r="K30" s="13" t="s">
        <v>2159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2160</v>
      </c>
      <c r="B31" s="12" t="s">
        <v>175</v>
      </c>
      <c r="C31" s="12" t="s">
        <v>64</v>
      </c>
      <c r="D31" s="13" t="s">
        <v>2161</v>
      </c>
      <c r="E31" s="12" t="s">
        <v>122</v>
      </c>
      <c r="F31" s="12" t="s">
        <v>163</v>
      </c>
      <c r="G31" s="13" t="s">
        <v>2162</v>
      </c>
      <c r="H31" s="12" t="s">
        <v>80</v>
      </c>
      <c r="I31" s="12" t="s">
        <v>100</v>
      </c>
      <c r="J31" s="14" t="n">
        <v>46230</v>
      </c>
      <c r="K31" s="13" t="s">
        <v>1795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2163</v>
      </c>
      <c r="B32" s="12" t="s">
        <v>179</v>
      </c>
      <c r="C32" s="12" t="s">
        <v>64</v>
      </c>
      <c r="D32" s="13" t="s">
        <v>2164</v>
      </c>
      <c r="E32" s="12" t="s">
        <v>122</v>
      </c>
      <c r="F32" s="12" t="s">
        <v>181</v>
      </c>
      <c r="G32" s="13" t="s">
        <v>2165</v>
      </c>
      <c r="H32" s="12" t="s">
        <v>86</v>
      </c>
      <c r="I32" s="12" t="s">
        <v>101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2166</v>
      </c>
      <c r="B33" s="12" t="s">
        <v>184</v>
      </c>
      <c r="C33" s="12" t="s">
        <v>64</v>
      </c>
      <c r="D33" s="13" t="s">
        <v>2167</v>
      </c>
      <c r="E33" s="12" t="s">
        <v>122</v>
      </c>
      <c r="F33" s="12" t="s">
        <v>181</v>
      </c>
      <c r="G33" s="13" t="s">
        <v>2168</v>
      </c>
      <c r="H33" s="12" t="s">
        <v>86</v>
      </c>
      <c r="I33" s="12" t="s">
        <v>101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2169</v>
      </c>
      <c r="B34" s="12" t="s">
        <v>610</v>
      </c>
      <c r="C34" s="12" t="s">
        <v>64</v>
      </c>
      <c r="D34" s="13" t="s">
        <v>2170</v>
      </c>
      <c r="E34" s="12" t="s">
        <v>122</v>
      </c>
      <c r="F34" s="12" t="s">
        <v>612</v>
      </c>
      <c r="G34" s="13" t="s">
        <v>2171</v>
      </c>
      <c r="H34" s="12" t="s">
        <v>86</v>
      </c>
      <c r="I34" s="12" t="s">
        <v>101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2172</v>
      </c>
      <c r="B35" s="12" t="s">
        <v>188</v>
      </c>
      <c r="C35" s="12" t="s">
        <v>64</v>
      </c>
      <c r="D35" s="13" t="s">
        <v>2173</v>
      </c>
      <c r="E35" s="12" t="s">
        <v>190</v>
      </c>
      <c r="F35" s="12" t="s">
        <v>190</v>
      </c>
      <c r="G35" s="13" t="s">
        <v>191</v>
      </c>
      <c r="H35" s="12" t="s">
        <v>86</v>
      </c>
      <c r="I35" s="12" t="s">
        <v>101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2174</v>
      </c>
      <c r="B36" s="12" t="s">
        <v>193</v>
      </c>
      <c r="C36" s="12" t="s">
        <v>64</v>
      </c>
      <c r="D36" s="13" t="s">
        <v>2175</v>
      </c>
      <c r="E36" s="12" t="s">
        <v>122</v>
      </c>
      <c r="F36" s="12" t="s">
        <v>122</v>
      </c>
      <c r="G36" s="13" t="s">
        <v>195</v>
      </c>
      <c r="H36" s="12" t="s">
        <v>86</v>
      </c>
      <c r="I36" s="12" t="s">
        <v>101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COUNTA(A9:A27)</f>
        <v>19</v>
      </c>
      <c r="D4" s="5" t="s">
        <v>104</v>
      </c>
      <c r="E4" s="6" t="n">
        <f aca="false">SUM(M9:M27)</f>
        <v>18</v>
      </c>
      <c r="G4" s="5" t="s">
        <v>13</v>
      </c>
      <c r="H4" s="7" t="n">
        <f aca="false">IF(B4=0,0,E4/B4)</f>
        <v>0.947368421052632</v>
      </c>
      <c r="J4" s="5" t="s">
        <v>14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IF(COUNTIFS(I9:I27,"yes",M9:M27,0)&gt;0,"open","complete")</f>
        <v>open</v>
      </c>
      <c r="D5" s="5" t="s">
        <v>15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2178</v>
      </c>
      <c r="B9" s="12" t="s">
        <v>78</v>
      </c>
      <c r="C9" s="12" t="s">
        <v>770</v>
      </c>
      <c r="D9" s="13" t="s">
        <v>2179</v>
      </c>
      <c r="E9" s="12" t="s">
        <v>122</v>
      </c>
      <c r="F9" s="12" t="s">
        <v>123</v>
      </c>
      <c r="G9" s="13" t="s">
        <v>2180</v>
      </c>
      <c r="H9" s="12" t="s">
        <v>86</v>
      </c>
      <c r="I9" s="12" t="s">
        <v>101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2181</v>
      </c>
      <c r="B10" s="12" t="s">
        <v>1331</v>
      </c>
      <c r="C10" s="12" t="s">
        <v>770</v>
      </c>
      <c r="D10" s="13" t="s">
        <v>2182</v>
      </c>
      <c r="E10" s="12" t="s">
        <v>122</v>
      </c>
      <c r="F10" s="12" t="s">
        <v>142</v>
      </c>
      <c r="G10" s="13" t="s">
        <v>2183</v>
      </c>
      <c r="H10" s="12" t="s">
        <v>86</v>
      </c>
      <c r="I10" s="12" t="s">
        <v>101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2184</v>
      </c>
      <c r="B11" s="12" t="s">
        <v>126</v>
      </c>
      <c r="C11" s="12" t="s">
        <v>2185</v>
      </c>
      <c r="D11" s="13" t="s">
        <v>2186</v>
      </c>
      <c r="E11" s="12" t="s">
        <v>122</v>
      </c>
      <c r="F11" s="12" t="s">
        <v>122</v>
      </c>
      <c r="G11" s="13" t="s">
        <v>1883</v>
      </c>
      <c r="H11" s="12" t="s">
        <v>86</v>
      </c>
      <c r="I11" s="12" t="s">
        <v>101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2187</v>
      </c>
      <c r="B12" s="12" t="s">
        <v>130</v>
      </c>
      <c r="C12" s="12" t="s">
        <v>770</v>
      </c>
      <c r="D12" s="13" t="s">
        <v>2188</v>
      </c>
      <c r="E12" s="12" t="s">
        <v>122</v>
      </c>
      <c r="F12" s="12" t="s">
        <v>132</v>
      </c>
      <c r="G12" s="13" t="s">
        <v>2189</v>
      </c>
      <c r="H12" s="12" t="s">
        <v>86</v>
      </c>
      <c r="I12" s="12" t="s">
        <v>101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2190</v>
      </c>
      <c r="B13" s="12" t="s">
        <v>2191</v>
      </c>
      <c r="C13" s="12" t="s">
        <v>770</v>
      </c>
      <c r="D13" s="13" t="s">
        <v>2192</v>
      </c>
      <c r="E13" s="12" t="s">
        <v>122</v>
      </c>
      <c r="F13" s="12" t="s">
        <v>142</v>
      </c>
      <c r="G13" s="13" t="s">
        <v>2183</v>
      </c>
      <c r="H13" s="12" t="s">
        <v>86</v>
      </c>
      <c r="I13" s="12" t="s">
        <v>101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2193</v>
      </c>
      <c r="B14" s="12" t="s">
        <v>1281</v>
      </c>
      <c r="C14" s="12" t="s">
        <v>770</v>
      </c>
      <c r="D14" s="13" t="s">
        <v>2194</v>
      </c>
      <c r="E14" s="12" t="s">
        <v>122</v>
      </c>
      <c r="F14" s="12" t="s">
        <v>147</v>
      </c>
      <c r="G14" s="13" t="s">
        <v>2195</v>
      </c>
      <c r="H14" s="12" t="s">
        <v>86</v>
      </c>
      <c r="I14" s="12" t="s">
        <v>101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2196</v>
      </c>
      <c r="B15" s="12" t="s">
        <v>2197</v>
      </c>
      <c r="C15" s="12" t="s">
        <v>770</v>
      </c>
      <c r="D15" s="13" t="s">
        <v>2198</v>
      </c>
      <c r="E15" s="12" t="s">
        <v>122</v>
      </c>
      <c r="F15" s="12" t="s">
        <v>147</v>
      </c>
      <c r="G15" s="13" t="s">
        <v>2195</v>
      </c>
      <c r="H15" s="12" t="s">
        <v>86</v>
      </c>
      <c r="I15" s="12" t="s">
        <v>101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2199</v>
      </c>
      <c r="B16" s="12" t="s">
        <v>2200</v>
      </c>
      <c r="C16" s="12" t="s">
        <v>770</v>
      </c>
      <c r="D16" s="13" t="s">
        <v>2201</v>
      </c>
      <c r="E16" s="12" t="s">
        <v>122</v>
      </c>
      <c r="F16" s="12" t="s">
        <v>147</v>
      </c>
      <c r="G16" s="13" t="s">
        <v>2195</v>
      </c>
      <c r="H16" s="12" t="s">
        <v>86</v>
      </c>
      <c r="I16" s="12" t="s">
        <v>101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2202</v>
      </c>
      <c r="B17" s="12" t="s">
        <v>170</v>
      </c>
      <c r="C17" s="12" t="s">
        <v>770</v>
      </c>
      <c r="D17" s="13" t="s">
        <v>2203</v>
      </c>
      <c r="E17" s="12" t="s">
        <v>122</v>
      </c>
      <c r="F17" s="12" t="s">
        <v>147</v>
      </c>
      <c r="G17" s="13" t="s">
        <v>2204</v>
      </c>
      <c r="H17" s="12" t="s">
        <v>86</v>
      </c>
      <c r="I17" s="12" t="s">
        <v>101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2205</v>
      </c>
      <c r="B18" s="12" t="s">
        <v>2206</v>
      </c>
      <c r="C18" s="12" t="s">
        <v>770</v>
      </c>
      <c r="D18" s="13" t="s">
        <v>2207</v>
      </c>
      <c r="E18" s="12" t="s">
        <v>122</v>
      </c>
      <c r="F18" s="12" t="s">
        <v>147</v>
      </c>
      <c r="G18" s="13" t="s">
        <v>2195</v>
      </c>
      <c r="H18" s="12" t="s">
        <v>86</v>
      </c>
      <c r="I18" s="12" t="s">
        <v>101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2208</v>
      </c>
      <c r="B19" s="12" t="s">
        <v>161</v>
      </c>
      <c r="C19" s="12" t="s">
        <v>770</v>
      </c>
      <c r="D19" s="13" t="s">
        <v>2209</v>
      </c>
      <c r="E19" s="12" t="s">
        <v>122</v>
      </c>
      <c r="F19" s="12" t="s">
        <v>147</v>
      </c>
      <c r="G19" s="13" t="s">
        <v>2210</v>
      </c>
      <c r="H19" s="12" t="s">
        <v>86</v>
      </c>
      <c r="I19" s="12" t="s">
        <v>101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2211</v>
      </c>
      <c r="B20" s="12" t="s">
        <v>150</v>
      </c>
      <c r="C20" s="12" t="s">
        <v>770</v>
      </c>
      <c r="D20" s="13" t="s">
        <v>2212</v>
      </c>
      <c r="E20" s="12" t="s">
        <v>122</v>
      </c>
      <c r="F20" s="12" t="s">
        <v>152</v>
      </c>
      <c r="G20" s="13" t="s">
        <v>2195</v>
      </c>
      <c r="H20" s="12" t="s">
        <v>86</v>
      </c>
      <c r="I20" s="12" t="s">
        <v>101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2213</v>
      </c>
      <c r="B21" s="12" t="s">
        <v>155</v>
      </c>
      <c r="C21" s="12" t="s">
        <v>770</v>
      </c>
      <c r="D21" s="13" t="s">
        <v>2214</v>
      </c>
      <c r="E21" s="12" t="s">
        <v>122</v>
      </c>
      <c r="F21" s="12" t="s">
        <v>157</v>
      </c>
      <c r="G21" s="13" t="s">
        <v>2215</v>
      </c>
      <c r="H21" s="12" t="s">
        <v>88</v>
      </c>
      <c r="I21" s="12" t="s">
        <v>100</v>
      </c>
      <c r="J21" s="14" t="n">
        <v>46230</v>
      </c>
      <c r="K21" s="13" t="s">
        <v>2216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2217</v>
      </c>
      <c r="B22" s="12" t="s">
        <v>175</v>
      </c>
      <c r="C22" s="12" t="s">
        <v>65</v>
      </c>
      <c r="D22" s="13" t="s">
        <v>2218</v>
      </c>
      <c r="E22" s="12" t="s">
        <v>122</v>
      </c>
      <c r="F22" s="12" t="s">
        <v>163</v>
      </c>
      <c r="G22" s="13" t="s">
        <v>2219</v>
      </c>
      <c r="H22" s="12" t="s">
        <v>80</v>
      </c>
      <c r="I22" s="12" t="s">
        <v>100</v>
      </c>
      <c r="J22" s="14" t="n">
        <v>46230</v>
      </c>
      <c r="K22" s="13" t="s">
        <v>1795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2220</v>
      </c>
      <c r="B23" s="12" t="s">
        <v>179</v>
      </c>
      <c r="C23" s="12" t="s">
        <v>65</v>
      </c>
      <c r="D23" s="13" t="s">
        <v>2221</v>
      </c>
      <c r="E23" s="12" t="s">
        <v>122</v>
      </c>
      <c r="F23" s="12" t="s">
        <v>181</v>
      </c>
      <c r="G23" s="13" t="s">
        <v>2222</v>
      </c>
      <c r="H23" s="12" t="s">
        <v>86</v>
      </c>
      <c r="I23" s="12" t="s">
        <v>101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2223</v>
      </c>
      <c r="B24" s="12" t="s">
        <v>184</v>
      </c>
      <c r="C24" s="12" t="s">
        <v>65</v>
      </c>
      <c r="D24" s="13" t="s">
        <v>2224</v>
      </c>
      <c r="E24" s="12" t="s">
        <v>122</v>
      </c>
      <c r="F24" s="12" t="s">
        <v>181</v>
      </c>
      <c r="G24" s="13" t="s">
        <v>2225</v>
      </c>
      <c r="H24" s="12" t="s">
        <v>86</v>
      </c>
      <c r="I24" s="12" t="s">
        <v>101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2226</v>
      </c>
      <c r="B25" s="12" t="s">
        <v>610</v>
      </c>
      <c r="C25" s="12" t="s">
        <v>65</v>
      </c>
      <c r="D25" s="13" t="s">
        <v>2227</v>
      </c>
      <c r="E25" s="12" t="s">
        <v>122</v>
      </c>
      <c r="F25" s="12" t="s">
        <v>612</v>
      </c>
      <c r="G25" s="13" t="s">
        <v>2228</v>
      </c>
      <c r="H25" s="12" t="s">
        <v>86</v>
      </c>
      <c r="I25" s="12" t="s">
        <v>101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2229</v>
      </c>
      <c r="B26" s="12" t="s">
        <v>188</v>
      </c>
      <c r="C26" s="12" t="s">
        <v>65</v>
      </c>
      <c r="D26" s="13" t="s">
        <v>2230</v>
      </c>
      <c r="E26" s="12" t="s">
        <v>190</v>
      </c>
      <c r="F26" s="12" t="s">
        <v>190</v>
      </c>
      <c r="G26" s="13" t="s">
        <v>191</v>
      </c>
      <c r="H26" s="12" t="s">
        <v>86</v>
      </c>
      <c r="I26" s="12" t="s">
        <v>101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2231</v>
      </c>
      <c r="B27" s="12" t="s">
        <v>193</v>
      </c>
      <c r="C27" s="12" t="s">
        <v>65</v>
      </c>
      <c r="D27" s="13" t="s">
        <v>2232</v>
      </c>
      <c r="E27" s="12" t="s">
        <v>122</v>
      </c>
      <c r="F27" s="12" t="s">
        <v>122</v>
      </c>
      <c r="G27" s="13" t="s">
        <v>195</v>
      </c>
      <c r="H27" s="12" t="s">
        <v>86</v>
      </c>
      <c r="I27" s="12" t="s">
        <v>101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COUNTA(A9:A33)</f>
        <v>25</v>
      </c>
      <c r="D4" s="5" t="s">
        <v>104</v>
      </c>
      <c r="E4" s="6" t="n">
        <f aca="false">SUM(M9:M33)</f>
        <v>24</v>
      </c>
      <c r="G4" s="5" t="s">
        <v>13</v>
      </c>
      <c r="H4" s="7" t="n">
        <f aca="false">IF(B4=0,0,E4/B4)</f>
        <v>0.96</v>
      </c>
      <c r="J4" s="5" t="s">
        <v>14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IF(COUNTIFS(I9:I33,"yes",M9:M33,0)&gt;0,"open","complete")</f>
        <v>open</v>
      </c>
      <c r="D5" s="5" t="s">
        <v>15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1025</v>
      </c>
      <c r="B9" s="12" t="s">
        <v>78</v>
      </c>
      <c r="C9" s="12" t="s">
        <v>770</v>
      </c>
      <c r="D9" s="13" t="s">
        <v>2235</v>
      </c>
      <c r="E9" s="12" t="s">
        <v>122</v>
      </c>
      <c r="F9" s="12" t="s">
        <v>123</v>
      </c>
      <c r="G9" s="13" t="s">
        <v>2236</v>
      </c>
      <c r="H9" s="12" t="s">
        <v>86</v>
      </c>
      <c r="I9" s="12" t="s">
        <v>101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1028</v>
      </c>
      <c r="B10" s="12" t="s">
        <v>1331</v>
      </c>
      <c r="C10" s="12" t="s">
        <v>1172</v>
      </c>
      <c r="D10" s="13" t="s">
        <v>2237</v>
      </c>
      <c r="E10" s="12" t="s">
        <v>122</v>
      </c>
      <c r="F10" s="12" t="s">
        <v>142</v>
      </c>
      <c r="G10" s="13" t="s">
        <v>2238</v>
      </c>
      <c r="H10" s="12" t="s">
        <v>86</v>
      </c>
      <c r="I10" s="12" t="s">
        <v>101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1030</v>
      </c>
      <c r="B11" s="12" t="s">
        <v>126</v>
      </c>
      <c r="C11" s="12" t="s">
        <v>1172</v>
      </c>
      <c r="D11" s="13" t="s">
        <v>2239</v>
      </c>
      <c r="E11" s="12" t="s">
        <v>122</v>
      </c>
      <c r="F11" s="12" t="s">
        <v>122</v>
      </c>
      <c r="G11" s="13" t="s">
        <v>128</v>
      </c>
      <c r="H11" s="12" t="s">
        <v>86</v>
      </c>
      <c r="I11" s="12" t="s">
        <v>101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1033</v>
      </c>
      <c r="B12" s="12" t="s">
        <v>130</v>
      </c>
      <c r="C12" s="12" t="s">
        <v>1172</v>
      </c>
      <c r="D12" s="13" t="s">
        <v>2240</v>
      </c>
      <c r="E12" s="12" t="s">
        <v>122</v>
      </c>
      <c r="F12" s="12" t="s">
        <v>132</v>
      </c>
      <c r="G12" s="13" t="s">
        <v>2241</v>
      </c>
      <c r="H12" s="12" t="s">
        <v>86</v>
      </c>
      <c r="I12" s="12" t="s">
        <v>101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1036</v>
      </c>
      <c r="B13" s="12" t="s">
        <v>135</v>
      </c>
      <c r="C13" s="12" t="s">
        <v>1172</v>
      </c>
      <c r="D13" s="13" t="s">
        <v>2242</v>
      </c>
      <c r="E13" s="12" t="s">
        <v>122</v>
      </c>
      <c r="F13" s="12" t="s">
        <v>137</v>
      </c>
      <c r="G13" s="13" t="s">
        <v>2243</v>
      </c>
      <c r="H13" s="12" t="s">
        <v>86</v>
      </c>
      <c r="I13" s="12" t="s">
        <v>101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1039</v>
      </c>
      <c r="B14" s="12" t="s">
        <v>1564</v>
      </c>
      <c r="C14" s="12" t="s">
        <v>770</v>
      </c>
      <c r="D14" s="13" t="s">
        <v>2244</v>
      </c>
      <c r="E14" s="12" t="s">
        <v>122</v>
      </c>
      <c r="F14" s="12" t="s">
        <v>147</v>
      </c>
      <c r="G14" s="13" t="s">
        <v>2245</v>
      </c>
      <c r="H14" s="12" t="s">
        <v>86</v>
      </c>
      <c r="I14" s="12" t="s">
        <v>101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1042</v>
      </c>
      <c r="B15" s="12" t="s">
        <v>1681</v>
      </c>
      <c r="C15" s="12" t="s">
        <v>770</v>
      </c>
      <c r="D15" s="13" t="s">
        <v>2246</v>
      </c>
      <c r="E15" s="12" t="s">
        <v>122</v>
      </c>
      <c r="F15" s="12" t="s">
        <v>157</v>
      </c>
      <c r="G15" s="13" t="s">
        <v>2247</v>
      </c>
      <c r="H15" s="12" t="s">
        <v>88</v>
      </c>
      <c r="I15" s="12" t="s">
        <v>100</v>
      </c>
      <c r="J15" s="14" t="n">
        <v>46230</v>
      </c>
      <c r="K15" s="13" t="s">
        <v>2248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1044</v>
      </c>
      <c r="B16" s="12" t="s">
        <v>1686</v>
      </c>
      <c r="C16" s="12" t="s">
        <v>770</v>
      </c>
      <c r="D16" s="13" t="s">
        <v>2249</v>
      </c>
      <c r="E16" s="12" t="s">
        <v>122</v>
      </c>
      <c r="F16" s="12" t="s">
        <v>157</v>
      </c>
      <c r="G16" s="13" t="s">
        <v>2247</v>
      </c>
      <c r="H16" s="12" t="s">
        <v>88</v>
      </c>
      <c r="I16" s="12" t="s">
        <v>100</v>
      </c>
      <c r="J16" s="14" t="n">
        <v>46230</v>
      </c>
      <c r="K16" s="13" t="s">
        <v>2250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1048</v>
      </c>
      <c r="B17" s="12" t="s">
        <v>1161</v>
      </c>
      <c r="C17" s="12" t="s">
        <v>770</v>
      </c>
      <c r="D17" s="13" t="s">
        <v>2251</v>
      </c>
      <c r="E17" s="12" t="s">
        <v>122</v>
      </c>
      <c r="F17" s="12" t="s">
        <v>142</v>
      </c>
      <c r="G17" s="13" t="s">
        <v>2252</v>
      </c>
      <c r="H17" s="12" t="s">
        <v>86</v>
      </c>
      <c r="I17" s="12" t="s">
        <v>101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1052</v>
      </c>
      <c r="B18" s="12" t="s">
        <v>2253</v>
      </c>
      <c r="C18" s="12" t="s">
        <v>2254</v>
      </c>
      <c r="D18" s="13" t="s">
        <v>2255</v>
      </c>
      <c r="E18" s="12" t="s">
        <v>122</v>
      </c>
      <c r="F18" s="12" t="s">
        <v>147</v>
      </c>
      <c r="G18" s="13" t="s">
        <v>2252</v>
      </c>
      <c r="H18" s="12" t="s">
        <v>86</v>
      </c>
      <c r="I18" s="12" t="s">
        <v>101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1054</v>
      </c>
      <c r="B19" s="12" t="s">
        <v>2256</v>
      </c>
      <c r="C19" s="12" t="s">
        <v>1074</v>
      </c>
      <c r="D19" s="13" t="s">
        <v>2257</v>
      </c>
      <c r="E19" s="12" t="s">
        <v>122</v>
      </c>
      <c r="F19" s="12" t="s">
        <v>147</v>
      </c>
      <c r="G19" s="13" t="s">
        <v>2252</v>
      </c>
      <c r="H19" s="12" t="s">
        <v>86</v>
      </c>
      <c r="I19" s="12" t="s">
        <v>101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1057</v>
      </c>
      <c r="B20" s="12" t="s">
        <v>2258</v>
      </c>
      <c r="C20" s="12" t="s">
        <v>2259</v>
      </c>
      <c r="D20" s="13" t="s">
        <v>2260</v>
      </c>
      <c r="E20" s="12" t="s">
        <v>122</v>
      </c>
      <c r="F20" s="12" t="s">
        <v>147</v>
      </c>
      <c r="G20" s="13" t="s">
        <v>2261</v>
      </c>
      <c r="H20" s="12" t="s">
        <v>86</v>
      </c>
      <c r="I20" s="12" t="s">
        <v>101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1060</v>
      </c>
      <c r="B21" s="12" t="s">
        <v>1778</v>
      </c>
      <c r="C21" s="12" t="s">
        <v>1778</v>
      </c>
      <c r="D21" s="13" t="s">
        <v>2262</v>
      </c>
      <c r="E21" s="12" t="s">
        <v>122</v>
      </c>
      <c r="F21" s="12" t="s">
        <v>157</v>
      </c>
      <c r="G21" s="13" t="s">
        <v>2247</v>
      </c>
      <c r="H21" s="12" t="s">
        <v>88</v>
      </c>
      <c r="I21" s="12" t="s">
        <v>100</v>
      </c>
      <c r="J21" s="14" t="n">
        <v>46230</v>
      </c>
      <c r="K21" s="13" t="s">
        <v>2263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1062</v>
      </c>
      <c r="B22" s="12" t="s">
        <v>170</v>
      </c>
      <c r="C22" s="12" t="s">
        <v>2264</v>
      </c>
      <c r="D22" s="13" t="s">
        <v>2265</v>
      </c>
      <c r="E22" s="12" t="s">
        <v>122</v>
      </c>
      <c r="F22" s="12" t="s">
        <v>142</v>
      </c>
      <c r="G22" s="13" t="s">
        <v>2252</v>
      </c>
      <c r="H22" s="12" t="s">
        <v>86</v>
      </c>
      <c r="I22" s="12" t="s">
        <v>101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1065</v>
      </c>
      <c r="B23" s="12" t="s">
        <v>2266</v>
      </c>
      <c r="C23" s="12" t="s">
        <v>1074</v>
      </c>
      <c r="D23" s="13" t="s">
        <v>2267</v>
      </c>
      <c r="E23" s="12" t="s">
        <v>122</v>
      </c>
      <c r="F23" s="12" t="s">
        <v>147</v>
      </c>
      <c r="G23" s="13" t="s">
        <v>2268</v>
      </c>
      <c r="H23" s="12" t="s">
        <v>86</v>
      </c>
      <c r="I23" s="12" t="s">
        <v>101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2269</v>
      </c>
      <c r="B24" s="12" t="s">
        <v>150</v>
      </c>
      <c r="C24" s="12" t="s">
        <v>1172</v>
      </c>
      <c r="D24" s="13" t="s">
        <v>2270</v>
      </c>
      <c r="E24" s="12" t="s">
        <v>122</v>
      </c>
      <c r="F24" s="12" t="s">
        <v>152</v>
      </c>
      <c r="G24" s="13" t="s">
        <v>2245</v>
      </c>
      <c r="H24" s="12" t="s">
        <v>86</v>
      </c>
      <c r="I24" s="12" t="s">
        <v>101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2271</v>
      </c>
      <c r="B25" s="12" t="s">
        <v>161</v>
      </c>
      <c r="C25" s="12" t="s">
        <v>1172</v>
      </c>
      <c r="D25" s="13" t="s">
        <v>2272</v>
      </c>
      <c r="E25" s="12" t="s">
        <v>122</v>
      </c>
      <c r="F25" s="12" t="s">
        <v>147</v>
      </c>
      <c r="G25" s="13" t="s">
        <v>2273</v>
      </c>
      <c r="H25" s="12" t="s">
        <v>86</v>
      </c>
      <c r="I25" s="12" t="s">
        <v>101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2274</v>
      </c>
      <c r="B26" s="12" t="s">
        <v>1851</v>
      </c>
      <c r="C26" s="12" t="s">
        <v>1172</v>
      </c>
      <c r="D26" s="13" t="s">
        <v>2275</v>
      </c>
      <c r="E26" s="12" t="s">
        <v>122</v>
      </c>
      <c r="F26" s="12" t="s">
        <v>157</v>
      </c>
      <c r="G26" s="13" t="s">
        <v>2247</v>
      </c>
      <c r="H26" s="12" t="s">
        <v>88</v>
      </c>
      <c r="I26" s="12" t="s">
        <v>100</v>
      </c>
      <c r="J26" s="14" t="n">
        <v>46230</v>
      </c>
      <c r="K26" s="13" t="s">
        <v>2276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2277</v>
      </c>
      <c r="B27" s="12" t="s">
        <v>155</v>
      </c>
      <c r="C27" s="12" t="s">
        <v>1172</v>
      </c>
      <c r="D27" s="13" t="s">
        <v>2278</v>
      </c>
      <c r="E27" s="12" t="s">
        <v>122</v>
      </c>
      <c r="F27" s="12" t="s">
        <v>157</v>
      </c>
      <c r="G27" s="13" t="s">
        <v>2247</v>
      </c>
      <c r="H27" s="12" t="s">
        <v>88</v>
      </c>
      <c r="I27" s="12" t="s">
        <v>100</v>
      </c>
      <c r="J27" s="14" t="n">
        <v>46230</v>
      </c>
      <c r="K27" s="13" t="s">
        <v>2279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2280</v>
      </c>
      <c r="B28" s="12" t="s">
        <v>610</v>
      </c>
      <c r="C28" s="12" t="s">
        <v>1172</v>
      </c>
      <c r="D28" s="13" t="s">
        <v>2281</v>
      </c>
      <c r="E28" s="12" t="s">
        <v>122</v>
      </c>
      <c r="F28" s="12" t="s">
        <v>612</v>
      </c>
      <c r="G28" s="13" t="s">
        <v>2282</v>
      </c>
      <c r="H28" s="12" t="s">
        <v>86</v>
      </c>
      <c r="I28" s="12" t="s">
        <v>101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2283</v>
      </c>
      <c r="B29" s="12" t="s">
        <v>175</v>
      </c>
      <c r="C29" s="12" t="s">
        <v>1172</v>
      </c>
      <c r="D29" s="13" t="s">
        <v>2284</v>
      </c>
      <c r="E29" s="12" t="s">
        <v>122</v>
      </c>
      <c r="F29" s="12" t="s">
        <v>163</v>
      </c>
      <c r="G29" s="13" t="s">
        <v>2285</v>
      </c>
      <c r="H29" s="12" t="s">
        <v>80</v>
      </c>
      <c r="I29" s="12" t="s">
        <v>100</v>
      </c>
      <c r="J29" s="14" t="n">
        <v>46230</v>
      </c>
      <c r="K29" s="13" t="s">
        <v>1795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2286</v>
      </c>
      <c r="B30" s="12" t="s">
        <v>179</v>
      </c>
      <c r="C30" s="12" t="s">
        <v>1172</v>
      </c>
      <c r="D30" s="13" t="s">
        <v>2287</v>
      </c>
      <c r="E30" s="12" t="s">
        <v>122</v>
      </c>
      <c r="F30" s="12" t="s">
        <v>181</v>
      </c>
      <c r="G30" s="13" t="s">
        <v>2288</v>
      </c>
      <c r="H30" s="12" t="s">
        <v>86</v>
      </c>
      <c r="I30" s="12" t="s">
        <v>101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2289</v>
      </c>
      <c r="B31" s="12" t="s">
        <v>184</v>
      </c>
      <c r="C31" s="12" t="s">
        <v>66</v>
      </c>
      <c r="D31" s="13" t="s">
        <v>2290</v>
      </c>
      <c r="E31" s="12" t="s">
        <v>122</v>
      </c>
      <c r="F31" s="12" t="s">
        <v>181</v>
      </c>
      <c r="G31" s="13" t="s">
        <v>2291</v>
      </c>
      <c r="H31" s="12" t="s">
        <v>86</v>
      </c>
      <c r="I31" s="12" t="s">
        <v>101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2292</v>
      </c>
      <c r="B32" s="12" t="s">
        <v>188</v>
      </c>
      <c r="C32" s="12" t="s">
        <v>66</v>
      </c>
      <c r="D32" s="13" t="s">
        <v>2293</v>
      </c>
      <c r="E32" s="12" t="s">
        <v>190</v>
      </c>
      <c r="F32" s="12" t="s">
        <v>190</v>
      </c>
      <c r="G32" s="13" t="s">
        <v>191</v>
      </c>
      <c r="H32" s="12" t="s">
        <v>86</v>
      </c>
      <c r="I32" s="12" t="s">
        <v>101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2294</v>
      </c>
      <c r="B33" s="12" t="s">
        <v>193</v>
      </c>
      <c r="C33" s="12" t="s">
        <v>66</v>
      </c>
      <c r="D33" s="13" t="s">
        <v>2295</v>
      </c>
      <c r="E33" s="12" t="s">
        <v>122</v>
      </c>
      <c r="F33" s="12" t="s">
        <v>122</v>
      </c>
      <c r="G33" s="13" t="s">
        <v>2296</v>
      </c>
      <c r="H33" s="12" t="s">
        <v>86</v>
      </c>
      <c r="I33" s="12" t="s">
        <v>101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COUNTA(A9:A34)</f>
        <v>26</v>
      </c>
      <c r="D4" s="5" t="s">
        <v>104</v>
      </c>
      <c r="E4" s="6" t="n">
        <f aca="false">SUM(M9:M34)</f>
        <v>25</v>
      </c>
      <c r="G4" s="5" t="s">
        <v>13</v>
      </c>
      <c r="H4" s="7" t="n">
        <f aca="false">IF(B4=0,0,E4/B4)</f>
        <v>0.961538461538462</v>
      </c>
      <c r="J4" s="5" t="s">
        <v>14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IF(COUNTIFS(I9:I34,"yes",M9:M34,0)&gt;0,"open","complete")</f>
        <v>open</v>
      </c>
      <c r="D5" s="5" t="s">
        <v>15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2299</v>
      </c>
      <c r="B9" s="12" t="s">
        <v>78</v>
      </c>
      <c r="C9" s="12" t="s">
        <v>770</v>
      </c>
      <c r="D9" s="13" t="s">
        <v>2300</v>
      </c>
      <c r="E9" s="12" t="s">
        <v>122</v>
      </c>
      <c r="F9" s="12" t="s">
        <v>123</v>
      </c>
      <c r="G9" s="13" t="s">
        <v>2301</v>
      </c>
      <c r="H9" s="12" t="s">
        <v>86</v>
      </c>
      <c r="I9" s="12" t="s">
        <v>101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2302</v>
      </c>
      <c r="B10" s="12" t="s">
        <v>1331</v>
      </c>
      <c r="C10" s="12" t="s">
        <v>1172</v>
      </c>
      <c r="D10" s="13" t="s">
        <v>2303</v>
      </c>
      <c r="E10" s="12" t="s">
        <v>122</v>
      </c>
      <c r="F10" s="12" t="s">
        <v>142</v>
      </c>
      <c r="G10" s="13" t="s">
        <v>2304</v>
      </c>
      <c r="H10" s="12" t="s">
        <v>86</v>
      </c>
      <c r="I10" s="12" t="s">
        <v>101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2305</v>
      </c>
      <c r="B11" s="12" t="s">
        <v>126</v>
      </c>
      <c r="C11" s="12" t="s">
        <v>1172</v>
      </c>
      <c r="D11" s="13" t="s">
        <v>2306</v>
      </c>
      <c r="E11" s="12" t="s">
        <v>122</v>
      </c>
      <c r="F11" s="12" t="s">
        <v>122</v>
      </c>
      <c r="G11" s="13" t="s">
        <v>128</v>
      </c>
      <c r="H11" s="12" t="s">
        <v>86</v>
      </c>
      <c r="I11" s="12" t="s">
        <v>101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2307</v>
      </c>
      <c r="B12" s="12" t="s">
        <v>130</v>
      </c>
      <c r="C12" s="12" t="s">
        <v>1172</v>
      </c>
      <c r="D12" s="13" t="s">
        <v>2308</v>
      </c>
      <c r="E12" s="12" t="s">
        <v>122</v>
      </c>
      <c r="F12" s="12" t="s">
        <v>132</v>
      </c>
      <c r="G12" s="13" t="s">
        <v>2309</v>
      </c>
      <c r="H12" s="12" t="s">
        <v>86</v>
      </c>
      <c r="I12" s="12" t="s">
        <v>101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2310</v>
      </c>
      <c r="B13" s="12" t="s">
        <v>135</v>
      </c>
      <c r="C13" s="12" t="s">
        <v>1172</v>
      </c>
      <c r="D13" s="13" t="s">
        <v>2311</v>
      </c>
      <c r="E13" s="12" t="s">
        <v>122</v>
      </c>
      <c r="F13" s="12" t="s">
        <v>137</v>
      </c>
      <c r="G13" s="13" t="s">
        <v>2312</v>
      </c>
      <c r="H13" s="12" t="s">
        <v>86</v>
      </c>
      <c r="I13" s="12" t="s">
        <v>101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2313</v>
      </c>
      <c r="B14" s="12" t="s">
        <v>1564</v>
      </c>
      <c r="C14" s="12" t="s">
        <v>770</v>
      </c>
      <c r="D14" s="13" t="s">
        <v>2314</v>
      </c>
      <c r="E14" s="12" t="s">
        <v>122</v>
      </c>
      <c r="F14" s="12" t="s">
        <v>147</v>
      </c>
      <c r="G14" s="13" t="s">
        <v>2315</v>
      </c>
      <c r="H14" s="12" t="s">
        <v>86</v>
      </c>
      <c r="I14" s="12" t="s">
        <v>101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2316</v>
      </c>
      <c r="B15" s="12" t="s">
        <v>1681</v>
      </c>
      <c r="C15" s="12" t="s">
        <v>770</v>
      </c>
      <c r="D15" s="13" t="s">
        <v>2317</v>
      </c>
      <c r="E15" s="12" t="s">
        <v>122</v>
      </c>
      <c r="F15" s="12" t="s">
        <v>157</v>
      </c>
      <c r="G15" s="13" t="s">
        <v>2318</v>
      </c>
      <c r="H15" s="12" t="s">
        <v>88</v>
      </c>
      <c r="I15" s="12" t="s">
        <v>100</v>
      </c>
      <c r="J15" s="14" t="n">
        <v>46230</v>
      </c>
      <c r="K15" s="13" t="s">
        <v>2248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2319</v>
      </c>
      <c r="B16" s="12" t="s">
        <v>1686</v>
      </c>
      <c r="C16" s="12" t="s">
        <v>770</v>
      </c>
      <c r="D16" s="13" t="s">
        <v>2320</v>
      </c>
      <c r="E16" s="12" t="s">
        <v>122</v>
      </c>
      <c r="F16" s="12" t="s">
        <v>157</v>
      </c>
      <c r="G16" s="13" t="s">
        <v>2318</v>
      </c>
      <c r="H16" s="12" t="s">
        <v>88</v>
      </c>
      <c r="I16" s="12" t="s">
        <v>100</v>
      </c>
      <c r="J16" s="14" t="n">
        <v>46230</v>
      </c>
      <c r="K16" s="13" t="s">
        <v>2250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2321</v>
      </c>
      <c r="B17" s="12" t="s">
        <v>2322</v>
      </c>
      <c r="C17" s="12" t="s">
        <v>825</v>
      </c>
      <c r="D17" s="13" t="s">
        <v>2323</v>
      </c>
      <c r="E17" s="12" t="s">
        <v>122</v>
      </c>
      <c r="F17" s="12" t="s">
        <v>142</v>
      </c>
      <c r="G17" s="13" t="s">
        <v>2324</v>
      </c>
      <c r="H17" s="12" t="s">
        <v>86</v>
      </c>
      <c r="I17" s="12" t="s">
        <v>101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2325</v>
      </c>
      <c r="B18" s="12" t="s">
        <v>2326</v>
      </c>
      <c r="C18" s="12" t="s">
        <v>825</v>
      </c>
      <c r="D18" s="13" t="s">
        <v>2327</v>
      </c>
      <c r="E18" s="12" t="s">
        <v>122</v>
      </c>
      <c r="F18" s="12" t="s">
        <v>142</v>
      </c>
      <c r="G18" s="13" t="s">
        <v>2324</v>
      </c>
      <c r="H18" s="12" t="s">
        <v>86</v>
      </c>
      <c r="I18" s="12" t="s">
        <v>101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2328</v>
      </c>
      <c r="B19" s="12" t="s">
        <v>2329</v>
      </c>
      <c r="C19" s="12" t="s">
        <v>770</v>
      </c>
      <c r="D19" s="13" t="s">
        <v>2330</v>
      </c>
      <c r="E19" s="12" t="s">
        <v>122</v>
      </c>
      <c r="F19" s="12" t="s">
        <v>142</v>
      </c>
      <c r="G19" s="13" t="s">
        <v>2304</v>
      </c>
      <c r="H19" s="12" t="s">
        <v>86</v>
      </c>
      <c r="I19" s="12" t="s">
        <v>101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2331</v>
      </c>
      <c r="B20" s="12" t="s">
        <v>2332</v>
      </c>
      <c r="C20" s="12" t="s">
        <v>1768</v>
      </c>
      <c r="D20" s="13" t="s">
        <v>2333</v>
      </c>
      <c r="E20" s="12" t="s">
        <v>122</v>
      </c>
      <c r="F20" s="12" t="s">
        <v>147</v>
      </c>
      <c r="G20" s="13" t="s">
        <v>2324</v>
      </c>
      <c r="H20" s="12" t="s">
        <v>86</v>
      </c>
      <c r="I20" s="12" t="s">
        <v>101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2334</v>
      </c>
      <c r="B21" s="12" t="s">
        <v>2253</v>
      </c>
      <c r="C21" s="12" t="s">
        <v>2335</v>
      </c>
      <c r="D21" s="13" t="s">
        <v>2336</v>
      </c>
      <c r="E21" s="12" t="s">
        <v>122</v>
      </c>
      <c r="F21" s="12" t="s">
        <v>147</v>
      </c>
      <c r="G21" s="13" t="s">
        <v>2324</v>
      </c>
      <c r="H21" s="12" t="s">
        <v>86</v>
      </c>
      <c r="I21" s="12" t="s">
        <v>101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2337</v>
      </c>
      <c r="B22" s="12" t="s">
        <v>2256</v>
      </c>
      <c r="C22" s="12" t="s">
        <v>1074</v>
      </c>
      <c r="D22" s="13" t="s">
        <v>2338</v>
      </c>
      <c r="E22" s="12" t="s">
        <v>122</v>
      </c>
      <c r="F22" s="12" t="s">
        <v>147</v>
      </c>
      <c r="G22" s="13" t="s">
        <v>2324</v>
      </c>
      <c r="H22" s="12" t="s">
        <v>86</v>
      </c>
      <c r="I22" s="12" t="s">
        <v>101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2339</v>
      </c>
      <c r="B23" s="12" t="s">
        <v>2258</v>
      </c>
      <c r="C23" s="12" t="s">
        <v>2340</v>
      </c>
      <c r="D23" s="13" t="s">
        <v>2341</v>
      </c>
      <c r="E23" s="12" t="s">
        <v>122</v>
      </c>
      <c r="F23" s="12" t="s">
        <v>147</v>
      </c>
      <c r="G23" s="13" t="s">
        <v>2342</v>
      </c>
      <c r="H23" s="12" t="s">
        <v>86</v>
      </c>
      <c r="I23" s="12" t="s">
        <v>101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2343</v>
      </c>
      <c r="B24" s="12" t="s">
        <v>1571</v>
      </c>
      <c r="C24" s="12" t="s">
        <v>1768</v>
      </c>
      <c r="D24" s="13" t="s">
        <v>2344</v>
      </c>
      <c r="E24" s="12" t="s">
        <v>122</v>
      </c>
      <c r="F24" s="12" t="s">
        <v>147</v>
      </c>
      <c r="G24" s="13" t="s">
        <v>2315</v>
      </c>
      <c r="H24" s="12" t="s">
        <v>86</v>
      </c>
      <c r="I24" s="12" t="s">
        <v>101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2345</v>
      </c>
      <c r="B25" s="12" t="s">
        <v>2017</v>
      </c>
      <c r="C25" s="12" t="s">
        <v>1172</v>
      </c>
      <c r="D25" s="13" t="s">
        <v>2346</v>
      </c>
      <c r="E25" s="12" t="s">
        <v>122</v>
      </c>
      <c r="F25" s="12" t="s">
        <v>157</v>
      </c>
      <c r="G25" s="13" t="s">
        <v>2347</v>
      </c>
      <c r="H25" s="12" t="s">
        <v>88</v>
      </c>
      <c r="I25" s="12" t="s">
        <v>100</v>
      </c>
      <c r="J25" s="14" t="n">
        <v>46230</v>
      </c>
      <c r="K25" s="13" t="s">
        <v>2348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2349</v>
      </c>
      <c r="B26" s="12" t="s">
        <v>170</v>
      </c>
      <c r="C26" s="12" t="s">
        <v>2350</v>
      </c>
      <c r="D26" s="13" t="s">
        <v>2351</v>
      </c>
      <c r="E26" s="12" t="s">
        <v>122</v>
      </c>
      <c r="F26" s="12" t="s">
        <v>142</v>
      </c>
      <c r="G26" s="13" t="s">
        <v>2304</v>
      </c>
      <c r="H26" s="12" t="s">
        <v>86</v>
      </c>
      <c r="I26" s="12" t="s">
        <v>101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2352</v>
      </c>
      <c r="B27" s="12" t="s">
        <v>2353</v>
      </c>
      <c r="C27" s="12" t="s">
        <v>1172</v>
      </c>
      <c r="D27" s="13" t="s">
        <v>2354</v>
      </c>
      <c r="E27" s="12" t="s">
        <v>122</v>
      </c>
      <c r="F27" s="12" t="s">
        <v>152</v>
      </c>
      <c r="G27" s="13" t="s">
        <v>2315</v>
      </c>
      <c r="H27" s="12" t="s">
        <v>86</v>
      </c>
      <c r="I27" s="12" t="s">
        <v>101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2355</v>
      </c>
      <c r="B28" s="12" t="s">
        <v>1851</v>
      </c>
      <c r="C28" s="12" t="s">
        <v>1172</v>
      </c>
      <c r="D28" s="13" t="s">
        <v>2275</v>
      </c>
      <c r="E28" s="12" t="s">
        <v>122</v>
      </c>
      <c r="F28" s="12" t="s">
        <v>157</v>
      </c>
      <c r="G28" s="13" t="s">
        <v>2318</v>
      </c>
      <c r="H28" s="12" t="s">
        <v>88</v>
      </c>
      <c r="I28" s="12" t="s">
        <v>100</v>
      </c>
      <c r="J28" s="14" t="n">
        <v>46230</v>
      </c>
      <c r="K28" s="13" t="s">
        <v>2276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2356</v>
      </c>
      <c r="B29" s="12" t="s">
        <v>155</v>
      </c>
      <c r="C29" s="12" t="s">
        <v>1172</v>
      </c>
      <c r="D29" s="13" t="s">
        <v>2357</v>
      </c>
      <c r="E29" s="12" t="s">
        <v>122</v>
      </c>
      <c r="F29" s="12" t="s">
        <v>157</v>
      </c>
      <c r="G29" s="13" t="s">
        <v>2318</v>
      </c>
      <c r="H29" s="12" t="s">
        <v>88</v>
      </c>
      <c r="I29" s="12" t="s">
        <v>100</v>
      </c>
      <c r="J29" s="14" t="n">
        <v>46230</v>
      </c>
      <c r="K29" s="13" t="s">
        <v>2358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2359</v>
      </c>
      <c r="B30" s="12" t="s">
        <v>610</v>
      </c>
      <c r="C30" s="12" t="s">
        <v>1172</v>
      </c>
      <c r="D30" s="13" t="s">
        <v>2360</v>
      </c>
      <c r="E30" s="12" t="s">
        <v>122</v>
      </c>
      <c r="F30" s="12" t="s">
        <v>612</v>
      </c>
      <c r="G30" s="13" t="s">
        <v>2361</v>
      </c>
      <c r="H30" s="12" t="s">
        <v>86</v>
      </c>
      <c r="I30" s="12" t="s">
        <v>101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2362</v>
      </c>
      <c r="B31" s="12" t="s">
        <v>175</v>
      </c>
      <c r="C31" s="12" t="s">
        <v>1172</v>
      </c>
      <c r="D31" s="13" t="s">
        <v>2284</v>
      </c>
      <c r="E31" s="12" t="s">
        <v>122</v>
      </c>
      <c r="F31" s="12" t="s">
        <v>163</v>
      </c>
      <c r="G31" s="13" t="s">
        <v>2363</v>
      </c>
      <c r="H31" s="12" t="s">
        <v>80</v>
      </c>
      <c r="I31" s="12" t="s">
        <v>100</v>
      </c>
      <c r="J31" s="14" t="n">
        <v>46230</v>
      </c>
      <c r="K31" s="13" t="s">
        <v>1795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2364</v>
      </c>
      <c r="B32" s="12" t="s">
        <v>2365</v>
      </c>
      <c r="C32" s="12" t="s">
        <v>1172</v>
      </c>
      <c r="D32" s="13" t="s">
        <v>2366</v>
      </c>
      <c r="E32" s="12" t="s">
        <v>122</v>
      </c>
      <c r="F32" s="12" t="s">
        <v>181</v>
      </c>
      <c r="G32" s="13" t="s">
        <v>2367</v>
      </c>
      <c r="H32" s="12" t="s">
        <v>86</v>
      </c>
      <c r="I32" s="12" t="s">
        <v>101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2368</v>
      </c>
      <c r="B33" s="12" t="s">
        <v>188</v>
      </c>
      <c r="C33" s="12" t="s">
        <v>67</v>
      </c>
      <c r="D33" s="13" t="s">
        <v>2369</v>
      </c>
      <c r="E33" s="12" t="s">
        <v>190</v>
      </c>
      <c r="F33" s="12" t="s">
        <v>190</v>
      </c>
      <c r="G33" s="13" t="s">
        <v>191</v>
      </c>
      <c r="H33" s="12" t="s">
        <v>86</v>
      </c>
      <c r="I33" s="12" t="s">
        <v>101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2370</v>
      </c>
      <c r="B34" s="12" t="s">
        <v>193</v>
      </c>
      <c r="C34" s="12" t="s">
        <v>67</v>
      </c>
      <c r="D34" s="13" t="s">
        <v>2371</v>
      </c>
      <c r="E34" s="12" t="s">
        <v>122</v>
      </c>
      <c r="F34" s="12" t="s">
        <v>122</v>
      </c>
      <c r="G34" s="13" t="s">
        <v>2296</v>
      </c>
      <c r="H34" s="12" t="s">
        <v>86</v>
      </c>
      <c r="I34" s="12" t="s">
        <v>101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2373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COUNTA(A9:A39)</f>
        <v>31</v>
      </c>
      <c r="D4" s="5" t="s">
        <v>104</v>
      </c>
      <c r="E4" s="6" t="n">
        <f aca="false">SUM(M9:M39)</f>
        <v>30</v>
      </c>
      <c r="G4" s="5" t="s">
        <v>13</v>
      </c>
      <c r="H4" s="7" t="n">
        <f aca="false">IF(B4=0,0,E4/B4)</f>
        <v>0.967741935483871</v>
      </c>
      <c r="J4" s="5" t="s">
        <v>14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IF(COUNTIFS(I9:I39,"yes",M9:M39,0)&gt;0,"open","complete")</f>
        <v>open</v>
      </c>
      <c r="D5" s="5" t="s">
        <v>15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2374</v>
      </c>
      <c r="B9" s="12" t="s">
        <v>78</v>
      </c>
      <c r="C9" s="12" t="s">
        <v>1172</v>
      </c>
      <c r="D9" s="13" t="s">
        <v>2375</v>
      </c>
      <c r="E9" s="12" t="s">
        <v>122</v>
      </c>
      <c r="F9" s="12" t="s">
        <v>123</v>
      </c>
      <c r="G9" s="13" t="s">
        <v>2376</v>
      </c>
      <c r="H9" s="12" t="s">
        <v>86</v>
      </c>
      <c r="I9" s="12" t="s">
        <v>101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2377</v>
      </c>
      <c r="B10" s="12" t="s">
        <v>2378</v>
      </c>
      <c r="C10" s="12" t="s">
        <v>2379</v>
      </c>
      <c r="D10" s="13" t="s">
        <v>2380</v>
      </c>
      <c r="E10" s="12" t="s">
        <v>122</v>
      </c>
      <c r="F10" s="12" t="s">
        <v>142</v>
      </c>
      <c r="G10" s="13" t="s">
        <v>2381</v>
      </c>
      <c r="H10" s="12" t="s">
        <v>86</v>
      </c>
      <c r="I10" s="12" t="s">
        <v>101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2382</v>
      </c>
      <c r="B11" s="12" t="s">
        <v>1331</v>
      </c>
      <c r="C11" s="12" t="s">
        <v>1172</v>
      </c>
      <c r="D11" s="13" t="s">
        <v>2383</v>
      </c>
      <c r="E11" s="12" t="s">
        <v>122</v>
      </c>
      <c r="F11" s="12" t="s">
        <v>142</v>
      </c>
      <c r="G11" s="13" t="s">
        <v>2381</v>
      </c>
      <c r="H11" s="12" t="s">
        <v>86</v>
      </c>
      <c r="I11" s="12" t="s">
        <v>101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2384</v>
      </c>
      <c r="B12" s="12" t="s">
        <v>126</v>
      </c>
      <c r="C12" s="12" t="s">
        <v>1172</v>
      </c>
      <c r="D12" s="13" t="s">
        <v>2385</v>
      </c>
      <c r="E12" s="12" t="s">
        <v>122</v>
      </c>
      <c r="F12" s="12" t="s">
        <v>122</v>
      </c>
      <c r="G12" s="13" t="s">
        <v>570</v>
      </c>
      <c r="H12" s="12" t="s">
        <v>86</v>
      </c>
      <c r="I12" s="12" t="s">
        <v>101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2386</v>
      </c>
      <c r="B13" s="12" t="s">
        <v>130</v>
      </c>
      <c r="C13" s="12" t="s">
        <v>2387</v>
      </c>
      <c r="D13" s="13" t="s">
        <v>2388</v>
      </c>
      <c r="E13" s="12" t="s">
        <v>122</v>
      </c>
      <c r="F13" s="12" t="s">
        <v>132</v>
      </c>
      <c r="G13" s="13" t="s">
        <v>2389</v>
      </c>
      <c r="H13" s="12" t="s">
        <v>86</v>
      </c>
      <c r="I13" s="12" t="s">
        <v>101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2390</v>
      </c>
      <c r="B14" s="12" t="s">
        <v>135</v>
      </c>
      <c r="C14" s="12" t="s">
        <v>1172</v>
      </c>
      <c r="D14" s="13" t="s">
        <v>2391</v>
      </c>
      <c r="E14" s="12" t="s">
        <v>122</v>
      </c>
      <c r="F14" s="12" t="s">
        <v>137</v>
      </c>
      <c r="G14" s="13" t="s">
        <v>2392</v>
      </c>
      <c r="H14" s="12" t="s">
        <v>86</v>
      </c>
      <c r="I14" s="12" t="s">
        <v>101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2393</v>
      </c>
      <c r="B15" s="12" t="s">
        <v>1564</v>
      </c>
      <c r="C15" s="12" t="s">
        <v>2394</v>
      </c>
      <c r="D15" s="13" t="s">
        <v>2395</v>
      </c>
      <c r="E15" s="12" t="s">
        <v>122</v>
      </c>
      <c r="F15" s="12" t="s">
        <v>147</v>
      </c>
      <c r="G15" s="13" t="s">
        <v>2396</v>
      </c>
      <c r="H15" s="12" t="s">
        <v>86</v>
      </c>
      <c r="I15" s="12" t="s">
        <v>101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2397</v>
      </c>
      <c r="B16" s="12" t="s">
        <v>130</v>
      </c>
      <c r="C16" s="12" t="s">
        <v>2398</v>
      </c>
      <c r="D16" s="13" t="s">
        <v>2399</v>
      </c>
      <c r="E16" s="12" t="s">
        <v>122</v>
      </c>
      <c r="F16" s="12" t="s">
        <v>157</v>
      </c>
      <c r="G16" s="13" t="s">
        <v>2400</v>
      </c>
      <c r="H16" s="12" t="s">
        <v>88</v>
      </c>
      <c r="I16" s="12" t="s">
        <v>100</v>
      </c>
      <c r="J16" s="14" t="n">
        <v>46230</v>
      </c>
      <c r="K16" s="13" t="s">
        <v>2401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2402</v>
      </c>
      <c r="B17" s="12" t="s">
        <v>1074</v>
      </c>
      <c r="C17" s="12" t="s">
        <v>2403</v>
      </c>
      <c r="D17" s="13" t="s">
        <v>2404</v>
      </c>
      <c r="E17" s="12" t="s">
        <v>122</v>
      </c>
      <c r="F17" s="12" t="s">
        <v>157</v>
      </c>
      <c r="G17" s="13" t="s">
        <v>2405</v>
      </c>
      <c r="H17" s="12" t="s">
        <v>88</v>
      </c>
      <c r="I17" s="12" t="s">
        <v>100</v>
      </c>
      <c r="J17" s="14" t="n">
        <v>46230</v>
      </c>
      <c r="K17" s="13" t="s">
        <v>2406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2407</v>
      </c>
      <c r="B18" s="12" t="s">
        <v>2408</v>
      </c>
      <c r="C18" s="12" t="s">
        <v>2409</v>
      </c>
      <c r="D18" s="13" t="s">
        <v>2410</v>
      </c>
      <c r="E18" s="12" t="s">
        <v>122</v>
      </c>
      <c r="F18" s="12" t="s">
        <v>147</v>
      </c>
      <c r="G18" s="13" t="s">
        <v>2396</v>
      </c>
      <c r="H18" s="12" t="s">
        <v>86</v>
      </c>
      <c r="I18" s="12" t="s">
        <v>101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2411</v>
      </c>
      <c r="B19" s="12" t="s">
        <v>2412</v>
      </c>
      <c r="C19" s="12" t="s">
        <v>2413</v>
      </c>
      <c r="D19" s="13" t="s">
        <v>2414</v>
      </c>
      <c r="E19" s="12" t="s">
        <v>122</v>
      </c>
      <c r="F19" s="12" t="s">
        <v>147</v>
      </c>
      <c r="G19" s="13" t="s">
        <v>2415</v>
      </c>
      <c r="H19" s="12" t="s">
        <v>86</v>
      </c>
      <c r="I19" s="12" t="s">
        <v>101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2416</v>
      </c>
      <c r="B20" s="12" t="s">
        <v>2417</v>
      </c>
      <c r="C20" s="12" t="s">
        <v>2072</v>
      </c>
      <c r="D20" s="13" t="s">
        <v>2418</v>
      </c>
      <c r="E20" s="12" t="s">
        <v>122</v>
      </c>
      <c r="F20" s="12" t="s">
        <v>157</v>
      </c>
      <c r="G20" s="13" t="s">
        <v>2415</v>
      </c>
      <c r="H20" s="12" t="s">
        <v>88</v>
      </c>
      <c r="I20" s="12" t="s">
        <v>100</v>
      </c>
      <c r="J20" s="14" t="n">
        <v>46230</v>
      </c>
      <c r="K20" s="13" t="s">
        <v>2419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2420</v>
      </c>
      <c r="B21" s="12" t="s">
        <v>2421</v>
      </c>
      <c r="C21" s="12" t="s">
        <v>2413</v>
      </c>
      <c r="D21" s="13" t="s">
        <v>2422</v>
      </c>
      <c r="E21" s="12" t="s">
        <v>122</v>
      </c>
      <c r="F21" s="12" t="s">
        <v>147</v>
      </c>
      <c r="G21" s="13" t="s">
        <v>2415</v>
      </c>
      <c r="H21" s="12" t="s">
        <v>86</v>
      </c>
      <c r="I21" s="12" t="s">
        <v>101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2423</v>
      </c>
      <c r="B22" s="12" t="s">
        <v>2424</v>
      </c>
      <c r="C22" s="12" t="s">
        <v>2425</v>
      </c>
      <c r="D22" s="13" t="s">
        <v>2426</v>
      </c>
      <c r="E22" s="12" t="s">
        <v>122</v>
      </c>
      <c r="F22" s="12" t="s">
        <v>147</v>
      </c>
      <c r="G22" s="13" t="s">
        <v>2427</v>
      </c>
      <c r="H22" s="12" t="s">
        <v>86</v>
      </c>
      <c r="I22" s="12" t="s">
        <v>101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2428</v>
      </c>
      <c r="B23" s="12" t="s">
        <v>2429</v>
      </c>
      <c r="C23" s="12" t="s">
        <v>2430</v>
      </c>
      <c r="D23" s="13" t="s">
        <v>2431</v>
      </c>
      <c r="E23" s="12" t="s">
        <v>122</v>
      </c>
      <c r="F23" s="12" t="s">
        <v>142</v>
      </c>
      <c r="G23" s="13" t="s">
        <v>2432</v>
      </c>
      <c r="H23" s="12" t="s">
        <v>86</v>
      </c>
      <c r="I23" s="12" t="s">
        <v>101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2433</v>
      </c>
      <c r="B24" s="12" t="s">
        <v>2434</v>
      </c>
      <c r="C24" s="12" t="s">
        <v>2425</v>
      </c>
      <c r="D24" s="13" t="s">
        <v>2435</v>
      </c>
      <c r="E24" s="12" t="s">
        <v>122</v>
      </c>
      <c r="F24" s="12" t="s">
        <v>152</v>
      </c>
      <c r="G24" s="13" t="s">
        <v>2396</v>
      </c>
      <c r="H24" s="12" t="s">
        <v>86</v>
      </c>
      <c r="I24" s="12" t="s">
        <v>101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2436</v>
      </c>
      <c r="B25" s="12" t="s">
        <v>1571</v>
      </c>
      <c r="C25" s="12" t="s">
        <v>2437</v>
      </c>
      <c r="D25" s="13" t="s">
        <v>2438</v>
      </c>
      <c r="E25" s="12" t="s">
        <v>122</v>
      </c>
      <c r="F25" s="12" t="s">
        <v>147</v>
      </c>
      <c r="G25" s="13" t="s">
        <v>2427</v>
      </c>
      <c r="H25" s="12" t="s">
        <v>86</v>
      </c>
      <c r="I25" s="12" t="s">
        <v>101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2439</v>
      </c>
      <c r="B26" s="12" t="s">
        <v>2440</v>
      </c>
      <c r="C26" s="12" t="s">
        <v>770</v>
      </c>
      <c r="D26" s="13" t="s">
        <v>2441</v>
      </c>
      <c r="E26" s="12" t="s">
        <v>122</v>
      </c>
      <c r="F26" s="12" t="s">
        <v>123</v>
      </c>
      <c r="G26" s="13" t="s">
        <v>2442</v>
      </c>
      <c r="H26" s="12" t="s">
        <v>86</v>
      </c>
      <c r="I26" s="12" t="s">
        <v>101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2443</v>
      </c>
      <c r="B27" s="12" t="s">
        <v>2444</v>
      </c>
      <c r="C27" s="12" t="s">
        <v>2445</v>
      </c>
      <c r="D27" s="13" t="s">
        <v>2446</v>
      </c>
      <c r="E27" s="12" t="s">
        <v>122</v>
      </c>
      <c r="F27" s="12" t="s">
        <v>142</v>
      </c>
      <c r="G27" s="13" t="s">
        <v>2447</v>
      </c>
      <c r="H27" s="12" t="s">
        <v>86</v>
      </c>
      <c r="I27" s="12" t="s">
        <v>101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2448</v>
      </c>
      <c r="B28" s="12" t="s">
        <v>1519</v>
      </c>
      <c r="C28" s="12" t="s">
        <v>1172</v>
      </c>
      <c r="D28" s="13" t="s">
        <v>2449</v>
      </c>
      <c r="E28" s="12" t="s">
        <v>122</v>
      </c>
      <c r="F28" s="12" t="s">
        <v>142</v>
      </c>
      <c r="G28" s="13" t="s">
        <v>2450</v>
      </c>
      <c r="H28" s="12" t="s">
        <v>86</v>
      </c>
      <c r="I28" s="12" t="s">
        <v>101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2451</v>
      </c>
      <c r="B29" s="12" t="s">
        <v>2452</v>
      </c>
      <c r="C29" s="12" t="s">
        <v>1172</v>
      </c>
      <c r="D29" s="13" t="s">
        <v>2453</v>
      </c>
      <c r="E29" s="12" t="s">
        <v>122</v>
      </c>
      <c r="F29" s="12" t="s">
        <v>157</v>
      </c>
      <c r="G29" s="13" t="s">
        <v>2415</v>
      </c>
      <c r="H29" s="12" t="s">
        <v>88</v>
      </c>
      <c r="I29" s="12" t="s">
        <v>100</v>
      </c>
      <c r="J29" s="14" t="n">
        <v>46230</v>
      </c>
      <c r="K29" s="13" t="s">
        <v>2454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2455</v>
      </c>
      <c r="B30" s="12" t="s">
        <v>1851</v>
      </c>
      <c r="C30" s="12" t="s">
        <v>1172</v>
      </c>
      <c r="D30" s="13" t="s">
        <v>2456</v>
      </c>
      <c r="E30" s="12" t="s">
        <v>122</v>
      </c>
      <c r="F30" s="12" t="s">
        <v>157</v>
      </c>
      <c r="G30" s="13" t="s">
        <v>2400</v>
      </c>
      <c r="H30" s="12" t="s">
        <v>88</v>
      </c>
      <c r="I30" s="12" t="s">
        <v>100</v>
      </c>
      <c r="J30" s="14" t="n">
        <v>46230</v>
      </c>
      <c r="K30" s="13" t="s">
        <v>2457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2458</v>
      </c>
      <c r="B31" s="12" t="s">
        <v>2459</v>
      </c>
      <c r="C31" s="12" t="s">
        <v>2398</v>
      </c>
      <c r="D31" s="13" t="s">
        <v>2460</v>
      </c>
      <c r="E31" s="12" t="s">
        <v>122</v>
      </c>
      <c r="F31" s="12" t="s">
        <v>157</v>
      </c>
      <c r="G31" s="13" t="s">
        <v>2400</v>
      </c>
      <c r="H31" s="12" t="s">
        <v>88</v>
      </c>
      <c r="I31" s="12" t="s">
        <v>100</v>
      </c>
      <c r="J31" s="14" t="n">
        <v>46230</v>
      </c>
      <c r="K31" s="13" t="s">
        <v>2461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2462</v>
      </c>
      <c r="B32" s="12" t="s">
        <v>150</v>
      </c>
      <c r="C32" s="12" t="s">
        <v>1172</v>
      </c>
      <c r="D32" s="13" t="s">
        <v>2463</v>
      </c>
      <c r="E32" s="12" t="s">
        <v>122</v>
      </c>
      <c r="F32" s="12" t="s">
        <v>152</v>
      </c>
      <c r="G32" s="13" t="s">
        <v>2427</v>
      </c>
      <c r="H32" s="12" t="s">
        <v>86</v>
      </c>
      <c r="I32" s="12" t="s">
        <v>101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2464</v>
      </c>
      <c r="B33" s="12" t="s">
        <v>155</v>
      </c>
      <c r="C33" s="12" t="s">
        <v>1172</v>
      </c>
      <c r="D33" s="13" t="s">
        <v>2465</v>
      </c>
      <c r="E33" s="12" t="s">
        <v>122</v>
      </c>
      <c r="F33" s="12" t="s">
        <v>157</v>
      </c>
      <c r="G33" s="13" t="s">
        <v>2400</v>
      </c>
      <c r="H33" s="12" t="s">
        <v>88</v>
      </c>
      <c r="I33" s="12" t="s">
        <v>100</v>
      </c>
      <c r="J33" s="14" t="n">
        <v>46230</v>
      </c>
      <c r="K33" s="13" t="s">
        <v>2466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2467</v>
      </c>
      <c r="B34" s="12" t="s">
        <v>610</v>
      </c>
      <c r="C34" s="12" t="s">
        <v>1172</v>
      </c>
      <c r="D34" s="13" t="s">
        <v>2468</v>
      </c>
      <c r="E34" s="12" t="s">
        <v>122</v>
      </c>
      <c r="F34" s="12" t="s">
        <v>612</v>
      </c>
      <c r="G34" s="13" t="s">
        <v>2469</v>
      </c>
      <c r="H34" s="12" t="s">
        <v>86</v>
      </c>
      <c r="I34" s="12" t="s">
        <v>101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2470</v>
      </c>
      <c r="B35" s="12" t="s">
        <v>175</v>
      </c>
      <c r="C35" s="12" t="s">
        <v>1172</v>
      </c>
      <c r="D35" s="13" t="s">
        <v>2471</v>
      </c>
      <c r="E35" s="12" t="s">
        <v>122</v>
      </c>
      <c r="F35" s="12" t="s">
        <v>163</v>
      </c>
      <c r="G35" s="13" t="s">
        <v>2472</v>
      </c>
      <c r="H35" s="12" t="s">
        <v>80</v>
      </c>
      <c r="I35" s="12" t="s">
        <v>100</v>
      </c>
      <c r="J35" s="14" t="n">
        <v>46230</v>
      </c>
      <c r="K35" s="13" t="s">
        <v>1795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2473</v>
      </c>
      <c r="B36" s="12" t="s">
        <v>2365</v>
      </c>
      <c r="C36" s="12" t="s">
        <v>68</v>
      </c>
      <c r="D36" s="13" t="s">
        <v>2474</v>
      </c>
      <c r="E36" s="12" t="s">
        <v>122</v>
      </c>
      <c r="F36" s="12" t="s">
        <v>181</v>
      </c>
      <c r="G36" s="13" t="s">
        <v>2475</v>
      </c>
      <c r="H36" s="12" t="s">
        <v>86</v>
      </c>
      <c r="I36" s="12" t="s">
        <v>101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2476</v>
      </c>
      <c r="B37" s="12" t="s">
        <v>184</v>
      </c>
      <c r="C37" s="12" t="s">
        <v>68</v>
      </c>
      <c r="D37" s="13" t="s">
        <v>2477</v>
      </c>
      <c r="E37" s="12" t="s">
        <v>122</v>
      </c>
      <c r="F37" s="12" t="s">
        <v>181</v>
      </c>
      <c r="G37" s="13" t="s">
        <v>2478</v>
      </c>
      <c r="H37" s="12" t="s">
        <v>86</v>
      </c>
      <c r="I37" s="12" t="s">
        <v>101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2479</v>
      </c>
      <c r="B38" s="12" t="s">
        <v>188</v>
      </c>
      <c r="C38" s="12" t="s">
        <v>2379</v>
      </c>
      <c r="D38" s="13" t="s">
        <v>2480</v>
      </c>
      <c r="E38" s="12" t="s">
        <v>190</v>
      </c>
      <c r="F38" s="12" t="s">
        <v>190</v>
      </c>
      <c r="G38" s="13" t="s">
        <v>191</v>
      </c>
      <c r="H38" s="12" t="s">
        <v>86</v>
      </c>
      <c r="I38" s="12" t="s">
        <v>101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2481</v>
      </c>
      <c r="B39" s="12" t="s">
        <v>193</v>
      </c>
      <c r="C39" s="12" t="s">
        <v>68</v>
      </c>
      <c r="D39" s="13" t="s">
        <v>2482</v>
      </c>
      <c r="E39" s="12" t="s">
        <v>122</v>
      </c>
      <c r="F39" s="12" t="s">
        <v>122</v>
      </c>
      <c r="G39" s="13" t="s">
        <v>2483</v>
      </c>
      <c r="H39" s="12" t="s">
        <v>86</v>
      </c>
      <c r="I39" s="12" t="s">
        <v>101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104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1483</v>
      </c>
      <c r="B9" s="12" t="s">
        <v>78</v>
      </c>
      <c r="C9" s="12" t="s">
        <v>1172</v>
      </c>
      <c r="D9" s="13" t="s">
        <v>2486</v>
      </c>
      <c r="E9" s="12" t="s">
        <v>122</v>
      </c>
      <c r="F9" s="12" t="s">
        <v>123</v>
      </c>
      <c r="G9" s="13" t="s">
        <v>2487</v>
      </c>
      <c r="H9" s="12" t="s">
        <v>86</v>
      </c>
      <c r="I9" s="12" t="s">
        <v>101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1486</v>
      </c>
      <c r="B10" s="12" t="s">
        <v>2378</v>
      </c>
      <c r="C10" s="12" t="s">
        <v>1172</v>
      </c>
      <c r="D10" s="13" t="s">
        <v>2488</v>
      </c>
      <c r="E10" s="12" t="s">
        <v>122</v>
      </c>
      <c r="F10" s="12" t="s">
        <v>142</v>
      </c>
      <c r="G10" s="13" t="s">
        <v>2489</v>
      </c>
      <c r="H10" s="12" t="s">
        <v>86</v>
      </c>
      <c r="I10" s="12" t="s">
        <v>101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1490</v>
      </c>
      <c r="B11" s="12" t="s">
        <v>1331</v>
      </c>
      <c r="C11" s="12" t="s">
        <v>2490</v>
      </c>
      <c r="D11" s="13" t="s">
        <v>2491</v>
      </c>
      <c r="E11" s="12" t="s">
        <v>122</v>
      </c>
      <c r="F11" s="12" t="s">
        <v>142</v>
      </c>
      <c r="G11" s="13" t="s">
        <v>2489</v>
      </c>
      <c r="H11" s="12" t="s">
        <v>86</v>
      </c>
      <c r="I11" s="12" t="s">
        <v>101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1492</v>
      </c>
      <c r="B12" s="12" t="s">
        <v>130</v>
      </c>
      <c r="C12" s="12" t="s">
        <v>2387</v>
      </c>
      <c r="D12" s="13" t="s">
        <v>2492</v>
      </c>
      <c r="E12" s="12" t="s">
        <v>122</v>
      </c>
      <c r="F12" s="12" t="s">
        <v>132</v>
      </c>
      <c r="G12" s="13" t="s">
        <v>2493</v>
      </c>
      <c r="H12" s="12" t="s">
        <v>86</v>
      </c>
      <c r="I12" s="12" t="s">
        <v>101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1495</v>
      </c>
      <c r="B13" s="12" t="s">
        <v>126</v>
      </c>
      <c r="C13" s="12" t="s">
        <v>1172</v>
      </c>
      <c r="D13" s="13" t="s">
        <v>2494</v>
      </c>
      <c r="E13" s="12" t="s">
        <v>122</v>
      </c>
      <c r="F13" s="12" t="s">
        <v>122</v>
      </c>
      <c r="G13" s="13" t="s">
        <v>128</v>
      </c>
      <c r="H13" s="12" t="s">
        <v>86</v>
      </c>
      <c r="I13" s="12" t="s">
        <v>101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1498</v>
      </c>
      <c r="B14" s="12" t="s">
        <v>1298</v>
      </c>
      <c r="C14" s="12" t="s">
        <v>770</v>
      </c>
      <c r="D14" s="13" t="s">
        <v>2495</v>
      </c>
      <c r="E14" s="12" t="s">
        <v>122</v>
      </c>
      <c r="F14" s="12" t="s">
        <v>122</v>
      </c>
      <c r="G14" s="13" t="s">
        <v>1300</v>
      </c>
      <c r="H14" s="12" t="s">
        <v>86</v>
      </c>
      <c r="I14" s="12" t="s">
        <v>101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1501</v>
      </c>
      <c r="B15" s="12" t="s">
        <v>1564</v>
      </c>
      <c r="C15" s="12" t="s">
        <v>770</v>
      </c>
      <c r="D15" s="13" t="s">
        <v>2496</v>
      </c>
      <c r="E15" s="12" t="s">
        <v>122</v>
      </c>
      <c r="F15" s="12" t="s">
        <v>142</v>
      </c>
      <c r="G15" s="13" t="s">
        <v>2489</v>
      </c>
      <c r="H15" s="12" t="s">
        <v>86</v>
      </c>
      <c r="I15" s="12" t="s">
        <v>101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1504</v>
      </c>
      <c r="B16" s="12" t="s">
        <v>1121</v>
      </c>
      <c r="C16" s="12" t="s">
        <v>770</v>
      </c>
      <c r="D16" s="13" t="s">
        <v>2497</v>
      </c>
      <c r="E16" s="12" t="s">
        <v>122</v>
      </c>
      <c r="F16" s="12" t="s">
        <v>147</v>
      </c>
      <c r="G16" s="13" t="s">
        <v>2498</v>
      </c>
      <c r="H16" s="12" t="s">
        <v>86</v>
      </c>
      <c r="I16" s="12" t="s">
        <v>101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1508</v>
      </c>
      <c r="B17" s="12" t="s">
        <v>650</v>
      </c>
      <c r="C17" s="12" t="s">
        <v>2499</v>
      </c>
      <c r="D17" s="13" t="s">
        <v>2500</v>
      </c>
      <c r="E17" s="12" t="s">
        <v>122</v>
      </c>
      <c r="F17" s="12" t="s">
        <v>142</v>
      </c>
      <c r="G17" s="13" t="s">
        <v>2489</v>
      </c>
      <c r="H17" s="12" t="s">
        <v>86</v>
      </c>
      <c r="I17" s="12" t="s">
        <v>101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1511</v>
      </c>
      <c r="B18" s="12" t="s">
        <v>2501</v>
      </c>
      <c r="C18" s="12" t="s">
        <v>2499</v>
      </c>
      <c r="D18" s="13" t="s">
        <v>2502</v>
      </c>
      <c r="E18" s="12" t="s">
        <v>122</v>
      </c>
      <c r="F18" s="12" t="s">
        <v>147</v>
      </c>
      <c r="G18" s="13" t="s">
        <v>2498</v>
      </c>
      <c r="H18" s="12" t="s">
        <v>86</v>
      </c>
      <c r="I18" s="12" t="s">
        <v>101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1513</v>
      </c>
      <c r="B19" s="12" t="s">
        <v>2503</v>
      </c>
      <c r="C19" s="12" t="s">
        <v>2504</v>
      </c>
      <c r="D19" s="13" t="s">
        <v>2505</v>
      </c>
      <c r="E19" s="12" t="s">
        <v>122</v>
      </c>
      <c r="F19" s="12" t="s">
        <v>147</v>
      </c>
      <c r="G19" s="13" t="s">
        <v>2498</v>
      </c>
      <c r="H19" s="12" t="s">
        <v>86</v>
      </c>
      <c r="I19" s="12" t="s">
        <v>101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1516</v>
      </c>
      <c r="B20" s="12" t="s">
        <v>161</v>
      </c>
      <c r="C20" s="12" t="s">
        <v>41</v>
      </c>
      <c r="D20" s="13" t="s">
        <v>2506</v>
      </c>
      <c r="E20" s="12" t="s">
        <v>122</v>
      </c>
      <c r="F20" s="12" t="s">
        <v>147</v>
      </c>
      <c r="G20" s="13" t="s">
        <v>2498</v>
      </c>
      <c r="H20" s="12" t="s">
        <v>86</v>
      </c>
      <c r="I20" s="12" t="s">
        <v>101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1518</v>
      </c>
      <c r="B21" s="12" t="s">
        <v>2507</v>
      </c>
      <c r="C21" s="12" t="s">
        <v>2508</v>
      </c>
      <c r="D21" s="13" t="s">
        <v>2509</v>
      </c>
      <c r="E21" s="12" t="s">
        <v>122</v>
      </c>
      <c r="F21" s="12" t="s">
        <v>147</v>
      </c>
      <c r="G21" s="13" t="s">
        <v>2498</v>
      </c>
      <c r="H21" s="12" t="s">
        <v>86</v>
      </c>
      <c r="I21" s="12" t="s">
        <v>101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1522</v>
      </c>
      <c r="B22" s="12" t="s">
        <v>2510</v>
      </c>
      <c r="C22" s="12" t="s">
        <v>1172</v>
      </c>
      <c r="D22" s="13" t="s">
        <v>2511</v>
      </c>
      <c r="E22" s="12" t="s">
        <v>122</v>
      </c>
      <c r="F22" s="12" t="s">
        <v>157</v>
      </c>
      <c r="G22" s="13" t="s">
        <v>2512</v>
      </c>
      <c r="H22" s="12" t="s">
        <v>88</v>
      </c>
      <c r="I22" s="12" t="s">
        <v>100</v>
      </c>
      <c r="J22" s="14" t="n">
        <v>46230</v>
      </c>
      <c r="K22" s="13" t="s">
        <v>2513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1525</v>
      </c>
      <c r="B23" s="12" t="s">
        <v>1851</v>
      </c>
      <c r="C23" s="12" t="s">
        <v>1172</v>
      </c>
      <c r="D23" s="13" t="s">
        <v>2514</v>
      </c>
      <c r="E23" s="12" t="s">
        <v>122</v>
      </c>
      <c r="F23" s="12" t="s">
        <v>157</v>
      </c>
      <c r="G23" s="13" t="s">
        <v>2512</v>
      </c>
      <c r="H23" s="12" t="s">
        <v>88</v>
      </c>
      <c r="I23" s="12" t="s">
        <v>100</v>
      </c>
      <c r="J23" s="14" t="n">
        <v>46230</v>
      </c>
      <c r="K23" s="13" t="s">
        <v>2515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1529</v>
      </c>
      <c r="B24" s="12" t="s">
        <v>155</v>
      </c>
      <c r="C24" s="12" t="s">
        <v>1172</v>
      </c>
      <c r="D24" s="13" t="s">
        <v>2516</v>
      </c>
      <c r="E24" s="12" t="s">
        <v>122</v>
      </c>
      <c r="F24" s="12" t="s">
        <v>157</v>
      </c>
      <c r="G24" s="13" t="s">
        <v>2512</v>
      </c>
      <c r="H24" s="12" t="s">
        <v>88</v>
      </c>
      <c r="I24" s="12" t="s">
        <v>100</v>
      </c>
      <c r="J24" s="14" t="n">
        <v>46231</v>
      </c>
      <c r="K24" s="13" t="s">
        <v>2517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1532</v>
      </c>
      <c r="B25" s="12" t="s">
        <v>150</v>
      </c>
      <c r="C25" s="12" t="s">
        <v>1172</v>
      </c>
      <c r="D25" s="13" t="s">
        <v>2518</v>
      </c>
      <c r="E25" s="12" t="s">
        <v>122</v>
      </c>
      <c r="F25" s="12" t="s">
        <v>152</v>
      </c>
      <c r="G25" s="13" t="s">
        <v>2498</v>
      </c>
      <c r="H25" s="12" t="s">
        <v>86</v>
      </c>
      <c r="I25" s="12" t="s">
        <v>101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1534</v>
      </c>
      <c r="B26" s="12" t="s">
        <v>610</v>
      </c>
      <c r="C26" s="12" t="s">
        <v>1172</v>
      </c>
      <c r="D26" s="13" t="s">
        <v>2519</v>
      </c>
      <c r="E26" s="12" t="s">
        <v>122</v>
      </c>
      <c r="F26" s="12" t="s">
        <v>612</v>
      </c>
      <c r="G26" s="13" t="s">
        <v>2520</v>
      </c>
      <c r="H26" s="12" t="s">
        <v>86</v>
      </c>
      <c r="I26" s="12" t="s">
        <v>101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1536</v>
      </c>
      <c r="B27" s="12" t="s">
        <v>2365</v>
      </c>
      <c r="C27" s="12" t="s">
        <v>2521</v>
      </c>
      <c r="D27" s="13" t="s">
        <v>2522</v>
      </c>
      <c r="E27" s="12" t="s">
        <v>122</v>
      </c>
      <c r="F27" s="12" t="s">
        <v>181</v>
      </c>
      <c r="G27" s="13" t="s">
        <v>2523</v>
      </c>
      <c r="H27" s="12" t="s">
        <v>86</v>
      </c>
      <c r="I27" s="12" t="s">
        <v>101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1539</v>
      </c>
      <c r="B28" s="12" t="s">
        <v>184</v>
      </c>
      <c r="C28" s="12" t="s">
        <v>2521</v>
      </c>
      <c r="D28" s="13" t="s">
        <v>2524</v>
      </c>
      <c r="E28" s="12" t="s">
        <v>122</v>
      </c>
      <c r="F28" s="12" t="s">
        <v>181</v>
      </c>
      <c r="G28" s="13" t="s">
        <v>2525</v>
      </c>
      <c r="H28" s="12" t="s">
        <v>86</v>
      </c>
      <c r="I28" s="12" t="s">
        <v>101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1542</v>
      </c>
      <c r="B29" s="12" t="s">
        <v>188</v>
      </c>
      <c r="C29" s="12" t="s">
        <v>2521</v>
      </c>
      <c r="D29" s="13" t="s">
        <v>2526</v>
      </c>
      <c r="E29" s="12" t="s">
        <v>190</v>
      </c>
      <c r="F29" s="12" t="s">
        <v>190</v>
      </c>
      <c r="G29" s="13" t="s">
        <v>2527</v>
      </c>
      <c r="H29" s="12" t="s">
        <v>86</v>
      </c>
      <c r="I29" s="12" t="s">
        <v>101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1544</v>
      </c>
      <c r="B30" s="12" t="s">
        <v>175</v>
      </c>
      <c r="C30" s="12" t="s">
        <v>1172</v>
      </c>
      <c r="D30" s="13" t="s">
        <v>2528</v>
      </c>
      <c r="E30" s="12" t="s">
        <v>122</v>
      </c>
      <c r="F30" s="12" t="s">
        <v>163</v>
      </c>
      <c r="G30" s="13" t="s">
        <v>2529</v>
      </c>
      <c r="H30" s="12" t="s">
        <v>80</v>
      </c>
      <c r="I30" s="12" t="s">
        <v>100</v>
      </c>
      <c r="J30" s="14" t="n">
        <v>46230</v>
      </c>
      <c r="K30" s="13" t="s">
        <v>1795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2530</v>
      </c>
      <c r="B31" s="12" t="s">
        <v>193</v>
      </c>
      <c r="C31" s="12" t="s">
        <v>2521</v>
      </c>
      <c r="D31" s="13" t="s">
        <v>2531</v>
      </c>
      <c r="E31" s="12" t="s">
        <v>122</v>
      </c>
      <c r="F31" s="12" t="s">
        <v>122</v>
      </c>
      <c r="G31" s="13" t="s">
        <v>2532</v>
      </c>
      <c r="H31" s="12" t="s">
        <v>86</v>
      </c>
      <c r="I31" s="12" t="s">
        <v>101</v>
      </c>
      <c r="J31" s="14" t="n">
        <v>46231</v>
      </c>
      <c r="K31" s="13" t="s">
        <v>2533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COUNTA(A9:A33)</f>
        <v>25</v>
      </c>
      <c r="D4" s="5" t="s">
        <v>104</v>
      </c>
      <c r="E4" s="6" t="n">
        <f aca="false">SUM(M9:M33)</f>
        <v>21</v>
      </c>
      <c r="G4" s="5" t="s">
        <v>13</v>
      </c>
      <c r="H4" s="7" t="n">
        <f aca="false">IF(B4=0,0,E4/B4)</f>
        <v>0.84</v>
      </c>
      <c r="J4" s="5" t="s">
        <v>14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IF(COUNTIFS(I9:I33,"yes",M9:M33,0)&gt;0,"open","complete")</f>
        <v>open</v>
      </c>
      <c r="D5" s="5" t="s">
        <v>15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2536</v>
      </c>
      <c r="B9" s="12" t="s">
        <v>78</v>
      </c>
      <c r="C9" s="12" t="s">
        <v>1172</v>
      </c>
      <c r="D9" s="13" t="s">
        <v>2537</v>
      </c>
      <c r="E9" s="12" t="s">
        <v>122</v>
      </c>
      <c r="F9" s="12" t="s">
        <v>123</v>
      </c>
      <c r="G9" s="13" t="s">
        <v>2538</v>
      </c>
      <c r="H9" s="12" t="s">
        <v>86</v>
      </c>
      <c r="I9" s="12" t="s">
        <v>101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2539</v>
      </c>
      <c r="B10" s="12" t="s">
        <v>2378</v>
      </c>
      <c r="C10" s="12" t="s">
        <v>1172</v>
      </c>
      <c r="D10" s="13" t="s">
        <v>2540</v>
      </c>
      <c r="E10" s="12" t="s">
        <v>122</v>
      </c>
      <c r="F10" s="12" t="s">
        <v>142</v>
      </c>
      <c r="G10" s="13" t="s">
        <v>2541</v>
      </c>
      <c r="H10" s="12" t="s">
        <v>86</v>
      </c>
      <c r="I10" s="12" t="s">
        <v>101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2542</v>
      </c>
      <c r="B11" s="12" t="s">
        <v>1331</v>
      </c>
      <c r="C11" s="12" t="s">
        <v>1172</v>
      </c>
      <c r="D11" s="13" t="s">
        <v>2543</v>
      </c>
      <c r="E11" s="12" t="s">
        <v>122</v>
      </c>
      <c r="F11" s="12" t="s">
        <v>142</v>
      </c>
      <c r="G11" s="13" t="s">
        <v>2541</v>
      </c>
      <c r="H11" s="12" t="s">
        <v>86</v>
      </c>
      <c r="I11" s="12" t="s">
        <v>101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2544</v>
      </c>
      <c r="B12" s="12" t="s">
        <v>130</v>
      </c>
      <c r="C12" s="12" t="s">
        <v>2387</v>
      </c>
      <c r="D12" s="13" t="s">
        <v>2545</v>
      </c>
      <c r="E12" s="12" t="s">
        <v>122</v>
      </c>
      <c r="F12" s="12" t="s">
        <v>132</v>
      </c>
      <c r="G12" s="13" t="s">
        <v>2546</v>
      </c>
      <c r="H12" s="12" t="s">
        <v>86</v>
      </c>
      <c r="I12" s="12" t="s">
        <v>101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2547</v>
      </c>
      <c r="B13" s="12" t="s">
        <v>126</v>
      </c>
      <c r="C13" s="12" t="s">
        <v>1172</v>
      </c>
      <c r="D13" s="13" t="s">
        <v>2548</v>
      </c>
      <c r="E13" s="12" t="s">
        <v>122</v>
      </c>
      <c r="F13" s="12" t="s">
        <v>122</v>
      </c>
      <c r="G13" s="13" t="s">
        <v>128</v>
      </c>
      <c r="H13" s="12" t="s">
        <v>86</v>
      </c>
      <c r="I13" s="12" t="s">
        <v>101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2549</v>
      </c>
      <c r="B14" s="12" t="s">
        <v>1298</v>
      </c>
      <c r="C14" s="12" t="s">
        <v>1172</v>
      </c>
      <c r="D14" s="13" t="s">
        <v>2550</v>
      </c>
      <c r="E14" s="12" t="s">
        <v>122</v>
      </c>
      <c r="F14" s="12" t="s">
        <v>122</v>
      </c>
      <c r="G14" s="13" t="s">
        <v>1300</v>
      </c>
      <c r="H14" s="12" t="s">
        <v>86</v>
      </c>
      <c r="I14" s="12" t="s">
        <v>101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2551</v>
      </c>
      <c r="B15" s="12" t="s">
        <v>1564</v>
      </c>
      <c r="C15" s="12" t="s">
        <v>770</v>
      </c>
      <c r="D15" s="13" t="s">
        <v>2552</v>
      </c>
      <c r="E15" s="12" t="s">
        <v>122</v>
      </c>
      <c r="F15" s="12" t="s">
        <v>142</v>
      </c>
      <c r="G15" s="13" t="s">
        <v>2541</v>
      </c>
      <c r="H15" s="12" t="s">
        <v>86</v>
      </c>
      <c r="I15" s="12" t="s">
        <v>101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2553</v>
      </c>
      <c r="B16" s="12" t="s">
        <v>1121</v>
      </c>
      <c r="C16" s="12" t="s">
        <v>770</v>
      </c>
      <c r="D16" s="13" t="s">
        <v>2554</v>
      </c>
      <c r="E16" s="12" t="s">
        <v>122</v>
      </c>
      <c r="F16" s="12" t="s">
        <v>147</v>
      </c>
      <c r="G16" s="13" t="s">
        <v>2555</v>
      </c>
      <c r="H16" s="12" t="s">
        <v>86</v>
      </c>
      <c r="I16" s="12" t="s">
        <v>101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2556</v>
      </c>
      <c r="B17" s="12" t="s">
        <v>2557</v>
      </c>
      <c r="C17" s="12" t="s">
        <v>2558</v>
      </c>
      <c r="D17" s="13" t="s">
        <v>2559</v>
      </c>
      <c r="E17" s="12" t="s">
        <v>122</v>
      </c>
      <c r="F17" s="12" t="s">
        <v>142</v>
      </c>
      <c r="G17" s="13" t="s">
        <v>2541</v>
      </c>
      <c r="H17" s="12" t="s">
        <v>86</v>
      </c>
      <c r="I17" s="12" t="s">
        <v>101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2560</v>
      </c>
      <c r="B18" s="12" t="s">
        <v>1161</v>
      </c>
      <c r="C18" s="12" t="s">
        <v>2561</v>
      </c>
      <c r="D18" s="13" t="s">
        <v>2562</v>
      </c>
      <c r="E18" s="12" t="s">
        <v>122</v>
      </c>
      <c r="F18" s="12" t="s">
        <v>147</v>
      </c>
      <c r="G18" s="13" t="s">
        <v>2555</v>
      </c>
      <c r="H18" s="12" t="s">
        <v>86</v>
      </c>
      <c r="I18" s="12" t="s">
        <v>101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2563</v>
      </c>
      <c r="B19" s="12" t="s">
        <v>2564</v>
      </c>
      <c r="C19" s="12" t="s">
        <v>2561</v>
      </c>
      <c r="D19" s="13" t="s">
        <v>2565</v>
      </c>
      <c r="E19" s="12" t="s">
        <v>122</v>
      </c>
      <c r="F19" s="12" t="s">
        <v>147</v>
      </c>
      <c r="G19" s="13" t="s">
        <v>2555</v>
      </c>
      <c r="H19" s="12" t="s">
        <v>86</v>
      </c>
      <c r="I19" s="12" t="s">
        <v>101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2566</v>
      </c>
      <c r="B20" s="12" t="s">
        <v>2567</v>
      </c>
      <c r="C20" s="12" t="s">
        <v>2568</v>
      </c>
      <c r="D20" s="13" t="s">
        <v>2569</v>
      </c>
      <c r="E20" s="12" t="s">
        <v>122</v>
      </c>
      <c r="F20" s="12" t="s">
        <v>147</v>
      </c>
      <c r="G20" s="13" t="s">
        <v>2555</v>
      </c>
      <c r="H20" s="12" t="s">
        <v>86</v>
      </c>
      <c r="I20" s="12" t="s">
        <v>101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2570</v>
      </c>
      <c r="B21" s="12" t="s">
        <v>150</v>
      </c>
      <c r="C21" s="12" t="s">
        <v>1172</v>
      </c>
      <c r="D21" s="13" t="s">
        <v>2571</v>
      </c>
      <c r="E21" s="12" t="s">
        <v>122</v>
      </c>
      <c r="F21" s="12" t="s">
        <v>147</v>
      </c>
      <c r="G21" s="13" t="s">
        <v>2555</v>
      </c>
      <c r="H21" s="12" t="s">
        <v>86</v>
      </c>
      <c r="I21" s="12" t="s">
        <v>101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2572</v>
      </c>
      <c r="B22" s="12" t="s">
        <v>161</v>
      </c>
      <c r="C22" s="12" t="s">
        <v>2573</v>
      </c>
      <c r="D22" s="13" t="s">
        <v>2574</v>
      </c>
      <c r="E22" s="12" t="s">
        <v>122</v>
      </c>
      <c r="F22" s="12" t="s">
        <v>147</v>
      </c>
      <c r="G22" s="13" t="s">
        <v>2555</v>
      </c>
      <c r="H22" s="12" t="s">
        <v>86</v>
      </c>
      <c r="I22" s="12" t="s">
        <v>101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2575</v>
      </c>
      <c r="B23" s="12" t="s">
        <v>1851</v>
      </c>
      <c r="C23" s="12" t="s">
        <v>1172</v>
      </c>
      <c r="D23" s="13" t="s">
        <v>2576</v>
      </c>
      <c r="E23" s="12" t="s">
        <v>122</v>
      </c>
      <c r="F23" s="12" t="s">
        <v>157</v>
      </c>
      <c r="G23" s="13" t="s">
        <v>2577</v>
      </c>
      <c r="H23" s="12" t="s">
        <v>84</v>
      </c>
      <c r="I23" s="12" t="s">
        <v>100</v>
      </c>
      <c r="J23" s="14" t="n">
        <v>46231</v>
      </c>
      <c r="K23" s="13" t="s">
        <v>2578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2579</v>
      </c>
      <c r="B24" s="12" t="s">
        <v>2459</v>
      </c>
      <c r="C24" s="12" t="s">
        <v>2561</v>
      </c>
      <c r="D24" s="13" t="s">
        <v>2580</v>
      </c>
      <c r="E24" s="12" t="s">
        <v>122</v>
      </c>
      <c r="F24" s="12" t="s">
        <v>163</v>
      </c>
      <c r="G24" s="13" t="s">
        <v>2581</v>
      </c>
      <c r="H24" s="12" t="s">
        <v>84</v>
      </c>
      <c r="I24" s="12" t="s">
        <v>100</v>
      </c>
      <c r="J24" s="14" t="n">
        <v>46231</v>
      </c>
      <c r="K24" s="13" t="s">
        <v>2582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2583</v>
      </c>
      <c r="B25" s="12" t="s">
        <v>155</v>
      </c>
      <c r="C25" s="12" t="s">
        <v>1172</v>
      </c>
      <c r="D25" s="13" t="s">
        <v>2584</v>
      </c>
      <c r="E25" s="12" t="s">
        <v>122</v>
      </c>
      <c r="F25" s="12" t="s">
        <v>157</v>
      </c>
      <c r="G25" s="13" t="s">
        <v>2577</v>
      </c>
      <c r="H25" s="12" t="s">
        <v>84</v>
      </c>
      <c r="I25" s="12" t="s">
        <v>100</v>
      </c>
      <c r="J25" s="14" t="n">
        <v>46231</v>
      </c>
      <c r="K25" s="13" t="s">
        <v>2585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2586</v>
      </c>
      <c r="B26" s="12" t="s">
        <v>1519</v>
      </c>
      <c r="C26" s="12" t="s">
        <v>2587</v>
      </c>
      <c r="D26" s="13" t="s">
        <v>2588</v>
      </c>
      <c r="E26" s="12" t="s">
        <v>122</v>
      </c>
      <c r="F26" s="12" t="s">
        <v>142</v>
      </c>
      <c r="G26" s="13" t="s">
        <v>2541</v>
      </c>
      <c r="H26" s="12" t="s">
        <v>86</v>
      </c>
      <c r="I26" s="12" t="s">
        <v>101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2589</v>
      </c>
      <c r="B27" s="12" t="s">
        <v>2365</v>
      </c>
      <c r="C27" s="12" t="s">
        <v>2590</v>
      </c>
      <c r="D27" s="13" t="s">
        <v>2591</v>
      </c>
      <c r="E27" s="12" t="s">
        <v>122</v>
      </c>
      <c r="F27" s="12" t="s">
        <v>2592</v>
      </c>
      <c r="G27" s="13" t="s">
        <v>2593</v>
      </c>
      <c r="H27" s="12" t="s">
        <v>86</v>
      </c>
      <c r="I27" s="12" t="s">
        <v>101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2594</v>
      </c>
      <c r="B28" s="12" t="s">
        <v>184</v>
      </c>
      <c r="C28" s="12" t="s">
        <v>2595</v>
      </c>
      <c r="D28" s="13" t="s">
        <v>2596</v>
      </c>
      <c r="E28" s="12" t="s">
        <v>122</v>
      </c>
      <c r="F28" s="12" t="s">
        <v>2592</v>
      </c>
      <c r="G28" s="13" t="s">
        <v>2597</v>
      </c>
      <c r="H28" s="12" t="s">
        <v>86</v>
      </c>
      <c r="I28" s="12" t="s">
        <v>101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2598</v>
      </c>
      <c r="B29" s="12" t="s">
        <v>610</v>
      </c>
      <c r="C29" s="12" t="s">
        <v>1172</v>
      </c>
      <c r="D29" s="13" t="s">
        <v>2599</v>
      </c>
      <c r="E29" s="12" t="s">
        <v>122</v>
      </c>
      <c r="F29" s="12" t="s">
        <v>612</v>
      </c>
      <c r="G29" s="13" t="s">
        <v>2600</v>
      </c>
      <c r="H29" s="12" t="s">
        <v>86</v>
      </c>
      <c r="I29" s="12" t="s">
        <v>101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2601</v>
      </c>
      <c r="B30" s="12" t="s">
        <v>175</v>
      </c>
      <c r="C30" s="12" t="s">
        <v>1172</v>
      </c>
      <c r="D30" s="13" t="s">
        <v>2602</v>
      </c>
      <c r="E30" s="12" t="s">
        <v>122</v>
      </c>
      <c r="F30" s="12" t="s">
        <v>163</v>
      </c>
      <c r="G30" s="13" t="s">
        <v>2581</v>
      </c>
      <c r="H30" s="12" t="s">
        <v>80</v>
      </c>
      <c r="I30" s="12" t="s">
        <v>100</v>
      </c>
      <c r="J30" s="14" t="n">
        <v>46231</v>
      </c>
      <c r="K30" s="13" t="s">
        <v>2603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2604</v>
      </c>
      <c r="B31" s="12" t="s">
        <v>188</v>
      </c>
      <c r="C31" s="12" t="s">
        <v>2605</v>
      </c>
      <c r="D31" s="13" t="s">
        <v>2606</v>
      </c>
      <c r="E31" s="12" t="s">
        <v>190</v>
      </c>
      <c r="F31" s="12" t="s">
        <v>190</v>
      </c>
      <c r="G31" s="13" t="s">
        <v>191</v>
      </c>
      <c r="H31" s="12" t="s">
        <v>86</v>
      </c>
      <c r="I31" s="12" t="s">
        <v>101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2607</v>
      </c>
      <c r="B32" s="12" t="s">
        <v>193</v>
      </c>
      <c r="C32" s="12" t="s">
        <v>2608</v>
      </c>
      <c r="D32" s="13" t="s">
        <v>2609</v>
      </c>
      <c r="E32" s="12" t="s">
        <v>122</v>
      </c>
      <c r="F32" s="12" t="s">
        <v>122</v>
      </c>
      <c r="G32" s="13" t="s">
        <v>195</v>
      </c>
      <c r="H32" s="12" t="s">
        <v>86</v>
      </c>
      <c r="I32" s="12" t="s">
        <v>101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2610</v>
      </c>
      <c r="B33" s="12" t="s">
        <v>2611</v>
      </c>
      <c r="C33" s="12" t="s">
        <v>1172</v>
      </c>
      <c r="D33" s="13" t="s">
        <v>2612</v>
      </c>
      <c r="E33" s="12" t="s">
        <v>122</v>
      </c>
      <c r="F33" s="12" t="s">
        <v>2592</v>
      </c>
      <c r="G33" s="13" t="s">
        <v>2593</v>
      </c>
      <c r="H33" s="12" t="s">
        <v>86</v>
      </c>
      <c r="I33" s="12" t="s">
        <v>101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COUNTA(A9:A34)</f>
        <v>26</v>
      </c>
      <c r="D4" s="5" t="s">
        <v>104</v>
      </c>
      <c r="E4" s="6" t="n">
        <f aca="false">SUM(M9:M34)</f>
        <v>22</v>
      </c>
      <c r="G4" s="5" t="s">
        <v>13</v>
      </c>
      <c r="H4" s="7" t="n">
        <f aca="false">IF(B4=0,0,E4/B4)</f>
        <v>0.846153846153846</v>
      </c>
      <c r="J4" s="5" t="s">
        <v>14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IF(COUNTIFS(I9:I34,"yes",M9:M34,0)&gt;0,"open","complete")</f>
        <v>open</v>
      </c>
      <c r="D5" s="5" t="s">
        <v>15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106</v>
      </c>
      <c r="B8" s="8" t="s">
        <v>107</v>
      </c>
      <c r="C8" s="8" t="s">
        <v>108</v>
      </c>
      <c r="D8" s="8" t="s">
        <v>109</v>
      </c>
      <c r="E8" s="8" t="s">
        <v>110</v>
      </c>
      <c r="F8" s="8" t="s">
        <v>111</v>
      </c>
      <c r="G8" s="8" t="s">
        <v>112</v>
      </c>
      <c r="H8" s="8" t="s">
        <v>113</v>
      </c>
      <c r="I8" s="8" t="s">
        <v>114</v>
      </c>
      <c r="J8" s="11" t="s">
        <v>115</v>
      </c>
      <c r="K8" s="8" t="s">
        <v>116</v>
      </c>
      <c r="L8" s="8" t="s">
        <v>117</v>
      </c>
      <c r="M8" s="8" t="s">
        <v>104</v>
      </c>
    </row>
    <row r="9" customFormat="false" ht="54" hidden="false" customHeight="true" outlineLevel="0" collapsed="false">
      <c r="A9" s="12" t="s">
        <v>2615</v>
      </c>
      <c r="B9" s="12" t="s">
        <v>78</v>
      </c>
      <c r="C9" s="12" t="s">
        <v>1172</v>
      </c>
      <c r="D9" s="13" t="s">
        <v>2616</v>
      </c>
      <c r="E9" s="12" t="s">
        <v>122</v>
      </c>
      <c r="F9" s="12" t="s">
        <v>123</v>
      </c>
      <c r="G9" s="13" t="s">
        <v>2617</v>
      </c>
      <c r="H9" s="12" t="s">
        <v>86</v>
      </c>
      <c r="I9" s="12" t="s">
        <v>101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2618</v>
      </c>
      <c r="B10" s="12" t="s">
        <v>2378</v>
      </c>
      <c r="C10" s="12" t="s">
        <v>1172</v>
      </c>
      <c r="D10" s="13" t="s">
        <v>2619</v>
      </c>
      <c r="E10" s="12" t="s">
        <v>122</v>
      </c>
      <c r="F10" s="12" t="s">
        <v>142</v>
      </c>
      <c r="G10" s="13" t="s">
        <v>2620</v>
      </c>
      <c r="H10" s="12" t="s">
        <v>86</v>
      </c>
      <c r="I10" s="12" t="s">
        <v>101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2621</v>
      </c>
      <c r="B11" s="12" t="s">
        <v>1331</v>
      </c>
      <c r="C11" s="12" t="s">
        <v>1172</v>
      </c>
      <c r="D11" s="13" t="s">
        <v>2622</v>
      </c>
      <c r="E11" s="12" t="s">
        <v>122</v>
      </c>
      <c r="F11" s="12" t="s">
        <v>142</v>
      </c>
      <c r="G11" s="13" t="s">
        <v>2620</v>
      </c>
      <c r="H11" s="12" t="s">
        <v>86</v>
      </c>
      <c r="I11" s="12" t="s">
        <v>101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2623</v>
      </c>
      <c r="B12" s="12" t="s">
        <v>130</v>
      </c>
      <c r="C12" s="12" t="s">
        <v>2387</v>
      </c>
      <c r="D12" s="13" t="s">
        <v>2624</v>
      </c>
      <c r="E12" s="12" t="s">
        <v>122</v>
      </c>
      <c r="F12" s="12" t="s">
        <v>132</v>
      </c>
      <c r="G12" s="13" t="s">
        <v>2625</v>
      </c>
      <c r="H12" s="12" t="s">
        <v>86</v>
      </c>
      <c r="I12" s="12" t="s">
        <v>101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2626</v>
      </c>
      <c r="B13" s="12" t="s">
        <v>126</v>
      </c>
      <c r="C13" s="12" t="s">
        <v>1172</v>
      </c>
      <c r="D13" s="13" t="s">
        <v>2627</v>
      </c>
      <c r="E13" s="12" t="s">
        <v>122</v>
      </c>
      <c r="F13" s="12" t="s">
        <v>122</v>
      </c>
      <c r="G13" s="13" t="s">
        <v>128</v>
      </c>
      <c r="H13" s="12" t="s">
        <v>86</v>
      </c>
      <c r="I13" s="12" t="s">
        <v>101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2628</v>
      </c>
      <c r="B14" s="12" t="s">
        <v>1298</v>
      </c>
      <c r="C14" s="12" t="s">
        <v>2629</v>
      </c>
      <c r="D14" s="13" t="s">
        <v>2630</v>
      </c>
      <c r="E14" s="12" t="s">
        <v>122</v>
      </c>
      <c r="F14" s="12" t="s">
        <v>122</v>
      </c>
      <c r="G14" s="13" t="s">
        <v>1300</v>
      </c>
      <c r="H14" s="12" t="s">
        <v>86</v>
      </c>
      <c r="I14" s="12" t="s">
        <v>101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2631</v>
      </c>
      <c r="B15" s="12" t="s">
        <v>1564</v>
      </c>
      <c r="C15" s="12" t="s">
        <v>2632</v>
      </c>
      <c r="D15" s="13" t="s">
        <v>2633</v>
      </c>
      <c r="E15" s="12" t="s">
        <v>122</v>
      </c>
      <c r="F15" s="12" t="s">
        <v>142</v>
      </c>
      <c r="G15" s="13" t="s">
        <v>2620</v>
      </c>
      <c r="H15" s="12" t="s">
        <v>86</v>
      </c>
      <c r="I15" s="12" t="s">
        <v>101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2634</v>
      </c>
      <c r="B16" s="12" t="s">
        <v>1121</v>
      </c>
      <c r="C16" s="12" t="s">
        <v>770</v>
      </c>
      <c r="D16" s="13" t="s">
        <v>2635</v>
      </c>
      <c r="E16" s="12" t="s">
        <v>122</v>
      </c>
      <c r="F16" s="12" t="s">
        <v>147</v>
      </c>
      <c r="G16" s="13" t="s">
        <v>2636</v>
      </c>
      <c r="H16" s="12" t="s">
        <v>86</v>
      </c>
      <c r="I16" s="12" t="s">
        <v>101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2637</v>
      </c>
      <c r="B17" s="12" t="s">
        <v>2638</v>
      </c>
      <c r="C17" s="12" t="s">
        <v>2629</v>
      </c>
      <c r="D17" s="13" t="s">
        <v>2639</v>
      </c>
      <c r="E17" s="12" t="s">
        <v>122</v>
      </c>
      <c r="F17" s="12" t="s">
        <v>147</v>
      </c>
      <c r="G17" s="13" t="s">
        <v>2640</v>
      </c>
      <c r="H17" s="12" t="s">
        <v>86</v>
      </c>
      <c r="I17" s="12" t="s">
        <v>101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2641</v>
      </c>
      <c r="B18" s="12" t="s">
        <v>1904</v>
      </c>
      <c r="C18" s="12" t="s">
        <v>2642</v>
      </c>
      <c r="D18" s="13" t="s">
        <v>2643</v>
      </c>
      <c r="E18" s="12" t="s">
        <v>122</v>
      </c>
      <c r="F18" s="12" t="s">
        <v>147</v>
      </c>
      <c r="G18" s="13" t="s">
        <v>2640</v>
      </c>
      <c r="H18" s="12" t="s">
        <v>86</v>
      </c>
      <c r="I18" s="12" t="s">
        <v>101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2644</v>
      </c>
      <c r="B19" s="12" t="s">
        <v>2503</v>
      </c>
      <c r="C19" s="12" t="s">
        <v>2645</v>
      </c>
      <c r="D19" s="13" t="s">
        <v>2646</v>
      </c>
      <c r="E19" s="12" t="s">
        <v>122</v>
      </c>
      <c r="F19" s="12" t="s">
        <v>147</v>
      </c>
      <c r="G19" s="13" t="s">
        <v>2636</v>
      </c>
      <c r="H19" s="12" t="s">
        <v>86</v>
      </c>
      <c r="I19" s="12" t="s">
        <v>101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2647</v>
      </c>
      <c r="B20" s="12" t="s">
        <v>2501</v>
      </c>
      <c r="C20" s="12" t="s">
        <v>2648</v>
      </c>
      <c r="D20" s="13" t="s">
        <v>2649</v>
      </c>
      <c r="E20" s="12" t="s">
        <v>122</v>
      </c>
      <c r="F20" s="12" t="s">
        <v>142</v>
      </c>
      <c r="G20" s="13" t="s">
        <v>2620</v>
      </c>
      <c r="H20" s="12" t="s">
        <v>86</v>
      </c>
      <c r="I20" s="12" t="s">
        <v>101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2650</v>
      </c>
      <c r="B21" s="12" t="s">
        <v>1577</v>
      </c>
      <c r="C21" s="12" t="s">
        <v>2651</v>
      </c>
      <c r="D21" s="13" t="s">
        <v>2652</v>
      </c>
      <c r="E21" s="12" t="s">
        <v>122</v>
      </c>
      <c r="F21" s="12" t="s">
        <v>147</v>
      </c>
      <c r="G21" s="13" t="s">
        <v>2636</v>
      </c>
      <c r="H21" s="12" t="s">
        <v>86</v>
      </c>
      <c r="I21" s="12" t="s">
        <v>101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2653</v>
      </c>
      <c r="B22" s="12" t="s">
        <v>161</v>
      </c>
      <c r="C22" s="12" t="s">
        <v>41</v>
      </c>
      <c r="D22" s="13" t="s">
        <v>2654</v>
      </c>
      <c r="E22" s="12" t="s">
        <v>122</v>
      </c>
      <c r="F22" s="12" t="s">
        <v>147</v>
      </c>
      <c r="G22" s="13" t="s">
        <v>2636</v>
      </c>
      <c r="H22" s="12" t="s">
        <v>86</v>
      </c>
      <c r="I22" s="12" t="s">
        <v>101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2655</v>
      </c>
      <c r="B23" s="12" t="s">
        <v>2510</v>
      </c>
      <c r="C23" s="12" t="s">
        <v>1172</v>
      </c>
      <c r="D23" s="13" t="s">
        <v>2656</v>
      </c>
      <c r="E23" s="12" t="s">
        <v>122</v>
      </c>
      <c r="F23" s="12" t="s">
        <v>157</v>
      </c>
      <c r="G23" s="13" t="s">
        <v>2657</v>
      </c>
      <c r="H23" s="12" t="s">
        <v>84</v>
      </c>
      <c r="I23" s="12" t="s">
        <v>100</v>
      </c>
      <c r="J23" s="14" t="n">
        <v>46231</v>
      </c>
      <c r="K23" s="13" t="s">
        <v>2578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2658</v>
      </c>
      <c r="B24" s="12" t="s">
        <v>1851</v>
      </c>
      <c r="C24" s="12" t="s">
        <v>1172</v>
      </c>
      <c r="D24" s="13" t="s">
        <v>2659</v>
      </c>
      <c r="E24" s="12" t="s">
        <v>122</v>
      </c>
      <c r="F24" s="12" t="s">
        <v>157</v>
      </c>
      <c r="G24" s="13" t="s">
        <v>2657</v>
      </c>
      <c r="H24" s="12" t="s">
        <v>84</v>
      </c>
      <c r="I24" s="12" t="s">
        <v>100</v>
      </c>
      <c r="J24" s="14" t="n">
        <v>46231</v>
      </c>
      <c r="K24" s="13" t="s">
        <v>2578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2660</v>
      </c>
      <c r="B25" s="12" t="s">
        <v>155</v>
      </c>
      <c r="C25" s="12" t="s">
        <v>1172</v>
      </c>
      <c r="D25" s="13" t="s">
        <v>2661</v>
      </c>
      <c r="E25" s="12" t="s">
        <v>122</v>
      </c>
      <c r="F25" s="12" t="s">
        <v>157</v>
      </c>
      <c r="G25" s="13" t="s">
        <v>2657</v>
      </c>
      <c r="H25" s="12" t="s">
        <v>84</v>
      </c>
      <c r="I25" s="12" t="s">
        <v>100</v>
      </c>
      <c r="J25" s="14" t="n">
        <v>46231</v>
      </c>
      <c r="K25" s="13" t="s">
        <v>2662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2663</v>
      </c>
      <c r="B26" s="12" t="s">
        <v>1519</v>
      </c>
      <c r="C26" s="12" t="s">
        <v>1172</v>
      </c>
      <c r="D26" s="13" t="s">
        <v>2664</v>
      </c>
      <c r="E26" s="12" t="s">
        <v>122</v>
      </c>
      <c r="F26" s="12" t="s">
        <v>142</v>
      </c>
      <c r="G26" s="13" t="s">
        <v>2665</v>
      </c>
      <c r="H26" s="12" t="s">
        <v>86</v>
      </c>
      <c r="I26" s="12" t="s">
        <v>101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2666</v>
      </c>
      <c r="B27" s="12" t="s">
        <v>150</v>
      </c>
      <c r="C27" s="12" t="s">
        <v>1172</v>
      </c>
      <c r="D27" s="13" t="s">
        <v>2667</v>
      </c>
      <c r="E27" s="12" t="s">
        <v>122</v>
      </c>
      <c r="F27" s="12" t="s">
        <v>152</v>
      </c>
      <c r="G27" s="13" t="s">
        <v>2636</v>
      </c>
      <c r="H27" s="12" t="s">
        <v>86</v>
      </c>
      <c r="I27" s="12" t="s">
        <v>101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2668</v>
      </c>
      <c r="B28" s="12" t="s">
        <v>610</v>
      </c>
      <c r="C28" s="12" t="s">
        <v>1172</v>
      </c>
      <c r="D28" s="13" t="s">
        <v>2669</v>
      </c>
      <c r="E28" s="12" t="s">
        <v>122</v>
      </c>
      <c r="F28" s="12" t="s">
        <v>612</v>
      </c>
      <c r="G28" s="13" t="s">
        <v>2670</v>
      </c>
      <c r="H28" s="12" t="s">
        <v>86</v>
      </c>
      <c r="I28" s="12" t="s">
        <v>101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2671</v>
      </c>
      <c r="B29" s="12" t="s">
        <v>2365</v>
      </c>
      <c r="C29" s="12" t="s">
        <v>2590</v>
      </c>
      <c r="D29" s="13" t="s">
        <v>2672</v>
      </c>
      <c r="E29" s="12" t="s">
        <v>122</v>
      </c>
      <c r="F29" s="12" t="s">
        <v>2592</v>
      </c>
      <c r="G29" s="13" t="s">
        <v>2673</v>
      </c>
      <c r="H29" s="12" t="s">
        <v>86</v>
      </c>
      <c r="I29" s="12" t="s">
        <v>101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2674</v>
      </c>
      <c r="B30" s="12" t="s">
        <v>184</v>
      </c>
      <c r="C30" s="12" t="s">
        <v>2595</v>
      </c>
      <c r="D30" s="13" t="s">
        <v>2675</v>
      </c>
      <c r="E30" s="12" t="s">
        <v>122</v>
      </c>
      <c r="F30" s="12" t="s">
        <v>2592</v>
      </c>
      <c r="G30" s="13" t="s">
        <v>2676</v>
      </c>
      <c r="H30" s="12" t="s">
        <v>86</v>
      </c>
      <c r="I30" s="12" t="s">
        <v>101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2677</v>
      </c>
      <c r="B31" s="12" t="s">
        <v>188</v>
      </c>
      <c r="C31" s="12" t="s">
        <v>1172</v>
      </c>
      <c r="D31" s="13" t="s">
        <v>2678</v>
      </c>
      <c r="E31" s="12" t="s">
        <v>190</v>
      </c>
      <c r="F31" s="12" t="s">
        <v>190</v>
      </c>
      <c r="G31" s="13" t="s">
        <v>191</v>
      </c>
      <c r="H31" s="12" t="s">
        <v>86</v>
      </c>
      <c r="I31" s="12" t="s">
        <v>101</v>
      </c>
      <c r="J31" s="14" t="n">
        <v>46231</v>
      </c>
      <c r="K31" s="13" t="s">
        <v>2679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2680</v>
      </c>
      <c r="B32" s="12" t="s">
        <v>175</v>
      </c>
      <c r="C32" s="12" t="s">
        <v>1172</v>
      </c>
      <c r="D32" s="13" t="s">
        <v>2681</v>
      </c>
      <c r="E32" s="12" t="s">
        <v>122</v>
      </c>
      <c r="F32" s="12" t="s">
        <v>163</v>
      </c>
      <c r="G32" s="13" t="s">
        <v>2682</v>
      </c>
      <c r="H32" s="12" t="s">
        <v>80</v>
      </c>
      <c r="I32" s="12" t="s">
        <v>100</v>
      </c>
      <c r="J32" s="14" t="n">
        <v>46231</v>
      </c>
      <c r="K32" s="13" t="s">
        <v>1795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2683</v>
      </c>
      <c r="B33" s="12" t="s">
        <v>193</v>
      </c>
      <c r="C33" s="12" t="s">
        <v>2608</v>
      </c>
      <c r="D33" s="13" t="s">
        <v>2531</v>
      </c>
      <c r="E33" s="12" t="s">
        <v>122</v>
      </c>
      <c r="F33" s="12" t="s">
        <v>122</v>
      </c>
      <c r="G33" s="13" t="s">
        <v>2532</v>
      </c>
      <c r="H33" s="12" t="s">
        <v>86</v>
      </c>
      <c r="I33" s="12" t="s">
        <v>101</v>
      </c>
      <c r="J33" s="14" t="n">
        <v>46231</v>
      </c>
      <c r="K33" s="13" t="s">
        <v>2684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2685</v>
      </c>
      <c r="B34" s="12" t="s">
        <v>2686</v>
      </c>
      <c r="C34" s="12" t="s">
        <v>1172</v>
      </c>
      <c r="D34" s="13" t="s">
        <v>2687</v>
      </c>
      <c r="E34" s="12" t="s">
        <v>122</v>
      </c>
      <c r="F34" s="12" t="s">
        <v>2592</v>
      </c>
      <c r="G34" s="13" t="s">
        <v>2673</v>
      </c>
      <c r="H34" s="12" t="s">
        <v>86</v>
      </c>
      <c r="I34" s="12" t="s">
        <v>101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2689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COUNTA(A9:A34)</f>
        <v>26</v>
      </c>
      <c r="D4" s="5" t="s">
        <v>104</v>
      </c>
      <c r="E4" s="6" t="n">
        <f aca="false">SUM(M9:M34)</f>
        <v>22</v>
      </c>
      <c r="G4" s="5" t="s">
        <v>13</v>
      </c>
      <c r="H4" s="7" t="n">
        <f aca="false">IF(B4=0,0,E4/B4)</f>
        <v>0.846153846153846</v>
      </c>
      <c r="J4" s="5" t="s">
        <v>14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105</v>
      </c>
      <c r="B5" s="6" t="str">
        <f aca="false">IF(COUNTIFS(I9:I34,"yes",M9:M34,0)&gt;0,"open","complete")</f>
        <v>open</v>
      </c>
      <c r="D5" s="5" t="s">
        <v>15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106</v>
      </c>
      <c r="B8" s="1" t="s">
        <v>107</v>
      </c>
      <c r="C8" s="1" t="s">
        <v>108</v>
      </c>
      <c r="D8" s="1" t="s">
        <v>109</v>
      </c>
      <c r="E8" s="1" t="s">
        <v>110</v>
      </c>
      <c r="F8" s="1" t="s">
        <v>111</v>
      </c>
      <c r="G8" s="1" t="s">
        <v>112</v>
      </c>
      <c r="H8" s="1" t="s">
        <v>113</v>
      </c>
      <c r="I8" s="1" t="s">
        <v>114</v>
      </c>
      <c r="J8" s="10" t="s">
        <v>115</v>
      </c>
      <c r="K8" s="1" t="s">
        <v>116</v>
      </c>
      <c r="L8" s="1" t="s">
        <v>117</v>
      </c>
      <c r="M8" s="1" t="s">
        <v>104</v>
      </c>
    </row>
    <row r="9" customFormat="false" ht="54" hidden="false" customHeight="true" outlineLevel="0" collapsed="false">
      <c r="A9" s="12" t="s">
        <v>2690</v>
      </c>
      <c r="B9" s="12" t="s">
        <v>78</v>
      </c>
      <c r="C9" s="12" t="s">
        <v>1172</v>
      </c>
      <c r="D9" s="13" t="s">
        <v>2691</v>
      </c>
      <c r="E9" s="12" t="s">
        <v>122</v>
      </c>
      <c r="F9" s="12" t="s">
        <v>123</v>
      </c>
      <c r="G9" s="13" t="s">
        <v>2692</v>
      </c>
      <c r="H9" s="12" t="s">
        <v>86</v>
      </c>
      <c r="I9" s="12" t="s">
        <v>101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2693</v>
      </c>
      <c r="B10" s="12" t="s">
        <v>2378</v>
      </c>
      <c r="C10" s="12" t="s">
        <v>1172</v>
      </c>
      <c r="D10" s="13" t="s">
        <v>2694</v>
      </c>
      <c r="E10" s="12" t="s">
        <v>122</v>
      </c>
      <c r="F10" s="12" t="s">
        <v>142</v>
      </c>
      <c r="G10" s="13" t="s">
        <v>2695</v>
      </c>
      <c r="H10" s="12" t="s">
        <v>86</v>
      </c>
      <c r="I10" s="12" t="s">
        <v>101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2696</v>
      </c>
      <c r="B11" s="12" t="s">
        <v>1331</v>
      </c>
      <c r="C11" s="12" t="s">
        <v>1172</v>
      </c>
      <c r="D11" s="13" t="s">
        <v>2697</v>
      </c>
      <c r="E11" s="12" t="s">
        <v>122</v>
      </c>
      <c r="F11" s="12" t="s">
        <v>142</v>
      </c>
      <c r="G11" s="13" t="s">
        <v>2695</v>
      </c>
      <c r="H11" s="12" t="s">
        <v>86</v>
      </c>
      <c r="I11" s="12" t="s">
        <v>101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2698</v>
      </c>
      <c r="B12" s="12" t="s">
        <v>130</v>
      </c>
      <c r="C12" s="12" t="s">
        <v>2387</v>
      </c>
      <c r="D12" s="13" t="s">
        <v>2699</v>
      </c>
      <c r="E12" s="12" t="s">
        <v>122</v>
      </c>
      <c r="F12" s="12" t="s">
        <v>132</v>
      </c>
      <c r="G12" s="13" t="s">
        <v>2700</v>
      </c>
      <c r="H12" s="12" t="s">
        <v>86</v>
      </c>
      <c r="I12" s="12" t="s">
        <v>101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2701</v>
      </c>
      <c r="B13" s="12" t="s">
        <v>126</v>
      </c>
      <c r="C13" s="12" t="s">
        <v>1172</v>
      </c>
      <c r="D13" s="13" t="s">
        <v>2702</v>
      </c>
      <c r="E13" s="12" t="s">
        <v>122</v>
      </c>
      <c r="F13" s="12" t="s">
        <v>122</v>
      </c>
      <c r="G13" s="13" t="s">
        <v>128</v>
      </c>
      <c r="H13" s="12" t="s">
        <v>86</v>
      </c>
      <c r="I13" s="12" t="s">
        <v>101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2703</v>
      </c>
      <c r="B14" s="12" t="s">
        <v>1298</v>
      </c>
      <c r="C14" s="12" t="s">
        <v>1172</v>
      </c>
      <c r="D14" s="13" t="s">
        <v>2704</v>
      </c>
      <c r="E14" s="12" t="s">
        <v>122</v>
      </c>
      <c r="F14" s="12" t="s">
        <v>122</v>
      </c>
      <c r="G14" s="13" t="s">
        <v>1300</v>
      </c>
      <c r="H14" s="12" t="s">
        <v>86</v>
      </c>
      <c r="I14" s="12" t="s">
        <v>101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2705</v>
      </c>
      <c r="B15" s="12" t="s">
        <v>1564</v>
      </c>
      <c r="C15" s="12" t="s">
        <v>770</v>
      </c>
      <c r="D15" s="13" t="s">
        <v>2706</v>
      </c>
      <c r="E15" s="12" t="s">
        <v>122</v>
      </c>
      <c r="F15" s="12" t="s">
        <v>142</v>
      </c>
      <c r="G15" s="13" t="s">
        <v>2707</v>
      </c>
      <c r="H15" s="12" t="s">
        <v>86</v>
      </c>
      <c r="I15" s="12" t="s">
        <v>101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2708</v>
      </c>
      <c r="B16" s="12" t="s">
        <v>1121</v>
      </c>
      <c r="C16" s="12" t="s">
        <v>770</v>
      </c>
      <c r="D16" s="13" t="s">
        <v>2709</v>
      </c>
      <c r="E16" s="12" t="s">
        <v>122</v>
      </c>
      <c r="F16" s="12" t="s">
        <v>147</v>
      </c>
      <c r="G16" s="13" t="s">
        <v>2710</v>
      </c>
      <c r="H16" s="12" t="s">
        <v>86</v>
      </c>
      <c r="I16" s="12" t="s">
        <v>101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2711</v>
      </c>
      <c r="B17" s="12" t="s">
        <v>2712</v>
      </c>
      <c r="C17" s="12" t="s">
        <v>825</v>
      </c>
      <c r="D17" s="13" t="s">
        <v>2713</v>
      </c>
      <c r="E17" s="12" t="s">
        <v>122</v>
      </c>
      <c r="F17" s="12" t="s">
        <v>147</v>
      </c>
      <c r="G17" s="13" t="s">
        <v>2714</v>
      </c>
      <c r="H17" s="12" t="s">
        <v>86</v>
      </c>
      <c r="I17" s="12" t="s">
        <v>101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2715</v>
      </c>
      <c r="B18" s="12" t="s">
        <v>2638</v>
      </c>
      <c r="C18" s="12" t="s">
        <v>825</v>
      </c>
      <c r="D18" s="13" t="s">
        <v>2716</v>
      </c>
      <c r="E18" s="12" t="s">
        <v>122</v>
      </c>
      <c r="F18" s="12" t="s">
        <v>147</v>
      </c>
      <c r="G18" s="13" t="s">
        <v>2714</v>
      </c>
      <c r="H18" s="12" t="s">
        <v>86</v>
      </c>
      <c r="I18" s="12" t="s">
        <v>101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2717</v>
      </c>
      <c r="B19" s="12" t="s">
        <v>1904</v>
      </c>
      <c r="C19" s="12" t="s">
        <v>825</v>
      </c>
      <c r="D19" s="13" t="s">
        <v>2718</v>
      </c>
      <c r="E19" s="12" t="s">
        <v>122</v>
      </c>
      <c r="F19" s="12" t="s">
        <v>147</v>
      </c>
      <c r="G19" s="13" t="s">
        <v>2710</v>
      </c>
      <c r="H19" s="12" t="s">
        <v>86</v>
      </c>
      <c r="I19" s="12" t="s">
        <v>101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2719</v>
      </c>
      <c r="B20" s="12" t="s">
        <v>2720</v>
      </c>
      <c r="C20" s="12" t="s">
        <v>2721</v>
      </c>
      <c r="D20" s="13" t="s">
        <v>2722</v>
      </c>
      <c r="E20" s="12" t="s">
        <v>122</v>
      </c>
      <c r="F20" s="12" t="s">
        <v>147</v>
      </c>
      <c r="G20" s="13" t="s">
        <v>2710</v>
      </c>
      <c r="H20" s="12" t="s">
        <v>86</v>
      </c>
      <c r="I20" s="12" t="s">
        <v>101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2723</v>
      </c>
      <c r="B21" s="12" t="s">
        <v>1577</v>
      </c>
      <c r="C21" s="12" t="s">
        <v>2724</v>
      </c>
      <c r="D21" s="13" t="s">
        <v>2725</v>
      </c>
      <c r="E21" s="12" t="s">
        <v>122</v>
      </c>
      <c r="F21" s="12" t="s">
        <v>147</v>
      </c>
      <c r="G21" s="13" t="s">
        <v>2710</v>
      </c>
      <c r="H21" s="12" t="s">
        <v>86</v>
      </c>
      <c r="I21" s="12" t="s">
        <v>101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2726</v>
      </c>
      <c r="B22" s="12" t="s">
        <v>161</v>
      </c>
      <c r="C22" s="12" t="s">
        <v>2727</v>
      </c>
      <c r="D22" s="13" t="s">
        <v>2728</v>
      </c>
      <c r="E22" s="12" t="s">
        <v>122</v>
      </c>
      <c r="F22" s="12" t="s">
        <v>147</v>
      </c>
      <c r="G22" s="13" t="s">
        <v>2710</v>
      </c>
      <c r="H22" s="12" t="s">
        <v>86</v>
      </c>
      <c r="I22" s="12" t="s">
        <v>101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2729</v>
      </c>
      <c r="B23" s="12" t="s">
        <v>2510</v>
      </c>
      <c r="C23" s="12" t="s">
        <v>1172</v>
      </c>
      <c r="D23" s="13" t="s">
        <v>2730</v>
      </c>
      <c r="E23" s="12" t="s">
        <v>122</v>
      </c>
      <c r="F23" s="12" t="s">
        <v>157</v>
      </c>
      <c r="G23" s="13" t="s">
        <v>2731</v>
      </c>
      <c r="H23" s="12" t="s">
        <v>84</v>
      </c>
      <c r="I23" s="12" t="s">
        <v>100</v>
      </c>
      <c r="J23" s="14" t="n">
        <v>46231</v>
      </c>
      <c r="K23" s="13" t="s">
        <v>2578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2732</v>
      </c>
      <c r="B24" s="12" t="s">
        <v>1851</v>
      </c>
      <c r="C24" s="12" t="s">
        <v>1172</v>
      </c>
      <c r="D24" s="13" t="s">
        <v>2733</v>
      </c>
      <c r="E24" s="12" t="s">
        <v>122</v>
      </c>
      <c r="F24" s="12" t="s">
        <v>157</v>
      </c>
      <c r="G24" s="13" t="s">
        <v>2731</v>
      </c>
      <c r="H24" s="12" t="s">
        <v>84</v>
      </c>
      <c r="I24" s="12" t="s">
        <v>100</v>
      </c>
      <c r="J24" s="14" t="n">
        <v>46231</v>
      </c>
      <c r="K24" s="13" t="s">
        <v>2578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2734</v>
      </c>
      <c r="B25" s="12" t="s">
        <v>155</v>
      </c>
      <c r="C25" s="12" t="s">
        <v>1172</v>
      </c>
      <c r="D25" s="13" t="s">
        <v>2735</v>
      </c>
      <c r="E25" s="12" t="s">
        <v>122</v>
      </c>
      <c r="F25" s="12" t="s">
        <v>157</v>
      </c>
      <c r="G25" s="13" t="s">
        <v>2731</v>
      </c>
      <c r="H25" s="12" t="s">
        <v>84</v>
      </c>
      <c r="I25" s="12" t="s">
        <v>100</v>
      </c>
      <c r="J25" s="14" t="n">
        <v>46231</v>
      </c>
      <c r="K25" s="13" t="s">
        <v>2662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2736</v>
      </c>
      <c r="B26" s="12" t="s">
        <v>1519</v>
      </c>
      <c r="C26" s="12" t="s">
        <v>1172</v>
      </c>
      <c r="D26" s="13" t="s">
        <v>2737</v>
      </c>
      <c r="E26" s="12" t="s">
        <v>122</v>
      </c>
      <c r="F26" s="12" t="s">
        <v>142</v>
      </c>
      <c r="G26" s="13" t="s">
        <v>2738</v>
      </c>
      <c r="H26" s="12" t="s">
        <v>86</v>
      </c>
      <c r="I26" s="12" t="s">
        <v>101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2739</v>
      </c>
      <c r="B27" s="12" t="s">
        <v>150</v>
      </c>
      <c r="C27" s="12" t="s">
        <v>1172</v>
      </c>
      <c r="D27" s="13" t="s">
        <v>2740</v>
      </c>
      <c r="E27" s="12" t="s">
        <v>122</v>
      </c>
      <c r="F27" s="12" t="s">
        <v>152</v>
      </c>
      <c r="G27" s="13" t="s">
        <v>2710</v>
      </c>
      <c r="H27" s="12" t="s">
        <v>86</v>
      </c>
      <c r="I27" s="12" t="s">
        <v>101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2741</v>
      </c>
      <c r="B28" s="12" t="s">
        <v>610</v>
      </c>
      <c r="C28" s="12" t="s">
        <v>1172</v>
      </c>
      <c r="D28" s="13" t="s">
        <v>2742</v>
      </c>
      <c r="E28" s="12" t="s">
        <v>122</v>
      </c>
      <c r="F28" s="12" t="s">
        <v>612</v>
      </c>
      <c r="G28" s="13" t="s">
        <v>2743</v>
      </c>
      <c r="H28" s="12" t="s">
        <v>86</v>
      </c>
      <c r="I28" s="12" t="s">
        <v>101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2744</v>
      </c>
      <c r="B29" s="12" t="s">
        <v>2365</v>
      </c>
      <c r="C29" s="12" t="s">
        <v>2590</v>
      </c>
      <c r="D29" s="13" t="s">
        <v>2745</v>
      </c>
      <c r="E29" s="12" t="s">
        <v>122</v>
      </c>
      <c r="F29" s="12" t="s">
        <v>2592</v>
      </c>
      <c r="G29" s="13" t="s">
        <v>2746</v>
      </c>
      <c r="H29" s="12" t="s">
        <v>86</v>
      </c>
      <c r="I29" s="12" t="s">
        <v>101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2747</v>
      </c>
      <c r="B30" s="12" t="s">
        <v>184</v>
      </c>
      <c r="C30" s="12" t="s">
        <v>2595</v>
      </c>
      <c r="D30" s="13" t="s">
        <v>2748</v>
      </c>
      <c r="E30" s="12" t="s">
        <v>122</v>
      </c>
      <c r="F30" s="12" t="s">
        <v>2592</v>
      </c>
      <c r="G30" s="13" t="s">
        <v>2749</v>
      </c>
      <c r="H30" s="12" t="s">
        <v>86</v>
      </c>
      <c r="I30" s="12" t="s">
        <v>101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2750</v>
      </c>
      <c r="B31" s="12" t="s">
        <v>188</v>
      </c>
      <c r="C31" s="12" t="s">
        <v>1172</v>
      </c>
      <c r="D31" s="13" t="s">
        <v>2751</v>
      </c>
      <c r="E31" s="12" t="s">
        <v>190</v>
      </c>
      <c r="F31" s="12" t="s">
        <v>190</v>
      </c>
      <c r="G31" s="13" t="s">
        <v>191</v>
      </c>
      <c r="H31" s="12" t="s">
        <v>86</v>
      </c>
      <c r="I31" s="12" t="s">
        <v>101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2752</v>
      </c>
      <c r="B32" s="12" t="s">
        <v>175</v>
      </c>
      <c r="C32" s="12" t="s">
        <v>1172</v>
      </c>
      <c r="D32" s="13" t="s">
        <v>2753</v>
      </c>
      <c r="E32" s="12" t="s">
        <v>122</v>
      </c>
      <c r="F32" s="12" t="s">
        <v>163</v>
      </c>
      <c r="G32" s="13" t="s">
        <v>2754</v>
      </c>
      <c r="H32" s="12" t="s">
        <v>80</v>
      </c>
      <c r="I32" s="12" t="s">
        <v>100</v>
      </c>
      <c r="J32" s="14" t="n">
        <v>46231</v>
      </c>
      <c r="K32" s="13" t="s">
        <v>1795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2755</v>
      </c>
      <c r="B33" s="12" t="s">
        <v>193</v>
      </c>
      <c r="C33" s="12" t="s">
        <v>2608</v>
      </c>
      <c r="D33" s="13" t="s">
        <v>2531</v>
      </c>
      <c r="E33" s="12" t="s">
        <v>122</v>
      </c>
      <c r="F33" s="12" t="s">
        <v>122</v>
      </c>
      <c r="G33" s="13" t="s">
        <v>2532</v>
      </c>
      <c r="H33" s="12" t="s">
        <v>86</v>
      </c>
      <c r="I33" s="12" t="s">
        <v>101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2756</v>
      </c>
      <c r="B34" s="12" t="s">
        <v>2686</v>
      </c>
      <c r="C34" s="12" t="s">
        <v>1172</v>
      </c>
      <c r="D34" s="13" t="s">
        <v>2757</v>
      </c>
      <c r="E34" s="12" t="s">
        <v>122</v>
      </c>
      <c r="F34" s="12" t="s">
        <v>2592</v>
      </c>
      <c r="G34" s="13" t="s">
        <v>2746</v>
      </c>
      <c r="H34" s="12" t="s">
        <v>86</v>
      </c>
      <c r="I34" s="12" t="s">
        <v>101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2026-07-28T16:40:34Z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