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</sheets>
  <definedNames>
    <definedName name="_xlnm._FilterDatabase" localSheetId="0" hidden="1">'Index'!$A$7:$M$58</definedName>
    <definedName name="_xlnm.Print_Area" localSheetId="0">'Index'!$A$1:$M$58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ables/table1.xml><?xml version="1.0" encoding="utf-8"?>
<table xmlns="http://schemas.openxmlformats.org/spreadsheetml/2006/main" id="1" name="CoverageIndex" displayName="CoverageIndex" ref="A7:M49" headerRowCount="1" totalsRowCount="0" totalsRowShown="0">
  <autoFilter ref="A7:M4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str">
        <f>"Current package evidence across "&amp;B4&amp;" independently exported components."</f>
        <v>Current package evidence across 52 independently exported components.</v>
      </c>
    </row>
    <row r="4" ht="17.25" customHeight="1" s="17">
      <c r="A4" s="20" t="inlineStr">
        <is>
          <t>Components</t>
        </is>
      </c>
      <c r="B4" s="21">
        <f>COUNTA(A8:A59)</f>
        <v>52</v>
      </c>
      <c r="D4" s="20" t="inlineStr">
        <is>
          <t>Complete</t>
        </is>
      </c>
      <c r="E4" s="21">
        <f>COUNTIF(M8:M59,"complete")</f>
        <v>20</v>
      </c>
      <c r="G4" s="20" t="inlineStr">
        <is>
          <t>Blocked</t>
        </is>
      </c>
      <c r="H4" s="21">
        <f>COUNTIF(M8:M59,"blocked")</f>
        <v>0</v>
      </c>
      <c r="J4" s="20" t="inlineStr">
        <is>
          <t>Overall</t>
        </is>
      </c>
      <c r="K4" s="22">
        <f>IF(B4=0,0,E4/B4)</f>
        <v>0.38461538461538464</v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>16</v>
      </c>
      <c r="C8" s="15">
        <f>COUNTIF(INDIRECT("'"&amp;A8&amp;"'!H9:H200"),"not started")</f>
        <v>0</v>
      </c>
      <c r="D8" s="15">
        <f>COUNTIF(INDIRECT("'"&amp;A8&amp;"'!H9:H200"),"partial")</f>
        <v>0</v>
      </c>
      <c r="E8" s="15">
        <f>COUNTIF(INDIRECT("'"&amp;A8&amp;"'!H9:H200"),"implemented")</f>
        <v>0</v>
      </c>
      <c r="F8" s="15">
        <f>COUNTIF(INDIRECT("'"&amp;A8&amp;"'!H9:H200"),"tested")</f>
        <v>11</v>
      </c>
      <c r="G8" s="15">
        <f>COUNTIF(INDIRECT("'"&amp;A8&amp;"'!H9:H200"),"verified")</f>
        <v>5</v>
      </c>
      <c r="H8" s="15">
        <f>COUNTIF(INDIRECT("'"&amp;A8&amp;"'!H9:H200"),"blocked")</f>
        <v>0</v>
      </c>
      <c r="I8" s="15">
        <f>COUNTIF(INDIRECT("'"&amp;A8&amp;"'!H9:H200"),"not applicable")</f>
        <v>0</v>
      </c>
      <c r="J8" s="16">
        <f>INDIRECT("'"&amp;A8&amp;"'!H4")</f>
        <v>1.0</v>
      </c>
      <c r="K8" s="15" t="str">
        <f>INDIRECT("'"&amp;A8&amp;"'!K4")</f>
        <v>complete</v>
      </c>
      <c r="L8" s="15" t="str">
        <f>INDIRECT("'"&amp;A8&amp;"'!E5")</f>
        <v>complete</v>
      </c>
      <c r="M8" s="15" t="str">
        <f>IF(AND(J8=1,K8="complete",L8="complete"),"complete",IF(H8&gt;0,"blocked","open"))</f>
        <v>complete</v>
      </c>
    </row>
    <row r="9" ht="24" customHeight="1" s="17">
      <c r="A9" s="15" t="inlineStr">
        <is>
          <t>App Bar</t>
        </is>
      </c>
      <c r="B9" s="15">
        <f>INDIRECT("'"&amp;A9&amp;"'!B4")</f>
        <v>16</v>
      </c>
      <c r="C9" s="15">
        <f>COUNTIF(INDIRECT("'"&amp;A9&amp;"'!H9:H200"),"not started")</f>
        <v>0</v>
      </c>
      <c r="D9" s="15">
        <f>COUNTIF(INDIRECT("'"&amp;A9&amp;"'!H9:H200"),"partial")</f>
        <v>0</v>
      </c>
      <c r="E9" s="15">
        <f>COUNTIF(INDIRECT("'"&amp;A9&amp;"'!H9:H200"),"implemented")</f>
        <v>0</v>
      </c>
      <c r="F9" s="15">
        <f>COUNTIF(INDIRECT("'"&amp;A9&amp;"'!H9:H200"),"tested")</f>
        <v>11</v>
      </c>
      <c r="G9" s="15">
        <f>COUNTIF(INDIRECT("'"&amp;A9&amp;"'!H9:H200"),"verified")</f>
        <v>5</v>
      </c>
      <c r="H9" s="15">
        <f>COUNTIF(INDIRECT("'"&amp;A9&amp;"'!H9:H200"),"blocked")</f>
        <v>0</v>
      </c>
      <c r="I9" s="15">
        <f>COUNTIF(INDIRECT("'"&amp;A9&amp;"'!H9:H200"),"not applicable")</f>
        <v>0</v>
      </c>
      <c r="J9" s="16">
        <f>INDIRECT("'"&amp;A9&amp;"'!H4")</f>
        <v>1.0</v>
      </c>
      <c r="K9" s="15" t="str">
        <f>INDIRECT("'"&amp;A9&amp;"'!K4")</f>
        <v>complete</v>
      </c>
      <c r="L9" s="15" t="str">
        <f>INDIRECT("'"&amp;A9&amp;"'!E5")</f>
        <v>complete</v>
      </c>
      <c r="M9" s="15" t="str">
        <f>IF(AND(J9=1,K9="complete",L9="complete"),"complete",IF(H9&gt;0,"blocked","open"))</f>
        <v>complete</v>
      </c>
    </row>
    <row r="10" ht="24" customHeight="1" s="17">
      <c r="A10" s="15" t="inlineStr">
        <is>
          <t>Avatar</t>
        </is>
      </c>
      <c r="B10" s="15">
        <f>INDIRECT("'"&amp;A10&amp;"'!B4")</f>
        <v>16</v>
      </c>
      <c r="C10" s="15">
        <f>COUNTIF(INDIRECT("'"&amp;A10&amp;"'!H9:H200"),"not started")</f>
        <v>0</v>
      </c>
      <c r="D10" s="15">
        <f>COUNTIF(INDIRECT("'"&amp;A10&amp;"'!H9:H200"),"partial")</f>
        <v>0</v>
      </c>
      <c r="E10" s="15">
        <f>COUNTIF(INDIRECT("'"&amp;A10&amp;"'!H9:H200"),"implemented")</f>
        <v>0</v>
      </c>
      <c r="F10" s="15">
        <f>COUNTIF(INDIRECT("'"&amp;A10&amp;"'!H9:H200"),"tested")</f>
        <v>11</v>
      </c>
      <c r="G10" s="15">
        <f>COUNTIF(INDIRECT("'"&amp;A10&amp;"'!H9:H200"),"verified")</f>
        <v>5</v>
      </c>
      <c r="H10" s="15">
        <f>COUNTIF(INDIRECT("'"&amp;A10&amp;"'!H9:H200"),"blocked")</f>
        <v>0</v>
      </c>
      <c r="I10" s="15">
        <f>COUNTIF(INDIRECT("'"&amp;A10&amp;"'!H9:H200"),"not applicable")</f>
        <v>0</v>
      </c>
      <c r="J10" s="16">
        <f>INDIRECT("'"&amp;A10&amp;"'!H4")</f>
        <v>1.0</v>
      </c>
      <c r="K10" s="15" t="str">
        <f>INDIRECT("'"&amp;A10&amp;"'!K4")</f>
        <v>complete</v>
      </c>
      <c r="L10" s="15" t="str">
        <f>INDIRECT("'"&amp;A10&amp;"'!E5")</f>
        <v>complete</v>
      </c>
      <c r="M10" s="15" t="str">
        <f>IF(AND(J10=1,K10="complete",L10="complete"),"complete",IF(H10&gt;0,"blocked","open"))</f>
        <v>complete</v>
      </c>
    </row>
    <row r="11" ht="24" customHeight="1" s="17">
      <c r="A11" s="15" t="inlineStr">
        <is>
          <t>Badge</t>
        </is>
      </c>
      <c r="B11" s="15">
        <f>INDIRECT("'"&amp;A11&amp;"'!B4")</f>
        <v>16</v>
      </c>
      <c r="C11" s="15">
        <f>COUNTIF(INDIRECT("'"&amp;A11&amp;"'!H9:H200"),"not started")</f>
        <v>0</v>
      </c>
      <c r="D11" s="15">
        <f>COUNTIF(INDIRECT("'"&amp;A11&amp;"'!H9:H200"),"partial")</f>
        <v>0</v>
      </c>
      <c r="E11" s="15">
        <f>COUNTIF(INDIRECT("'"&amp;A11&amp;"'!H9:H200"),"implemented")</f>
        <v>0</v>
      </c>
      <c r="F11" s="15">
        <f>COUNTIF(INDIRECT("'"&amp;A11&amp;"'!H9:H200"),"tested")</f>
        <v>11</v>
      </c>
      <c r="G11" s="15">
        <f>COUNTIF(INDIRECT("'"&amp;A11&amp;"'!H9:H200"),"verified")</f>
        <v>5</v>
      </c>
      <c r="H11" s="15">
        <f>COUNTIF(INDIRECT("'"&amp;A11&amp;"'!H9:H200"),"blocked")</f>
        <v>0</v>
      </c>
      <c r="I11" s="15">
        <f>COUNTIF(INDIRECT("'"&amp;A11&amp;"'!H9:H200"),"not applicable")</f>
        <v>0</v>
      </c>
      <c r="J11" s="16">
        <f>INDIRECT("'"&amp;A11&amp;"'!H4")</f>
        <v>1.0</v>
      </c>
      <c r="K11" s="15" t="str">
        <f>INDIRECT("'"&amp;A11&amp;"'!K4")</f>
        <v>complete</v>
      </c>
      <c r="L11" s="15" t="str">
        <f>INDIRECT("'"&amp;A11&amp;"'!E5")</f>
        <v>complete</v>
      </c>
      <c r="M11" s="15" t="str">
        <f>IF(AND(J11=1,K11="complete",L11="complete"),"complete",IF(H11&gt;0,"blocked","open"))</f>
        <v>complete</v>
      </c>
    </row>
    <row r="12" ht="24" customHeight="1" s="17">
      <c r="A12" s="15" t="inlineStr">
        <is>
          <t>Button</t>
        </is>
      </c>
      <c r="B12" s="15">
        <f>INDIRECT("'"&amp;A12&amp;"'!B4")</f>
        <v>16</v>
      </c>
      <c r="C12" s="15">
        <f>COUNTIF(INDIRECT("'"&amp;A12&amp;"'!H9:H200"),"not started")</f>
        <v>0</v>
      </c>
      <c r="D12" s="15">
        <f>COUNTIF(INDIRECT("'"&amp;A12&amp;"'!H9:H200"),"partial")</f>
        <v>0</v>
      </c>
      <c r="E12" s="15">
        <f>COUNTIF(INDIRECT("'"&amp;A12&amp;"'!H9:H200"),"implemented")</f>
        <v>0</v>
      </c>
      <c r="F12" s="15">
        <f>COUNTIF(INDIRECT("'"&amp;A12&amp;"'!H9:H200"),"tested")</f>
        <v>11</v>
      </c>
      <c r="G12" s="15">
        <f>COUNTIF(INDIRECT("'"&amp;A12&amp;"'!H9:H200"),"verified")</f>
        <v>5</v>
      </c>
      <c r="H12" s="15">
        <f>COUNTIF(INDIRECT("'"&amp;A12&amp;"'!H9:H200"),"blocked")</f>
        <v>0</v>
      </c>
      <c r="I12" s="15">
        <f>COUNTIF(INDIRECT("'"&amp;A12&amp;"'!H9:H200"),"not applicable")</f>
        <v>0</v>
      </c>
      <c r="J12" s="16">
        <f>INDIRECT("'"&amp;A12&amp;"'!H4")</f>
        <v>1.0</v>
      </c>
      <c r="K12" s="15" t="str">
        <f>INDIRECT("'"&amp;A12&amp;"'!K4")</f>
        <v>complete</v>
      </c>
      <c r="L12" s="15" t="str">
        <f>INDIRECT("'"&amp;A12&amp;"'!E5")</f>
        <v>complete</v>
      </c>
      <c r="M12" s="15" t="str">
        <f>IF(AND(J12=1,K12="complete",L12="complete"),"complete",IF(H12&gt;0,"blocked","open"))</f>
        <v>complete</v>
      </c>
    </row>
    <row r="13" ht="24" customHeight="1" s="17">
      <c r="A13" s="15" t="inlineStr">
        <is>
          <t>Card</t>
        </is>
      </c>
      <c r="B13" s="15">
        <f>INDIRECT("'"&amp;A13&amp;"'!B4")</f>
        <v>16</v>
      </c>
      <c r="C13" s="15">
        <f>COUNTIF(INDIRECT("'"&amp;A13&amp;"'!H9:H200"),"not started")</f>
        <v>0</v>
      </c>
      <c r="D13" s="15">
        <f>COUNTIF(INDIRECT("'"&amp;A13&amp;"'!H9:H200"),"partial")</f>
        <v>0</v>
      </c>
      <c r="E13" s="15">
        <f>COUNTIF(INDIRECT("'"&amp;A13&amp;"'!H9:H200"),"implemented")</f>
        <v>0</v>
      </c>
      <c r="F13" s="15">
        <f>COUNTIF(INDIRECT("'"&amp;A13&amp;"'!H9:H200"),"tested")</f>
        <v>11</v>
      </c>
      <c r="G13" s="15">
        <f>COUNTIF(INDIRECT("'"&amp;A13&amp;"'!H9:H200"),"verified")</f>
        <v>5</v>
      </c>
      <c r="H13" s="15">
        <f>COUNTIF(INDIRECT("'"&amp;A13&amp;"'!H9:H200"),"blocked")</f>
        <v>0</v>
      </c>
      <c r="I13" s="15">
        <f>COUNTIF(INDIRECT("'"&amp;A13&amp;"'!H9:H200"),"not applicable")</f>
        <v>0</v>
      </c>
      <c r="J13" s="16">
        <f>INDIRECT("'"&amp;A13&amp;"'!H4")</f>
        <v>1.0</v>
      </c>
      <c r="K13" s="15" t="str">
        <f>INDIRECT("'"&amp;A13&amp;"'!K4")</f>
        <v>complete</v>
      </c>
      <c r="L13" s="15" t="str">
        <f>INDIRECT("'"&amp;A13&amp;"'!E5")</f>
        <v>complete</v>
      </c>
      <c r="M13" s="15" t="str">
        <f>IF(AND(J13=1,K13="complete",L13="complete"),"complete",IF(H13&gt;0,"blocked","open"))</f>
        <v>complete</v>
      </c>
    </row>
    <row r="14" ht="24" customHeight="1" s="17">
      <c r="A14" s="15" t="inlineStr">
        <is>
          <t>Checkbox</t>
        </is>
      </c>
      <c r="B14" s="15">
        <f>INDIRECT("'"&amp;A14&amp;"'!B4")</f>
        <v>16</v>
      </c>
      <c r="C14" s="15">
        <f>COUNTIF(INDIRECT("'"&amp;A14&amp;"'!H9:H200"),"not started")</f>
        <v>0</v>
      </c>
      <c r="D14" s="15">
        <f>COUNTIF(INDIRECT("'"&amp;A14&amp;"'!H9:H200"),"partial")</f>
        <v>0</v>
      </c>
      <c r="E14" s="15">
        <f>COUNTIF(INDIRECT("'"&amp;A14&amp;"'!H9:H200"),"implemented")</f>
        <v>0</v>
      </c>
      <c r="F14" s="15">
        <f>COUNTIF(INDIRECT("'"&amp;A14&amp;"'!H9:H200"),"tested")</f>
        <v>11</v>
      </c>
      <c r="G14" s="15">
        <f>COUNTIF(INDIRECT("'"&amp;A14&amp;"'!H9:H200"),"verified")</f>
        <v>5</v>
      </c>
      <c r="H14" s="15">
        <f>COUNTIF(INDIRECT("'"&amp;A14&amp;"'!H9:H200"),"blocked")</f>
        <v>0</v>
      </c>
      <c r="I14" s="15">
        <f>COUNTIF(INDIRECT("'"&amp;A14&amp;"'!H9:H200"),"not applicable")</f>
        <v>0</v>
      </c>
      <c r="J14" s="16">
        <f>INDIRECT("'"&amp;A14&amp;"'!H4")</f>
        <v>1.0</v>
      </c>
      <c r="K14" s="15" t="str">
        <f>INDIRECT("'"&amp;A14&amp;"'!K4")</f>
        <v>complete</v>
      </c>
      <c r="L14" s="15" t="str">
        <f>INDIRECT("'"&amp;A14&amp;"'!E5")</f>
        <v>complete</v>
      </c>
      <c r="M14" s="15" t="str">
        <f>IF(AND(J14=1,K14="complete",L14="complete"),"complete",IF(H14&gt;0,"blocked","open"))</f>
        <v>complete</v>
      </c>
    </row>
    <row r="15" ht="24" customHeight="1" s="17">
      <c r="A15" s="15" t="inlineStr">
        <is>
          <t>Checkbox Group</t>
        </is>
      </c>
      <c r="B15" s="15">
        <f>INDIRECT("'"&amp;A15&amp;"'!B4")</f>
        <v>16</v>
      </c>
      <c r="C15" s="15">
        <f>COUNTIF(INDIRECT("'"&amp;A15&amp;"'!H9:H200"),"not started")</f>
        <v>0</v>
      </c>
      <c r="D15" s="15">
        <f>COUNTIF(INDIRECT("'"&amp;A15&amp;"'!H9:H200"),"partial")</f>
        <v>0</v>
      </c>
      <c r="E15" s="15">
        <f>COUNTIF(INDIRECT("'"&amp;A15&amp;"'!H9:H200"),"implemented")</f>
        <v>0</v>
      </c>
      <c r="F15" s="15">
        <f>COUNTIF(INDIRECT("'"&amp;A15&amp;"'!H9:H200"),"tested")</f>
        <v>11</v>
      </c>
      <c r="G15" s="15">
        <f>COUNTIF(INDIRECT("'"&amp;A15&amp;"'!H9:H200"),"verified")</f>
        <v>5</v>
      </c>
      <c r="H15" s="15">
        <f>COUNTIF(INDIRECT("'"&amp;A15&amp;"'!H9:H200"),"blocked")</f>
        <v>0</v>
      </c>
      <c r="I15" s="15">
        <f>COUNTIF(INDIRECT("'"&amp;A15&amp;"'!H9:H200"),"not applicable")</f>
        <v>0</v>
      </c>
      <c r="J15" s="16">
        <f>INDIRECT("'"&amp;A15&amp;"'!H4")</f>
        <v>1.0</v>
      </c>
      <c r="K15" s="15" t="str">
        <f>INDIRECT("'"&amp;A15&amp;"'!K4")</f>
        <v>complete</v>
      </c>
      <c r="L15" s="15" t="str">
        <f>INDIRECT("'"&amp;A15&amp;"'!E5")</f>
        <v>complete</v>
      </c>
      <c r="M15" s="15" t="str">
        <f>IF(AND(J15=1,K15="complete",L15="complete"),"complete",IF(H15&gt;0,"blocked","open"))</f>
        <v>complete</v>
      </c>
    </row>
    <row r="16" ht="24" customHeight="1" s="17">
      <c r="A16" s="15" t="inlineStr">
        <is>
          <t>Dialog</t>
        </is>
      </c>
      <c r="B16" s="15">
        <f>INDIRECT("'"&amp;A16&amp;"'!B4")</f>
        <v>16</v>
      </c>
      <c r="C16" s="15">
        <f>COUNTIF(INDIRECT("'"&amp;A16&amp;"'!H9:H200"),"not started")</f>
        <v>0</v>
      </c>
      <c r="D16" s="15">
        <f>COUNTIF(INDIRECT("'"&amp;A16&amp;"'!H9:H200"),"partial")</f>
        <v>0</v>
      </c>
      <c r="E16" s="15">
        <f>COUNTIF(INDIRECT("'"&amp;A16&amp;"'!H9:H200"),"implemented")</f>
        <v>0</v>
      </c>
      <c r="F16" s="15">
        <f>COUNTIF(INDIRECT("'"&amp;A16&amp;"'!H9:H200"),"tested")</f>
        <v>11</v>
      </c>
      <c r="G16" s="15">
        <f>COUNTIF(INDIRECT("'"&amp;A16&amp;"'!H9:H200"),"verified")</f>
        <v>5</v>
      </c>
      <c r="H16" s="15">
        <f>COUNTIF(INDIRECT("'"&amp;A16&amp;"'!H9:H200"),"blocked")</f>
        <v>0</v>
      </c>
      <c r="I16" s="15">
        <f>COUNTIF(INDIRECT("'"&amp;A16&amp;"'!H9:H200"),"not applicable")</f>
        <v>0</v>
      </c>
      <c r="J16" s="16">
        <f>INDIRECT("'"&amp;A16&amp;"'!H4")</f>
        <v>1.0</v>
      </c>
      <c r="K16" s="15" t="str">
        <f>INDIRECT("'"&amp;A16&amp;"'!K4")</f>
        <v>complete</v>
      </c>
      <c r="L16" s="15" t="str">
        <f>INDIRECT("'"&amp;A16&amp;"'!E5")</f>
        <v>complete</v>
      </c>
      <c r="M16" s="15" t="str">
        <f>IF(AND(J16=1,K16="complete",L16="complete"),"complete",IF(H16&gt;0,"blocked","open"))</f>
        <v>complete</v>
      </c>
    </row>
    <row r="17" ht="24" customHeight="1" s="17">
      <c r="A17" s="15" t="inlineStr">
        <is>
          <t>Drawer</t>
        </is>
      </c>
      <c r="B17" s="15">
        <f>INDIRECT("'"&amp;A17&amp;"'!B4")</f>
        <v>16</v>
      </c>
      <c r="C17" s="15">
        <f>COUNTIF(INDIRECT("'"&amp;A17&amp;"'!H9:H200"),"not started")</f>
        <v>0</v>
      </c>
      <c r="D17" s="15">
        <f>COUNTIF(INDIRECT("'"&amp;A17&amp;"'!H9:H200"),"partial")</f>
        <v>0</v>
      </c>
      <c r="E17" s="15">
        <f>COUNTIF(INDIRECT("'"&amp;A17&amp;"'!H9:H200"),"implemented")</f>
        <v>0</v>
      </c>
      <c r="F17" s="15">
        <f>COUNTIF(INDIRECT("'"&amp;A17&amp;"'!H9:H200"),"tested")</f>
        <v>11</v>
      </c>
      <c r="G17" s="15">
        <f>COUNTIF(INDIRECT("'"&amp;A17&amp;"'!H9:H200"),"verified")</f>
        <v>5</v>
      </c>
      <c r="H17" s="15">
        <f>COUNTIF(INDIRECT("'"&amp;A17&amp;"'!H9:H200"),"blocked")</f>
        <v>0</v>
      </c>
      <c r="I17" s="15">
        <f>COUNTIF(INDIRECT("'"&amp;A17&amp;"'!H9:H200"),"not applicable")</f>
        <v>0</v>
      </c>
      <c r="J17" s="16">
        <f>INDIRECT("'"&amp;A17&amp;"'!H4")</f>
        <v>1.0</v>
      </c>
      <c r="K17" s="15" t="str">
        <f>INDIRECT("'"&amp;A17&amp;"'!K4")</f>
        <v>complete</v>
      </c>
      <c r="L17" s="15" t="str">
        <f>INDIRECT("'"&amp;A17&amp;"'!E5")</f>
        <v>complete</v>
      </c>
      <c r="M17" s="15" t="str">
        <f>IF(AND(J17=1,K17="complete",L17="complete"),"complete",IF(H17&gt;0,"blocked","open"))</f>
        <v>complete</v>
      </c>
    </row>
    <row r="18" ht="24" customHeight="1" s="17">
      <c r="A18" s="15" t="inlineStr">
        <is>
          <t>Field</t>
        </is>
      </c>
      <c r="B18" s="15">
        <f>INDIRECT("'"&amp;A18&amp;"'!B4")</f>
        <v>16</v>
      </c>
      <c r="C18" s="15">
        <f>COUNTIF(INDIRECT("'"&amp;A18&amp;"'!H9:H200"),"not started")</f>
        <v>0</v>
      </c>
      <c r="D18" s="15">
        <f>COUNTIF(INDIRECT("'"&amp;A18&amp;"'!H9:H200"),"partial")</f>
        <v>0</v>
      </c>
      <c r="E18" s="15">
        <f>COUNTIF(INDIRECT("'"&amp;A18&amp;"'!H9:H200"),"implemented")</f>
        <v>0</v>
      </c>
      <c r="F18" s="15">
        <f>COUNTIF(INDIRECT("'"&amp;A18&amp;"'!H9:H200"),"tested")</f>
        <v>11</v>
      </c>
      <c r="G18" s="15">
        <f>COUNTIF(INDIRECT("'"&amp;A18&amp;"'!H9:H200"),"verified")</f>
        <v>5</v>
      </c>
      <c r="H18" s="15">
        <f>COUNTIF(INDIRECT("'"&amp;A18&amp;"'!H9:H200"),"blocked")</f>
        <v>0</v>
      </c>
      <c r="I18" s="15">
        <f>COUNTIF(INDIRECT("'"&amp;A18&amp;"'!H9:H200"),"not applicable")</f>
        <v>0</v>
      </c>
      <c r="J18" s="16">
        <f>INDIRECT("'"&amp;A18&amp;"'!H4")</f>
        <v>1.0</v>
      </c>
      <c r="K18" s="15" t="str">
        <f>INDIRECT("'"&amp;A18&amp;"'!K4")</f>
        <v>complete</v>
      </c>
      <c r="L18" s="15" t="str">
        <f>INDIRECT("'"&amp;A18&amp;"'!E5")</f>
        <v>complete</v>
      </c>
      <c r="M18" s="15" t="str">
        <f>IF(AND(J18=1,K18="complete",L18="complete"),"complete",IF(H18&gt;0,"blocked","open"))</f>
        <v>complete</v>
      </c>
    </row>
    <row r="19" ht="24" customHeight="1" s="17">
      <c r="A19" s="15" t="inlineStr">
        <is>
          <t>Fieldset</t>
        </is>
      </c>
      <c r="B19" s="15">
        <f>INDIRECT("'"&amp;A19&amp;"'!B4")</f>
        <v>16</v>
      </c>
      <c r="C19" s="15">
        <f>COUNTIF(INDIRECT("'"&amp;A19&amp;"'!H9:H200"),"not started")</f>
        <v>0</v>
      </c>
      <c r="D19" s="15">
        <f>COUNTIF(INDIRECT("'"&amp;A19&amp;"'!H9:H200"),"partial")</f>
        <v>0</v>
      </c>
      <c r="E19" s="15">
        <f>COUNTIF(INDIRECT("'"&amp;A19&amp;"'!H9:H200"),"implemented")</f>
        <v>0</v>
      </c>
      <c r="F19" s="15">
        <f>COUNTIF(INDIRECT("'"&amp;A19&amp;"'!H9:H200"),"tested")</f>
        <v>11</v>
      </c>
      <c r="G19" s="15">
        <f>COUNTIF(INDIRECT("'"&amp;A19&amp;"'!H9:H200"),"verified")</f>
        <v>5</v>
      </c>
      <c r="H19" s="15">
        <f>COUNTIF(INDIRECT("'"&amp;A19&amp;"'!H9:H200"),"blocked")</f>
        <v>0</v>
      </c>
      <c r="I19" s="15">
        <f>COUNTIF(INDIRECT("'"&amp;A19&amp;"'!H9:H200"),"not applicable")</f>
        <v>0</v>
      </c>
      <c r="J19" s="16">
        <f>INDIRECT("'"&amp;A19&amp;"'!H4")</f>
        <v>1.0</v>
      </c>
      <c r="K19" s="15" t="str">
        <f>INDIRECT("'"&amp;A19&amp;"'!K4")</f>
        <v>complete</v>
      </c>
      <c r="L19" s="15" t="str">
        <f>INDIRECT("'"&amp;A19&amp;"'!E5")</f>
        <v>complete</v>
      </c>
      <c r="M19" s="15" t="str">
        <f>IF(AND(J19=1,K19="complete",L19="complete"),"complete",IF(H19&gt;0,"blocked","open"))</f>
        <v>complete</v>
      </c>
    </row>
    <row r="20" ht="24" customHeight="1" s="17">
      <c r="A20" s="15" t="inlineStr">
        <is>
          <t>Form</t>
        </is>
      </c>
      <c r="B20" s="15">
        <f>INDIRECT("'"&amp;A20&amp;"'!B4")</f>
        <v>16</v>
      </c>
      <c r="C20" s="15">
        <f>COUNTIF(INDIRECT("'"&amp;A20&amp;"'!H9:H200"),"not started")</f>
        <v>0</v>
      </c>
      <c r="D20" s="15">
        <f>COUNTIF(INDIRECT("'"&amp;A20&amp;"'!H9:H200"),"partial")</f>
        <v>0</v>
      </c>
      <c r="E20" s="15">
        <f>COUNTIF(INDIRECT("'"&amp;A20&amp;"'!H9:H200"),"implemented")</f>
        <v>0</v>
      </c>
      <c r="F20" s="15">
        <f>COUNTIF(INDIRECT("'"&amp;A20&amp;"'!H9:H200"),"tested")</f>
        <v>11</v>
      </c>
      <c r="G20" s="15">
        <f>COUNTIF(INDIRECT("'"&amp;A20&amp;"'!H9:H200"),"verified")</f>
        <v>5</v>
      </c>
      <c r="H20" s="15">
        <f>COUNTIF(INDIRECT("'"&amp;A20&amp;"'!H9:H200"),"blocked")</f>
        <v>0</v>
      </c>
      <c r="I20" s="15">
        <f>COUNTIF(INDIRECT("'"&amp;A20&amp;"'!H9:H200"),"not applicable")</f>
        <v>0</v>
      </c>
      <c r="J20" s="16">
        <f>INDIRECT("'"&amp;A20&amp;"'!H4")</f>
        <v>1.0</v>
      </c>
      <c r="K20" s="15" t="str">
        <f>INDIRECT("'"&amp;A20&amp;"'!K4")</f>
        <v>complete</v>
      </c>
      <c r="L20" s="15" t="str">
        <f>INDIRECT("'"&amp;A20&amp;"'!E5")</f>
        <v>complete</v>
      </c>
      <c r="M20" s="15" t="str">
        <f>IF(AND(J20=1,K20="complete",L20="complete"),"complete",IF(H20&gt;0,"blocked","open"))</f>
        <v>complete</v>
      </c>
    </row>
    <row r="21" ht="24" customHeight="1" s="17">
      <c r="A21" s="15" t="inlineStr">
        <is>
          <t>Hover Card</t>
        </is>
      </c>
      <c r="B21" s="15">
        <f>INDIRECT("'"&amp;A21&amp;"'!B4")</f>
        <v>16</v>
      </c>
      <c r="C21" s="15">
        <f>COUNTIF(INDIRECT("'"&amp;A21&amp;"'!H9:H200"),"not started")</f>
        <v>0</v>
      </c>
      <c r="D21" s="15">
        <f>COUNTIF(INDIRECT("'"&amp;A21&amp;"'!H9:H200"),"partial")</f>
        <v>0</v>
      </c>
      <c r="E21" s="15">
        <f>COUNTIF(INDIRECT("'"&amp;A21&amp;"'!H9:H200"),"implemented")</f>
        <v>0</v>
      </c>
      <c r="F21" s="15">
        <f>COUNTIF(INDIRECT("'"&amp;A21&amp;"'!H9:H200"),"tested")</f>
        <v>11</v>
      </c>
      <c r="G21" s="15">
        <f>COUNTIF(INDIRECT("'"&amp;A21&amp;"'!H9:H200"),"verified")</f>
        <v>5</v>
      </c>
      <c r="H21" s="15">
        <f>COUNTIF(INDIRECT("'"&amp;A21&amp;"'!H9:H200"),"blocked")</f>
        <v>0</v>
      </c>
      <c r="I21" s="15">
        <f>COUNTIF(INDIRECT("'"&amp;A21&amp;"'!H9:H200"),"not applicable")</f>
        <v>0</v>
      </c>
      <c r="J21" s="16">
        <f>INDIRECT("'"&amp;A21&amp;"'!H4")</f>
        <v>1.0</v>
      </c>
      <c r="K21" s="15" t="str">
        <f>INDIRECT("'"&amp;A21&amp;"'!K4")</f>
        <v>complete</v>
      </c>
      <c r="L21" s="15" t="str">
        <f>INDIRECT("'"&amp;A21&amp;"'!E5")</f>
        <v>complete</v>
      </c>
      <c r="M21" s="15" t="str">
        <f>IF(AND(J21=1,K21="complete",L21="complete"),"complete",IF(H21&gt;0,"blocked","open"))</f>
        <v>complete</v>
      </c>
    </row>
    <row r="22" ht="24" customHeight="1" s="17">
      <c r="A22" s="15" t="inlineStr">
        <is>
          <t>Icon Button</t>
        </is>
      </c>
      <c r="B22" s="15">
        <f>INDIRECT("'"&amp;A22&amp;"'!B4")</f>
        <v>16</v>
      </c>
      <c r="C22" s="15">
        <f>COUNTIF(INDIRECT("'"&amp;A22&amp;"'!H9:H200"),"not started")</f>
        <v>0</v>
      </c>
      <c r="D22" s="15">
        <f>COUNTIF(INDIRECT("'"&amp;A22&amp;"'!H9:H200"),"partial")</f>
        <v>0</v>
      </c>
      <c r="E22" s="15">
        <f>COUNTIF(INDIRECT("'"&amp;A22&amp;"'!H9:H200"),"implemented")</f>
        <v>0</v>
      </c>
      <c r="F22" s="15">
        <f>COUNTIF(INDIRECT("'"&amp;A22&amp;"'!H9:H200"),"tested")</f>
        <v>11</v>
      </c>
      <c r="G22" s="15">
        <f>COUNTIF(INDIRECT("'"&amp;A22&amp;"'!H9:H200"),"verified")</f>
        <v>5</v>
      </c>
      <c r="H22" s="15">
        <f>COUNTIF(INDIRECT("'"&amp;A22&amp;"'!H9:H200"),"blocked")</f>
        <v>0</v>
      </c>
      <c r="I22" s="15">
        <f>COUNTIF(INDIRECT("'"&amp;A22&amp;"'!H9:H200"),"not applicable")</f>
        <v>0</v>
      </c>
      <c r="J22" s="16">
        <f>INDIRECT("'"&amp;A22&amp;"'!H4")</f>
        <v>1.0</v>
      </c>
      <c r="K22" s="15" t="str">
        <f>INDIRECT("'"&amp;A22&amp;"'!K4")</f>
        <v>complete</v>
      </c>
      <c r="L22" s="15" t="str">
        <f>INDIRECT("'"&amp;A22&amp;"'!E5")</f>
        <v>complete</v>
      </c>
      <c r="M22" s="15" t="str">
        <f>IF(AND(J22=1,K22="complete",L22="complete"),"complete",IF(H22&gt;0,"blocked","open"))</f>
        <v>complete</v>
      </c>
    </row>
    <row r="23" ht="24" customHeight="1" s="17">
      <c r="A23" s="15" t="inlineStr">
        <is>
          <t>Input</t>
        </is>
      </c>
      <c r="B23" s="15">
        <f>INDIRECT("'"&amp;A23&amp;"'!B4")</f>
        <v>16</v>
      </c>
      <c r="C23" s="15">
        <f>COUNTIF(INDIRECT("'"&amp;A23&amp;"'!H9:H200"),"not started")</f>
        <v>0</v>
      </c>
      <c r="D23" s="15">
        <f>COUNTIF(INDIRECT("'"&amp;A23&amp;"'!H9:H200"),"partial")</f>
        <v>0</v>
      </c>
      <c r="E23" s="15">
        <f>COUNTIF(INDIRECT("'"&amp;A23&amp;"'!H9:H200"),"implemented")</f>
        <v>4</v>
      </c>
      <c r="F23" s="15">
        <f>COUNTIF(INDIRECT("'"&amp;A23&amp;"'!H9:H200"),"tested")</f>
        <v>11</v>
      </c>
      <c r="G23" s="15">
        <f>COUNTIF(INDIRECT("'"&amp;A23&amp;"'!H9:H200"),"verified")</f>
        <v>1</v>
      </c>
      <c r="H23" s="15">
        <f>COUNTIF(INDIRECT("'"&amp;A23&amp;"'!H9:H200"),"blocked")</f>
        <v>0</v>
      </c>
      <c r="I23" s="15">
        <f>COUNTIF(INDIRECT("'"&amp;A23&amp;"'!H9:H200"),"not applicable")</f>
        <v>0</v>
      </c>
      <c r="J23" s="16">
        <f>INDIRECT("'"&amp;A23&amp;"'!H4")</f>
        <v>0.75</v>
      </c>
      <c r="K23" s="15" t="str">
        <f>INDIRECT("'"&amp;A23&amp;"'!K4")</f>
        <v>open</v>
      </c>
      <c r="L23" s="15" t="str">
        <f>INDIRECT("'"&amp;A23&amp;"'!E5")</f>
        <v>complete</v>
      </c>
      <c r="M23" s="15" t="str">
        <f>IF(AND(J23=1,K23="complete",L23="complete"),"complete",IF(H23&gt;0,"blocked","open"))</f>
        <v>open</v>
      </c>
    </row>
    <row r="24" ht="24" customHeight="1" s="17">
      <c r="A24" s="15" t="inlineStr">
        <is>
          <t>Link</t>
        </is>
      </c>
      <c r="B24" s="15">
        <f>INDIRECT("'"&amp;A24&amp;"'!B4")</f>
        <v>17</v>
      </c>
      <c r="C24" s="15">
        <f>COUNTIF(INDIRECT("'"&amp;A24&amp;"'!H9:H200"),"not started")</f>
        <v>0</v>
      </c>
      <c r="D24" s="15">
        <f>COUNTIF(INDIRECT("'"&amp;A24&amp;"'!H9:H200"),"partial")</f>
        <v>0</v>
      </c>
      <c r="E24" s="15">
        <f>COUNTIF(INDIRECT("'"&amp;A24&amp;"'!H9:H200"),"implemented")</f>
        <v>3</v>
      </c>
      <c r="F24" s="15">
        <f>COUNTIF(INDIRECT("'"&amp;A24&amp;"'!H9:H200"),"tested")</f>
        <v>13</v>
      </c>
      <c r="G24" s="15">
        <f>COUNTIF(INDIRECT("'"&amp;A24&amp;"'!H9:H200"),"verified")</f>
        <v>1</v>
      </c>
      <c r="H24" s="15">
        <f>COUNTIF(INDIRECT("'"&amp;A24&amp;"'!H9:H200"),"blocked")</f>
        <v>0</v>
      </c>
      <c r="I24" s="15">
        <f>COUNTIF(INDIRECT("'"&amp;A24&amp;"'!H9:H200"),"not applicable")</f>
        <v>0</v>
      </c>
      <c r="J24" s="16">
        <f>INDIRECT("'"&amp;A24&amp;"'!H4")</f>
        <v>0.8235294117647058</v>
      </c>
      <c r="K24" s="15" t="str">
        <f>INDIRECT("'"&amp;A24&amp;"'!K4")</f>
        <v>open</v>
      </c>
      <c r="L24" s="15" t="str">
        <f>INDIRECT("'"&amp;A24&amp;"'!E5")</f>
        <v>complete</v>
      </c>
      <c r="M24" s="15" t="str">
        <f>IF(AND(J24=1,K24="complete",L24="complete"),"complete",IF(H24&gt;0,"blocked","open"))</f>
        <v>open</v>
      </c>
    </row>
    <row r="25" ht="24" customHeight="1" s="17">
      <c r="A25" s="15" t="inlineStr">
        <is>
          <t>Notification Badge</t>
        </is>
      </c>
      <c r="B25" s="15">
        <f>INDIRECT("'"&amp;A25&amp;"'!B4")</f>
        <v>16</v>
      </c>
      <c r="C25" s="15">
        <f>COUNTIF(INDIRECT("'"&amp;A25&amp;"'!H9:H200"),"not started")</f>
        <v>0</v>
      </c>
      <c r="D25" s="15">
        <f>COUNTIF(INDIRECT("'"&amp;A25&amp;"'!H9:H200"),"partial")</f>
        <v>0</v>
      </c>
      <c r="E25" s="15">
        <f>COUNTIF(INDIRECT("'"&amp;A25&amp;"'!H9:H200"),"implemented")</f>
        <v>0</v>
      </c>
      <c r="F25" s="15">
        <f>COUNTIF(INDIRECT("'"&amp;A25&amp;"'!H9:H200"),"tested")</f>
        <v>11</v>
      </c>
      <c r="G25" s="15">
        <f>COUNTIF(INDIRECT("'"&amp;A25&amp;"'!H9:H200"),"verified")</f>
        <v>5</v>
      </c>
      <c r="H25" s="15">
        <f>COUNTIF(INDIRECT("'"&amp;A25&amp;"'!H9:H200"),"blocked")</f>
        <v>0</v>
      </c>
      <c r="I25" s="15">
        <f>COUNTIF(INDIRECT("'"&amp;A25&amp;"'!H9:H200"),"not applicable")</f>
        <v>0</v>
      </c>
      <c r="J25" s="16">
        <f>INDIRECT("'"&amp;A25&amp;"'!H4")</f>
        <v>1.0</v>
      </c>
      <c r="K25" s="15" t="str">
        <f>INDIRECT("'"&amp;A25&amp;"'!K4")</f>
        <v>complete</v>
      </c>
      <c r="L25" s="15" t="str">
        <f>INDIRECT("'"&amp;A25&amp;"'!E5")</f>
        <v>complete</v>
      </c>
      <c r="M25" s="15" t="str">
        <f>IF(AND(J25=1,K25="complete",L25="complete"),"complete",IF(H25&gt;0,"blocked","open"))</f>
        <v>complete</v>
      </c>
    </row>
    <row r="26" ht="24" customHeight="1" s="17">
      <c r="A26" s="15" t="inlineStr">
        <is>
          <t>Popover</t>
        </is>
      </c>
      <c r="B26" s="15">
        <f>INDIRECT("'"&amp;A26&amp;"'!B4")</f>
        <v>16</v>
      </c>
      <c r="C26" s="15">
        <f>COUNTIF(INDIRECT("'"&amp;A26&amp;"'!H9:H200"),"not started")</f>
        <v>0</v>
      </c>
      <c r="D26" s="15">
        <f>COUNTIF(INDIRECT("'"&amp;A26&amp;"'!H9:H200"),"partial")</f>
        <v>0</v>
      </c>
      <c r="E26" s="15">
        <f>COUNTIF(INDIRECT("'"&amp;A26&amp;"'!H9:H200"),"implemented")</f>
        <v>0</v>
      </c>
      <c r="F26" s="15">
        <f>COUNTIF(INDIRECT("'"&amp;A26&amp;"'!H9:H200"),"tested")</f>
        <v>11</v>
      </c>
      <c r="G26" s="15">
        <f>COUNTIF(INDIRECT("'"&amp;A26&amp;"'!H9:H200"),"verified")</f>
        <v>5</v>
      </c>
      <c r="H26" s="15">
        <f>COUNTIF(INDIRECT("'"&amp;A26&amp;"'!H9:H200"),"blocked")</f>
        <v>0</v>
      </c>
      <c r="I26" s="15">
        <f>COUNTIF(INDIRECT("'"&amp;A26&amp;"'!H9:H200"),"not applicable")</f>
        <v>0</v>
      </c>
      <c r="J26" s="16">
        <f>INDIRECT("'"&amp;A26&amp;"'!H4")</f>
        <v>1.0</v>
      </c>
      <c r="K26" s="15" t="str">
        <f>INDIRECT("'"&amp;A26&amp;"'!K4")</f>
        <v>complete</v>
      </c>
      <c r="L26" s="15" t="str">
        <f>INDIRECT("'"&amp;A26&amp;"'!E5")</f>
        <v>complete</v>
      </c>
      <c r="M26" s="15" t="str">
        <f>IF(AND(J26=1,K26="complete",L26="complete"),"complete",IF(H26&gt;0,"blocked","open"))</f>
        <v>complete</v>
      </c>
    </row>
    <row r="27" ht="24" customHeight="1" s="17">
      <c r="A27" s="15" t="inlineStr">
        <is>
          <t>Toggle</t>
        </is>
      </c>
      <c r="B27" s="15">
        <f>INDIRECT("'"&amp;A27&amp;"'!B4")</f>
        <v>16</v>
      </c>
      <c r="C27" s="15">
        <f>COUNTIF(INDIRECT("'"&amp;A27&amp;"'!H9:H200"),"not started")</f>
        <v>0</v>
      </c>
      <c r="D27" s="15">
        <f>COUNTIF(INDIRECT("'"&amp;A27&amp;"'!H9:H200"),"partial")</f>
        <v>0</v>
      </c>
      <c r="E27" s="15">
        <f>COUNTIF(INDIRECT("'"&amp;A27&amp;"'!H9:H200"),"implemented")</f>
        <v>0</v>
      </c>
      <c r="F27" s="15">
        <f>COUNTIF(INDIRECT("'"&amp;A27&amp;"'!H9:H200"),"tested")</f>
        <v>11</v>
      </c>
      <c r="G27" s="15">
        <f>COUNTIF(INDIRECT("'"&amp;A27&amp;"'!H9:H200"),"verified")</f>
        <v>5</v>
      </c>
      <c r="H27" s="15">
        <f>COUNTIF(INDIRECT("'"&amp;A27&amp;"'!H9:H200"),"blocked")</f>
        <v>0</v>
      </c>
      <c r="I27" s="15">
        <f>COUNTIF(INDIRECT("'"&amp;A27&amp;"'!H9:H200"),"not applicable")</f>
        <v>0</v>
      </c>
      <c r="J27" s="16">
        <f>INDIRECT("'"&amp;A27&amp;"'!H4")</f>
        <v>1.0</v>
      </c>
      <c r="K27" s="15" t="str">
        <f>INDIRECT("'"&amp;A27&amp;"'!K4")</f>
        <v>complete</v>
      </c>
      <c r="L27" s="15" t="str">
        <f>INDIRECT("'"&amp;A27&amp;"'!E5")</f>
        <v>complete</v>
      </c>
      <c r="M27" s="15" t="str">
        <f>IF(AND(J27=1,K27="complete",L27="complete"),"complete",IF(H27&gt;0,"blocked","open"))</f>
        <v>complete</v>
      </c>
    </row>
    <row r="28" ht="15" customHeight="1" s="17">
      <c r="A28" s="15" t="inlineStr">
        <is>
          <t>Toggle Group</t>
        </is>
      </c>
      <c r="B28" s="15">
        <f>INDIRECT("'"&amp;A28&amp;"'!B4")</f>
        <v>16</v>
      </c>
      <c r="C28" s="15">
        <f>COUNTIF(INDIRECT("'"&amp;A28&amp;"'!H9:H200"),"not started")</f>
        <v>0</v>
      </c>
      <c r="D28" s="15">
        <f>COUNTIF(INDIRECT("'"&amp;A28&amp;"'!H9:H200"),"partial")</f>
        <v>0</v>
      </c>
      <c r="E28" s="15">
        <f>COUNTIF(INDIRECT("'"&amp;A28&amp;"'!H9:H200"),"implemented")</f>
        <v>0</v>
      </c>
      <c r="F28" s="15">
        <f>COUNTIF(INDIRECT("'"&amp;A28&amp;"'!H9:H200"),"tested")</f>
        <v>11</v>
      </c>
      <c r="G28" s="15">
        <f>COUNTIF(INDIRECT("'"&amp;A28&amp;"'!H9:H200"),"verified")</f>
        <v>5</v>
      </c>
      <c r="H28" s="15">
        <f>COUNTIF(INDIRECT("'"&amp;A28&amp;"'!H9:H200"),"blocked")</f>
        <v>0</v>
      </c>
      <c r="I28" s="15">
        <f>COUNTIF(INDIRECT("'"&amp;A28&amp;"'!H9:H200"),"not applicable")</f>
        <v>0</v>
      </c>
      <c r="J28" s="16">
        <f>INDIRECT("'"&amp;A28&amp;"'!H4")</f>
        <v>1.0</v>
      </c>
      <c r="K28" s="15" t="str">
        <f>INDIRECT("'"&amp;A28&amp;"'!K4")</f>
        <v>complete</v>
      </c>
      <c r="L28" s="15" t="str">
        <f>INDIRECT("'"&amp;A28&amp;"'!E5")</f>
        <v>complete</v>
      </c>
      <c r="M28" s="15" t="str">
        <f>IF(AND(J28=1,K28="complete",L28="complete"),"complete",IF(H28&gt;0,"blocked","open"))</f>
        <v>complete</v>
      </c>
    </row>
    <row r="29" ht="15" customHeight="1" s="17">
      <c r="A29" s="15" t="inlineStr">
        <is>
          <t>Tooltip</t>
        </is>
      </c>
      <c r="B29" s="15">
        <f>INDIRECT("'"&amp;A29&amp;"'!B4")</f>
        <v>16</v>
      </c>
      <c r="C29" s="15">
        <f>COUNTIF(INDIRECT("'"&amp;A29&amp;"'!H9:H200"),"not started")</f>
        <v>0</v>
      </c>
      <c r="D29" s="15">
        <f>COUNTIF(INDIRECT("'"&amp;A29&amp;"'!H9:H200"),"partial")</f>
        <v>0</v>
      </c>
      <c r="E29" s="15">
        <f>COUNTIF(INDIRECT("'"&amp;A29&amp;"'!H9:H200"),"implemented")</f>
        <v>0</v>
      </c>
      <c r="F29" s="15">
        <f>COUNTIF(INDIRECT("'"&amp;A29&amp;"'!H9:H200"),"tested")</f>
        <v>11</v>
      </c>
      <c r="G29" s="15">
        <f>COUNTIF(INDIRECT("'"&amp;A29&amp;"'!H9:H200"),"verified")</f>
        <v>5</v>
      </c>
      <c r="H29" s="15">
        <f>COUNTIF(INDIRECT("'"&amp;A29&amp;"'!H9:H200"),"blocked")</f>
        <v>0</v>
      </c>
      <c r="I29" s="15">
        <f>COUNTIF(INDIRECT("'"&amp;A29&amp;"'!H9:H200"),"not applicable")</f>
        <v>0</v>
      </c>
      <c r="J29" s="16">
        <f>INDIRECT("'"&amp;A29&amp;"'!H4")</f>
        <v>1.0</v>
      </c>
      <c r="K29" s="15" t="str">
        <f>INDIRECT("'"&amp;A29&amp;"'!K4")</f>
        <v>complete</v>
      </c>
      <c r="L29" s="15" t="str">
        <f>INDIRECT("'"&amp;A29&amp;"'!E5")</f>
        <v>complete</v>
      </c>
      <c r="M29" s="15" t="str">
        <f>IF(AND(J29=1,K29="complete",L29="complete"),"complete",IF(H29&gt;0,"blocked","open"))</f>
        <v>complete</v>
      </c>
    </row>
    <row r="30" ht="15" customHeight="1" s="17">
      <c r="A30" s="15" t="inlineStr">
        <is>
          <t>Stack</t>
        </is>
      </c>
      <c r="B30" s="15">
        <f>INDIRECT("'"&amp;A30&amp;"'!B4")</f>
        <v>16</v>
      </c>
      <c r="C30" s="15">
        <f>COUNTIF(INDIRECT("'"&amp;A30&amp;"'!H9:H200"),"not started")</f>
        <v>0</v>
      </c>
      <c r="D30" s="15">
        <f>COUNTIF(INDIRECT("'"&amp;A30&amp;"'!H9:H200"),"partial")</f>
        <v>0</v>
      </c>
      <c r="E30" s="15">
        <f>COUNTIF(INDIRECT("'"&amp;A30&amp;"'!H9:H200"),"implemented")</f>
        <v>4</v>
      </c>
      <c r="F30" s="15">
        <f>COUNTIF(INDIRECT("'"&amp;A30&amp;"'!H9:H200"),"tested")</f>
        <v>11</v>
      </c>
      <c r="G30" s="15">
        <f>COUNTIF(INDIRECT("'"&amp;A30&amp;"'!H9:H200"),"verified")</f>
        <v>1</v>
      </c>
      <c r="H30" s="15">
        <f>COUNTIF(INDIRECT("'"&amp;A30&amp;"'!H9:H200"),"blocked")</f>
        <v>0</v>
      </c>
      <c r="I30" s="15">
        <f>COUNTIF(INDIRECT("'"&amp;A30&amp;"'!H9:H200"),"not applicable")</f>
        <v>0</v>
      </c>
      <c r="J30" s="16">
        <f>INDIRECT("'"&amp;A30&amp;"'!H4")</f>
        <v>0.75</v>
      </c>
      <c r="K30" s="15" t="str">
        <f>INDIRECT("'"&amp;A30&amp;"'!K4")</f>
        <v>open</v>
      </c>
      <c r="L30" s="15" t="str">
        <f>INDIRECT("'"&amp;A30&amp;"'!E5")</f>
        <v>complete</v>
      </c>
      <c r="M30" s="15" t="str">
        <f>IF(AND(J30=1,K30="complete",L30="complete"),"complete",IF(H30&gt;0,"blocked","open"))</f>
        <v>open</v>
      </c>
    </row>
    <row r="31" ht="15" customHeight="1" s="17">
      <c r="A31" s="15" t="inlineStr">
        <is>
          <t>Text</t>
        </is>
      </c>
      <c r="B31" s="15">
        <f>INDIRECT("'"&amp;A31&amp;"'!B4")</f>
        <v>16</v>
      </c>
      <c r="C31" s="15">
        <f>COUNTIF(INDIRECT("'"&amp;A31&amp;"'!H9:H200"),"not started")</f>
        <v>0</v>
      </c>
      <c r="D31" s="15">
        <f>COUNTIF(INDIRECT("'"&amp;A31&amp;"'!H9:H200"),"partial")</f>
        <v>0</v>
      </c>
      <c r="E31" s="15">
        <f>COUNTIF(INDIRECT("'"&amp;A31&amp;"'!H9:H200"),"implemented")</f>
        <v>4</v>
      </c>
      <c r="F31" s="15">
        <f>COUNTIF(INDIRECT("'"&amp;A31&amp;"'!H9:H200"),"tested")</f>
        <v>11</v>
      </c>
      <c r="G31" s="15">
        <f>COUNTIF(INDIRECT("'"&amp;A31&amp;"'!H9:H200"),"verified")</f>
        <v>1</v>
      </c>
      <c r="H31" s="15">
        <f>COUNTIF(INDIRECT("'"&amp;A31&amp;"'!H9:H200"),"blocked")</f>
        <v>0</v>
      </c>
      <c r="I31" s="15">
        <f>COUNTIF(INDIRECT("'"&amp;A31&amp;"'!H9:H200"),"not applicable")</f>
        <v>0</v>
      </c>
      <c r="J31" s="16">
        <f>INDIRECT("'"&amp;A31&amp;"'!H4")</f>
        <v>0.75</v>
      </c>
      <c r="K31" s="15" t="str">
        <f>INDIRECT("'"&amp;A31&amp;"'!K4")</f>
        <v>open</v>
      </c>
      <c r="L31" s="15" t="str">
        <f>INDIRECT("'"&amp;A31&amp;"'!E5")</f>
        <v>complete</v>
      </c>
      <c r="M31" s="15" t="str">
        <f>IF(AND(J31=1,K31="complete",L31="complete"),"complete",IF(H31&gt;0,"blocked","open"))</f>
        <v>open</v>
      </c>
    </row>
    <row r="32" ht="15" customHeight="1" s="17">
      <c r="A32" s="15" t="inlineStr">
        <is>
          <t>Grid</t>
        </is>
      </c>
      <c r="B32" s="15">
        <f>INDIRECT("'"&amp;A32&amp;"'!B4")</f>
        <v>17</v>
      </c>
      <c r="C32" s="15">
        <f>COUNTIF(INDIRECT("'"&amp;A32&amp;"'!H9:H200"),"not started")</f>
        <v>0</v>
      </c>
      <c r="D32" s="15">
        <f>COUNTIF(INDIRECT("'"&amp;A32&amp;"'!H9:H200"),"partial")</f>
        <v>0</v>
      </c>
      <c r="E32" s="15">
        <f>COUNTIF(INDIRECT("'"&amp;A32&amp;"'!H9:H200"),"implemented")</f>
        <v>4</v>
      </c>
      <c r="F32" s="15">
        <f>COUNTIF(INDIRECT("'"&amp;A32&amp;"'!H9:H200"),"tested")</f>
        <v>12</v>
      </c>
      <c r="G32" s="15">
        <f>COUNTIF(INDIRECT("'"&amp;A32&amp;"'!H9:H200"),"verified")</f>
        <v>1</v>
      </c>
      <c r="H32" s="15">
        <f>COUNTIF(INDIRECT("'"&amp;A32&amp;"'!H9:H200"),"blocked")</f>
        <v>0</v>
      </c>
      <c r="I32" s="15">
        <f>COUNTIF(INDIRECT("'"&amp;A32&amp;"'!H9:H200"),"not applicable")</f>
        <v>0</v>
      </c>
      <c r="J32" s="16">
        <f>INDIRECT("'"&amp;A32&amp;"'!H4")</f>
        <v>0.7647058823529411</v>
      </c>
      <c r="K32" s="15" t="str">
        <f>INDIRECT("'"&amp;A32&amp;"'!K4")</f>
        <v>open</v>
      </c>
      <c r="L32" s="15" t="str">
        <f>INDIRECT("'"&amp;A32&amp;"'!E5")</f>
        <v>complete</v>
      </c>
      <c r="M32" s="15" t="str">
        <f>IF(AND(J32=1,K32="complete",L32="complete"),"complete",IF(H32&gt;0,"blocked","open"))</f>
        <v>open</v>
      </c>
    </row>
    <row r="33" ht="15" customHeight="1" s="17">
      <c r="A33" s="15" t="inlineStr">
        <is>
          <t>Container</t>
        </is>
      </c>
      <c r="B33" s="15">
        <f>INDIRECT("'"&amp;A33&amp;"'!B4")</f>
        <v>17</v>
      </c>
      <c r="C33" s="15">
        <f>COUNTIF(INDIRECT("'"&amp;A33&amp;"'!H9:H200"),"not started")</f>
        <v>0</v>
      </c>
      <c r="D33" s="15">
        <f>COUNTIF(INDIRECT("'"&amp;A33&amp;"'!H9:H200"),"partial")</f>
        <v>0</v>
      </c>
      <c r="E33" s="15">
        <f>COUNTIF(INDIRECT("'"&amp;A33&amp;"'!H9:H200"),"implemented")</f>
        <v>4</v>
      </c>
      <c r="F33" s="15">
        <f>COUNTIF(INDIRECT("'"&amp;A33&amp;"'!H9:H200"),"tested")</f>
        <v>12</v>
      </c>
      <c r="G33" s="15">
        <f>COUNTIF(INDIRECT("'"&amp;A33&amp;"'!H9:H200"),"verified")</f>
        <v>1</v>
      </c>
      <c r="H33" s="15">
        <f>COUNTIF(INDIRECT("'"&amp;A33&amp;"'!H9:H200"),"blocked")</f>
        <v>0</v>
      </c>
      <c r="I33" s="15">
        <f>COUNTIF(INDIRECT("'"&amp;A33&amp;"'!H9:H200"),"not applicable")</f>
        <v>0</v>
      </c>
      <c r="J33" s="16">
        <f>INDIRECT("'"&amp;A33&amp;"'!H4")</f>
        <v>0.7647058823529411</v>
      </c>
      <c r="K33" s="15" t="str">
        <f>INDIRECT("'"&amp;A33&amp;"'!K4")</f>
        <v>open</v>
      </c>
      <c r="L33" s="15" t="str">
        <f>INDIRECT("'"&amp;A33&amp;"'!E5")</f>
        <v>complete</v>
      </c>
      <c r="M33" s="15" t="str">
        <f>IF(AND(J33=1,K33="complete",L33="complete"),"complete",IF(H33&gt;0,"blocked","open"))</f>
        <v>open</v>
      </c>
    </row>
    <row r="34" ht="15" customHeight="1" s="17">
      <c r="A34" s="15" t="inlineStr">
        <is>
          <t>Surface</t>
        </is>
      </c>
      <c r="B34" s="15">
        <f>INDIRECT("'"&amp;A34&amp;"'!B4")</f>
        <v>17</v>
      </c>
      <c r="C34" s="15">
        <f>COUNTIF(INDIRECT("'"&amp;A34&amp;"'!H9:H200"),"not started")</f>
        <v>0</v>
      </c>
      <c r="D34" s="15">
        <f>COUNTIF(INDIRECT("'"&amp;A34&amp;"'!H9:H200"),"partial")</f>
        <v>0</v>
      </c>
      <c r="E34" s="15">
        <f>COUNTIF(INDIRECT("'"&amp;A34&amp;"'!H9:H200"),"implemented")</f>
        <v>4</v>
      </c>
      <c r="F34" s="15">
        <f>COUNTIF(INDIRECT("'"&amp;A34&amp;"'!H9:H200"),"tested")</f>
        <v>12</v>
      </c>
      <c r="G34" s="15">
        <f>COUNTIF(INDIRECT("'"&amp;A34&amp;"'!H9:H200"),"verified")</f>
        <v>1</v>
      </c>
      <c r="H34" s="15">
        <f>COUNTIF(INDIRECT("'"&amp;A34&amp;"'!H9:H200"),"blocked")</f>
        <v>0</v>
      </c>
      <c r="I34" s="15">
        <f>COUNTIF(INDIRECT("'"&amp;A34&amp;"'!H9:H200"),"not applicable")</f>
        <v>0</v>
      </c>
      <c r="J34" s="16">
        <f>INDIRECT("'"&amp;A34&amp;"'!H4")</f>
        <v>0.7647058823529411</v>
      </c>
      <c r="K34" s="15" t="str">
        <f>INDIRECT("'"&amp;A34&amp;"'!K4")</f>
        <v>open</v>
      </c>
      <c r="L34" s="15" t="str">
        <f>INDIRECT("'"&amp;A34&amp;"'!E5")</f>
        <v>complete</v>
      </c>
      <c r="M34" s="15" t="str">
        <f>IF(AND(J34=1,K34="complete",L34="complete"),"complete",IF(H34&gt;0,"blocked","open"))</f>
        <v>open</v>
      </c>
    </row>
    <row r="35" ht="15" customHeight="1" s="17">
      <c r="A35" s="15" t="inlineStr">
        <is>
          <t>Divider</t>
        </is>
      </c>
      <c r="B35" s="15">
        <f>INDIRECT("'"&amp;A35&amp;"'!B4")</f>
        <v>17</v>
      </c>
      <c r="C35" s="15">
        <f>COUNTIF(INDIRECT("'"&amp;A35&amp;"'!H9:H200"),"not started")</f>
        <v>0</v>
      </c>
      <c r="D35" s="15">
        <f>COUNTIF(INDIRECT("'"&amp;A35&amp;"'!H9:H200"),"partial")</f>
        <v>0</v>
      </c>
      <c r="E35" s="15">
        <f>COUNTIF(INDIRECT("'"&amp;A35&amp;"'!H9:H200"),"implemented")</f>
        <v>4</v>
      </c>
      <c r="F35" s="15">
        <f>COUNTIF(INDIRECT("'"&amp;A35&amp;"'!H9:H200"),"tested")</f>
        <v>12</v>
      </c>
      <c r="G35" s="15">
        <f>COUNTIF(INDIRECT("'"&amp;A35&amp;"'!H9:H200"),"verified")</f>
        <v>1</v>
      </c>
      <c r="H35" s="15">
        <f>COUNTIF(INDIRECT("'"&amp;A35&amp;"'!H9:H200"),"blocked")</f>
        <v>0</v>
      </c>
      <c r="I35" s="15">
        <f>COUNTIF(INDIRECT("'"&amp;A35&amp;"'!H9:H200"),"not applicable")</f>
        <v>0</v>
      </c>
      <c r="J35" s="16">
        <f>INDIRECT("'"&amp;A35&amp;"'!H4")</f>
        <v>0.7647058823529411</v>
      </c>
      <c r="K35" s="15" t="str">
        <f>INDIRECT("'"&amp;A35&amp;"'!K4")</f>
        <v>open</v>
      </c>
      <c r="L35" s="15" t="str">
        <f>INDIRECT("'"&amp;A35&amp;"'!E5")</f>
        <v>complete</v>
      </c>
      <c r="M35" s="15" t="str">
        <f>IF(AND(J35=1,K35="complete",L35="complete"),"complete",IF(H35&gt;0,"blocked","open"))</f>
        <v>open</v>
      </c>
    </row>
    <row r="36" ht="15" customHeight="1" s="17">
      <c r="A36" s="15" t="inlineStr">
        <is>
          <t>Scroll Area</t>
        </is>
      </c>
      <c r="B36" s="15">
        <f>INDIRECT("'"&amp;A36&amp;"'!B4")</f>
        <v>17</v>
      </c>
      <c r="C36" s="15">
        <f>COUNTIF(INDIRECT("'"&amp;A36&amp;"'!H9:H200"),"not started")</f>
        <v>0</v>
      </c>
      <c r="D36" s="15">
        <f>COUNTIF(INDIRECT("'"&amp;A36&amp;"'!H9:H200"),"partial")</f>
        <v>0</v>
      </c>
      <c r="E36" s="15">
        <f>COUNTIF(INDIRECT("'"&amp;A36&amp;"'!H9:H200"),"implemented")</f>
        <v>4</v>
      </c>
      <c r="F36" s="15">
        <f>COUNTIF(INDIRECT("'"&amp;A36&amp;"'!H9:H200"),"tested")</f>
        <v>12</v>
      </c>
      <c r="G36" s="15">
        <f>COUNTIF(INDIRECT("'"&amp;A36&amp;"'!H9:H200"),"verified")</f>
        <v>1</v>
      </c>
      <c r="H36" s="15">
        <f>COUNTIF(INDIRECT("'"&amp;A36&amp;"'!H9:H200"),"blocked")</f>
        <v>0</v>
      </c>
      <c r="I36" s="15">
        <f>COUNTIF(INDIRECT("'"&amp;A36&amp;"'!H9:H200"),"not applicable")</f>
        <v>0</v>
      </c>
      <c r="J36" s="16">
        <f>INDIRECT("'"&amp;A36&amp;"'!H4")</f>
        <v>0.7647058823529411</v>
      </c>
      <c r="K36" s="15" t="str">
        <f>INDIRECT("'"&amp;A36&amp;"'!K4")</f>
        <v>open</v>
      </c>
      <c r="L36" s="15" t="str">
        <f>INDIRECT("'"&amp;A36&amp;"'!E5")</f>
        <v>complete</v>
      </c>
      <c r="M36" s="15" t="str">
        <f>IF(AND(J36=1,K36="complete",L36="complete"),"complete",IF(H36&gt;0,"blocked","open"))</f>
        <v>open</v>
      </c>
    </row>
    <row r="37" ht="15" customHeight="1" s="17">
      <c r="A37" s="15" t="inlineStr">
        <is>
          <t>Code</t>
        </is>
      </c>
      <c r="B37" s="15">
        <f>INDIRECT("'"&amp;A37&amp;"'!B4")</f>
        <v>15</v>
      </c>
      <c r="C37" s="15">
        <f>COUNTIF(INDIRECT("'"&amp;A37&amp;"'!H9:H200"),"not started")</f>
        <v>0</v>
      </c>
      <c r="D37" s="15">
        <f>COUNTIF(INDIRECT("'"&amp;A37&amp;"'!H9:H200"),"partial")</f>
        <v>0</v>
      </c>
      <c r="E37" s="15">
        <f>COUNTIF(INDIRECT("'"&amp;A37&amp;"'!H9:H200"),"implemented")</f>
        <v>4</v>
      </c>
      <c r="F37" s="15">
        <f>COUNTIF(INDIRECT("'"&amp;A37&amp;"'!H9:H200"),"tested")</f>
        <v>11</v>
      </c>
      <c r="G37" s="15">
        <f>COUNTIF(INDIRECT("'"&amp;A37&amp;"'!H9:H200"),"verified")</f>
        <v>0</v>
      </c>
      <c r="H37" s="15">
        <f>COUNTIF(INDIRECT("'"&amp;A37&amp;"'!H9:H200"),"blocked")</f>
        <v>0</v>
      </c>
      <c r="I37" s="15">
        <f>COUNTIF(INDIRECT("'"&amp;A37&amp;"'!H9:H200"),"not applicable")</f>
        <v>0</v>
      </c>
      <c r="J37" s="16">
        <f>INDIRECT("'"&amp;A37&amp;"'!H4")</f>
        <v>0.7333333333333333</v>
      </c>
      <c r="K37" s="15" t="str">
        <f>INDIRECT("'"&amp;A37&amp;"'!K4")</f>
        <v>open</v>
      </c>
      <c r="L37" s="15" t="str">
        <f>INDIRECT("'"&amp;A37&amp;"'!E5")</f>
        <v>complete</v>
      </c>
      <c r="M37" s="15" t="str">
        <f>IF(AND(J37=1,K37="complete",L37="complete"),"complete",IF(H37&gt;0,"blocked","open"))</f>
        <v>open</v>
      </c>
    </row>
    <row r="38" ht="15" customHeight="1" s="17">
      <c r="A38" s="15" t="inlineStr">
        <is>
          <t>Code Block</t>
        </is>
      </c>
      <c r="B38" s="15">
        <f>INDIRECT("'"&amp;A38&amp;"'!B4")</f>
        <v>16</v>
      </c>
      <c r="C38" s="15">
        <f>COUNTIF(INDIRECT("'"&amp;A38&amp;"'!H9:H200"),"not started")</f>
        <v>0</v>
      </c>
      <c r="D38" s="15">
        <f>COUNTIF(INDIRECT("'"&amp;A38&amp;"'!H9:H200"),"partial")</f>
        <v>0</v>
      </c>
      <c r="E38" s="15">
        <f>COUNTIF(INDIRECT("'"&amp;A38&amp;"'!H9:H200"),"implemented")</f>
        <v>4</v>
      </c>
      <c r="F38" s="15">
        <f>COUNTIF(INDIRECT("'"&amp;A38&amp;"'!H9:H200"),"tested")</f>
        <v>12</v>
      </c>
      <c r="G38" s="15">
        <f>COUNTIF(INDIRECT("'"&amp;A38&amp;"'!H9:H200"),"verified")</f>
        <v>0</v>
      </c>
      <c r="H38" s="15">
        <f>COUNTIF(INDIRECT("'"&amp;A38&amp;"'!H9:H200"),"blocked")</f>
        <v>0</v>
      </c>
      <c r="I38" s="15">
        <f>COUNTIF(INDIRECT("'"&amp;A38&amp;"'!H9:H200"),"not applicable")</f>
        <v>0</v>
      </c>
      <c r="J38" s="16">
        <f>INDIRECT("'"&amp;A38&amp;"'!H4")</f>
        <v>0.75</v>
      </c>
      <c r="K38" s="15" t="str">
        <f>INDIRECT("'"&amp;A38&amp;"'!K4")</f>
        <v>open</v>
      </c>
      <c r="L38" s="15" t="str">
        <f>INDIRECT("'"&amp;A38&amp;"'!E5")</f>
        <v>complete</v>
      </c>
      <c r="M38" s="15" t="str">
        <f>IF(AND(J38=1,K38="complete",L38="complete"),"complete",IF(H38&gt;0,"blocked","open"))</f>
        <v>open</v>
      </c>
    </row>
    <row r="39" ht="15" customHeight="1" s="17">
      <c r="A39" s="15" t="inlineStr">
        <is>
          <t>Nav List</t>
        </is>
      </c>
      <c r="B39" s="15">
        <f>INDIRECT("'"&amp;A39&amp;"'!B4")</f>
        <v>16</v>
      </c>
      <c r="C39" s="15">
        <f>COUNTIF(INDIRECT("'"&amp;A39&amp;"'!H9:H200"),"not started")</f>
        <v>0</v>
      </c>
      <c r="D39" s="15">
        <f>COUNTIF(INDIRECT("'"&amp;A39&amp;"'!H9:H200"),"partial")</f>
        <v>0</v>
      </c>
      <c r="E39" s="15">
        <f>COUNTIF(INDIRECT("'"&amp;A39&amp;"'!H9:H200"),"implemented")</f>
        <v>0</v>
      </c>
      <c r="F39" s="15">
        <f>COUNTIF(INDIRECT("'"&amp;A39&amp;"'!H9:H200"),"tested")</f>
        <v>16</v>
      </c>
      <c r="G39" s="15">
        <f>COUNTIF(INDIRECT("'"&amp;A39&amp;"'!H9:H200"),"verified")</f>
        <v>0</v>
      </c>
      <c r="H39" s="15">
        <f>COUNTIF(INDIRECT("'"&amp;A39&amp;"'!H9:H200"),"blocked")</f>
        <v>0</v>
      </c>
      <c r="I39" s="15">
        <f>COUNTIF(INDIRECT("'"&amp;A39&amp;"'!H9:H200"),"not applicable")</f>
        <v>0</v>
      </c>
      <c r="J39" s="16">
        <f>INDIRECT("'"&amp;A39&amp;"'!H4")</f>
        <v>0.8125</v>
      </c>
      <c r="K39" s="15" t="str">
        <f>INDIRECT("'"&amp;A39&amp;"'!K4")</f>
        <v>open</v>
      </c>
      <c r="L39" s="15" t="str">
        <f>INDIRECT("'"&amp;A39&amp;"'!E5")</f>
        <v>complete</v>
      </c>
      <c r="M39" s="15" t="str">
        <f>IF(AND(J39=1,K39="complete",L39="complete"),"complete",IF(H39&gt;0,"blocked","open"))</f>
        <v>open</v>
      </c>
    </row>
    <row r="40" ht="15" customHeight="1" s="17">
      <c r="A40" s="15" t="inlineStr">
        <is>
          <t>Sidebar</t>
        </is>
      </c>
      <c r="B40" s="15">
        <f>INDIRECT("'"&amp;A40&amp;"'!B4")</f>
        <v>16</v>
      </c>
      <c r="C40" s="15">
        <f>COUNTIF(INDIRECT("'"&amp;A40&amp;"'!H9:H200"),"not started")</f>
        <v>0</v>
      </c>
      <c r="D40" s="15">
        <f>COUNTIF(INDIRECT("'"&amp;A40&amp;"'!H9:H200"),"partial")</f>
        <v>0</v>
      </c>
      <c r="E40" s="15">
        <f>COUNTIF(INDIRECT("'"&amp;A40&amp;"'!H9:H200"),"implemented")</f>
        <v>3</v>
      </c>
      <c r="F40" s="15">
        <f>COUNTIF(INDIRECT("'"&amp;A40&amp;"'!H9:H200"),"tested")</f>
        <v>13</v>
      </c>
      <c r="G40" s="15">
        <f>COUNTIF(INDIRECT("'"&amp;A40&amp;"'!H9:H200"),"verified")</f>
        <v>0</v>
      </c>
      <c r="H40" s="15">
        <f>COUNTIF(INDIRECT("'"&amp;A40&amp;"'!H9:H200"),"blocked")</f>
        <v>0</v>
      </c>
      <c r="I40" s="15">
        <f>COUNTIF(INDIRECT("'"&amp;A40&amp;"'!H9:H200"),"not applicable")</f>
        <v>0</v>
      </c>
      <c r="J40" s="16">
        <f>INDIRECT("'"&amp;A40&amp;"'!H4")</f>
        <v>0.8125</v>
      </c>
      <c r="K40" s="15" t="str">
        <f>INDIRECT("'"&amp;A40&amp;"'!K4")</f>
        <v>open</v>
      </c>
      <c r="L40" s="15" t="str">
        <f>INDIRECT("'"&amp;A40&amp;"'!E5")</f>
        <v>complete</v>
      </c>
      <c r="M40" s="15" t="str">
        <f>IF(AND(J40=1,K40="complete",L40="complete"),"complete",IF(H40&gt;0,"blocked","open"))</f>
        <v>open</v>
      </c>
    </row>
    <row r="41" ht="15" customHeight="1" s="17">
      <c r="A41" s="15" t="inlineStr">
        <is>
          <t>Icon</t>
        </is>
      </c>
      <c r="B41" s="15">
        <f>INDIRECT("'"&amp;A41&amp;"'!B4")</f>
        <v>17</v>
      </c>
      <c r="C41" s="15">
        <f>COUNTIF(INDIRECT("'"&amp;A41&amp;"'!H9:H200"),"not started")</f>
        <v>0</v>
      </c>
      <c r="D41" s="15">
        <f>COUNTIF(INDIRECT("'"&amp;A41&amp;"'!H9:H200"),"partial")</f>
        <v>0</v>
      </c>
      <c r="E41" s="15">
        <f>COUNTIF(INDIRECT("'"&amp;A41&amp;"'!H9:H200"),"implemented")</f>
        <v>3</v>
      </c>
      <c r="F41" s="15">
        <f>COUNTIF(INDIRECT("'"&amp;A41&amp;"'!H9:H200"),"tested")</f>
        <v>14</v>
      </c>
      <c r="G41" s="15">
        <f>COUNTIF(INDIRECT("'"&amp;A41&amp;"'!H9:H200"),"verified")</f>
        <v>0</v>
      </c>
      <c r="H41" s="15">
        <f>COUNTIF(INDIRECT("'"&amp;A41&amp;"'!H9:H200"),"blocked")</f>
        <v>0</v>
      </c>
      <c r="I41" s="15">
        <f>COUNTIF(INDIRECT("'"&amp;A41&amp;"'!H9:H200"),"not applicable")</f>
        <v>0</v>
      </c>
      <c r="J41" s="16">
        <f>INDIRECT("'"&amp;A41&amp;"'!H4")</f>
        <v>0.8235294117647058</v>
      </c>
      <c r="K41" s="15" t="str">
        <f>INDIRECT("'"&amp;A41&amp;"'!K4")</f>
        <v>open</v>
      </c>
      <c r="L41" s="15" t="str">
        <f>INDIRECT("'"&amp;A41&amp;"'!E5")</f>
        <v>complete</v>
      </c>
      <c r="M41" s="15" t="str">
        <f>IF(AND(J41=1,K41="complete",L41="complete"),"complete",IF(H41&gt;0,"blocked","open"))</f>
        <v>open</v>
      </c>
    </row>
    <row r="42" ht="15" customHeight="1" s="17">
      <c r="A42" s="15" t="inlineStr">
        <is>
          <t>Image</t>
        </is>
      </c>
      <c r="B42" s="15">
        <f>INDIRECT("'"&amp;A42&amp;"'!B4")</f>
        <v>22</v>
      </c>
      <c r="C42" s="15">
        <f>COUNTIF(INDIRECT("'"&amp;A42&amp;"'!H9:H200"),"not started")</f>
        <v>0</v>
      </c>
      <c r="D42" s="15">
        <f>COUNTIF(INDIRECT("'"&amp;A42&amp;"'!H9:H200"),"partial")</f>
        <v>0</v>
      </c>
      <c r="E42" s="15">
        <f>COUNTIF(INDIRECT("'"&amp;A42&amp;"'!H9:H200"),"implemented")</f>
        <v>3</v>
      </c>
      <c r="F42" s="15">
        <f>COUNTIF(INDIRECT("'"&amp;A42&amp;"'!H9:H200"),"tested")</f>
        <v>19</v>
      </c>
      <c r="G42" s="15">
        <f>COUNTIF(INDIRECT("'"&amp;A42&amp;"'!H9:H200"),"verified")</f>
        <v>0</v>
      </c>
      <c r="H42" s="15">
        <f>COUNTIF(INDIRECT("'"&amp;A42&amp;"'!H9:H200"),"blocked")</f>
        <v>0</v>
      </c>
      <c r="I42" s="15">
        <f>COUNTIF(INDIRECT("'"&amp;A42&amp;"'!H9:H200"),"not applicable")</f>
        <v>0</v>
      </c>
      <c r="J42" s="16">
        <f>INDIRECT("'"&amp;A42&amp;"'!H4")</f>
        <v>0.8636363636363636</v>
      </c>
      <c r="K42" s="15" t="str">
        <f>INDIRECT("'"&amp;A42&amp;"'!K4")</f>
        <v>open</v>
      </c>
      <c r="L42" s="15" t="str">
        <f>INDIRECT("'"&amp;A42&amp;"'!E5")</f>
        <v>complete</v>
      </c>
      <c r="M42" s="15" t="str">
        <f>IF(AND(J42=1,K42="complete",L42="complete"),"complete",IF(H42&gt;0,"blocked","open"))</f>
        <v>open</v>
      </c>
    </row>
    <row r="43" ht="15" customHeight="1" s="17">
      <c r="A43" s="15" t="inlineStr">
        <is>
          <t>List</t>
        </is>
      </c>
      <c r="B43" s="15">
        <f>INDIRECT("'"&amp;A43&amp;"'!B4")</f>
        <v>19</v>
      </c>
      <c r="C43" s="15">
        <f>COUNTIF(INDIRECT("'"&amp;A43&amp;"'!H9:H200"),"not started")</f>
        <v>0</v>
      </c>
      <c r="D43" s="15">
        <f>COUNTIF(INDIRECT("'"&amp;A43&amp;"'!H9:H200"),"partial")</f>
        <v>0</v>
      </c>
      <c r="E43" s="15">
        <f>COUNTIF(INDIRECT("'"&amp;A43&amp;"'!H9:H200"),"implemented")</f>
        <v>4</v>
      </c>
      <c r="F43" s="15">
        <f>COUNTIF(INDIRECT("'"&amp;A43&amp;"'!H9:H200"),"tested")</f>
        <v>14</v>
      </c>
      <c r="G43" s="15">
        <f>COUNTIF(INDIRECT("'"&amp;A43&amp;"'!H9:H200"),"verified")</f>
        <v>1</v>
      </c>
      <c r="H43" s="15">
        <f>COUNTIF(INDIRECT("'"&amp;A43&amp;"'!H9:H200"),"blocked")</f>
        <v>0</v>
      </c>
      <c r="I43" s="15">
        <f>COUNTIF(INDIRECT("'"&amp;A43&amp;"'!H9:H200"),"not applicable")</f>
        <v>0</v>
      </c>
      <c r="J43" s="16">
        <f>INDIRECT("'"&amp;A43&amp;"'!H4")</f>
        <v>0.7894736842105263</v>
      </c>
      <c r="K43" s="15" t="str">
        <f>INDIRECT("'"&amp;A43&amp;"'!K4")</f>
        <v>open</v>
      </c>
      <c r="L43" s="15" t="str">
        <f>INDIRECT("'"&amp;A43&amp;"'!E5")</f>
        <v>complete</v>
      </c>
      <c r="M43" s="15" t="str">
        <f>IF(AND(J43=1,K43="complete",L43="complete"),"complete",IF(H43&gt;0,"blocked","open"))</f>
        <v>open</v>
      </c>
    </row>
    <row r="44" ht="15" customHeight="1" s="17">
      <c r="A44" s="15" t="inlineStr">
        <is>
          <t>Select</t>
        </is>
      </c>
      <c r="B44" s="15">
        <f>INDIRECT("'"&amp;A44&amp;"'!B4")</f>
        <v>22</v>
      </c>
      <c r="C44" s="15">
        <f>COUNTIF(INDIRECT("'"&amp;A44&amp;"'!H9:H200"),"not started")</f>
        <v>0</v>
      </c>
      <c r="D44" s="15">
        <f>COUNTIF(INDIRECT("'"&amp;A44&amp;"'!H9:H200"),"partial")</f>
        <v>0</v>
      </c>
      <c r="E44" s="15">
        <f>COUNTIF(INDIRECT("'"&amp;A44&amp;"'!H9:H200"),"implemented")</f>
        <v>6</v>
      </c>
      <c r="F44" s="15">
        <f>COUNTIF(INDIRECT("'"&amp;A44&amp;"'!H9:H200"),"tested")</f>
        <v>16</v>
      </c>
      <c r="G44" s="15">
        <f>COUNTIF(INDIRECT("'"&amp;A44&amp;"'!H9:H200"),"verified")</f>
        <v>0</v>
      </c>
      <c r="H44" s="15">
        <f>COUNTIF(INDIRECT("'"&amp;A44&amp;"'!H9:H200"),"blocked")</f>
        <v>0</v>
      </c>
      <c r="I44" s="15">
        <f>COUNTIF(INDIRECT("'"&amp;A44&amp;"'!H9:H200"),"not applicable")</f>
        <v>0</v>
      </c>
      <c r="J44" s="16">
        <f>INDIRECT("'"&amp;A44&amp;"'!H4")</f>
        <v>0.7272727272727273</v>
      </c>
      <c r="K44" s="15" t="str">
        <f>INDIRECT("'"&amp;A44&amp;"'!K4")</f>
        <v>open</v>
      </c>
      <c r="L44" s="15" t="str">
        <f>INDIRECT("'"&amp;A44&amp;"'!E5")</f>
        <v>complete</v>
      </c>
      <c r="M44" s="15" t="str">
        <f>IF(AND(J44=1,K44="complete",L44="complete"),"complete",IF(H44&gt;0,"blocked","open"))</f>
        <v>open</v>
      </c>
    </row>
    <row r="45" ht="15" customHeight="1" s="17">
      <c r="A45" s="15" t="inlineStr">
        <is>
          <t>Multi Select</t>
        </is>
      </c>
      <c r="B45" s="15">
        <f>INDIRECT("'"&amp;A45&amp;"'!B4")</f>
        <v>22</v>
      </c>
      <c r="C45" s="15">
        <f>COUNTIF(INDIRECT("'"&amp;A45&amp;"'!H9:H200"),"not started")</f>
        <v>0</v>
      </c>
      <c r="D45" s="15">
        <f>COUNTIF(INDIRECT("'"&amp;A45&amp;"'!H9:H200"),"partial")</f>
        <v>0</v>
      </c>
      <c r="E45" s="15">
        <f>COUNTIF(INDIRECT("'"&amp;A45&amp;"'!H9:H200"),"implemented")</f>
        <v>6</v>
      </c>
      <c r="F45" s="15">
        <f>COUNTIF(INDIRECT("'"&amp;A45&amp;"'!H9:H200"),"tested")</f>
        <v>16</v>
      </c>
      <c r="G45" s="15">
        <f>COUNTIF(INDIRECT("'"&amp;A45&amp;"'!H9:H200"),"verified")</f>
        <v>0</v>
      </c>
      <c r="H45" s="15">
        <f>COUNTIF(INDIRECT("'"&amp;A45&amp;"'!H9:H200"),"blocked")</f>
        <v>0</v>
      </c>
      <c r="I45" s="15">
        <f>COUNTIF(INDIRECT("'"&amp;A45&amp;"'!H9:H200"),"not applicable")</f>
        <v>0</v>
      </c>
      <c r="J45" s="16">
        <f>INDIRECT("'"&amp;A45&amp;"'!H4")</f>
        <v>0.7272727272727273</v>
      </c>
      <c r="K45" s="15" t="str">
        <f>INDIRECT("'"&amp;A45&amp;"'!K4")</f>
        <v>open</v>
      </c>
      <c r="L45" s="15" t="str">
        <f>INDIRECT("'"&amp;A45&amp;"'!E5")</f>
        <v>complete</v>
      </c>
      <c r="M45" s="15" t="str">
        <f>IF(AND(J45=1,K45="complete",L45="complete"),"complete",IF(H45&gt;0,"blocked","open"))</f>
        <v>open</v>
      </c>
    </row>
    <row r="46" ht="15" customHeight="1" s="17">
      <c r="A46" s="15" t="inlineStr">
        <is>
          <t>Textarea</t>
        </is>
      </c>
      <c r="B46" s="15">
        <f>INDIRECT("'"&amp;A46&amp;"'!B4")</f>
        <v>22</v>
      </c>
      <c r="C46" s="15">
        <f>COUNTIF(INDIRECT("'"&amp;A46&amp;"'!H9:H200"),"not started")</f>
        <v>0</v>
      </c>
      <c r="D46" s="15">
        <f>COUNTIF(INDIRECT("'"&amp;A46&amp;"'!H9:H200"),"partial")</f>
        <v>0</v>
      </c>
      <c r="E46" s="15">
        <f>COUNTIF(INDIRECT("'"&amp;A46&amp;"'!H9:H200"),"implemented")</f>
        <v>5</v>
      </c>
      <c r="F46" s="15">
        <f>COUNTIF(INDIRECT("'"&amp;A46&amp;"'!H9:H200"),"tested")</f>
        <v>17</v>
      </c>
      <c r="G46" s="15">
        <f>COUNTIF(INDIRECT("'"&amp;A46&amp;"'!H9:H200"),"verified")</f>
        <v>0</v>
      </c>
      <c r="H46" s="15">
        <f>COUNTIF(INDIRECT("'"&amp;A46&amp;"'!H9:H200"),"blocked")</f>
        <v>0</v>
      </c>
      <c r="I46" s="15">
        <f>COUNTIF(INDIRECT("'"&amp;A46&amp;"'!H9:H200"),"not applicable")</f>
        <v>0</v>
      </c>
      <c r="J46" s="16">
        <f>INDIRECT("'"&amp;A46&amp;"'!H4")</f>
        <v>0.7727272727272727</v>
      </c>
      <c r="K46" s="15" t="str">
        <f>INDIRECT("'"&amp;A46&amp;"'!K4")</f>
        <v>open</v>
      </c>
      <c r="L46" s="15" t="str">
        <f>INDIRECT("'"&amp;A46&amp;"'!E5")</f>
        <v>complete</v>
      </c>
      <c r="M46" s="15" t="str">
        <f>IF(AND(J46=1,K46="complete",L46="complete"),"complete",IF(H46&gt;0,"blocked","open"))</f>
        <v>open</v>
      </c>
    </row>
    <row r="47" ht="15" customHeight="1" s="17">
      <c r="A47" s="15" t="inlineStr">
        <is>
          <t>Radio Group</t>
        </is>
      </c>
      <c r="B47" s="15">
        <f>INDIRECT("'"&amp;A47&amp;"'!B4")</f>
        <v>20</v>
      </c>
      <c r="C47" s="15">
        <f>COUNTIF(INDIRECT("'"&amp;A47&amp;"'!H9:H200"),"not started")</f>
        <v>2</v>
      </c>
      <c r="D47" s="15">
        <f>COUNTIF(INDIRECT("'"&amp;A47&amp;"'!H9:H200"),"partial")</f>
        <v>0</v>
      </c>
      <c r="E47" s="15">
        <f>COUNTIF(INDIRECT("'"&amp;A47&amp;"'!H9:H200"),"implemented")</f>
        <v>0</v>
      </c>
      <c r="F47" s="15">
        <f>COUNTIF(INDIRECT("'"&amp;A47&amp;"'!H9:H200"),"tested")</f>
        <v>18</v>
      </c>
      <c r="G47" s="15">
        <f>COUNTIF(INDIRECT("'"&amp;A47&amp;"'!H9:H200"),"verified")</f>
        <v>0</v>
      </c>
      <c r="H47" s="15">
        <f>COUNTIF(INDIRECT("'"&amp;A47&amp;"'!H9:H200"),"blocked")</f>
        <v>0</v>
      </c>
      <c r="I47" s="15">
        <f>COUNTIF(INDIRECT("'"&amp;A47&amp;"'!H9:H200"),"not applicable")</f>
        <v>0</v>
      </c>
      <c r="J47" s="16">
        <f>INDIRECT("'"&amp;A47&amp;"'!H4")</f>
        <v>0.9</v>
      </c>
      <c r="K47" s="15" t="str">
        <f>INDIRECT("'"&amp;A47&amp;"'!K4")</f>
        <v>open</v>
      </c>
      <c r="L47" s="15" t="str">
        <f>INDIRECT("'"&amp;A47&amp;"'!E5")</f>
        <v>complete</v>
      </c>
      <c r="M47" s="15" t="str">
        <f>IF(AND(J47=1,K47="complete",L47="complete"),"complete",IF(H47&gt;0,"blocked","open"))</f>
        <v>open</v>
      </c>
    </row>
    <row r="48" ht="15" customHeight="1" s="17">
      <c r="A48" s="15" t="inlineStr">
        <is>
          <t>Switch</t>
        </is>
      </c>
      <c r="B48" s="15">
        <f>INDIRECT("'"&amp;A48&amp;"'!B4")</f>
        <v>20</v>
      </c>
      <c r="C48" s="15">
        <f>COUNTIF(INDIRECT("'"&amp;A48&amp;"'!H9:H200"),"not started")</f>
        <v>2</v>
      </c>
      <c r="D48" s="15">
        <f>COUNTIF(INDIRECT("'"&amp;A48&amp;"'!H9:H200"),"partial")</f>
        <v>0</v>
      </c>
      <c r="E48" s="15">
        <f>COUNTIF(INDIRECT("'"&amp;A48&amp;"'!H9:H200"),"implemented")</f>
        <v>0</v>
      </c>
      <c r="F48" s="15">
        <f>COUNTIF(INDIRECT("'"&amp;A48&amp;"'!H9:H200"),"tested")</f>
        <v>18</v>
      </c>
      <c r="G48" s="15">
        <f>COUNTIF(INDIRECT("'"&amp;A48&amp;"'!H9:H200"),"verified")</f>
        <v>0</v>
      </c>
      <c r="H48" s="15">
        <f>COUNTIF(INDIRECT("'"&amp;A48&amp;"'!H9:H200"),"blocked")</f>
        <v>0</v>
      </c>
      <c r="I48" s="15">
        <f>COUNTIF(INDIRECT("'"&amp;A48&amp;"'!H9:H200"),"not applicable")</f>
        <v>0</v>
      </c>
      <c r="J48" s="16">
        <f>INDIRECT("'"&amp;A48&amp;"'!H4")</f>
        <v>0.9</v>
      </c>
      <c r="K48" s="15" t="str">
        <f>INDIRECT("'"&amp;A48&amp;"'!B5")</f>
        <v>open</v>
      </c>
      <c r="L48" s="15" t="str">
        <f>INDIRECT("'"&amp;A48&amp;"'!E5")</f>
        <v>complete</v>
      </c>
      <c r="M48" s="15" t="str">
        <f>IF(AND(J48=1,K48="complete",L48="complete"),"complete",IF(H48&gt;0,"blocked","open"))</f>
        <v>open</v>
      </c>
    </row>
    <row r="49" ht="15" customHeight="1" s="17">
      <c r="A49" s="15" t="inlineStr">
        <is>
          <t>Breadcrumb</t>
        </is>
      </c>
      <c r="B49" s="15">
        <f>INDIRECT("'"&amp;A49&amp;"'!B4")</f>
        <v>23</v>
      </c>
      <c r="C49" s="15">
        <f>COUNTIF(INDIRECT("'"&amp;A49&amp;"'!H9:H200"),"not started")</f>
        <v>1</v>
      </c>
      <c r="D49" s="15">
        <f>COUNTIF(INDIRECT("'"&amp;A49&amp;"'!H9:H200"),"partial")</f>
        <v>0</v>
      </c>
      <c r="E49" s="15">
        <f>COUNTIF(INDIRECT("'"&amp;A49&amp;"'!H9:H200"),"implemented")</f>
        <v>0</v>
      </c>
      <c r="F49" s="15">
        <f>COUNTIF(INDIRECT("'"&amp;A49&amp;"'!H9:H200"),"tested")</f>
        <v>19</v>
      </c>
      <c r="G49" s="15">
        <f>COUNTIF(INDIRECT("'"&amp;A49&amp;"'!H9:H200"),"verified")</f>
        <v>3</v>
      </c>
      <c r="H49" s="15">
        <f>COUNTIF(INDIRECT("'"&amp;A49&amp;"'!H9:H200"),"blocked")</f>
        <v>0</v>
      </c>
      <c r="I49" s="15">
        <f>COUNTIF(INDIRECT("'"&amp;A49&amp;"'!H9:H200"),"not applicable")</f>
        <v>0</v>
      </c>
      <c r="J49" s="16">
        <f>INDIRECT("'"&amp;A49&amp;"'!H4")</f>
        <v>0.9565217391304348</v>
      </c>
      <c r="K49" s="15" t="str">
        <f>INDIRECT("'"&amp;A49&amp;"'!B5")</f>
        <v>open</v>
      </c>
      <c r="L49" s="15" t="str">
        <f>INDIRECT("'"&amp;A49&amp;"'!E5")</f>
        <v>complete</v>
      </c>
      <c r="M49" s="15" t="str">
        <f>IF(AND(J49=1,K49="complete",L49="complete"),"complete",IF(H49&gt;0,"blocked","open"))</f>
        <v>open</v>
      </c>
    </row>
    <row r="50" ht="15" customHeight="1" s="17">
      <c r="A50" s="15" t="inlineStr">
        <is>
          <t>Tabs</t>
        </is>
      </c>
      <c r="B50" s="15">
        <f>INDIRECT("'"&amp;A50&amp;"'!B4")</f>
        <v>23</v>
      </c>
      <c r="C50" s="15">
        <f>COUNTIF(INDIRECT("'"&amp;A50&amp;"'!H9:H200"),"not started")</f>
        <v>1</v>
      </c>
      <c r="D50" s="15">
        <f>COUNTIF(INDIRECT("'"&amp;A50&amp;"'!H9:H200"),"partial")</f>
        <v>0</v>
      </c>
      <c r="E50" s="15">
        <f>COUNTIF(INDIRECT("'"&amp;A50&amp;"'!H9:H200"),"implemented")</f>
        <v>0</v>
      </c>
      <c r="F50" s="15">
        <f>COUNTIF(INDIRECT("'"&amp;A50&amp;"'!H9:H200"),"tested")</f>
        <v>18</v>
      </c>
      <c r="G50" s="15">
        <f>COUNTIF(INDIRECT("'"&amp;A50&amp;"'!H9:H200"),"verified")</f>
        <v>4</v>
      </c>
      <c r="H50" s="15">
        <f>COUNTIF(INDIRECT("'"&amp;A50&amp;"'!H9:H200"),"blocked")</f>
        <v>0</v>
      </c>
      <c r="I50" s="15">
        <f>COUNTIF(INDIRECT("'"&amp;A50&amp;"'!H9:H200"),"not applicable")</f>
        <v>0</v>
      </c>
      <c r="J50" s="16">
        <f>INDIRECT("'"&amp;A50&amp;"'!H4")</f>
        <v>0.9565217391304348</v>
      </c>
      <c r="K50" s="15" t="str">
        <f>INDIRECT("'"&amp;A50&amp;"'!K4")</f>
        <v>open</v>
      </c>
      <c r="L50" s="15" t="str">
        <f>INDIRECT("'"&amp;A50&amp;"'!E5")</f>
        <v>complete</v>
      </c>
      <c r="M50" s="15" t="str">
        <f>IF(AND(J50=1,K50="complete",L50="complete"),"complete",IF(H50&gt;0,"blocked","open"))</f>
        <v>open</v>
      </c>
    </row>
    <row r="51" ht="15" customHeight="1" s="17">
      <c r="A51" s="15" t="inlineStr">
        <is>
          <t>Skeleton</t>
        </is>
      </c>
      <c r="B51" s="15">
        <f>INDIRECT("'"&amp;A51&amp;"'!B4")</f>
        <v>22</v>
      </c>
      <c r="C51" s="15">
        <f>COUNTIF(INDIRECT("'"&amp;A51&amp;"'!H9:H200"),"not started")</f>
        <v>1</v>
      </c>
      <c r="D51" s="15">
        <f>COUNTIF(INDIRECT("'"&amp;A51&amp;"'!H9:H200"),"partial")</f>
        <v>0</v>
      </c>
      <c r="E51" s="15">
        <f>COUNTIF(INDIRECT("'"&amp;A51&amp;"'!H9:H200"),"implemented")</f>
        <v>0</v>
      </c>
      <c r="F51" s="15">
        <f>COUNTIF(INDIRECT("'"&amp;A51&amp;"'!H9:H200"),"tested")</f>
        <v>16</v>
      </c>
      <c r="G51" s="15">
        <f>COUNTIF(INDIRECT("'"&amp;A51&amp;"'!H9:H200"),"verified")</f>
        <v>5</v>
      </c>
      <c r="H51" s="15">
        <f>COUNTIF(INDIRECT("'"&amp;A51&amp;"'!H9:H200"),"blocked")</f>
        <v>0</v>
      </c>
      <c r="I51" s="15">
        <f>COUNTIF(INDIRECT("'"&amp;A51&amp;"'!H9:H200"),"not applicable")</f>
        <v>0</v>
      </c>
      <c r="J51" s="16">
        <f>INDIRECT("'"&amp;A51&amp;"'!H4")</f>
        <v>0.9545454545454546</v>
      </c>
      <c r="K51" s="15" t="str">
        <f>INDIRECT("'"&amp;A51&amp;"'!K4")</f>
        <v>open</v>
      </c>
      <c r="L51" s="15" t="str">
        <f>INDIRECT("'"&amp;A51&amp;"'!E5")</f>
        <v>complete</v>
      </c>
      <c r="M51" s="15" t="str">
        <f>IF(AND(J51=1,K51="complete",L51="complete"),"complete",IF(H51&gt;0,"blocked","open"))</f>
        <v>open</v>
      </c>
    </row>
    <row r="52" ht="15" customHeight="1" s="17">
      <c r="A52" s="15" t="inlineStr">
        <is>
          <t>Dropdown Menu</t>
        </is>
      </c>
      <c r="B52" s="15">
        <f>INDIRECT("'"&amp;A52&amp;"'!B4")</f>
        <v>23</v>
      </c>
      <c r="C52" s="15">
        <f>COUNTIF(INDIRECT("'"&amp;A52&amp;"'!H9:H200"),"not started")</f>
        <v>1</v>
      </c>
      <c r="D52" s="15">
        <f>COUNTIF(INDIRECT("'"&amp;A52&amp;"'!H9:H200"),"partial")</f>
        <v>0</v>
      </c>
      <c r="E52" s="15">
        <f>COUNTIF(INDIRECT("'"&amp;A52&amp;"'!H9:H200"),"implemented")</f>
        <v>0</v>
      </c>
      <c r="F52" s="15">
        <f>COUNTIF(INDIRECT("'"&amp;A52&amp;"'!H9:H200"),"tested")</f>
        <v>19</v>
      </c>
      <c r="G52" s="15">
        <f>COUNTIF(INDIRECT("'"&amp;A52&amp;"'!H9:H200"),"verified")</f>
        <v>3</v>
      </c>
      <c r="H52" s="15">
        <f>COUNTIF(INDIRECT("'"&amp;A52&amp;"'!H9:H200"),"blocked")</f>
        <v>0</v>
      </c>
      <c r="I52" s="15">
        <f>COUNTIF(INDIRECT("'"&amp;A52&amp;"'!H9:H200"),"not applicable")</f>
        <v>0</v>
      </c>
      <c r="J52" s="16">
        <f>INDIRECT("'"&amp;A52&amp;"'!H4")</f>
        <v>0.9565217391304348</v>
      </c>
      <c r="K52" s="15" t="str">
        <f>INDIRECT("'"&amp;A52&amp;"'!K4")</f>
        <v>open</v>
      </c>
      <c r="L52" s="15" t="str">
        <f>INDIRECT("'"&amp;A52&amp;"'!E5")</f>
        <v>complete</v>
      </c>
      <c r="M52" s="15" t="str">
        <f>IF(AND(J52=1,K52="complete",L52="complete"),"complete",IF(H52&gt;0,"blocked","open"))</f>
        <v>open</v>
      </c>
    </row>
    <row r="53" ht="15" customHeight="1" s="17">
      <c r="A53" s="15" t="inlineStr">
        <is>
          <t>Context Menu</t>
        </is>
      </c>
      <c r="B53" s="15">
        <f>INDIRECT("'"&amp;A53&amp;"'!B4")</f>
        <v>23</v>
      </c>
      <c r="C53" s="15">
        <f>COUNTIF(INDIRECT("'"&amp;A53&amp;"'!H9:H200"),"not started")</f>
        <v>1</v>
      </c>
      <c r="D53" s="15">
        <f>COUNTIF(INDIRECT("'"&amp;A53&amp;"'!H9:H200"),"partial")</f>
        <v>0</v>
      </c>
      <c r="E53" s="15">
        <f>COUNTIF(INDIRECT("'"&amp;A53&amp;"'!H9:H200"),"implemented")</f>
        <v>0</v>
      </c>
      <c r="F53" s="15">
        <f>COUNTIF(INDIRECT("'"&amp;A53&amp;"'!H9:H200"),"tested")</f>
        <v>19</v>
      </c>
      <c r="G53" s="15">
        <f>COUNTIF(INDIRECT("'"&amp;A53&amp;"'!H9:H200"),"verified")</f>
        <v>3</v>
      </c>
      <c r="H53" s="15">
        <f>COUNTIF(INDIRECT("'"&amp;A53&amp;"'!H9:H200"),"blocked")</f>
        <v>0</v>
      </c>
      <c r="I53" s="15">
        <f>COUNTIF(INDIRECT("'"&amp;A53&amp;"'!H9:H200"),"not applicable")</f>
        <v>0</v>
      </c>
      <c r="J53" s="16">
        <f>INDIRECT("'"&amp;A53&amp;"'!H4")</f>
        <v>0.9565217391304348</v>
      </c>
      <c r="K53" s="15" t="str">
        <f>INDIRECT("'"&amp;A53&amp;"'!K4")</f>
        <v>open</v>
      </c>
      <c r="L53" s="15" t="str">
        <f>INDIRECT("'"&amp;A53&amp;"'!E5")</f>
        <v>complete</v>
      </c>
      <c r="M53" s="15" t="str">
        <f>IF(AND(J53=1,K53="complete",L53="complete"),"complete",IF(H53&gt;0,"blocked","open"))</f>
        <v>open</v>
      </c>
    </row>
    <row r="54" ht="15" customHeight="1" s="17">
      <c r="A54" s="15" t="inlineStr">
        <is>
          <t>Menubar</t>
        </is>
      </c>
      <c r="B54" s="15">
        <f>INDIRECT("'"&amp;A54&amp;"'!B4")</f>
        <v>23</v>
      </c>
      <c r="C54" s="15">
        <f>COUNTIF(INDIRECT("'"&amp;A54&amp;"'!H9:H200"),"not started")</f>
        <v>1</v>
      </c>
      <c r="D54" s="15">
        <f>COUNTIF(INDIRECT("'"&amp;A54&amp;"'!H9:H200"),"partial")</f>
        <v>0</v>
      </c>
      <c r="E54" s="15">
        <f>COUNTIF(INDIRECT("'"&amp;A54&amp;"'!H9:H200"),"implemented")</f>
        <v>0</v>
      </c>
      <c r="F54" s="15">
        <f>COUNTIF(INDIRECT("'"&amp;A54&amp;"'!H9:H200"),"tested")</f>
        <v>20</v>
      </c>
      <c r="G54" s="15">
        <f>COUNTIF(INDIRECT("'"&amp;A54&amp;"'!H9:H200"),"verified")</f>
        <v>2</v>
      </c>
      <c r="H54" s="15">
        <f>COUNTIF(INDIRECT("'"&amp;A54&amp;"'!H9:H200"),"blocked")</f>
        <v>0</v>
      </c>
      <c r="I54" s="15">
        <f>COUNTIF(INDIRECT("'"&amp;A54&amp;"'!H9:H200"),"not applicable")</f>
        <v>0</v>
      </c>
      <c r="J54" s="16">
        <f>INDIRECT("'"&amp;A54&amp;"'!H4")</f>
        <v>0.9565217391304348</v>
      </c>
      <c r="K54" s="15" t="str">
        <f>INDIRECT("'"&amp;A54&amp;"'!K4")</f>
        <v>open</v>
      </c>
      <c r="L54" s="15" t="str">
        <f>INDIRECT("'"&amp;A54&amp;"'!E5")</f>
        <v>complete</v>
      </c>
      <c r="M54" s="15" t="str">
        <f>IF(AND(J54=1,K54="complete",L54="complete"),"complete",IF(H54&gt;0,"blocked","open"))</f>
        <v>open</v>
      </c>
    </row>
    <row r="55" ht="15" customHeight="1" s="17">
      <c r="A55" s="15" t="inlineStr">
        <is>
          <t>Navigation Menu</t>
        </is>
      </c>
      <c r="B55" s="15">
        <f>INDIRECT("'"&amp;A55&amp;"'!B4")</f>
        <v>23</v>
      </c>
      <c r="C55" s="15">
        <f>COUNTIF(INDIRECT("'"&amp;A55&amp;"'!H9:H200"),"not started")</f>
        <v>1</v>
      </c>
      <c r="D55" s="15">
        <f>COUNTIF(INDIRECT("'"&amp;A55&amp;"'!H9:H200"),"partial")</f>
        <v>0</v>
      </c>
      <c r="E55" s="15">
        <f>COUNTIF(INDIRECT("'"&amp;A55&amp;"'!H9:H200"),"implemented")</f>
        <v>0</v>
      </c>
      <c r="F55" s="15">
        <f>COUNTIF(INDIRECT("'"&amp;A55&amp;"'!H9:H200"),"tested")</f>
        <v>20</v>
      </c>
      <c r="G55" s="15">
        <f>COUNTIF(INDIRECT("'"&amp;A55&amp;"'!H9:H200"),"verified")</f>
        <v>2</v>
      </c>
      <c r="H55" s="15">
        <f>COUNTIF(INDIRECT("'"&amp;A55&amp;"'!H9:H200"),"blocked")</f>
        <v>0</v>
      </c>
      <c r="I55" s="15">
        <f>COUNTIF(INDIRECT("'"&amp;A55&amp;"'!H9:H200"),"not applicable")</f>
        <v>0</v>
      </c>
      <c r="J55" s="16">
        <f>INDIRECT("'"&amp;A55&amp;"'!H4")</f>
        <v>0.9565217391304348</v>
      </c>
      <c r="K55" s="15" t="str">
        <f>INDIRECT("'"&amp;A55&amp;"'!K4")</f>
        <v>open</v>
      </c>
      <c r="L55" s="15" t="str">
        <f>INDIRECT("'"&amp;A55&amp;"'!E5")</f>
        <v>complete</v>
      </c>
      <c r="M55" s="15" t="str">
        <f>IF(AND(J55=1,K55="complete",L55="complete"),"complete",IF(H55&gt;0,"blocked","open"))</f>
        <v>open</v>
      </c>
    </row>
    <row r="56" ht="15" customHeight="1" s="17">
      <c r="A56" s="15" t="inlineStr">
        <is>
          <t>Bottom Navigation</t>
        </is>
      </c>
      <c r="B56" s="15">
        <f>INDIRECT("'"&amp;A56&amp;"'!B4")</f>
        <v>28</v>
      </c>
      <c r="C56" s="15">
        <f>COUNTIF(INDIRECT("'"&amp;A56&amp;"'!H9:H200"),"not started")</f>
        <v>1</v>
      </c>
      <c r="D56" s="15">
        <f>COUNTIF(INDIRECT("'"&amp;A56&amp;"'!H9:H200"),"partial")</f>
        <v>0</v>
      </c>
      <c r="E56" s="15">
        <f>COUNTIF(INDIRECT("'"&amp;A56&amp;"'!H9:H200"),"implemented")</f>
        <v>0</v>
      </c>
      <c r="F56" s="15">
        <f>COUNTIF(INDIRECT("'"&amp;A56&amp;"'!H9:H200"),"tested")</f>
        <v>25</v>
      </c>
      <c r="G56" s="15">
        <f>COUNTIF(INDIRECT("'"&amp;A56&amp;"'!H9:H200"),"verified")</f>
        <v>2</v>
      </c>
      <c r="H56" s="15">
        <f>COUNTIF(INDIRECT("'"&amp;A56&amp;"'!H9:H200"),"blocked")</f>
        <v>0</v>
      </c>
      <c r="I56" s="15">
        <f>COUNTIF(INDIRECT("'"&amp;A56&amp;"'!H9:H200"),"not applicable")</f>
        <v>0</v>
      </c>
      <c r="J56" s="16">
        <f>INDIRECT("'"&amp;A56&amp;"'!H4")</f>
        <v>0.9642857142857143</v>
      </c>
      <c r="K56" s="15" t="str">
        <f>INDIRECT("'"&amp;A56&amp;"'!K4")</f>
        <v>open</v>
      </c>
      <c r="L56" s="15" t="str">
        <f>INDIRECT("'"&amp;A56&amp;"'!E5")</f>
        <v>complete</v>
      </c>
      <c r="M56" s="15" t="str">
        <f>IF(AND(J56=1,K56="complete",L56="complete"),"complete",IF(H56&gt;0,"blocked","open"))</f>
        <v>open</v>
      </c>
    </row>
    <row r="57" ht="15" customHeight="1" s="17">
      <c r="A57" s="15" t="inlineStr">
        <is>
          <t>Visually Hidden</t>
        </is>
      </c>
      <c r="B57" s="15">
        <f>INDIRECT("'"&amp;A57&amp;"'!B4")</f>
        <v>19</v>
      </c>
      <c r="C57" s="15">
        <f>COUNTIF(INDIRECT("'"&amp;A57&amp;"'!H9:H200"),"not started")</f>
        <v>1</v>
      </c>
      <c r="D57" s="15">
        <f>COUNTIF(INDIRECT("'"&amp;A57&amp;"'!H9:H200"),"partial")</f>
        <v>0</v>
      </c>
      <c r="E57" s="15">
        <f>COUNTIF(INDIRECT("'"&amp;A57&amp;"'!H9:H200"),"implemented")</f>
        <v>0</v>
      </c>
      <c r="F57" s="15">
        <f>COUNTIF(INDIRECT("'"&amp;A57&amp;"'!H9:H200"),"tested")</f>
        <v>17</v>
      </c>
      <c r="G57" s="15">
        <f>COUNTIF(INDIRECT("'"&amp;A57&amp;"'!H9:H200"),"verified")</f>
        <v>1</v>
      </c>
      <c r="H57" s="15">
        <f>COUNTIF(INDIRECT("'"&amp;A57&amp;"'!H9:H200"),"blocked")</f>
        <v>0</v>
      </c>
      <c r="I57" s="15">
        <f>COUNTIF(INDIRECT("'"&amp;A57&amp;"'!H9:H200"),"not applicable")</f>
        <v>0</v>
      </c>
      <c r="J57" s="16">
        <f>INDIRECT("'"&amp;A57&amp;"'!H4")</f>
        <v>0.9473684210526315</v>
      </c>
      <c r="K57" s="15" t="str">
        <f>INDIRECT("'"&amp;A57&amp;"'!K4")</f>
        <v>open</v>
      </c>
      <c r="L57" s="15" t="str">
        <f>INDIRECT("'"&amp;A57&amp;"'!E5")</f>
        <v>complete</v>
      </c>
      <c r="M57" s="15" t="str">
        <f>IF(AND(J57=1,K57="complete",L57="complete"),"complete",IF(H57&gt;0,"blocked","open"))</f>
        <v>open</v>
      </c>
    </row>
    <row r="58" ht="15" customHeight="1" s="17">
      <c r="A58" s="15" t="inlineStr">
        <is>
          <t>Collapsible</t>
        </is>
      </c>
      <c r="B58" s="15">
        <f>INDIRECT("'"&amp;A58&amp;"'!B4")</f>
        <v>25</v>
      </c>
      <c r="C58" s="15">
        <f>COUNTIF(INDIRECT("'"&amp;A58&amp;"'!H9:H200"),"not started")</f>
        <v>1</v>
      </c>
      <c r="D58" s="15">
        <f>COUNTIF(INDIRECT("'"&amp;A58&amp;"'!H9:H200"),"partial")</f>
        <v>0</v>
      </c>
      <c r="E58" s="15">
        <f>COUNTIF(INDIRECT("'"&amp;A58&amp;"'!H9:H200"),"implemented")</f>
        <v>0</v>
      </c>
      <c r="F58" s="15">
        <f>COUNTIF(INDIRECT("'"&amp;A58&amp;"'!H9:H200"),"tested")</f>
        <v>19</v>
      </c>
      <c r="G58" s="15">
        <f>COUNTIF(INDIRECT("'"&amp;A58&amp;"'!H9:H200"),"verified")</f>
        <v>5</v>
      </c>
      <c r="H58" s="15">
        <f>COUNTIF(INDIRECT("'"&amp;A58&amp;"'!H9:H200"),"blocked")</f>
        <v>0</v>
      </c>
      <c r="I58" s="15">
        <f>COUNTIF(INDIRECT("'"&amp;A58&amp;"'!H9:H200"),"not applicable")</f>
        <v>0</v>
      </c>
      <c r="J58" s="16">
        <f>INDIRECT("'"&amp;A58&amp;"'!H4")</f>
        <v>0.96</v>
      </c>
      <c r="K58" s="15" t="str">
        <f>INDIRECT("'"&amp;A58&amp;"'!K4")</f>
        <v>open</v>
      </c>
      <c r="L58" s="15" t="str">
        <f>INDIRECT("'"&amp;A58&amp;"'!E5")</f>
        <v>complete</v>
      </c>
      <c r="M58" s="15" t="str">
        <f>IF(AND(J58=1,K58="complete",L58="complete"),"complete",IF(H58&gt;0,"blocked","open"))</f>
        <v>open</v>
      </c>
    </row>
    <row r="59">
      <c r="A59" s="23" t="inlineStr">
        <is>
          <t>Accordion</t>
        </is>
      </c>
      <c r="B59" s="23">
        <f>INDIRECT("'"&amp;A59&amp;"'!B4")</f>
        <v>26</v>
      </c>
      <c r="C59" s="23">
        <f>COUNTIF(INDIRECT("'"&amp;A59&amp;"'!H9:H200"),"not started")</f>
        <v>1</v>
      </c>
      <c r="D59" s="23">
        <f>COUNTIF(INDIRECT("'"&amp;A59&amp;"'!H9:H200"),"partial")</f>
        <v>0</v>
      </c>
      <c r="E59" s="23">
        <f>COUNTIF(INDIRECT("'"&amp;A59&amp;"'!H9:H200"),"implemented")</f>
        <v>0</v>
      </c>
      <c r="F59" s="23">
        <f>COUNTIF(INDIRECT("'"&amp;A59&amp;"'!H9:H200"),"tested")</f>
        <v>20</v>
      </c>
      <c r="G59" s="23">
        <f>COUNTIF(INDIRECT("'"&amp;A59&amp;"'!H9:H200"),"verified")</f>
        <v>5</v>
      </c>
      <c r="H59" s="23">
        <f>COUNTIF(INDIRECT("'"&amp;A59&amp;"'!H9:H200"),"blocked")</f>
        <v>0</v>
      </c>
      <c r="I59" s="23">
        <f>COUNTIF(INDIRECT("'"&amp;A59&amp;"'!H9:H200"),"not applicable")</f>
        <v>0</v>
      </c>
      <c r="J59" s="24">
        <f>INDIRECT("'"&amp;A59&amp;"'!H4")</f>
        <v>0.9615384615384616</v>
      </c>
      <c r="K59" s="23" t="str">
        <f>INDIRECT("'"&amp;A59&amp;"'!K4")</f>
        <v>open</v>
      </c>
      <c r="L59" s="23" t="str">
        <f>INDIRECT("'"&amp;A59&amp;"'!E5")</f>
        <v>complete</v>
      </c>
      <c r="M59" s="23" t="str">
        <f>IF(AND(J59=1,K59="complete",L59="complete"),"complete",IF(H59&gt;0,"blocked","open"))</f>
        <v>open</v>
      </c>
    </row>
  </sheetData>
  <autoFilter ref="A7:M58"/>
  <mergeCells count="2">
    <mergeCell ref="A2:M2"/>
    <mergeCell ref="A1:M1"/>
  </mergeCells>
  <conditionalFormatting sqref="M8:M57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exported public component owns one sheet. Family integration never replaces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The owner confirmed every current component protocol completed on 2026-07-24.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>16</v>
      </c>
      <c r="D4" s="20" t="inlineStr">
        <is>
          <t>Resolved</t>
        </is>
      </c>
      <c r="E4" s="21">
        <f>SUM(M9:M24)</f>
        <v>12</v>
      </c>
      <c r="G4" s="20" t="inlineStr">
        <is>
          <t>Completion</t>
        </is>
      </c>
      <c r="H4" s="22">
        <f>IF(B4=0,0,E4/B4)</f>
        <v>0.75</v>
      </c>
      <c r="J4" s="20" t="inlineStr">
        <is>
          <t>Package gate</t>
        </is>
      </c>
      <c r="K4" s="21" t="str">
        <f>IF(COUNTIFS(E9:E24,"package",M9:M24,0)&gt;0,"open","complete")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IF(COUNTIFS(I9:I24,"yes",M9:M24,0)&gt;0,"open","complete")</f>
        <v>open</v>
      </c>
      <c r="D5" s="20" t="inlineStr">
        <is>
          <t>Consumer gate</t>
        </is>
      </c>
      <c r="E5" s="21" t="str">
        <f>IF(COUNTIFS(E9:E24,"consumer",M9:M24,0)&gt;0,"open","complete")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>0</v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14</v>
      </c>
      <c r="G4" s="20" t="inlineStr">
        <is>
          <t>Completion</t>
        </is>
      </c>
      <c r="H4" s="22">
        <f>IF(B4=0,0,E4/B4)</f>
        <v>0.8235294117647058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>1</v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>16</v>
      </c>
      <c r="D4" s="20" t="inlineStr">
        <is>
          <t>Resolved</t>
        </is>
      </c>
      <c r="E4" s="21">
        <f>SUM(M9:M24)</f>
        <v>12</v>
      </c>
      <c r="G4" s="20" t="inlineStr">
        <is>
          <t>Completion</t>
        </is>
      </c>
      <c r="H4" s="22">
        <f>IF(B4=0,0,E4/B4)</f>
        <v>0.75</v>
      </c>
      <c r="J4" s="20" t="inlineStr">
        <is>
          <t>Package gate</t>
        </is>
      </c>
      <c r="K4" s="21" t="str">
        <f>IF(COUNTIFS(E9:E24,"package",M9:M24,0)&gt;0,"open","complete")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IF(COUNTIFS(I9:I24,"yes",M9:M24,0)&gt;0,"open","complete")</f>
        <v>open</v>
      </c>
      <c r="D5" s="20" t="inlineStr">
        <is>
          <t>Consumer gate</t>
        </is>
      </c>
      <c r="E5" s="21" t="str">
        <f>IF(COUNTIFS(E9:E24,"consumer",M9:M24,0)&gt;0,"open","complete")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>16</v>
      </c>
      <c r="D4" s="20" t="inlineStr">
        <is>
          <t>Resolved</t>
        </is>
      </c>
      <c r="E4" s="21">
        <f>SUM(M9:M24)</f>
        <v>12</v>
      </c>
      <c r="G4" s="20" t="inlineStr">
        <is>
          <t>Completion</t>
        </is>
      </c>
      <c r="H4" s="22">
        <f>IF(B4=0,0,E4/B4)</f>
        <v>0.75</v>
      </c>
      <c r="J4" s="20" t="inlineStr">
        <is>
          <t>Package gate</t>
        </is>
      </c>
      <c r="K4" s="21" t="str">
        <f>IF(COUNTIFS(E9:E24,"package",M9:M24,0)&gt;0,"open","complete")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IF(COUNTIFS(I9:I24,"yes",M9:M24,0)&gt;0,"open","complete")</f>
        <v>open</v>
      </c>
      <c r="D5" s="20" t="inlineStr">
        <is>
          <t>Consumer gate</t>
        </is>
      </c>
      <c r="E5" s="21" t="str">
        <f>IF(COUNTIFS(E9:E24,"consumer",M9:M24,0)&gt;0,"open","complete")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5" t="n">
        <v>46227</v>
      </c>
      <c r="L9" s="15" t="n">
        <v>1</v>
      </c>
      <c r="M9" s="15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5" t="n">
        <v>46227</v>
      </c>
      <c r="L10" s="15" t="n">
        <v>1</v>
      </c>
      <c r="M10" s="15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5" t="n">
        <v>46227</v>
      </c>
      <c r="L11" s="15" t="n">
        <v>1</v>
      </c>
      <c r="M11" s="15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5" t="n">
        <v>46227</v>
      </c>
      <c r="L12" s="15" t="n">
        <v>1</v>
      </c>
      <c r="M12" s="15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5" t="n">
        <v>46227</v>
      </c>
      <c r="L13" s="15" t="n">
        <v>1</v>
      </c>
      <c r="M13" s="15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46227</v>
      </c>
      <c r="L14" s="15" t="n">
        <v>1</v>
      </c>
      <c r="M14" s="15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5" t="n">
        <v>46227</v>
      </c>
      <c r="L15" s="15" t="n">
        <v>1</v>
      </c>
      <c r="M15" s="15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46227</v>
      </c>
      <c r="K16" s="15" t="inlineStr">
        <is>
          <t>Owner reviewed the current playground evidence.</t>
        </is>
      </c>
      <c r="L16" s="15" t="n">
        <v>1</v>
      </c>
      <c r="M16" s="15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5" t="n">
        <v>46227</v>
      </c>
      <c r="K17" s="15" t="inlineStr">
        <is>
          <t>Owner completed the current manual protocol.</t>
        </is>
      </c>
      <c r="L17" s="15" t="n">
        <v>1</v>
      </c>
      <c r="M17" s="15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5" t="n">
        <v>46227</v>
      </c>
      <c r="K18" s="15" t="inlineStr">
        <is>
          <t>Owner completed the current manual protocol.</t>
        </is>
      </c>
      <c r="L18" s="15" t="n">
        <v>1</v>
      </c>
      <c r="M18" s="15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5" t="n">
        <v>46227</v>
      </c>
      <c r="K19" s="15" t="inlineStr">
        <is>
          <t>Owner reviewed the live and rendered output evidence.</t>
        </is>
      </c>
      <c r="L19" s="15" t="n">
        <v>1</v>
      </c>
      <c r="M19" s="15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5" t="n">
        <v>46227</v>
      </c>
      <c r="K20" s="15" t="inlineStr">
        <is>
          <t>Owner confirmed completion on 2026-07-24.</t>
        </is>
      </c>
      <c r="L20" s="15" t="n">
        <v>1</v>
      </c>
      <c r="M20" s="15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5" t="n">
        <v>46227</v>
      </c>
      <c r="L21" s="15" t="n">
        <v>1</v>
      </c>
      <c r="M21" s="15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5" t="n">
        <v>46227</v>
      </c>
      <c r="L22" s="15" t="n">
        <v>1</v>
      </c>
      <c r="M22" s="15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46227</v>
      </c>
      <c r="L23" s="15" t="n">
        <v>1</v>
      </c>
      <c r="M23" s="15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5" t="n">
        <v>46227</v>
      </c>
      <c r="L24" s="15" t="n">
        <v>1</v>
      </c>
      <c r="M24" s="15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0.7647058823529411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>0</v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>0</v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0.7647058823529411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0.7647058823529411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0.7647058823529411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0.7647058823529411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15</v>
      </c>
      <c r="D4" s="20" t="inlineStr">
        <is>
          <t>Resolved</t>
        </is>
      </c>
      <c r="E4" s="21">
        <f>SUM(M9:M25)</f>
        <v>11</v>
      </c>
      <c r="G4" s="20" t="inlineStr">
        <is>
          <t>Completion</t>
        </is>
      </c>
      <c r="H4" s="22">
        <f>IF(B4=0,0,E4/B4)</f>
        <v>0.7333333333333333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>0</v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>0</v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16</v>
      </c>
      <c r="D4" s="20" t="inlineStr">
        <is>
          <t>Resolved</t>
        </is>
      </c>
      <c r="E4" s="21">
        <f>SUM(M9:M25)</f>
        <v>12</v>
      </c>
      <c r="G4" s="20" t="inlineStr">
        <is>
          <t>Completion</t>
        </is>
      </c>
      <c r="H4" s="22">
        <f>IF(B4=0,0,E4/B4)</f>
        <v>0.75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>0</v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>0</v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>0</v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16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0.8125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n"/>
      <c r="M9" s="26">
        <f>IF(OR(H9="not started",H9="partial"),0,1)</f>
        <v>1</v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n"/>
      <c r="M10" s="26">
        <f>IF(OR(H10="not started",H10="partial"),0,1)</f>
        <v>1</v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n"/>
      <c r="M11" s="26">
        <f>IF(OR(H11="not started",H11="partial"),0,1)</f>
        <v>1</v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n"/>
      <c r="M12" s="26">
        <f>IF(OR(H12="not started",H12="partial"),0,1)</f>
        <v>1</v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n"/>
      <c r="M13" s="26">
        <f>IF(OR(H13="not started",H13="partial"),0,1)</f>
        <v>1</v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n"/>
      <c r="M14" s="26">
        <f>IF(OR(H14="not started",H14="partial"),0,1)</f>
        <v>1</v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n"/>
      <c r="M15" s="26">
        <f>IF(OR(H15="not started",H15="partial"),0,1)</f>
        <v>1</v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n"/>
      <c r="M16" s="26">
        <f>IF(OR(H16="not started",H16="partial"),0,1)</f>
        <v>1</v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n"/>
      <c r="M17" s="26">
        <f>IF(OR(H17="not started",H17="partial"),0,1)</f>
        <v>0</v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n"/>
      <c r="M18" s="26">
        <f>IF(OR(H18="not started",H18="partial"),0,1)</f>
        <v>0</v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n"/>
      <c r="M19" s="26">
        <f>IF(OR(H19="not started",H19="partial"),0,1)</f>
        <v>0</v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n"/>
      <c r="M20" s="26">
        <f>IF(OR(H20="not started",H20="partial"),0,1)</f>
        <v>1</v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n"/>
      <c r="M21" s="26">
        <f>IF(OR(H21="not started",H21="partial"),0,1)</f>
        <v>1</v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n"/>
      <c r="M22" s="26">
        <f>IF(OR(H22="not started",H22="partial"),0,1)</f>
        <v>1</v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n"/>
      <c r="M23" s="26">
        <f>IF(OR(H23="not started",H23="partial"),0,1)</f>
        <v>1</v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n"/>
      <c r="M24" s="26">
        <f>IF(OR(H24="not started",H24="partial"),0,1)</f>
        <v>1</v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16</v>
      </c>
      <c r="D4" s="20" t="inlineStr">
        <is>
          <t>Resolved</t>
        </is>
      </c>
      <c r="E4" s="21">
        <f>SUM(M9:M25)</f>
        <v>13</v>
      </c>
      <c r="G4" s="20" t="inlineStr">
        <is>
          <t>Completion</t>
        </is>
      </c>
      <c r="H4" s="22">
        <f>IF(B4=0,0,E4/B4)</f>
        <v>0.8125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>1</v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>1</v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>1</v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>1</v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>1</v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>1</v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>1</v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>1</v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>0</v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>0</v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>0</v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>1</v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>1</v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>1</v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>1</v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>1</v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>17</v>
      </c>
      <c r="D4" s="20" t="inlineStr">
        <is>
          <t>Resolved</t>
        </is>
      </c>
      <c r="E4" s="21">
        <f>SUM(M9:M25)</f>
        <v>14</v>
      </c>
      <c r="G4" s="20" t="inlineStr">
        <is>
          <t>Completion</t>
        </is>
      </c>
      <c r="H4" s="22">
        <f>IF(B4=0,0,E4/B4)</f>
        <v>0.8235294117647058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IF(COUNTIFS(I9:I25,"yes",M9:M25,0)&gt;0,"open","complete")</f>
        <v>open</v>
      </c>
      <c r="D5" s="20" t="inlineStr">
        <is>
          <t>Consumer gate</t>
        </is>
      </c>
      <c r="E5" s="21" t="str">
        <f>IF(COUNTIFS(E9:E25,"consumer",M9:M25,0)&gt;0,"open","complete")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>1</v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>1</v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>1</v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>1</v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>1</v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>1</v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>1</v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>1</v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>1</v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>0</v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>0</v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>0</v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>1</v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>1</v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>1</v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>1</v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>22</v>
      </c>
      <c r="D4" s="20" t="inlineStr">
        <is>
          <t>Resolved</t>
        </is>
      </c>
      <c r="E4" s="21">
        <f>SUM(M9:M30)</f>
        <v>19</v>
      </c>
      <c r="G4" s="20" t="inlineStr">
        <is>
          <t>Completion</t>
        </is>
      </c>
      <c r="H4" s="22">
        <f>IF(B4=0,0,E4/B4)</f>
        <v>0.8636363636363636</v>
      </c>
      <c r="J4" s="20" t="inlineStr">
        <is>
          <t>Package gate</t>
        </is>
      </c>
      <c r="K4" s="21" t="str">
        <f>IF(COUNTIFS(E9:E25,"package",M9:M25,0)&gt;0,"open","complete")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IF(COUNTIFS(I9:I30,"yes",M9:M30,0)&gt;0,"open","complete")</f>
        <v>open</v>
      </c>
      <c r="D5" s="20" t="inlineStr">
        <is>
          <t>Consumer gate</t>
        </is>
      </c>
      <c r="E5" s="21" t="str">
        <f>IF(COUNTIFS(E9:E30,"consumer",M9:M30,0)&gt;0,"open","complete")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>1</v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>1</v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>1</v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>1</v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>1</v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>1</v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>1</v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>1</v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>1</v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>1</v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>1</v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>1</v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>1</v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>1</v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>0</v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>0</v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>0</v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>1</v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>1</v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>1</v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>1</v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>19</v>
      </c>
      <c r="D4" s="20" t="inlineStr">
        <is>
          <t>Resolved</t>
        </is>
      </c>
      <c r="E4" s="21">
        <f>SUM(M9:M27)</f>
        <v>15</v>
      </c>
      <c r="G4" s="20" t="inlineStr">
        <is>
          <t>Completion</t>
        </is>
      </c>
      <c r="H4" s="22">
        <f>IF(B4=0,0,E4/B4)</f>
        <v>0.7894736842105263</v>
      </c>
      <c r="J4" s="20" t="inlineStr">
        <is>
          <t>Package gate</t>
        </is>
      </c>
      <c r="K4" s="21" t="str">
        <f>IF(COUNTIFS(E9:E27,"package",M9:M27,0)&gt;0,"open","complete")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IF(COUNTIFS(I9:I27,"yes",M9:M27,0)&gt;0,"open","complete")</f>
        <v>open</v>
      </c>
      <c r="D5" s="20" t="inlineStr">
        <is>
          <t>Consumer gate</t>
        </is>
      </c>
      <c r="E5" s="21" t="str">
        <f>IF(COUNTIFS(E9:E27,"consumer",M9:M27,0)&gt;0,"open","complete")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>0</v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>0</v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>0</v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n"/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n"/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n"/>
      <c r="M25" s="26">
        <f>IF(OR(AND(I25="yes",H25="verified"),AND(I25="no",OR(H25="tested",H25="verified")),AND(H25="not applicable",K25&lt;&gt;"")),1,0)</f>
        <v>1</v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>0</v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>22</v>
      </c>
      <c r="D4" s="20" t="inlineStr">
        <is>
          <t>Resolved</t>
        </is>
      </c>
      <c r="E4" s="21">
        <f>SUM(M9:M30)</f>
        <v>16</v>
      </c>
      <c r="G4" s="20" t="inlineStr">
        <is>
          <t>Completion</t>
        </is>
      </c>
      <c r="H4" s="22">
        <f>IF(B4=0,0,E4/B4)</f>
        <v>0.7272727272727273</v>
      </c>
      <c r="J4" s="20" t="inlineStr">
        <is>
          <t>Package gate</t>
        </is>
      </c>
      <c r="K4" s="21" t="str">
        <f>IF(COUNTIFS(E9:E24,"package",M9:M24,0)&gt;0,"open","complete")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IF(COUNTIFS(I9:I30,"yes",M9:M30,0)&gt;0,"open","complete")</f>
        <v>open</v>
      </c>
      <c r="D5" s="20" t="inlineStr">
        <is>
          <t>Consumer gate</t>
        </is>
      </c>
      <c r="E5" s="21" t="str">
        <f>IF(COUNTIFS(E9:E30,"consumer",M9:M30,0)&gt;0,"open","complete")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Select and visual context adapt released Atom 0.9.3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../test/components/select/select.test.tsx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S-03</t>
        </is>
      </c>
      <c r="B11" s="26" t="inlineStr">
        <is>
          <t>Exports</t>
        </is>
      </c>
      <c r="C11" s="26" t="inlineStr">
        <is>
          <t>Select</t>
        </is>
      </c>
      <c r="D11" s="27" t="inlineStr">
        <is>
          <t>Root and 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no multiple mode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../src/components/select/select.css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selected values resolve authored ItemText labels before popup mount, including native forms.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../test/components/select/select.test.tsx; tests/components/select/behavior.spec.ts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typeahead, selection, Escape, focus return, disabled skip, and outside dismissal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tests/components/select/behavior.spec.ts; Atom 0.9.3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native submit/reset, external form ownership, and validation use Atom's native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tests/components/select/behavior.spec.ts; Atom 0.9.3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../test/components/select/select.test.tsx; tests/components/select/behavior.spec.ts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S-12</t>
        </is>
      </c>
      <c r="B20" s="26" t="inlineStr">
        <is>
          <t>Accessibility</t>
        </is>
      </c>
      <c r="C20" s="26" t="inlineStr">
        <is>
          <t>Select</t>
        </is>
      </c>
      <c r="D20" s="27" t="inlineStr">
        <is>
          <t>Field naming, combobox/listbox states,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S-13</t>
        </is>
      </c>
      <c r="B21" s="26" t="inlineStr">
        <is>
          <t>Visual</t>
        </is>
      </c>
      <c r="C21" s="26" t="inlineStr">
        <is>
          <t>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>0</v>
      </c>
    </row>
    <row r="22" ht="54" customHeight="1" s="17">
      <c r="A22" s="26" t="inlineStr">
        <is>
          <t>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>0</v>
      </c>
    </row>
    <row r="23" ht="54" customHeight="1" s="17">
      <c r="A23" s="26" t="inlineStr">
        <is>
          <t>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manual-tests/select.md; Atom 0.9.3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>0</v>
      </c>
    </row>
    <row r="24" ht="54" customHeight="1" s="17">
      <c r="A24" s="26" t="inlineStr">
        <is>
          <t>S-16</t>
        </is>
      </c>
      <c r="B24" s="26" t="inlineStr">
        <is>
          <t>Screen reader</t>
        </is>
      </c>
      <c r="C24" s="26" t="inlineStr">
        <is>
          <t>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  <row r="25" ht="23.25" customHeight="1" s="17">
      <c r="A25" s="26" t="inlineStr">
        <is>
          <t>S-17</t>
        </is>
      </c>
      <c r="B25" s="26" t="inlineStr">
        <is>
          <t>Theme</t>
        </is>
      </c>
      <c r="C25" s="26" t="inlineStr">
        <is>
          <t>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manual-tests/select.md; tests/components/select/visual.spec.ts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  <row r="26" ht="23.25" customHeight="1" s="17">
      <c r="A26" s="26" t="inlineStr">
        <is>
          <t>S-18</t>
        </is>
      </c>
      <c r="B26" s="26" t="inlineStr">
        <is>
          <t>Manual</t>
        </is>
      </c>
      <c r="C26" s="26" t="inlineStr">
        <is>
          <t>Select</t>
        </is>
      </c>
      <c r="D26" s="27" t="inlineStr">
        <is>
          <t>The component-owned protocol passes every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>0</v>
      </c>
    </row>
    <row r="27" ht="23.25" customHeight="1" s="17">
      <c r="A27" s="26" t="inlineStr">
        <is>
          <t>S-19</t>
        </is>
      </c>
      <c r="B27" s="26" t="inlineStr">
        <is>
          <t>Docs</t>
        </is>
      </c>
      <c r="C27" s="26" t="inlineStr">
        <is>
          <t>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23.25" customHeight="1" s="17">
      <c r="A28" s="26" t="inlineStr">
        <is>
          <t>S-20</t>
        </is>
      </c>
      <c r="B28" s="26" t="inlineStr">
        <is>
          <t>Changelog</t>
        </is>
      </c>
      <c r="C28" s="26" t="inlineStr">
        <is>
          <t>Select</t>
        </is>
      </c>
      <c r="D28" s="27" t="inlineStr">
        <is>
          <t>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23.25" customHeight="1" s="17">
      <c r="A29" s="26" t="inlineStr">
        <is>
          <t>S-21</t>
        </is>
      </c>
      <c r="B29" s="26" t="inlineStr">
        <is>
          <t>Consumer</t>
        </is>
      </c>
      <c r="C29" s="26" t="inlineStr">
        <is>
          <t>Select</t>
        </is>
      </c>
      <c r="D29" s="27" t="inlineStr">
        <is>
          <t>Packed Consumer proves a realistic Field/Form plan chooser through the public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inlineStr">
        <is>
          <t>2026-07-26</t>
        </is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23.25" customHeight="1" s="17">
      <c r="A30" s="26" t="inlineStr">
        <is>
          <t>S-22</t>
        </is>
      </c>
      <c r="B30" s="26" t="inlineStr">
        <is>
          <t>Package</t>
        </is>
      </c>
      <c r="C30" s="26" t="inlineStr">
        <is>
          <t>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inlineStr">
        <is>
          <t>2026-07-26</t>
        </is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>1</v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>22</v>
      </c>
      <c r="D4" s="20" t="inlineStr">
        <is>
          <t>Resolved</t>
        </is>
      </c>
      <c r="E4" s="21">
        <f>SUM(M9:M30)</f>
        <v>16</v>
      </c>
      <c r="G4" s="20" t="inlineStr">
        <is>
          <t>Completion</t>
        </is>
      </c>
      <c r="H4" s="22">
        <f>IF(B4=0,0,E4/B4)</f>
        <v>0.7272727272727273</v>
      </c>
      <c r="J4" s="20" t="inlineStr">
        <is>
          <t>Package gate</t>
        </is>
      </c>
      <c r="K4" s="21" t="str">
        <f>IF(COUNTIFS(E9:E24,"package",M9:M24,0)&gt;0,"open","complete")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IF(COUNTIFS(I9:I30,"yes",M9:M30,0)&gt;0,"open","complete")</f>
        <v>open</v>
      </c>
      <c r="D5" s="20" t="inlineStr">
        <is>
          <t>Consumer gate</t>
        </is>
      </c>
      <c r="E5" s="21" t="str">
        <f>IF(COUNTIFS(E9:E30,"consumer",M9:M30,0)&gt;0,"open","complete")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MS-01</t>
        </is>
      </c>
      <c r="B9" s="26" t="inlineStr">
        <is>
          <t>Implementation</t>
        </is>
      </c>
      <c r="C9" s="26" t="inlineStr">
        <is>
          <t>Root/Trigger</t>
        </is>
      </c>
      <c r="D9" s="27" t="inlineStr">
        <is>
          <t>Compound Multi Select and visual context adapt released Atom 0.10.1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../src/components/multi-select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MS-02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Trigger, Value, Icon, Content/Listbox, Viewport, scroll buttons, Group, Label, Item, ItemText, Indicator, Separator, Portal, and Arrow are styled/exported.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../test/components/multi-select/multi-select.test.tsx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MS-03</t>
        </is>
      </c>
      <c r="B11" s="26" t="inlineStr">
        <is>
          <t>Exports</t>
        </is>
      </c>
      <c r="C11" s="26" t="inlineStr">
        <is>
          <t>Multi Select</t>
        </is>
      </c>
      <c r="D11" s="27" t="inlineStr">
        <is>
          <t>Root and multi-select subpath exports expose the namespace, named parts, and public types.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MS-04</t>
        </is>
      </c>
      <c r="B12" s="26" t="inlineStr">
        <is>
          <t>Types</t>
        </is>
      </c>
      <c r="C12" s="26" t="inlineStr">
        <is>
          <t>Root/parts</t>
        </is>
      </c>
      <c r="D12" s="27" t="inlineStr">
        <is>
          <t>Recipes, refs, Arrow children, underline shape exclusion, and array-valued selection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../test/types/components/multi-select.test.ts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MS-05</t>
        </is>
      </c>
      <c r="B13" s="26" t="inlineStr">
        <is>
          <t>CSS</t>
        </is>
      </c>
      <c r="C13" s="26" t="inlineStr">
        <is>
          <t>Trigger/Content/Item</t>
        </is>
      </c>
      <c r="D13" s="27" t="inlineStr">
        <is>
          <t>Static CSS ships recipes, geometry, states, popup, options, artwork,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../src/components/multi-select/multi-select.css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MS-06</t>
        </is>
      </c>
      <c r="B14" s="26" t="inlineStr">
        <is>
          <t>Labels</t>
        </is>
      </c>
      <c r="C14" s="26" t="inlineStr">
        <is>
          <t>Root/ItemText</t>
        </is>
      </c>
      <c r="D14" s="27" t="inlineStr">
        <is>
          <t>Closed summaries resolve authored ItemText labels before popup mount and update for several selected values.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../test/components/multi-select/multi-select.test.tsx; tests/components/multi-select/behavior.spec.ts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MS-07</t>
        </is>
      </c>
      <c r="B15" s="26" t="inlineStr">
        <is>
          <t>Recipes</t>
        </is>
      </c>
      <c r="C15" s="26" t="inlineStr">
        <is>
          <t>Root/Trigger</t>
        </is>
      </c>
      <c r="D15" s="27" t="inlineStr">
        <is>
          <t>Outline, soft, underline, sm/md/lg, shapes, and full/intrinsic width change only their named dimensions.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tests/components/multi-select/behavior.spec.ts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MS-08</t>
        </is>
      </c>
      <c r="B16" s="26" t="inlineStr">
        <is>
          <t>Interaction</t>
        </is>
      </c>
      <c r="C16" s="26" t="inlineStr">
        <is>
          <t>Root/Trigger/Item</t>
        </is>
      </c>
      <c r="D16" s="27" t="inlineStr">
        <is>
          <t>Pointer and keyboard open, navigation, buffered typeahead, toggle selection without closing, Escape, focus return, and disabled skip remain Atom-owned.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tests/components/multi-select/behavior.spec.ts; Atom 0.10.1 Multi Select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MS-09</t>
        </is>
      </c>
      <c r="B17" s="26" t="inlineStr">
        <is>
          <t>Options</t>
        </is>
      </c>
      <c r="C17" s="26" t="inlineStr">
        <is>
          <t>Group/Viewport/Arrow</t>
        </is>
      </c>
      <c r="D17" s="27" t="inlineStr">
        <is>
          <t>Groups, labels, separator, long scrolling, conditional controls, and matching collision side/alignment are exposed.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tests/components/multi-select/behavior.spec.ts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MS-10</t>
        </is>
      </c>
      <c r="B18" s="26" t="inlineStr">
        <is>
          <t>Forms</t>
        </is>
      </c>
      <c r="C18" s="26" t="inlineStr">
        <is>
          <t>Root/Trigger</t>
        </is>
      </c>
      <c r="D18" s="27" t="inlineStr">
        <is>
          <t>Field relationships, required validity, repeated-value native submit/reset, external form ownership, and validation use Atom's native multiple proxy.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tests/components/multi-select/behavior.spec.ts; Atom 0.10.1 Multi Select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MS-11</t>
        </is>
      </c>
      <c r="B19" s="26" t="inlineStr">
        <is>
          <t>Composition</t>
        </is>
      </c>
      <c r="C19" s="26" t="inlineStr">
        <is>
          <t>Trigger/Portal</t>
        </is>
      </c>
      <c r="D19" s="27" t="inlineStr">
        <is>
          <t>Trigger asChild/render and portal/container paths retain props, one host, positioning, and refs.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../test/components/multi-select/multi-select.test.tsx; tests/components/multi-select/behavior.spec.ts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MS-12</t>
        </is>
      </c>
      <c r="B20" s="26" t="inlineStr">
        <is>
          <t>Accessibility</t>
        </is>
      </c>
      <c r="C20" s="26" t="inlineStr">
        <is>
          <t>Multi Select</t>
        </is>
      </c>
      <c r="D20" s="27" t="inlineStr">
        <is>
          <t>Field naming, button/listbox states, aria-multiselectable, selected options, disabled options, decorative artwork,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tests/components/multi-select/behavior.spec.ts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MS-13</t>
        </is>
      </c>
      <c r="B21" s="26" t="inlineStr">
        <is>
          <t>Visual</t>
        </is>
      </c>
      <c r="C21" s="26" t="inlineStr">
        <is>
          <t>Multi Select</t>
        </is>
      </c>
      <c r="D21" s="27" t="inlineStr">
        <is>
          <t>Baselines cover defaults, recipes, geometry, options, states, appearance, narrow RTL, and forced colors.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tests/components/multi-select/visual.spec.ts</t>
        </is>
      </c>
      <c r="H21" s="26" t="inlineStr">
        <is>
          <t>implemented</t>
        </is>
      </c>
      <c r="I21" s="26" t="inlineStr">
        <is>
          <t>yes</t>
        </is>
      </c>
      <c r="J21" s="28" t="n"/>
      <c r="K21" s="27" t="inlineStr">
        <is>
          <t>Baselines exist and automated comparison passes; final owner visual review is not recorded.</t>
        </is>
      </c>
      <c r="L21" s="26" t="n">
        <v>1</v>
      </c>
      <c r="M21" s="26">
        <f>IF(OR(AND(I21="yes",H21="verified"),AND(I21="no",OR(H21="tested",H21="verified")),AND(H21="not applicable",K21&lt;&gt;"")),1,0)</f>
        <v>0</v>
      </c>
    </row>
    <row r="22" ht="54" customHeight="1" s="17">
      <c r="A22" s="26" t="inlineStr">
        <is>
          <t>MS-14</t>
        </is>
      </c>
      <c r="B22" s="26" t="inlineStr">
        <is>
          <t>Responsive</t>
        </is>
      </c>
      <c r="C22" s="26" t="inlineStr">
        <is>
          <t>Trigger/Content</t>
        </is>
      </c>
      <c r="D22" s="27" t="inlineStr">
        <is>
          <t>Physical mobile, 200%/400% zoom, long localization, popup bounds, and RTL remain usable.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manual-tests/multi-select.md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is unrun; real device and zoom review remain pending.</t>
        </is>
      </c>
      <c r="L22" s="26" t="n">
        <v>1</v>
      </c>
      <c r="M22" s="26">
        <f>IF(OR(AND(I22="yes",H22="verified"),AND(I22="no",OR(H22="tested",H22="verified")),AND(H22="not applicable",K22&lt;&gt;"")),1,0)</f>
        <v>0</v>
      </c>
    </row>
    <row r="23" ht="54" customHeight="1" s="17">
      <c r="A23" s="26" t="inlineStr">
        <is>
          <t>MS-15</t>
        </is>
      </c>
      <c r="B23" s="26" t="inlineStr">
        <is>
          <t>Touch/pen</t>
        </is>
      </c>
      <c r="C23" s="26" t="inlineStr">
        <is>
          <t>Content</t>
        </is>
      </c>
      <c r="D23" s="27" t="inlineStr">
        <is>
          <t>Outside tap dismisses after release while drag, cancellation, and scroll preserve the open Multi Select.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manual-tests/multi-select.md; Atom 0.10.1 Multi Select evidence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Atom automated evidence passes; Brick real-device protocol is unrun.</t>
        </is>
      </c>
      <c r="L23" s="26" t="n">
        <v>1</v>
      </c>
      <c r="M23" s="26">
        <f>IF(OR(AND(I23="yes",H23="verified"),AND(I23="no",OR(H23="tested",H23="verified")),AND(H23="not applicable",K23&lt;&gt;"")),1,0)</f>
        <v>0</v>
      </c>
    </row>
    <row r="24" ht="54" customHeight="1" s="17">
      <c r="A24" s="26" t="inlineStr">
        <is>
          <t>MS-16</t>
        </is>
      </c>
      <c r="B24" s="26" t="inlineStr">
        <is>
          <t>Screen reader</t>
        </is>
      </c>
      <c r="C24" s="26" t="inlineStr">
        <is>
          <t>Multi Select</t>
        </is>
      </c>
      <c r="D24" s="27" t="inlineStr">
        <is>
          <t>macOS/iOS VoiceOver and a second desktop AT/browser announce name, value, groups, states, and options.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manual-tests/multi-select.md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Assistive-technology protocol is unrun.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  <row r="25" ht="23.25" customHeight="1" s="17">
      <c r="A25" s="26" t="inlineStr">
        <is>
          <t>MS-17</t>
        </is>
      </c>
      <c r="B25" s="26" t="inlineStr">
        <is>
          <t>Theme</t>
        </is>
      </c>
      <c r="C25" s="26" t="inlineStr">
        <is>
          <t>Multi Select</t>
        </is>
      </c>
      <c r="D25" s="27" t="inlineStr">
        <is>
          <t>Light, dark, focus, invalid, forced-colors, and reduced-motion treatment remain perceivable.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manual-tests/multi-select.md; tests/components/multi-select/visual.spec.ts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baselines exist; complete human preference review is pending.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  <row r="26" ht="23.25" customHeight="1" s="17">
      <c r="A26" s="26" t="inlineStr">
        <is>
          <t>MS-18</t>
        </is>
      </c>
      <c r="B26" s="26" t="inlineStr">
        <is>
          <t>Manual</t>
        </is>
      </c>
      <c r="C26" s="26" t="inlineStr">
        <is>
          <t>Multi Select</t>
        </is>
      </c>
      <c r="D26" s="27" t="inlineStr">
        <is>
          <t>The component-owned protocol passes every Multi Select playground scenario in one scalable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manual-tests/multi-select.md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>0</v>
      </c>
    </row>
    <row r="27" ht="23.25" customHeight="1" s="17">
      <c r="A27" s="26" t="inlineStr">
        <is>
          <t>MS-19</t>
        </is>
      </c>
      <c r="B27" s="26" t="inlineStr">
        <is>
          <t>Docs</t>
        </is>
      </c>
      <c r="C27" s="26" t="inlineStr">
        <is>
          <t>Multi Select</t>
        </is>
      </c>
      <c r="D27" s="27" t="inlineStr">
        <is>
          <t>Source-backed public usage, API, anatomy,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../docs/components/multi-select/README.md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23.25" customHeight="1" s="17">
      <c r="A28" s="26" t="inlineStr">
        <is>
          <t>MS-20</t>
        </is>
      </c>
      <c r="B28" s="26" t="inlineStr">
        <is>
          <t>Changelog</t>
        </is>
      </c>
      <c r="C28" s="26" t="inlineStr">
        <is>
          <t>Multi Select</t>
        </is>
      </c>
      <c r="D28" s="27" t="inlineStr">
        <is>
          <t>Multi Select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../docs/components/multi-select/CHANGELOG.md;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23.25" customHeight="1" s="17">
      <c r="A29" s="26" t="inlineStr">
        <is>
          <t>MS-21</t>
        </is>
      </c>
      <c r="B29" s="26" t="inlineStr">
        <is>
          <t>Consumer</t>
        </is>
      </c>
      <c r="C29" s="26" t="inlineStr">
        <is>
          <t>Multi Select</t>
        </is>
      </c>
      <c r="D29" s="27" t="inlineStr">
        <is>
          <t>Packed Consumer proves a realistic Field/Form team-skills chooser through the public Multi Select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inlineStr">
        <is>
          <t>None. Packed Consumer boundary and Chromium desktop/mobile flows pass.</t>
        </is>
      </c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23.25" customHeight="1" s="17">
      <c r="A30" s="26" t="inlineStr">
        <is>
          <t>MS-22</t>
        </is>
      </c>
      <c r="B30" s="26" t="inlineStr">
        <is>
          <t>Package</t>
        </is>
      </c>
      <c r="C30" s="26" t="inlineStr">
        <is>
          <t>Multi Select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inlineStr">
        <is>
          <t>None. Full package check, tarball verification, and clean React 18/19 consumers pass.</t>
        </is>
      </c>
      <c r="L30" s="26" t="n">
        <v>1</v>
      </c>
      <c r="M30" s="26">
        <f>IF(OR(AND(I30="yes",H30="verified"),AND(I30="no",OR(H30="tested",H30="verified")),AND(H30="not applicable",K30&lt;&gt;"")),1,0)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>22</v>
      </c>
      <c r="D4" s="20" t="inlineStr">
        <is>
          <t>Resolved</t>
        </is>
      </c>
      <c r="E4" s="21">
        <f>SUM(M9:M30)</f>
        <v>17</v>
      </c>
      <c r="G4" s="20" t="inlineStr">
        <is>
          <t>Completion</t>
        </is>
      </c>
      <c r="H4" s="22">
        <f>IF(B4=0,0,E4/B4)</f>
        <v>0.7727272727272727</v>
      </c>
      <c r="J4" s="20" t="inlineStr">
        <is>
          <t>Package gate</t>
        </is>
      </c>
      <c r="K4" s="21" t="str">
        <f>IF(COUNTIFS(E9:E30,"package",M9:M30,0)&gt;0,"open","complete")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IF(COUNTIFS(I9:I30,"yes",M9:M30,0)&gt;0,"open","complete")</f>
        <v>open</v>
      </c>
      <c r="D5" s="20" t="inlineStr">
        <is>
          <t>Consumer gate</t>
        </is>
      </c>
      <c r="E5" s="21" t="str">
        <f>IF(COUNTIFS(E9:E30,"consumer",M9:M30,0)&gt;0,"open","complete")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TA-01</t>
        </is>
      </c>
      <c r="B9" s="26" t="inlineStr">
        <is>
          <t>Implementation</t>
        </is>
      </c>
      <c r="C9" s="26" t="inlineStr">
        <is>
          <t>Root</t>
        </is>
      </c>
      <c r="D9" s="27" t="inlineStr">
        <is>
          <t>Brick adapts the released Atom 0.10.1 Textarea primitive without recreating behavior.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../src/components/textarea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TA-02</t>
        </is>
      </c>
      <c r="B10" s="26" t="inlineStr">
        <is>
          <t>Anatomy</t>
        </is>
      </c>
      <c r="C10" s="26" t="inlineStr">
        <is>
          <t>Root/Count</t>
        </is>
      </c>
      <c r="D10" s="27" t="inlineStr">
        <is>
          <t>The independent Root and Count parts expose the native control and optional character-count evidence.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../test/components/textarea/textarea.test.tsx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TA-03</t>
        </is>
      </c>
      <c r="B11" s="26" t="inlineStr">
        <is>
          <t>Exports</t>
        </is>
      </c>
      <c r="C11" s="26" t="inlineStr">
        <is>
          <t>Textarea</t>
        </is>
      </c>
      <c r="D11" s="27" t="inlineStr">
        <is>
          <t>Root, Count, namespace, public types, and the textarea subpath are exported.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TA-04</t>
        </is>
      </c>
      <c r="B12" s="26" t="inlineStr">
        <is>
          <t>Types</t>
        </is>
      </c>
      <c r="C12" s="26" t="inlineStr">
        <is>
          <t>Root/Count</t>
        </is>
      </c>
      <c r="D12" s="27" t="inlineStr">
        <is>
          <t>Recipe props, native textarea props/ref, underline shape exclusion, and resize/auto-resize exclusivity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../test/types/components/textarea.test.ts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TA-05</t>
        </is>
      </c>
      <c r="B13" s="26" t="inlineStr">
        <is>
          <t>CSS</t>
        </is>
      </c>
      <c r="C13" s="26" t="inlineStr">
        <is>
          <t>Root/Count</t>
        </is>
      </c>
      <c r="D13" s="27" t="inlineStr">
        <is>
          <t>Static CSS ships variants, sizes, shapes, states, resize behavior, logical layout,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../src/components/textarea/textarea.css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TA-06</t>
        </is>
      </c>
      <c r="B14" s="26" t="inlineStr">
        <is>
          <t>Recipes</t>
        </is>
      </c>
      <c r="C14" s="26" t="inlineStr">
        <is>
          <t>Root</t>
        </is>
      </c>
      <c r="D14" s="27" t="inlineStr">
        <is>
          <t>Outline, soft, underline, sm/md/lg, and sharp/rounded change only their named visual dimension.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TA-07</t>
        </is>
      </c>
      <c r="B15" s="26" t="inlineStr">
        <is>
          <t>Manual resize</t>
        </is>
      </c>
      <c r="C15" s="26" t="inlineStr">
        <is>
          <t>Root</t>
        </is>
      </c>
      <c r="D15" s="27" t="inlineStr">
        <is>
          <t>None, vertical, horizontal, and both resize modes map to native CSS without changing textarea behavior.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tests/components/textarea/behavior.spec.ts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TA-08</t>
        </is>
      </c>
      <c r="B16" s="26" t="inlineStr">
        <is>
          <t>Auto resize</t>
        </is>
      </c>
      <c r="C16" s="26" t="inlineStr">
        <is>
          <t>Root</t>
        </is>
      </c>
      <c r="D16" s="27" t="inlineStr">
        <is>
          <t>Opt-in auto-resize grows within minRows/maxRows, clamps overflow, and remains mutually exclusive with manual resize.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tests/components/textarea/behavior.spec.ts; Atom 0.10.1 Textarea suite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TA-09</t>
        </is>
      </c>
      <c r="B17" s="26" t="inlineStr">
        <is>
          <t>Values/count</t>
        </is>
      </c>
      <c r="C17" s="26" t="inlineStr">
        <is>
          <t>Root/Count</t>
        </is>
      </c>
      <c r="D17" s="27" t="inlineStr">
        <is>
          <t>Controlled and uncontrolled values, native newlines, maxLength, reset, and the explicit Count part stay synchronized.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tests/components/textarea/behavior.spec.ts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TA-10</t>
        </is>
      </c>
      <c r="B18" s="26" t="inlineStr">
        <is>
          <t>Forms</t>
        </is>
      </c>
      <c r="C18" s="26" t="inlineStr">
        <is>
          <t>Root</t>
        </is>
      </c>
      <c r="D18" s="27" t="inlineStr">
        <is>
          <t>Field relationships, native submit/reset, required validity, and external form ownership remain Atom-owned.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tests/components/textarea/behavior.spec.ts; Atom 0.10.1 Textarea suite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TA-11</t>
        </is>
      </c>
      <c r="B19" s="26" t="inlineStr">
        <is>
          <t>Composition</t>
        </is>
      </c>
      <c r="C19" s="26" t="inlineStr">
        <is>
          <t>Root</t>
        </is>
      </c>
      <c r="D19" s="27" t="inlineStr">
        <is>
          <t>Native textarea refs, rendered IDs/ARIA, wrapper/native prop routing, class/style escape hatches, and output remain correct.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../test/components/textarea/textarea.test.tsx; tests/components/textarea/behavior.spec.ts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TA-12</t>
        </is>
      </c>
      <c r="B20" s="26" t="inlineStr">
        <is>
          <t>Accessibility</t>
        </is>
      </c>
      <c r="C20" s="26" t="inlineStr">
        <is>
          <t>Textarea</t>
        </is>
      </c>
      <c r="D20" s="27" t="inlineStr">
        <is>
          <t>Field naming, descriptions, errors, availability states, counter semantics, focus, and axe checks pass.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tests/components/textarea/behavior.spec.ts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46229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TA-13</t>
        </is>
      </c>
      <c r="B21" s="26" t="inlineStr">
        <is>
          <t>Customization</t>
        </is>
      </c>
      <c r="C21" s="26" t="inlineStr">
        <is>
          <t>Root</t>
        </is>
      </c>
      <c r="D21" s="27" t="inlineStr">
        <is>
          <t>Documented CSS variables and wrapper/native escape hatches customize the control without changing behavior.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tests/components/textarea/behavior.spec.ts; ../docs/components/textarea/README.md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TA-14</t>
        </is>
      </c>
      <c r="B22" s="26" t="inlineStr">
        <is>
          <t>Visual</t>
        </is>
      </c>
      <c r="C22" s="26" t="inlineStr">
        <is>
          <t>Textarea</t>
        </is>
      </c>
      <c r="D22" s="27" t="inlineStr">
        <is>
          <t>Baselines cover defaults, recipes, resize, values/states, scopes, mobile RTL, and forced colors.</t>
        </is>
      </c>
      <c r="E22" s="26" t="inlineStr">
        <is>
          <t>package</t>
        </is>
      </c>
      <c r="F22" s="26" t="inlineStr">
        <is>
          <t>visual</t>
        </is>
      </c>
      <c r="G22" s="27" t="inlineStr">
        <is>
          <t>tests/components/textarea/visual.spec.ts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Baselines exist and automated comparison passes; final owner visual review is not recorded.</t>
        </is>
      </c>
      <c r="L22" s="26" t="n">
        <v>1</v>
      </c>
      <c r="M22" s="26">
        <f>IF(OR(AND(I22="yes",H22="verified"),AND(I22="no",OR(H22="tested",H22="verified")),AND(H22="not applicable",K22&lt;&gt;"")),1,0)</f>
        <v>0</v>
      </c>
    </row>
    <row r="23" ht="54" customHeight="1" s="17">
      <c r="A23" s="26" t="inlineStr">
        <is>
          <t>TA-15</t>
        </is>
      </c>
      <c r="B23" s="26" t="inlineStr">
        <is>
          <t>Responsive</t>
        </is>
      </c>
      <c r="C23" s="26" t="inlineStr">
        <is>
          <t>Root</t>
        </is>
      </c>
      <c r="D23" s="27" t="inlineStr">
        <is>
          <t>Physical mobile, 200%/400% zoom, long content, manual resize, auto-resize, and RTL remain usable and contained.</t>
        </is>
      </c>
      <c r="E23" s="26" t="inlineStr">
        <is>
          <t>package</t>
        </is>
      </c>
      <c r="F23" s="26" t="inlineStr">
        <is>
          <t>manual</t>
        </is>
      </c>
      <c r="G23" s="27" t="inlineStr">
        <is>
          <t>manual-tests/textarea.md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Protocol is unrun; real-device and zoom review remain pending.</t>
        </is>
      </c>
      <c r="L23" s="26" t="n">
        <v>1</v>
      </c>
      <c r="M23" s="26">
        <f>IF(OR(AND(I23="yes",H23="verified"),AND(I23="no",OR(H23="tested",H23="verified")),AND(H23="not applicable",K23&lt;&gt;"")),1,0)</f>
        <v>0</v>
      </c>
    </row>
    <row r="24" ht="54" customHeight="1" s="17">
      <c r="A24" s="26" t="inlineStr">
        <is>
          <t>TA-16</t>
        </is>
      </c>
      <c r="B24" s="26" t="inlineStr">
        <is>
          <t>Theme</t>
        </is>
      </c>
      <c r="C24" s="26" t="inlineStr">
        <is>
          <t>Root/Count</t>
        </is>
      </c>
      <c r="D24" s="27" t="inlineStr">
        <is>
          <t>Light, dark, focus, invalid, forced-colors, and reduced-motion treatment remain perceivable.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manual-tests/textarea.md; tests/components/textarea/visual.spec.ts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Automated baselines pass; complete human preference review is pending.</t>
        </is>
      </c>
      <c r="L24" s="26" t="n">
        <v>1</v>
      </c>
      <c r="M24" s="26">
        <f>IF(OR(AND(I24="yes",H24="verified"),AND(I24="no",OR(H24="tested",H24="verified")),AND(H24="not applicable",K24&lt;&gt;"")),1,0)</f>
        <v>0</v>
      </c>
    </row>
    <row r="25" ht="23.25" customHeight="1" s="17">
      <c r="A25" s="26" t="inlineStr">
        <is>
          <t>TA-17</t>
        </is>
      </c>
      <c r="B25" s="26" t="inlineStr">
        <is>
          <t>Screen reader</t>
        </is>
      </c>
      <c r="C25" s="26" t="inlineStr">
        <is>
          <t>Textarea</t>
        </is>
      </c>
      <c r="D25" s="27" t="inlineStr">
        <is>
          <t>macOS/iOS VoiceOver and a second desktop AT/browser announce label, help, error, state, and count evidence.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manual-tests/textarea.md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Assistive-technology protocol is unrun.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  <row r="26" ht="23.25" customHeight="1" s="17">
      <c r="A26" s="26" t="inlineStr">
        <is>
          <t>TA-18</t>
        </is>
      </c>
      <c r="B26" s="26" t="inlineStr">
        <is>
          <t>Manual</t>
        </is>
      </c>
      <c r="C26" s="26" t="inlineStr">
        <is>
          <t>Textarea</t>
        </is>
      </c>
      <c r="D26" s="27" t="inlineStr">
        <is>
          <t>The component-owned protocol covers every Textarea playground scenario in one top-to-bottom flow.</t>
        </is>
      </c>
      <c r="E26" s="26" t="inlineStr">
        <is>
          <t>package</t>
        </is>
      </c>
      <c r="F26" s="26" t="inlineStr">
        <is>
          <t>manual</t>
        </is>
      </c>
      <c r="G26" s="27" t="inlineStr">
        <is>
          <t>manual-tests/textarea.md</t>
        </is>
      </c>
      <c r="H26" s="26" t="inlineStr">
        <is>
          <t>implemented</t>
        </is>
      </c>
      <c r="I26" s="26" t="inlineStr">
        <is>
          <t>yes</t>
        </is>
      </c>
      <c r="J26" s="28" t="n"/>
      <c r="K26" s="27" t="inlineStr">
        <is>
          <t>Protocol is intentionally unrun and contains no claimed result.</t>
        </is>
      </c>
      <c r="L26" s="26" t="n">
        <v>1</v>
      </c>
      <c r="M26" s="26">
        <f>IF(OR(AND(I26="yes",H26="verified"),AND(I26="no",OR(H26="tested",H26="verified")),AND(H26="not applicable",K26&lt;&gt;"")),1,0)</f>
        <v>0</v>
      </c>
    </row>
    <row r="27" ht="23.25" customHeight="1" s="17">
      <c r="A27" s="26" t="inlineStr">
        <is>
          <t>TA-19</t>
        </is>
      </c>
      <c r="B27" s="26" t="inlineStr">
        <is>
          <t>Docs</t>
        </is>
      </c>
      <c r="C27" s="26" t="inlineStr">
        <is>
          <t>Textarea</t>
        </is>
      </c>
      <c r="D27" s="27" t="inlineStr">
        <is>
          <t>Source-backed usage, API, anatomy, recipes, resize policy, tokens, accessibility, and exclusions pass documentation gates.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../docs/components/textarea/README.md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23.25" customHeight="1" s="17">
      <c r="A28" s="26" t="inlineStr">
        <is>
          <t>TA-20</t>
        </is>
      </c>
      <c r="B28" s="26" t="inlineStr">
        <is>
          <t>Changelog</t>
        </is>
      </c>
      <c r="C28" s="26" t="inlineStr">
        <is>
          <t>Textarea</t>
        </is>
      </c>
      <c r="D28" s="27" t="inlineStr">
        <is>
          <t>Textarea owns a component changelog and the package changelog records its public addition.</t>
        </is>
      </c>
      <c r="E28" s="26" t="inlineStr">
        <is>
          <t>package</t>
        </is>
      </c>
      <c r="F28" s="26" t="inlineStr">
        <is>
          <t>docs</t>
        </is>
      </c>
      <c r="G28" s="27" t="inlineStr">
        <is>
          <t>../docs/components/textarea/CHANGELOG.md; ../CHANGELOG.md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23.25" customHeight="1" s="17">
      <c r="A29" s="26" t="inlineStr">
        <is>
          <t>TA-21</t>
        </is>
      </c>
      <c r="B29" s="26" t="inlineStr">
        <is>
          <t>Consumer</t>
        </is>
      </c>
      <c r="C29" s="26" t="inlineStr">
        <is>
          <t>Textarea</t>
        </is>
      </c>
      <c r="D29" s="27" t="inlineStr">
        <is>
          <t>The packed Consumer proves a realistic Field/Form note with maxLength, Count, submit, and reset through the public subpath.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23.25" customHeight="1" s="17">
      <c r="A30" s="26" t="inlineStr">
        <is>
          <t>TA-22</t>
        </is>
      </c>
      <c r="B30" s="26" t="inlineStr">
        <is>
          <t>Package</t>
        </is>
      </c>
      <c r="C30" s="26" t="inlineStr">
        <is>
          <t>Textarea</t>
        </is>
      </c>
      <c r="D30" s="27" t="inlineStr">
        <is>
          <t>Build, SSR, exports, CSS, tarball, React 18/19, Consumer, and full package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../test/package; 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>1</v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>20</v>
      </c>
      <c r="D4" s="20" t="inlineStr">
        <is>
          <t>Resolved</t>
        </is>
      </c>
      <c r="E4" s="21">
        <f>SUM(M9:M28)</f>
        <v>18</v>
      </c>
      <c r="G4" s="20" t="inlineStr">
        <is>
          <t>Completion</t>
        </is>
      </c>
      <c r="H4" s="22">
        <f>IF(B4=0,0,E4/B4)</f>
        <v>0.9</v>
      </c>
      <c r="J4" s="20" t="inlineStr">
        <is>
          <t>Package gate</t>
        </is>
      </c>
      <c r="K4" s="21" t="str">
        <f>IF(COUNTIFS(E9:E28,"package",M9:M28,0)&gt;0,"open","complete")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IF(COUNTIFS(I9:I28,"yes",M9:M28,0)&gt;0,"open","complete")</f>
        <v>open</v>
      </c>
      <c r="D5" s="20" t="inlineStr">
        <is>
          <t>Consumer gate</t>
        </is>
      </c>
      <c r="E5" s="21" t="str">
        <f>IF(COUNTIFS(E9:E28,"consumer",M9:M28,0)&gt;0,"open","complete")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5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>0</v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5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>0</v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5" t="n">
        <v>46229</v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>1</v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>20</v>
      </c>
      <c r="D4" s="20" t="inlineStr">
        <is>
          <t>Resolved</t>
        </is>
      </c>
      <c r="E4" s="21">
        <f>SUM(M9:M28)</f>
        <v>18</v>
      </c>
      <c r="G4" s="20" t="inlineStr">
        <is>
          <t>Completion</t>
        </is>
      </c>
      <c r="H4" s="22">
        <f>IF(B4=0,0,E4/B4)</f>
        <v>0.9</v>
      </c>
      <c r="J4" s="20" t="inlineStr">
        <is>
          <t>Package gate</t>
        </is>
      </c>
      <c r="K4" s="21" t="str">
        <f>IF(COUNTIFS(E9:E28,"package",M9:M28,0)&gt;0,"open","complete")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IF(COUNTIFS(I9:I28,"yes",M9:M28,0)&gt;0,"open","complete")</f>
        <v>open</v>
      </c>
      <c r="D5" s="20" t="inlineStr">
        <is>
          <t>Consumer gate</t>
        </is>
      </c>
      <c r="E5" s="21" t="str">
        <f>IF(COUNTIFS(E9:E28,"consumer",M9:M28,0)&gt;0,"open","complete")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5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>0</v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5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>0</v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5" t="n">
        <v>46229</v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>1</v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46229</v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46229</v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46229</v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46229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46229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5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>0</v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5" t="n">
        <v>46229</v>
      </c>
      <c r="L27" s="15" t="n">
        <v>1</v>
      </c>
      <c r="M27" s="15">
        <f>IF(OR(AND(I27="yes",H27="verified"),AND(I27="no",OR(H27="tested",H27="verified")),AND(H27="not applicable",K27&lt;&gt;"")),1,0)</f>
        <v>1</v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46229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46229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46229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5" t="n">
        <v>46229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46229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5" t="n">
        <v>46229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46229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5" t="n">
        <v>46229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46229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46229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46229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46229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46229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5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46229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46229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46229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5" t="n">
        <v>46229</v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5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>0</v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46229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46229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46229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46229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>22</v>
      </c>
      <c r="D4" s="20" t="inlineStr">
        <is>
          <t>Resolved</t>
        </is>
      </c>
      <c r="E4" s="21">
        <f>SUM(M9:M30)</f>
        <v>21</v>
      </c>
      <c r="G4" s="20" t="inlineStr">
        <is>
          <t>Completion</t>
        </is>
      </c>
      <c r="H4" s="22">
        <f>IF(B4=0,0,E4/B4)</f>
        <v>0.9545454545454546</v>
      </c>
      <c r="J4" s="20" t="inlineStr">
        <is>
          <t>Package gate</t>
        </is>
      </c>
      <c r="K4" s="21" t="str">
        <f>IF(COUNTIFS(E9:E30,"package",M9:M30,0)&gt;0,"open","complete")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IF(COUNTIFS(I9:I30,"yes",M9:M30,0)&gt;0,"open","complete")</f>
        <v>open</v>
      </c>
      <c r="D5" s="20" t="inlineStr">
        <is>
          <t>Consumer gate</t>
        </is>
      </c>
      <c r="E5" s="21" t="str">
        <f>IF(COUNTIFS(E9:E30,"consumer",M9:M30,0)&gt;0,"open","complete")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SK-01</t>
        </is>
      </c>
      <c r="B9" s="26" t="inlineStr">
        <is>
          <t>Ownership</t>
        </is>
      </c>
      <c r="C9" s="26" t="inlineStr">
        <is>
          <t>Skeleton</t>
        </is>
      </c>
      <c r="D9" s="27" t="inlineStr">
        <is>
          <t>Brick owns a purely visual loading placeholder; applications own loading state and region announcements, so no Atom primitive is duplicated.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../src/components/skeleton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SK-02</t>
        </is>
      </c>
      <c r="B10" s="26" t="inlineStr">
        <is>
          <t>Anatomy</t>
        </is>
      </c>
      <c r="C10" s="26" t="inlineStr">
        <is>
          <t>Skeleton</t>
        </is>
      </c>
      <c r="D10" s="27" t="inlineStr">
        <is>
          <t>One stable span preserves native props/ref and private content or line children without changing the root across loading transitions.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../test/components/skeleton/skeleton.test.tsx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SK-03</t>
        </is>
      </c>
      <c r="B11" s="26" t="inlineStr">
        <is>
          <t>Exports</t>
        </is>
      </c>
      <c r="C11" s="26" t="inlineStr">
        <is>
          <t>Skeleton</t>
        </is>
      </c>
      <c r="D11" s="27" t="inlineStr">
        <is>
          <t>Root and skeleton subpath expose the runtime component and every closed public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SK-04</t>
        </is>
      </c>
      <c r="B12" s="26" t="inlineStr">
        <is>
          <t>Types</t>
        </is>
      </c>
      <c r="C12" s="26" t="inlineStr">
        <is>
          <t>Skeleton</t>
        </is>
      </c>
      <c r="D12" s="27" t="inlineStr">
        <is>
          <t>Closed shapes and animations, dimensions, lines, native props, style, slot, children, and ref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../test/types/components/skeleton.test.ts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SK-05</t>
        </is>
      </c>
      <c r="B13" s="26" t="inlineStr">
        <is>
          <t>CSS</t>
        </is>
      </c>
      <c r="C13" s="26" t="inlineStr">
        <is>
          <t>Skeleton</t>
        </is>
      </c>
      <c r="D13" s="27" t="inlineStr">
        <is>
          <t>Static CSS ships geometry, pulse/wave/static recipes, child hiding, line layout, forced colors, reduced motion,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../src/components/skeleton/skeleton.css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SK-06</t>
        </is>
      </c>
      <c r="B14" s="26" t="inlineStr">
        <is>
          <t>Defaults</t>
        </is>
      </c>
      <c r="C14" s="26" t="inlineStr">
        <is>
          <t>Skeleton</t>
        </is>
      </c>
      <c r="D14" s="27" t="inlineStr">
        <is>
          <t>Text, pulse, loading, and one line render as a silent full-width font-height placeholder.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tests/components/skeleton/behavior.spec.ts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SK-07</t>
        </is>
      </c>
      <c r="B15" s="26" t="inlineStr">
        <is>
          <t>Variants</t>
        </is>
      </c>
      <c r="C15" s="26" t="inlineStr">
        <is>
          <t>Skeleton</t>
        </is>
      </c>
      <c r="D15" s="27" t="inlineStr">
        <is>
          <t>Text, circular, rectangular, and rounded change only intended geometry.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tests/components/skeleton/visual.spec.ts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46229</v>
      </c>
      <c r="K15" s="27" t="inlineStr">
        <is>
          <t>Agent-inspected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SK-08</t>
        </is>
      </c>
      <c r="B16" s="26" t="inlineStr">
        <is>
          <t>Animation</t>
        </is>
      </c>
      <c r="C16" s="26" t="inlineStr">
        <is>
          <t>Skeleton</t>
        </is>
      </c>
      <c r="D16" s="27" t="inlineStr">
        <is>
          <t>Pulse, wave, and none are visually distinct and all animation stops with prefers-reduced-motion.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tests/components/skeleton/visual.spec.ts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46229</v>
      </c>
      <c r="K16" s="27" t="inlineStr">
        <is>
          <t>Agent-inspected generated animation baseline.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SK-09</t>
        </is>
      </c>
      <c r="B17" s="26" t="inlineStr">
        <is>
          <t>Dimensions</t>
        </is>
      </c>
      <c r="C17" s="26" t="inlineStr">
        <is>
          <t>Skeleton</t>
        </is>
      </c>
      <c r="D17" s="27" t="inlineStr">
        <is>
          <t>Numeric, CSS-length, consumer style, defaults, and public variables size placeholders without a misleading component size scale.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tests/components/skeleton/behavior.spec.ts; tests/components/skeleton/visual.spec.ts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SK-10</t>
        </is>
      </c>
      <c r="B18" s="26" t="inlineStr">
        <is>
          <t>Text lines</t>
        </is>
      </c>
      <c r="C18" s="26" t="inlineStr">
        <is>
          <t>Skeleton</t>
        </is>
      </c>
      <c r="D18" s="27" t="inlineStr">
        <is>
          <t>One, three, and five-line standalone text render exact row counts and a shorter final line.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tests/components/skeleton/behavior.spec.ts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46229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SK-11</t>
        </is>
      </c>
      <c r="B19" s="26" t="inlineStr">
        <is>
          <t>Loading</t>
        </is>
      </c>
      <c r="C19" s="26" t="inlineStr">
        <is>
          <t>Skeleton</t>
        </is>
      </c>
      <c r="D19" s="27" t="inlineStr">
        <is>
          <t>Wrapped content preserves exact layout, stays hidden/noninteractive while loading, and returns through the same root.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../test/components/skeleton/skeleton.test.tsx; tests/components/skeleton/behavior.spec.ts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46229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SK-12</t>
        </is>
      </c>
      <c r="B20" s="26" t="inlineStr">
        <is>
          <t>Composition</t>
        </is>
      </c>
      <c r="C20" s="26" t="inlineStr">
        <is>
          <t>Skeleton</t>
        </is>
      </c>
      <c r="D20" s="27" t="inlineStr">
        <is>
          <t>Real Brick controls, surfaces, rows, and card previews compose without Skeleton taking their semantics or data ownership.</t>
        </is>
      </c>
      <c r="E20" s="26" t="inlineStr">
        <is>
          <t>package</t>
        </is>
      </c>
      <c r="F20" s="26" t="inlineStr">
        <is>
          <t>visual</t>
        </is>
      </c>
      <c r="G20" s="27" t="inlineStr">
        <is>
          <t>tests/components/skeleton/visual.spec.ts</t>
        </is>
      </c>
      <c r="H20" s="26" t="inlineStr">
        <is>
          <t>verified</t>
        </is>
      </c>
      <c r="I20" s="26" t="inlineStr">
        <is>
          <t>yes</t>
        </is>
      </c>
      <c r="J20" s="28" t="n">
        <v>46229</v>
      </c>
      <c r="K20" s="27" t="inlineStr">
        <is>
          <t>Agent-inspected loading and composition baselines.</t>
        </is>
      </c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SK-13</t>
        </is>
      </c>
      <c r="B21" s="26" t="inlineStr">
        <is>
          <t>Accessibility</t>
        </is>
      </c>
      <c r="C21" s="26" t="inlineStr">
        <is>
          <t>Skeleton</t>
        </is>
      </c>
      <c r="D21" s="27" t="inlineStr">
        <is>
          <t>Loading placeholders are aria-hidden, never focusable or named, and the owning region demonstrates aria-busy; axe passes.</t>
        </is>
      </c>
      <c r="E21" s="26" t="inlineStr">
        <is>
          <t>package</t>
        </is>
      </c>
      <c r="F21" s="26" t="inlineStr">
        <is>
          <t>axe</t>
        </is>
      </c>
      <c r="G21" s="27" t="inlineStr">
        <is>
          <t>tests/components/skeleton/behavior.spec.ts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SK-14</t>
        </is>
      </c>
      <c r="B22" s="26" t="inlineStr">
        <is>
          <t>Responsive</t>
        </is>
      </c>
      <c r="C22" s="26" t="inlineStr">
        <is>
          <t>Skeleton</t>
        </is>
      </c>
      <c r="D22" s="27" t="inlineStr">
        <is>
          <t>Logical dimensions stay bounded under narrow width, RTL, mobile, and zoom without page overflow.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tests/components/skeleton/behavior.spec.ts; tests/components/skeleton/visual.spec.ts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46229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SK-15</t>
        </is>
      </c>
      <c r="B23" s="26" t="inlineStr">
        <is>
          <t>Appearance</t>
        </is>
      </c>
      <c r="C23" s="26" t="inlineStr">
        <is>
          <t>Skeleton</t>
        </is>
      </c>
      <c r="D23" s="27" t="inlineStr">
        <is>
          <t>Semantic paint adapts in light/dark and forced colors; exact public variables match the customization example.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tests/components/skeleton/visual.spec.ts</t>
        </is>
      </c>
      <c r="H23" s="26" t="inlineStr">
        <is>
          <t>verified</t>
        </is>
      </c>
      <c r="I23" s="26" t="inlineStr">
        <is>
          <t>yes</t>
        </is>
      </c>
      <c r="J23" s="28" t="n">
        <v>46229</v>
      </c>
      <c r="K23" s="27" t="inlineStr">
        <is>
          <t>Agent-inspected appearance and forced-color baselines.</t>
        </is>
      </c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SK-16</t>
        </is>
      </c>
      <c r="B24" s="26" t="inlineStr">
        <is>
          <t>Visual</t>
        </is>
      </c>
      <c r="C24" s="26" t="inlineStr">
        <is>
          <t>Skeleton</t>
        </is>
      </c>
      <c r="D24" s="27" t="inlineStr">
        <is>
          <t>Reviewed baselines cover defaults, shapes, animation, dimensions, lines, loading, appearance, mobile, and forced colors.</t>
        </is>
      </c>
      <c r="E24" s="26" t="inlineStr">
        <is>
          <t>package</t>
        </is>
      </c>
      <c r="F24" s="26" t="inlineStr">
        <is>
          <t>visual</t>
        </is>
      </c>
      <c r="G24" s="27" t="inlineStr">
        <is>
          <t>tests/components/skeleton/visual.spec.ts</t>
        </is>
      </c>
      <c r="H24" s="26" t="inlineStr">
        <is>
          <t>verified</t>
        </is>
      </c>
      <c r="I24" s="26" t="inlineStr">
        <is>
          <t>yes</t>
        </is>
      </c>
      <c r="J24" s="28" t="n">
        <v>46229</v>
      </c>
      <c r="K24" s="27" t="inlineStr">
        <is>
          <t>Agent-inspected every generated Skeleton baseline.</t>
        </is>
      </c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SK-17</t>
        </is>
      </c>
      <c r="B25" s="26" t="inlineStr">
        <is>
          <t>Manual</t>
        </is>
      </c>
      <c r="C25" s="26" t="inlineStr">
        <is>
          <t>Skeleton</t>
        </is>
      </c>
      <c r="D25" s="27" t="inlineStr">
        <is>
          <t>A tester completes the concise shape, motion, loading, AT, zoom, device, appearance, forced-color, and reduced-motion protocol.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manual-tests/skeleton.md</t>
        </is>
      </c>
      <c r="H25" s="26" t="inlineStr">
        <is>
          <t>not started</t>
        </is>
      </c>
      <c r="I25" s="26" t="inlineStr">
        <is>
          <t>yes</t>
        </is>
      </c>
      <c r="J25" s="28" t="n">
        <v>46229</v>
      </c>
      <c r="K25" s="27" t="inlineStr">
        <is>
          <t>Human run intentionally unclaimed.</t>
        </is>
      </c>
      <c r="L25" s="26" t="n">
        <v>1</v>
      </c>
      <c r="M25" s="26">
        <f>IF(OR(AND(I25="yes",H25="verified"),AND(I25="no",OR(H25="tested",H25="verified")),AND(H25="not applicable",K25&lt;&gt;"")),1,0)</f>
        <v>0</v>
      </c>
    </row>
    <row r="26" ht="54" customHeight="1" s="17">
      <c r="A26" s="26" t="inlineStr">
        <is>
          <t>SK-18</t>
        </is>
      </c>
      <c r="B26" s="26" t="inlineStr">
        <is>
          <t>Docs</t>
        </is>
      </c>
      <c r="C26" s="26" t="inlineStr">
        <is>
          <t>Skeleton</t>
        </is>
      </c>
      <c r="D26" s="27" t="inlineStr">
        <is>
          <t>Source-backed use, anatomy, API, recipes, accessibility, responsive behavior, composition, CSS, customization, and evidence are documented.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../docs/components/skeleton/README.md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SK-19</t>
        </is>
      </c>
      <c r="B27" s="26" t="inlineStr">
        <is>
          <t>Changelog</t>
        </is>
      </c>
      <c r="C27" s="26" t="inlineStr">
        <is>
          <t>Skeleton</t>
        </is>
      </c>
      <c r="D27" s="27" t="inlineStr">
        <is>
          <t>Skeleton owns a public changelog and the package changelog records the addition.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../docs/components/skeleton/CHANGELOG.md;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>
        <v>46229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54" customHeight="1" s="17">
      <c r="A28" s="26" t="inlineStr">
        <is>
          <t>SK-20</t>
        </is>
      </c>
      <c r="B28" s="26" t="inlineStr">
        <is>
          <t>Playground</t>
        </is>
      </c>
      <c r="C28" s="26" t="inlineStr">
        <is>
          <t>Skeleton</t>
        </is>
      </c>
      <c r="D28" s="27" t="inlineStr">
        <is>
          <t>One navigable route exposes all nine controlled scenarios including loading and region ownership.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src/components/skeleton/SkeletonPage.tsx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46229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54" customHeight="1" s="17">
      <c r="A29" s="26" t="inlineStr">
        <is>
          <t>SK-21</t>
        </is>
      </c>
      <c r="B29" s="26" t="inlineStr">
        <is>
          <t>Consumer</t>
        </is>
      </c>
      <c r="C29" s="26" t="inlineStr">
        <is>
          <t>Skeleton</t>
        </is>
      </c>
      <c r="D29" s="27" t="inlineStr">
        <is>
          <t>Packed Consumer imports the public subpath and renders multi-line loading geometry inside Tabs.</t>
        </is>
      </c>
      <c r="E29" s="26" t="inlineStr">
        <is>
          <t>consumer</t>
        </is>
      </c>
      <c r="F29" s="26" t="inlineStr">
        <is>
          <t>consumer</t>
        </is>
      </c>
      <c r="G29" s="27" t="inlineStr">
        <is>
          <t>../apps/consumer/src/App.tsx; ../apps/consumer/tests/consumer.spec.ts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46229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54" customHeight="1" s="17">
      <c r="A30" s="26" t="inlineStr">
        <is>
          <t>SK-22</t>
        </is>
      </c>
      <c r="B30" s="26" t="inlineStr">
        <is>
          <t>Package</t>
        </is>
      </c>
      <c r="C30" s="26" t="inlineStr">
        <is>
          <t>Skeleton</t>
        </is>
      </c>
      <c r="D30" s="27" t="inlineStr">
        <is>
          <t>Build, exports, SSR, tarball, CSS, React 18/19, Consumer, configured browsers, docs, and size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../scripts/verify-package.mjs; ../scripts/verify-consumers.mjs</t>
        </is>
      </c>
      <c r="H30" s="26" t="inlineStr">
        <is>
          <t>tested</t>
        </is>
      </c>
      <c r="I30" s="26" t="inlineStr">
        <is>
          <t>no</t>
        </is>
      </c>
      <c r="J30" s="28" t="n">
        <v>46229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>1</v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>0</v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5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>0</v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>0</v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>23</v>
      </c>
      <c r="D4" s="20" t="inlineStr">
        <is>
          <t>Resolved</t>
        </is>
      </c>
      <c r="E4" s="21">
        <f>SUM(M9:M31)</f>
        <v>22</v>
      </c>
      <c r="G4" s="20" t="inlineStr">
        <is>
          <t>Completion</t>
        </is>
      </c>
      <c r="H4" s="22">
        <f>IF(B4=0,0,E4/B4)</f>
        <v>0.9565217391304348</v>
      </c>
      <c r="J4" s="20" t="inlineStr">
        <is>
          <t>Package gate</t>
        </is>
      </c>
      <c r="K4" s="21" t="str">
        <f>IF(COUNTIFS(E9:E31,"package",M9:M31,0)&gt;0,"open","complete")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IF(COUNTIFS(I9:I31,"yes",M9:M31,0)&gt;0,"open","complete")</f>
        <v>open</v>
      </c>
      <c r="D5" s="20" t="inlineStr">
        <is>
          <t>Consumer gate</t>
        </is>
      </c>
      <c r="E5" s="21" t="str">
        <f>IF(COUNTIFS(E9:E31,"consumer",M9:M31,0)&gt;0,"open","complete")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5" t="n">
        <v>46230</v>
      </c>
      <c r="L9" s="15" t="n">
        <v>1</v>
      </c>
      <c r="M9" s="15">
        <f>IF(OR(AND(I9="yes",H9="verified"),AND(I9="no",OR(H9="tested",H9="verified")),AND(H9="not applicable",K9&lt;&gt;"")),1,0)</f>
        <v>1</v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5" t="n">
        <v>46230</v>
      </c>
      <c r="L10" s="15" t="n">
        <v>1</v>
      </c>
      <c r="M10" s="15">
        <f>IF(OR(AND(I10="yes",H10="verified"),AND(I10="no",OR(H10="tested",H10="verified")),AND(H10="not applicable",K10&lt;&gt;"")),1,0)</f>
        <v>1</v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5" t="n">
        <v>46230</v>
      </c>
      <c r="L11" s="15" t="n">
        <v>1</v>
      </c>
      <c r="M11" s="15">
        <f>IF(OR(AND(I11="yes",H11="verified"),AND(I11="no",OR(H11="tested",H11="verified")),AND(H11="not applicable",K11&lt;&gt;"")),1,0)</f>
        <v>1</v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5" t="n">
        <v>46230</v>
      </c>
      <c r="L12" s="15" t="n">
        <v>1</v>
      </c>
      <c r="M12" s="15">
        <f>IF(OR(AND(I12="yes",H12="verified"),AND(I12="no",OR(H12="tested",H12="verified")),AND(H12="not applicable",K12&lt;&gt;"")),1,0)</f>
        <v>1</v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5" t="n">
        <v>46230</v>
      </c>
      <c r="L13" s="15" t="n">
        <v>1</v>
      </c>
      <c r="M13" s="15">
        <f>IF(OR(AND(I13="yes",H13="verified"),AND(I13="no",OR(H13="tested",H13="verified")),AND(H13="not applicable",K13&lt;&gt;"")),1,0)</f>
        <v>1</v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5" t="n">
        <v>46230</v>
      </c>
      <c r="L14" s="15" t="n">
        <v>1</v>
      </c>
      <c r="M14" s="15">
        <f>IF(OR(AND(I14="yes",H14="verified"),AND(I14="no",OR(H14="tested",H14="verified")),AND(H14="not applicable",K14&lt;&gt;"")),1,0)</f>
        <v>1</v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5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>1</v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5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>1</v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</t>
        </is>
      </c>
      <c r="D17" s="15" t="inlineStr">
        <is>
          <t>Horizontal and vertical orientation change layout and keyboard axis together.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5" t="n">
        <v>46230</v>
      </c>
      <c r="L17" s="15" t="n">
        <v>1</v>
      </c>
      <c r="M17" s="15">
        <f>IF(OR(AND(I17="yes",H17="verified"),AND(I17="no",OR(H17="tested",H17="verified")),AND(H17="not applicable",K17&lt;&gt;"")),1,0)</f>
        <v>1</v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</t>
        </is>
      </c>
      <c r="D18" s="15" t="inlineStr">
        <is>
          <t>Measured rich content, active trigger indicator, and viewport geometry follow Atom state.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5" t="n">
        <v>46230</v>
      </c>
      <c r="L18" s="15" t="n">
        <v>1</v>
      </c>
      <c r="M18" s="15">
        <f>IF(OR(AND(I18="yes",H18="verified"),AND(I18="no",OR(H18="tested",H18="verified")),AND(H18="not applicable",K18&lt;&gt;"")),1,0)</f>
        <v>1</v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5" t="n">
        <v>46230</v>
      </c>
      <c r="L19" s="15" t="n">
        <v>1</v>
      </c>
      <c r="M19" s="15">
        <f>IF(OR(AND(I19="yes",H19="verified"),AND(I19="no",OR(H19="tested",H19="verified")),AND(H19="not applicable",K19&lt;&gt;"")),1,0)</f>
        <v>1</v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5" t="n">
        <v>46230</v>
      </c>
      <c r="L20" s="15" t="n">
        <v>1</v>
      </c>
      <c r="M20" s="15">
        <f>IF(OR(AND(I20="yes",H20="verified"),AND(I20="no",OR(H20="tested",H20="verified")),AND(H20="not applicable",K20&lt;&gt;"")),1,0)</f>
        <v>1</v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5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>1</v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5" t="n">
        <v>46230</v>
      </c>
      <c r="L22" s="15" t="n">
        <v>1</v>
      </c>
      <c r="M22" s="15">
        <f>IF(OR(AND(I22="yes",H22="verified"),AND(I22="no",OR(H22="tested",H22="verified")),AND(H22="not applicable",K22&lt;&gt;"")),1,0)</f>
        <v>1</v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5" t="n">
        <v>46230</v>
      </c>
      <c r="L23" s="15" t="n">
        <v>1</v>
      </c>
      <c r="M23" s="15">
        <f>IF(OR(AND(I23="yes",H23="verified"),AND(I23="no",OR(H23="tested",H23="verified")),AND(H23="not applicable",K23&lt;&gt;"")),1,0)</f>
        <v>1</v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5" t="n">
        <v>46230</v>
      </c>
      <c r="L24" s="15" t="n">
        <v>1</v>
      </c>
      <c r="M24" s="15">
        <f>IF(OR(AND(I24="yes",H24="verified"),AND(I24="no",OR(H24="tested",H24="verified")),AND(H24="not applicable",K24&lt;&gt;"")),1,0)</f>
        <v>1</v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5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>1</v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5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>1</v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5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>0</v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5" t="n">
        <v>46230</v>
      </c>
      <c r="L28" s="15" t="n">
        <v>1</v>
      </c>
      <c r="M28" s="15">
        <f>IF(OR(AND(I28="yes",H28="verified"),AND(I28="no",OR(H28="tested",H28="verified")),AND(H28="not applicable",K28&lt;&gt;"")),1,0)</f>
        <v>1</v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5" t="n">
        <v>46230</v>
      </c>
      <c r="L29" s="15" t="n">
        <v>1</v>
      </c>
      <c r="M29" s="15">
        <f>IF(OR(AND(I29="yes",H29="verified"),AND(I29="no",OR(H29="tested",H29="verified")),AND(H29="not applicable",K29&lt;&gt;"")),1,0)</f>
        <v>1</v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5" t="n">
        <v>46230</v>
      </c>
      <c r="L30" s="15" t="n">
        <v>1</v>
      </c>
      <c r="M30" s="15">
        <f>IF(OR(AND(I30="yes",H30="verified"),AND(I30="no",OR(H30="tested",H30="verified")),AND(H30="not applicable",K30&lt;&gt;"")),1,0)</f>
        <v>1</v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5" t="n">
        <v>46230</v>
      </c>
      <c r="L31" s="15" t="n">
        <v>1</v>
      </c>
      <c r="M31" s="15">
        <f>IF(OR(AND(I31="yes",H31="verified"),AND(I31="no",OR(H31="tested",H31="verified")),AND(H31="not applicable",K31&lt;&gt;"")),1,0)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>28</v>
      </c>
      <c r="D4" s="20" t="inlineStr">
        <is>
          <t>Resolved</t>
        </is>
      </c>
      <c r="E4" s="21">
        <f>SUM(M9:M36)</f>
        <v>27</v>
      </c>
      <c r="G4" s="20" t="inlineStr">
        <is>
          <t>Completion</t>
        </is>
      </c>
      <c r="H4" s="22">
        <f>IF(B4=0,0,E4/B4)</f>
        <v>0.9642857142857143</v>
      </c>
      <c r="J4" s="20" t="inlineStr">
        <is>
          <t>Package gate</t>
        </is>
      </c>
      <c r="K4" s="21" t="str">
        <f>IF(COUNTIFS(E9:E36,"package",M9:M36,0)&gt;0,"open","complete")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IF(COUNTIFS(I9:I36,"yes",M9:M36,0)&gt;0,"open","complete")</f>
        <v>open</v>
      </c>
      <c r="D5" s="20" t="inlineStr">
        <is>
          <t>Consumer gate</t>
        </is>
      </c>
      <c r="E5" s="21" t="str">
        <f>IF(COUNTIFS(E9:E36,"consumer",M9:M36,0)&gt;0,"open","complete")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BN-01</t>
        </is>
      </c>
      <c r="B9" s="26" t="inlineStr">
        <is>
          <t>Ownership</t>
        </is>
      </c>
      <c r="C9" s="26" t="inlineStr">
        <is>
          <t>All parts</t>
        </is>
      </c>
      <c r="D9" s="27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../src/components/bottom-navigation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BN-02</t>
        </is>
      </c>
      <c r="B10" s="26" t="inlineStr">
        <is>
          <t>Anatomy</t>
        </is>
      </c>
      <c r="C10" s="26" t="inlineStr">
        <is>
          <t>Root/Item/Icon/Label</t>
        </is>
      </c>
      <c r="D10" s="27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../test/components/bottom-navigation/bottom-navigation.test.tsx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BN-03</t>
        </is>
      </c>
      <c r="B11" s="26" t="inlineStr">
        <is>
          <t>Exports</t>
        </is>
      </c>
      <c r="C11" s="26" t="inlineStr">
        <is>
          <t>BottomNavigation</t>
        </is>
      </c>
      <c r="D11" s="27" t="inlineStr">
        <is>
          <t>Root and bottom-navigation subpath expose the namespace, named parts, recipe types, inherited position/label types, and public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BN-04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 and the discriminated indicator/item selection shapes type-check; unsupported sizes and a circular whole-item selection fail.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../test/types/components/bottom-navigation.test.ts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BN-05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../src/components/bottom-navigation/bottom-navigation.css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BN-06</t>
        </is>
      </c>
      <c r="B14" s="26" t="inlineStr">
        <is>
          <t>Defaults</t>
        </is>
      </c>
      <c r="C14" s="26" t="inlineStr">
        <is>
          <t>Root/Item/Icon/Label</t>
        </is>
      </c>
      <c r="D14" s="27" t="inlineStr">
        <is>
          <t>Defaults are outline, accent, full, equal, medium, static, indicator/pill, always-visible labels, safe-area support, and no blur or elevation.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tests/components/bottom-navigation/behavior.spec.ts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BN-07</t>
        </is>
      </c>
      <c r="B15" s="26" t="inlineStr">
        <is>
          <t>Recipes</t>
        </is>
      </c>
      <c r="C15" s="26" t="inlineStr">
        <is>
          <t>Root</t>
        </is>
      </c>
      <c r="D15" s="27" t="inlineStr">
        <is>
          <t>Solid, soft, outline, and ghost remain visually distinct in accent and fully neutral palettes without changing destination geometry.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tests/components/bottom-navigation/behavior.spec.ts; tests/components/bottom-navigation/visual.spec.ts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BN-08</t>
        </is>
      </c>
      <c r="B16" s="26" t="inlineStr">
        <is>
          <t>Layout</t>
        </is>
      </c>
      <c r="C16" s="26" t="inlineStr">
        <is>
          <t>Root/Item</t>
        </is>
      </c>
      <c r="D16" s="27" t="inlineStr">
        <is>
          <t>Full versus floating controls outer geometry independently from equal versus centered destination distribution.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tests/components/bottom-navigation/behavior.spec.ts; tests/components/bottom-navigation/visual.spec.ts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BN-09</t>
        </is>
      </c>
      <c r="B17" s="26" t="inlineStr">
        <is>
          <t>Sizes</t>
        </is>
      </c>
      <c r="C17" s="26" t="inlineStr">
        <is>
          <t>All parts</t>
        </is>
      </c>
      <c r="D17" s="27" t="inlineStr">
        <is>
          <t>Small, medium, and large coordinate Root padding, Item target, Icon, indicator, and label typography as one recipe.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tests/components/bottom-navigation/behavior.spec.ts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BN-10</t>
        </is>
      </c>
      <c r="B18" s="26" t="inlineStr">
        <is>
          <t>Position</t>
        </is>
      </c>
      <c r="C18" s="26" t="inlineStr">
        <is>
          <t>Root</t>
        </is>
      </c>
      <c r="D18" s="27" t="inlineStr">
        <is>
          <t>Static, sticky, absolute, and fixed retain distinct computed positioning; safe-area ownership is internal for full bars and an outer offset for positioned floating bars.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tests/components/bottom-navigation/behavior.spec.ts; ../test/components/bottom-navigation/bottom-navigation.test.tsx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BN-11</t>
        </is>
      </c>
      <c r="B19" s="26" t="inlineStr">
        <is>
          <t>Selection</t>
        </is>
      </c>
      <c r="C19" s="26" t="inlineStr">
        <is>
          <t>Root/Icon/Item</t>
        </is>
      </c>
      <c r="D19" s="27" t="inlineStr">
        <is>
          <t>Indicator selection paints only Icon with circle, rounded, or pill geometry; Item selection paints the whole destination with square, rounded, or pill geometry and no layout shift.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tests/components/bottom-navigation/behavior.spec.ts; tests/components/bottom-navigation/visual.spec.ts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BN-12</t>
        </is>
      </c>
      <c r="B20" s="26" t="inlineStr">
        <is>
          <t>Labels</t>
        </is>
      </c>
      <c r="C20" s="26" t="inlineStr">
        <is>
          <t>Root/Label</t>
        </is>
      </c>
      <c r="D20" s="27" t="inlineStr">
        <is>
          <t>always, active, and hidden policies change only visual label presentation while every destination retains the authored accessible name.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tests/components/bottom-navigation/behavior.spec.ts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BN-13</t>
        </is>
      </c>
      <c r="B21" s="26" t="inlineStr">
        <is>
          <t>Selection behavior</t>
        </is>
      </c>
      <c r="C21" s="26" t="inlineStr">
        <is>
          <t>Root/Item</t>
        </is>
      </c>
      <c r="D21" s="27" t="inlineStr">
        <is>
          <t>Controlled and uncontrolled values update exactly one active destination and call the application change handler.</t>
        </is>
      </c>
      <c r="E21" s="26" t="inlineStr">
        <is>
          <t>package</t>
        </is>
      </c>
      <c r="F21" s="26" t="inlineStr">
        <is>
          <t>component</t>
        </is>
      </c>
      <c r="G21" s="27" t="inlineStr">
        <is>
          <t>../test/components/bottom-navigation/bottom-navigation.test.tsx; tests/components/bottom-navigation/behavior.spec.ts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BN-14</t>
        </is>
      </c>
      <c r="B22" s="26" t="inlineStr">
        <is>
          <t>Destinations/states</t>
        </is>
      </c>
      <c r="C22" s="26" t="inlineStr">
        <is>
          <t>Item</t>
        </is>
      </c>
      <c r="D22" s="27" t="inlineStr">
        <is>
          <t>href Items remain native current-page anchors; Items without href remain buttons; hover, pressed, focus-visible, current, and disabled behavior stay distinct.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tests/components/bottom-navigation/behavior.spec.ts; ../test/components/bottom-navigation/bottom-navigation.test.tsx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BN-15</t>
        </is>
      </c>
      <c r="B23" s="26" t="inlineStr">
        <is>
          <t>Content</t>
        </is>
      </c>
      <c r="C23" s="26" t="inlineStr">
        <is>
          <t>Icon/Label</t>
        </is>
      </c>
      <c r="D23" s="27" t="inlineStr">
        <is>
          <t>Three, four, and five destinations plus Notification Badge composition retain one destination name, one focus target, and bounded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tests/components/bottom-navigation/behavior.spec.ts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BN-16</t>
        </is>
      </c>
      <c r="B24" s="26" t="inlineStr">
        <is>
          <t>Composition</t>
        </is>
      </c>
      <c r="C24" s="26" t="inlineStr">
        <is>
          <t>All parts</t>
        </is>
      </c>
      <c r="D24" s="27" t="inlineStr">
        <is>
          <t>Router asChild output preserves the native anchor, href, state, Brick/Atom class and slot ownership without another interactive wrapper.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../test/components/bottom-navigation/bottom-navigation.test.tsx; tests/components/bottom-navigation/behavior.spec.ts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BN-17</t>
        </is>
      </c>
      <c r="B25" s="26" t="inlineStr">
        <is>
          <t>Effects</t>
        </is>
      </c>
      <c r="C25" s="26" t="inlineStr">
        <is>
          <t>Root</t>
        </is>
      </c>
      <c r="D25" s="27" t="inlineStr">
        <is>
          <t>Elevation and blur are opt-in paint effects that do not imply layout or position; reduced transparency removes blur while preserving the surface.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tests/components/bottom-navigation/behavior.spec.ts; tests/components/bottom-navigation/visual.spec.ts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>1</v>
      </c>
    </row>
    <row r="26" ht="54" customHeight="1" s="17">
      <c r="A26" s="26" t="inlineStr">
        <is>
          <t>BN-18</t>
        </is>
      </c>
      <c r="B26" s="26" t="inlineStr">
        <is>
          <t>Customization</t>
        </is>
      </c>
      <c r="C26" s="26" t="inlineStr">
        <is>
          <t>Root</t>
        </is>
      </c>
      <c r="D26" s="27" t="inlineStr">
        <is>
          <t>The documented CSS variables exactly produce the amber surface, border, selected indicator, and active foreground shown beside the code.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src/components/bottom-navigation/BottomNavigationPage.tsx; tests/components/bottom-navigation/visual.spec.ts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 inspected the generated customization and appearance baselines.</t>
        </is>
      </c>
      <c r="L26" s="26" t="n">
        <v>1</v>
      </c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BN-19</t>
        </is>
      </c>
      <c r="B27" s="26" t="inlineStr">
        <is>
          <t>Responsive</t>
        </is>
      </c>
      <c r="C27" s="26" t="inlineStr">
        <is>
          <t>All parts</t>
        </is>
      </c>
      <c r="D27" s="27" t="inlineStr">
        <is>
          <t>Narrow width, genuine long labels, three-to-five destinations, mobile viewports, and zoom guidance remain contained without horizontal page overflow.</t>
        </is>
      </c>
      <c r="E27" s="26" t="inlineStr">
        <is>
          <t>package</t>
        </is>
      </c>
      <c r="F27" s="26" t="inlineStr">
        <is>
          <t>browser</t>
        </is>
      </c>
      <c r="G27" s="27" t="inlineStr">
        <is>
          <t>tests/components/bottom-navigation/behavior.spec.ts; tests/components/bottom-navigation/visual.spec.ts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54" customHeight="1" s="17">
      <c r="A28" s="26" t="inlineStr">
        <is>
          <t>BN-20</t>
        </is>
      </c>
      <c r="B28" s="26" t="inlineStr">
        <is>
          <t>Direction/preferences</t>
        </is>
      </c>
      <c r="C28" s="26" t="inlineStr">
        <is>
          <t>All parts</t>
        </is>
      </c>
      <c r="D28" s="27" t="inlineStr">
        <is>
          <t>RTL uses logical order and genuine Arabic content; forced colors and reduced motion preserve selection, focus, and usable geometry.</t>
        </is>
      </c>
      <c r="E28" s="26" t="inlineStr">
        <is>
          <t>package</t>
        </is>
      </c>
      <c r="F28" s="26" t="inlineStr">
        <is>
          <t>browser</t>
        </is>
      </c>
      <c r="G28" s="27" t="inlineStr">
        <is>
          <t>tests/components/bottom-navigation/behavior.spec.ts; tests/components/bottom-navigation/visual.spec.ts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54" customHeight="1" s="17">
      <c r="A29" s="26" t="inlineStr">
        <is>
          <t>BN-21</t>
        </is>
      </c>
      <c r="B29" s="26" t="inlineStr">
        <is>
          <t>Accessibility</t>
        </is>
      </c>
      <c r="C29" s="26" t="inlineStr">
        <is>
          <t>All parts</t>
        </is>
      </c>
      <c r="D29" s="27" t="inlineStr">
        <is>
          <t>Named navigation landmarks, native link/button roles, aria-current, disabled state, silent Icons, hidden labels, focus, target geometry, and axe remain valid.</t>
        </is>
      </c>
      <c r="E29" s="26" t="inlineStr">
        <is>
          <t>package</t>
        </is>
      </c>
      <c r="F29" s="26" t="inlineStr">
        <is>
          <t>axe</t>
        </is>
      </c>
      <c r="G29" s="27" t="inlineStr">
        <is>
          <t>tests/components/bottom-navigation/behavior.spec.ts</t>
        </is>
      </c>
      <c r="H29" s="26" t="inlineStr">
        <is>
          <t>tested</t>
        </is>
      </c>
      <c r="I29" s="26" t="inlineStr">
        <is>
          <t>no</t>
        </is>
      </c>
      <c r="J29" s="28" t="n">
        <v>46230</v>
      </c>
      <c r="K29" s="27" t="n"/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54" customHeight="1" s="17">
      <c r="A30" s="26" t="inlineStr">
        <is>
          <t>BN-22</t>
        </is>
      </c>
      <c r="B30" s="26" t="inlineStr">
        <is>
          <t>Visual</t>
        </is>
      </c>
      <c r="C30" s="26" t="inlineStr">
        <is>
          <t>All parts</t>
        </is>
      </c>
      <c r="D30" s="27" t="inlineStr">
        <is>
          <t>Reviewed Chromium baselines cover defaults, all recipes, layout, selection, content, behavior, effects, dark appearance, mobile RTL, safe areas, and forced colors.</t>
        </is>
      </c>
      <c r="E30" s="26" t="inlineStr">
        <is>
          <t>package</t>
        </is>
      </c>
      <c r="F30" s="26" t="inlineStr">
        <is>
          <t>visual</t>
        </is>
      </c>
      <c r="G30" s="27" t="inlineStr">
        <is>
          <t>tests/components/bottom-navigation/visual.spec.ts</t>
        </is>
      </c>
      <c r="H30" s="26" t="inlineStr">
        <is>
          <t>verified</t>
        </is>
      </c>
      <c r="I30" s="26" t="inlineStr">
        <is>
          <t>yes</t>
        </is>
      </c>
      <c r="J30" s="28" t="n">
        <v>46230</v>
      </c>
      <c r="K30" s="27" t="inlineStr">
        <is>
          <t>Agent inspected every revised Bottom Navigation baseline.</t>
        </is>
      </c>
      <c r="L30" s="26" t="n">
        <v>1</v>
      </c>
      <c r="M30" s="26">
        <f>IF(OR(AND(I30="yes",H30="verified"),AND(I30="no",OR(H30="tested",H30="verified")),AND(H30="not applicable",K30&lt;&gt;"")),1,0)</f>
        <v>1</v>
      </c>
    </row>
    <row r="31" ht="54" customHeight="1" s="17">
      <c r="A31" s="26" t="inlineStr">
        <is>
          <t>BN-23</t>
        </is>
      </c>
      <c r="B31" s="26" t="inlineStr">
        <is>
          <t>Manual</t>
        </is>
      </c>
      <c r="C31" s="26" t="inlineStr">
        <is>
          <t>Bottom Navigation</t>
        </is>
      </c>
      <c r="D31" s="27" t="inlineStr">
        <is>
          <t>A tester completes the concise top-down pointer, keyboard, AT, zoom, mobile, safe-area, appearance, RTL, forced-color, and preference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manual-tests/bottom-navigation.md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>0</v>
      </c>
    </row>
    <row r="32" ht="54" customHeight="1" s="17">
      <c r="A32" s="26" t="inlineStr">
        <is>
          <t>BN-24</t>
        </is>
      </c>
      <c r="B32" s="26" t="inlineStr">
        <is>
          <t>Docs</t>
        </is>
      </c>
      <c r="C32" s="26" t="inlineStr">
        <is>
          <t>Bottom Navigation</t>
        </is>
      </c>
      <c r="D32" s="27" t="inlineStr">
        <is>
          <t>Source-backed usage, anatomy, API, recipes, positions, labels, accessibility, responsive behavior, composition, CSS, customization, and evidence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../docs/components/bottom-navigation/README.md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>1</v>
      </c>
    </row>
    <row r="33" ht="54" customHeight="1" s="17">
      <c r="A33" s="26" t="inlineStr">
        <is>
          <t>BN-25</t>
        </is>
      </c>
      <c r="B33" s="26" t="inlineStr">
        <is>
          <t>Changelog</t>
        </is>
      </c>
      <c r="C33" s="26" t="inlineStr">
        <is>
          <t>Bottom Navigation</t>
        </is>
      </c>
      <c r="D33" s="27" t="inlineStr">
        <is>
          <t>Bottom Navigation owns a public changelog and the package changelog records the public addition.</t>
        </is>
      </c>
      <c r="E33" s="26" t="inlineStr">
        <is>
          <t>package</t>
        </is>
      </c>
      <c r="F33" s="26" t="inlineStr">
        <is>
          <t>docs</t>
        </is>
      </c>
      <c r="G33" s="27" t="inlineStr">
        <is>
          <t>../docs/components/bottom-navigation/CHANGELOG.md; ../CHANGELOG.md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>1</v>
      </c>
    </row>
    <row r="34" ht="54" customHeight="1" s="17">
      <c r="A34" s="26" t="inlineStr">
        <is>
          <t>BN-26</t>
        </is>
      </c>
      <c r="B34" s="26" t="inlineStr">
        <is>
          <t>Playground</t>
        </is>
      </c>
      <c r="C34" s="26" t="inlineStr">
        <is>
          <t>Bottom Navigation</t>
        </is>
      </c>
      <c r="D34" s="27" t="inlineStr">
        <is>
          <t>One navigable route exposes nine comprehensive scenarios, actual rendered composition output, and Brick-only public imports.</t>
        </is>
      </c>
      <c r="E34" s="26" t="inlineStr">
        <is>
          <t>package</t>
        </is>
      </c>
      <c r="F34" s="26" t="inlineStr">
        <is>
          <t>playground</t>
        </is>
      </c>
      <c r="G34" s="27" t="inlineStr">
        <is>
          <t>src/components/bottom-navigation/BottomNavigationPage.tsx</t>
        </is>
      </c>
      <c r="H34" s="26" t="inlineStr">
        <is>
          <t>tested</t>
        </is>
      </c>
      <c r="I34" s="26" t="inlineStr">
        <is>
          <t>no</t>
        </is>
      </c>
      <c r="J34" s="28" t="n">
        <v>46230</v>
      </c>
      <c r="K34" s="27" t="n"/>
      <c r="L34" s="26" t="n">
        <v>1</v>
      </c>
      <c r="M34" s="26">
        <f>IF(OR(AND(I34="yes",H34="verified"),AND(I34="no",OR(H34="tested",H34="verified")),AND(H34="not applicable",K34&lt;&gt;"")),1,0)</f>
        <v>1</v>
      </c>
    </row>
    <row r="35" ht="54" customHeight="1" s="17">
      <c r="A35" s="26" t="inlineStr">
        <is>
          <t>BN-27</t>
        </is>
      </c>
      <c r="B35" s="26" t="inlineStr">
        <is>
          <t>Consumer</t>
        </is>
      </c>
      <c r="C35" s="26" t="inlineStr">
        <is>
          <t>Bottom Navigation</t>
        </is>
      </c>
      <c r="D35" s="27" t="inlineStr">
        <is>
          <t>Packed Consumer imports the public subpath and operates realistic controlled and badged destinations on desktop and mobile.</t>
        </is>
      </c>
      <c r="E35" s="26" t="inlineStr">
        <is>
          <t>consumer</t>
        </is>
      </c>
      <c r="F35" s="26" t="inlineStr">
        <is>
          <t>consumer</t>
        </is>
      </c>
      <c r="G35" s="27" t="inlineStr">
        <is>
          <t>../apps/consumer/src/App.tsx; ../apps/consumer/tests/consumer.spec.ts</t>
        </is>
      </c>
      <c r="H35" s="26" t="inlineStr">
        <is>
          <t>tested</t>
        </is>
      </c>
      <c r="I35" s="26" t="inlineStr">
        <is>
          <t>no</t>
        </is>
      </c>
      <c r="J35" s="28" t="n">
        <v>46230</v>
      </c>
      <c r="K35" s="27" t="n"/>
      <c r="L35" s="26" t="n">
        <v>1</v>
      </c>
      <c r="M35" s="26">
        <f>IF(OR(AND(I35="yes",H35="verified"),AND(I35="no",OR(H35="tested",H35="verified")),AND(H35="not applicable",K35&lt;&gt;"")),1,0)</f>
        <v>1</v>
      </c>
    </row>
    <row r="36" ht="54" customHeight="1" s="17">
      <c r="A36" s="26" t="inlineStr">
        <is>
          <t>BN-28</t>
        </is>
      </c>
      <c r="B36" s="26" t="inlineStr">
        <is>
          <t>Package</t>
        </is>
      </c>
      <c r="C36" s="26" t="inlineStr">
        <is>
          <t>Bottom Navigation</t>
        </is>
      </c>
      <c r="D36" s="27" t="inlineStr">
        <is>
          <t>Build, exports, SSR, tarball, CSS, React 18/19, Consumer, configured desktop/mobile browsers, docs, ownership, and exact Atom 0.13.0 dependency pass.</t>
        </is>
      </c>
      <c r="E36" s="26" t="inlineStr">
        <is>
          <t>package</t>
        </is>
      </c>
      <c r="F36" s="26" t="inlineStr">
        <is>
          <t>package</t>
        </is>
      </c>
      <c r="G36" s="27" t="inlineStr">
        <is>
          <t>../scripts/verify-package.mjs; ../scripts/verify-consumers.mjs</t>
        </is>
      </c>
      <c r="H36" s="26" t="inlineStr">
        <is>
          <t>tested</t>
        </is>
      </c>
      <c r="I36" s="26" t="inlineStr">
        <is>
          <t>no</t>
        </is>
      </c>
      <c r="J36" s="28" t="n">
        <v>46230</v>
      </c>
      <c r="K36" s="27" t="n"/>
      <c r="L36" s="26" t="n">
        <v>1</v>
      </c>
      <c r="M36" s="26">
        <f>IF(OR(AND(I36="yes",H36="verified"),AND(I36="no",OR(H36="tested",H36="verified")),AND(H36="not applicable",K36&lt;&gt;"")),1,0)</f>
        <v>1</v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>19</v>
      </c>
      <c r="D4" s="20" t="inlineStr">
        <is>
          <t>Resolved</t>
        </is>
      </c>
      <c r="E4" s="21">
        <f>SUM(M9:M27)</f>
        <v>18</v>
      </c>
      <c r="G4" s="20" t="inlineStr">
        <is>
          <t>Completion</t>
        </is>
      </c>
      <c r="H4" s="22">
        <f>IF(B4=0,0,E4/B4)</f>
        <v>0.9473684210526315</v>
      </c>
      <c r="J4" s="20" t="inlineStr">
        <is>
          <t>Package gate</t>
        </is>
      </c>
      <c r="K4" s="21" t="str">
        <f>IF(COUNTIFS(E9:E27,"package",M9:M27,0)&gt;0,"open","complete")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IF(COUNTIFS(I9:I27,"yes",M9:M27,0)&gt;0,"open","complete")</f>
        <v>open</v>
      </c>
      <c r="D5" s="20" t="inlineStr">
        <is>
          <t>Consumer gate</t>
        </is>
      </c>
      <c r="E5" s="21" t="str">
        <f>IF(COUNTIFS(E9:E27,"consumer",M9:M27,0)&gt;0,"open","complete")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VH-01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delegates all assistive-text behavior to released Atom 0.13.0 Visually Hidden and adds only the stable Brick class and default slot.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../src/components/visually-hidden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VH-02</t>
        </is>
      </c>
      <c r="B10" s="26" t="inlineStr">
        <is>
          <t>Anatomy</t>
        </is>
      </c>
      <c r="C10" s="26" t="inlineStr">
        <is>
          <t>Root</t>
        </is>
      </c>
      <c r="D10" s="27" t="inlineStr">
        <is>
          <t>The one-part namespace preserves Atom's default span, children, inline hiding behavior, native props, composition, and ref.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../test/components/visually-hidden/visually-hidden.test.tsx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VH-03</t>
        </is>
      </c>
      <c r="B11" s="26" t="inlineStr">
        <is>
          <t>Exports</t>
        </is>
      </c>
      <c r="C11" s="26" t="inlineStr">
        <is>
          <t>VisuallyHidden</t>
        </is>
      </c>
      <c r="D11" s="27" t="inlineStr">
        <is>
          <t>Root and visually-hidden subpath expose the namespace, named Root, and Root props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../scripts/verify-consumers.mjs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VH-04</t>
        </is>
      </c>
      <c r="B12" s="26" t="inlineStr">
        <is>
          <t>Types</t>
        </is>
      </c>
      <c r="C12" s="26" t="inlineStr">
        <is>
          <t>Root</t>
        </is>
      </c>
      <c r="D12" s="27" t="inlineStr">
        <is>
          <t>Children, native span attributes, style, ref, render, and asChild type-check through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../test/types/components/visually-hidden.test.ts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VH-05</t>
        </is>
      </c>
      <c r="B13" s="26" t="inlineStr">
        <is>
          <t>Hooks</t>
        </is>
      </c>
      <c r="C13" s="26" t="inlineStr">
        <is>
          <t>Root</t>
        </is>
      </c>
      <c r="D13" s="27" t="inlineStr">
        <is>
          <t>Root emits the stable brick-visually-hidden class and default data-slot without inventing recipe props or public CSS variables.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../test/components/visually-hidden/visually-hidden.test.tsx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VH-06</t>
        </is>
      </c>
      <c r="B14" s="26" t="inlineStr">
        <is>
          <t>Geometry</t>
        </is>
      </c>
      <c r="C14" s="26" t="inlineStr">
        <is>
          <t>Root</t>
        </is>
      </c>
      <c r="D14" s="27" t="inlineStr">
        <is>
          <t>Atom-owned inline styles resolve to an absolute 1px by 1px clipped box with no visible layout footprint.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tests/components/visually-hidden/behavior.spec.ts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VH-07</t>
        </is>
      </c>
      <c r="B15" s="26" t="inlineStr">
        <is>
          <t>Accessible naming</t>
        </is>
      </c>
      <c r="C15" s="26" t="inlineStr">
        <is>
          <t>Root</t>
        </is>
      </c>
      <c r="D15" s="27" t="inlineStr">
        <is>
          <t>Hidden text supplies the complete accessible name for an icon-only Brick Button while the Icon remains decorative.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tests/components/visually-hidden/behavior.spec.ts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46230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VH-08</t>
        </is>
      </c>
      <c r="B16" s="26" t="inlineStr">
        <is>
          <t>Supplemental context</t>
        </is>
      </c>
      <c r="C16" s="26" t="inlineStr">
        <is>
          <t>Root</t>
        </is>
      </c>
      <c r="D16" s="27" t="inlineStr">
        <is>
          <t>Hidden context extends visible destructive-action text into one complete accessible name without duplicate visible copy.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tests/components/visually-hidden/behavior.spec.ts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46230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VH-09</t>
        </is>
      </c>
      <c r="B17" s="26" t="inlineStr">
        <is>
          <t>Composition</t>
        </is>
      </c>
      <c r="C17" s="26" t="inlineStr">
        <is>
          <t>Root</t>
        </is>
      </c>
      <c r="D17" s="27" t="inlineStr">
        <is>
          <t>render and asChild change the host to strong or em while preserving hidden behavior, authored content, class, and slot.</t>
        </is>
      </c>
      <c r="E17" s="26" t="inlineStr">
        <is>
          <t>package</t>
        </is>
      </c>
      <c r="F17" s="26" t="inlineStr">
        <is>
          <t>browser</t>
        </is>
      </c>
      <c r="G17" s="27" t="inlineStr">
        <is>
          <t>../test/components/visually-hidden/visually-hidden.test.tsx; tests/components/visually-hidden/behavior.spec.ts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VH-10</t>
        </is>
      </c>
      <c r="B18" s="26" t="inlineStr">
        <is>
          <t>Native ownership</t>
        </is>
      </c>
      <c r="C18" s="26" t="inlineStr">
        <is>
          <t>Root</t>
        </is>
      </c>
      <c r="D18" s="27" t="inlineStr">
        <is>
          <t>Consumer class, data attributes, authored slot, styles, and the default span ref pass through and remain inspectable.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tests/components/visually-hidden/behavior.spec.ts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VH-11</t>
        </is>
      </c>
      <c r="B19" s="26" t="inlineStr">
        <is>
          <t>Responsive</t>
        </is>
      </c>
      <c r="C19" s="26" t="inlineStr">
        <is>
          <t>Root</t>
        </is>
      </c>
      <c r="D19" s="27" t="inlineStr">
        <is>
          <t>Long English and Arabic names, RTL, dark appearance, narrow mobile layout, and zoom create no visible footprint or horizontal overflow.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tests/components/visually-hidden/behavior.spec.ts; tests/components/visually-hidden/visual.spec.ts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VH-12</t>
        </is>
      </c>
      <c r="B20" s="26" t="inlineStr">
        <is>
          <t>Accessibility</t>
        </is>
      </c>
      <c r="C20" s="26" t="inlineStr">
        <is>
          <t>Root</t>
        </is>
      </c>
      <c r="D20" s="27" t="inlineStr">
        <is>
          <t>Named controls remain discoverable and the route has no automatically detectable accessibility violations across configured desktop/mobile browsers.</t>
        </is>
      </c>
      <c r="E20" s="26" t="inlineStr">
        <is>
          <t>package</t>
        </is>
      </c>
      <c r="F20" s="26" t="inlineStr">
        <is>
          <t>axe</t>
        </is>
      </c>
      <c r="G20" s="27" t="inlineStr">
        <is>
          <t>tests/components/visually-hidden/behavior.spec.ts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VH-13</t>
        </is>
      </c>
      <c r="B21" s="26" t="inlineStr">
        <is>
          <t>Visual</t>
        </is>
      </c>
      <c r="C21" s="26" t="inlineStr">
        <is>
          <t>Root</t>
        </is>
      </c>
      <c r="D21" s="27" t="inlineStr">
        <is>
          <t>Reviewed baselines prove that naming, composition, output, appearance, RTL, and mobile stress add no visible hidden-text footprint.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tests/components/visually-hidden/visual.spec.ts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 inspected every Visually Hidden baseline.</t>
        </is>
      </c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VH-14</t>
        </is>
      </c>
      <c r="B22" s="26" t="inlineStr">
        <is>
          <t>Manual</t>
        </is>
      </c>
      <c r="C22" s="26" t="inlineStr">
        <is>
          <t>Visually Hidden</t>
        </is>
      </c>
      <c r="D22" s="27" t="inlineStr">
        <is>
          <t>A tester completes the concise naming, output, composition, native ownership, mobile, zoom, forced-color, and screen-reader protocol.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manual-tests/visually-hidden.md</t>
        </is>
      </c>
      <c r="H22" s="26" t="inlineStr">
        <is>
          <t>not started</t>
        </is>
      </c>
      <c r="I22" s="26" t="inlineStr">
        <is>
          <t>yes</t>
        </is>
      </c>
      <c r="J22" s="28" t="n">
        <v>46230</v>
      </c>
      <c r="K22" s="27" t="inlineStr">
        <is>
          <t>Human run intentionally unclaimed.</t>
        </is>
      </c>
      <c r="L22" s="26" t="n">
        <v>1</v>
      </c>
      <c r="M22" s="26">
        <f>IF(OR(AND(I22="yes",H22="verified"),AND(I22="no",OR(H22="tested",H22="verified")),AND(H22="not applicable",K22&lt;&gt;"")),1,0)</f>
        <v>0</v>
      </c>
    </row>
    <row r="23" ht="54" customHeight="1" s="17">
      <c r="A23" s="26" t="inlineStr">
        <is>
          <t>VH-15</t>
        </is>
      </c>
      <c r="B23" s="26" t="inlineStr">
        <is>
          <t>Docs</t>
        </is>
      </c>
      <c r="C23" s="26" t="inlineStr">
        <is>
          <t>Visually Hidden</t>
        </is>
      </c>
      <c r="D23" s="27" t="inlineStr">
        <is>
          <t>Source-backed use, misuse, anatomy, API, hooks, customization limits, responsive behavior, accessibility, composition, and evidence are documented.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../docs/components/visually-hidden/README.md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VH-16</t>
        </is>
      </c>
      <c r="B24" s="26" t="inlineStr">
        <is>
          <t>Changelog</t>
        </is>
      </c>
      <c r="C24" s="26" t="inlineStr">
        <is>
          <t>Visually Hidden</t>
        </is>
      </c>
      <c r="D24" s="27" t="inlineStr">
        <is>
          <t>Visually Hidden owns a public changelog and the package changelog records the public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../docs/components/visually-hidden/CHANGELOG.md;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VH-17</t>
        </is>
      </c>
      <c r="B25" s="26" t="inlineStr">
        <is>
          <t>Playground</t>
        </is>
      </c>
      <c r="C25" s="26" t="inlineStr">
        <is>
          <t>Visually Hidden</t>
        </is>
      </c>
      <c r="D25" s="27" t="inlineStr">
        <is>
          <t>One navigable route exposes six focused scenarios, actual rendered output, composition evidence, native props, and responsive stress.</t>
        </is>
      </c>
      <c r="E25" s="26" t="inlineStr">
        <is>
          <t>package</t>
        </is>
      </c>
      <c r="F25" s="26" t="inlineStr">
        <is>
          <t>playground</t>
        </is>
      </c>
      <c r="G25" s="27" t="inlineStr">
        <is>
          <t>src/components/visually-hidden/VisuallyHiddenPage.tsx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>1</v>
      </c>
    </row>
    <row r="26" ht="54" customHeight="1" s="17">
      <c r="A26" s="26" t="inlineStr">
        <is>
          <t>VH-18</t>
        </is>
      </c>
      <c r="B26" s="26" t="inlineStr">
        <is>
          <t>Consumer</t>
        </is>
      </c>
      <c r="C26" s="26" t="inlineStr">
        <is>
          <t>Visually Hidden</t>
        </is>
      </c>
      <c r="D26" s="27" t="inlineStr">
        <is>
          <t>Packed Consumer imports the public subpath and adds supplemental context to a real link on desktop and mobile.</t>
        </is>
      </c>
      <c r="E26" s="26" t="inlineStr">
        <is>
          <t>consumer</t>
        </is>
      </c>
      <c r="F26" s="26" t="inlineStr">
        <is>
          <t>consumer</t>
        </is>
      </c>
      <c r="G26" s="27" t="inlineStr">
        <is>
          <t>../apps/consumer/src/App.tsx; ../apps/consumer/tests/consumer.spec.ts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VH-19</t>
        </is>
      </c>
      <c r="B27" s="26" t="inlineStr">
        <is>
          <t>Package</t>
        </is>
      </c>
      <c r="C27" s="26" t="inlineStr">
        <is>
          <t>Visually Hidden</t>
        </is>
      </c>
      <c r="D27" s="27" t="inlineStr">
        <is>
          <t>Build, exports, SSR, tarball, React 18/19, Consumer, configured desktop/mobile browsers, docs, ownership, and exact Atom 0.13.0 dependency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../scripts/verify-package.mjs; ../scripts/verify-consumers.mjs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>25</v>
      </c>
      <c r="D4" s="20" t="inlineStr">
        <is>
          <t>Resolved</t>
        </is>
      </c>
      <c r="E4" s="21">
        <f>SUM(M9:M33)</f>
        <v>24</v>
      </c>
      <c r="G4" s="20" t="inlineStr">
        <is>
          <t>Completion</t>
        </is>
      </c>
      <c r="H4" s="22">
        <f>IF(B4=0,0,E4/B4)</f>
        <v>0.96</v>
      </c>
      <c r="J4" s="20" t="inlineStr">
        <is>
          <t>Package gate</t>
        </is>
      </c>
      <c r="K4" s="21" t="str">
        <f>IF(COUNTIFS(E9:E33,"package",M9:M33,0)&gt;0,"open","complete")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IF(COUNTIFS(I9:I33,"yes",M9:M33,0)&gt;0,"open","complete")</f>
        <v>open</v>
      </c>
      <c r="D5" s="20" t="inlineStr">
        <is>
          <t>Consumer gate</t>
        </is>
      </c>
      <c r="E5" s="21" t="str">
        <f>IF(COUNTIFS(E9:E33,"consumer",M9:M33,0)&gt;0,"open","complete")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../src/components/collapsible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CO-02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Trigger, Indicator, Content, and ContentInner render their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../test/components/collapsible/collapsible.test.tsx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CO-03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collapsible subpath expose the namespace, five named parts, every prop type, and the closed size and variant unions.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CO-04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Closed recipes, Atom prop inheritance, native attributes, refs, Indicator decoration, and ContentInner attributes type-check from both entrypoints.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../test/types/components/collapsible.test.ts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CO-05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../src/components/collapsible/collapsible.css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CO-06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and unmounted with one full-width Trigger and decorative end Indicator.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tests/components/collapsible/behavior.spec.ts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CO-07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containing surface while size, content,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tests/components/collapsible/visual.spec.ts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CO-08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 size,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tests/components/collapsible/visual.spec.ts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CO-09</t>
        </is>
      </c>
      <c r="B17" s="26" t="inlineStr">
        <is>
          <t>State</t>
        </is>
      </c>
      <c r="C17" s="26" t="inlineStr">
        <is>
          <t>Root</t>
        </is>
      </c>
      <c r="D17" s="27" t="inlineStr">
        <is>
          <t>Uncontrolled and controlled open state change exactly once and preserve the authored onOpenChange and Trigger handlers.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../test/components/collapsible/collapsible.test.tsx; tests/components/collapsible/behavior.spec.ts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CO-10</t>
        </is>
      </c>
      <c r="B18" s="26" t="inlineStr">
        <is>
          <t>Disabled</t>
        </is>
      </c>
      <c r="C18" s="26" t="inlineStr">
        <is>
          <t>Root / Trigger</t>
        </is>
      </c>
      <c r="D18" s="27" t="inlineStr">
        <is>
          <t>Disabled state exposes Atom disabled semantics, does not open, and has no enabled hover or active response.</t>
        </is>
      </c>
      <c r="E18" s="26" t="inlineStr">
        <is>
          <t>package</t>
        </is>
      </c>
      <c r="F18" s="26" t="inlineStr">
        <is>
          <t>browser</t>
        </is>
      </c>
      <c r="G18" s="27" t="inlineStr">
        <is>
          <t>../test/components/collapsible/collapsible.test.tsx; tests/components/collapsible/behavior.spec.ts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CO-11</t>
        </is>
      </c>
      <c r="B19" s="26" t="inlineStr">
        <is>
          <t>Lifecycle</t>
        </is>
      </c>
      <c r="C19" s="26" t="inlineStr">
        <is>
          <t>Content</t>
        </is>
      </c>
      <c r="D19" s="27" t="inlineStr">
        <is>
          <t>Closed Content unmounts after exit unless keepMounted is requested; kept content becomes hidden after motion settles.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../test/components/collapsible/collapsible.test.tsx; tests/components/collapsible/behavior.spec.ts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CO-12</t>
        </is>
      </c>
      <c r="B20" s="26" t="inlineStr">
        <is>
          <t>Relationships</t>
        </is>
      </c>
      <c r="C20" s="26" t="inlineStr">
        <is>
          <t>Trigger / Content</t>
        </is>
      </c>
      <c r="D20" s="27" t="inlineStr">
        <is>
          <t>Trigger and Content retain matching generated aria-controls, id, aria-labelledby, region role, and expanded state.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tests/components/collapsible/behavior.spec.ts; ../test/package/ssr.test.mjs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CO-13</t>
        </is>
      </c>
      <c r="B21" s="26" t="inlineStr">
        <is>
          <t>Indicator</t>
        </is>
      </c>
      <c r="C21" s="26" t="inlineStr">
        <is>
          <t>Indicator</t>
        </is>
      </c>
      <c r="D21" s="27" t="inlineStr">
        <is>
          <t>Default and authored Indicator artwork remain decorative, nonshrinking, logically placed, and synchronized with open state.</t>
        </is>
      </c>
      <c r="E21" s="26" t="inlineStr">
        <is>
          <t>package</t>
        </is>
      </c>
      <c r="F21" s="26" t="inlineStr">
        <is>
          <t>visual</t>
        </is>
      </c>
      <c r="G21" s="27" t="inlineStr">
        <is>
          <t>tests/components/collapsible/visual.spec.ts</t>
        </is>
      </c>
      <c r="H21" s="26" t="inlineStr">
        <is>
          <t>verified</t>
        </is>
      </c>
      <c r="I21" s="26" t="inlineStr">
        <is>
          <t>yes</t>
        </is>
      </c>
      <c r="J21" s="28" t="n">
        <v>46230</v>
      </c>
      <c r="K21" s="27" t="inlineStr">
        <is>
          <t>Agent-inspected default, custom, state, and RTL indicator baselines.</t>
        </is>
      </c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CO-14</t>
        </is>
      </c>
      <c r="B22" s="26" t="inlineStr">
        <is>
          <t>Composition</t>
        </is>
      </c>
      <c r="C22" s="26" t="inlineStr">
        <is>
          <t>Root / Trigger / Content</t>
        </is>
      </c>
      <c r="D22" s="27" t="inlineStr">
        <is>
          <t>Atom render and asChild composition preserve semantic custom hosts, event adaptation, relationships, class, style, slot, native props, and refs.</t>
        </is>
      </c>
      <c r="E22" s="26" t="inlineStr">
        <is>
          <t>package</t>
        </is>
      </c>
      <c r="F22" s="26" t="inlineStr">
        <is>
          <t>component</t>
        </is>
      </c>
      <c r="G22" s="27" t="inlineStr">
        <is>
          <t>../test/components/collapsible/collapsible.test.tsx; tests/components/collapsible/behavior.spec.ts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CO-15</t>
        </is>
      </c>
      <c r="B23" s="26" t="inlineStr">
        <is>
          <t>Motion</t>
        </is>
      </c>
      <c r="C23" s="26" t="inlineStr">
        <is>
          <t>Content</t>
        </is>
      </c>
      <c r="D23" s="27" t="inlineStr">
        <is>
          <t>Vertical open and close use live --content-height measurement; horizontal open and close use live --content-width measurement with stable ContentInner geometry.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tests/components/collapsible/behavior.spec.ts; ../test/components/collapsible/collapsible.test.tsx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CO-16</t>
        </is>
      </c>
      <c r="B24" s="26" t="inlineStr">
        <is>
          <t>Accessibility</t>
        </is>
      </c>
      <c r="C24" s="26" t="inlineStr">
        <is>
          <t>All parts</t>
        </is>
      </c>
      <c r="D24" s="27" t="inlineStr">
        <is>
          <t>Keyboard activation, button/region semantics, focus retention, decoration, disabled behavior, and scoped axe checks pass.</t>
        </is>
      </c>
      <c r="E24" s="26" t="inlineStr">
        <is>
          <t>package</t>
        </is>
      </c>
      <c r="F24" s="26" t="inlineStr">
        <is>
          <t>axe</t>
        </is>
      </c>
      <c r="G24" s="27" t="inlineStr">
        <is>
          <t>tests/components/collapsible/behavior.spec.ts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CO-17</t>
        </is>
      </c>
      <c r="B25" s="26" t="inlineStr">
        <is>
          <t>Responsive</t>
        </is>
      </c>
      <c r="C25" s="26" t="inlineStr">
        <is>
          <t>All parts</t>
        </is>
      </c>
      <c r="D25" s="27" t="inlineStr">
        <is>
          <t>Long text, narrow width, mobile profiles, zoom-oriented reflow, horizontal contained scrolling, and RTL remain bounded without stale dimension clipping.</t>
        </is>
      </c>
      <c r="E25" s="26" t="inlineStr">
        <is>
          <t>package</t>
        </is>
      </c>
      <c r="F25" s="26" t="inlineStr">
        <is>
          <t>browser</t>
        </is>
      </c>
      <c r="G25" s="27" t="inlineStr">
        <is>
          <t>tests/components/collapsible/behavior.spec.ts; tests/components/collapsible/visual.spec.ts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46230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>1</v>
      </c>
    </row>
    <row r="26" ht="54" customHeight="1" s="17">
      <c r="A26" s="26" t="inlineStr">
        <is>
          <t>CO-18</t>
        </is>
      </c>
      <c r="B26" s="26" t="inlineStr">
        <is>
          <t>Appearance</t>
        </is>
      </c>
      <c r="C26" s="26" t="inlineStr">
        <is>
          <t>All parts</t>
        </is>
      </c>
      <c r="D26" s="27" t="inlineStr">
        <is>
          <t>Semantic paint adapts in light, dark, and forced colors; supported variables exactly match the customization example.</t>
        </is>
      </c>
      <c r="E26" s="26" t="inlineStr">
        <is>
          <t>package</t>
        </is>
      </c>
      <c r="F26" s="26" t="inlineStr">
        <is>
          <t>visual</t>
        </is>
      </c>
      <c r="G26" s="27" t="inlineStr">
        <is>
          <t>tests/components/collapsible/visual.spec.ts</t>
        </is>
      </c>
      <c r="H26" s="26" t="inlineStr">
        <is>
          <t>verified</t>
        </is>
      </c>
      <c r="I26" s="26" t="inlineStr">
        <is>
          <t>yes</t>
        </is>
      </c>
      <c r="J26" s="28" t="n">
        <v>46230</v>
      </c>
      <c r="K26" s="27" t="inlineStr">
        <is>
          <t>Agent-inspected appearance, customization, and forced-color baselines.</t>
        </is>
      </c>
      <c r="L26" s="26" t="n">
        <v>1</v>
      </c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CO-19</t>
        </is>
      </c>
      <c r="B27" s="26" t="inlineStr">
        <is>
          <t>Visual</t>
        </is>
      </c>
      <c r="C27" s="26" t="inlineStr">
        <is>
          <t>All parts</t>
        </is>
      </c>
      <c r="D27" s="27" t="inlineStr">
        <is>
          <t>Reviewed baselines cover defaults, variants, sizes, states, Indicator anatomy, both orientations, appearance, mobile stress, and forced colors.</t>
        </is>
      </c>
      <c r="E27" s="26" t="inlineStr">
        <is>
          <t>package</t>
        </is>
      </c>
      <c r="F27" s="26" t="inlineStr">
        <is>
          <t>visual</t>
        </is>
      </c>
      <c r="G27" s="27" t="inlineStr">
        <is>
          <t>tests/components/collapsible/visual.spec.ts</t>
        </is>
      </c>
      <c r="H27" s="26" t="inlineStr">
        <is>
          <t>verified</t>
        </is>
      </c>
      <c r="I27" s="26" t="inlineStr">
        <is>
          <t>yes</t>
        </is>
      </c>
      <c r="J27" s="28" t="n">
        <v>46230</v>
      </c>
      <c r="K27" s="27" t="inlineStr">
        <is>
          <t>Agent-inspected every generated Collapsible baseline, including horizontal orientation and RTL.</t>
        </is>
      </c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54" customHeight="1" s="17">
      <c r="A28" s="26" t="inlineStr">
        <is>
          <t>CO-20</t>
        </is>
      </c>
      <c r="B28" s="26" t="inlineStr">
        <is>
          <t>Playground</t>
        </is>
      </c>
      <c r="C28" s="26" t="inlineStr">
        <is>
          <t>All parts</t>
        </is>
      </c>
      <c r="D28" s="27" t="inlineStr">
        <is>
          <t>One navigable route exposes nine controlled scenarios for defaults, recipes, state, anatomy, composition, appearance, both orientations, live motion, and stress.</t>
        </is>
      </c>
      <c r="E28" s="26" t="inlineStr">
        <is>
          <t>package</t>
        </is>
      </c>
      <c r="F28" s="26" t="inlineStr">
        <is>
          <t>playground</t>
        </is>
      </c>
      <c r="G28" s="27" t="inlineStr">
        <is>
          <t>src/components/collapsible/CollapsiblePage.tsx</t>
        </is>
      </c>
      <c r="H28" s="26" t="inlineStr">
        <is>
          <t>tested</t>
        </is>
      </c>
      <c r="I28" s="26" t="inlineStr">
        <is>
          <t>no</t>
        </is>
      </c>
      <c r="J28" s="28" t="n">
        <v>46230</v>
      </c>
      <c r="K28" s="27" t="n"/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54" customHeight="1" s="17">
      <c r="A29" s="26" t="inlineStr">
        <is>
          <t>CO-21</t>
        </is>
      </c>
      <c r="B29" s="26" t="inlineStr">
        <is>
          <t>Manual</t>
        </is>
      </c>
      <c r="C29" s="26" t="inlineStr">
        <is>
          <t>All parts</t>
        </is>
      </c>
      <c r="D29" s="27" t="inlineStr">
        <is>
          <t>A tester completes the concise pointer, keyboard, assistive-technology, appearance, zoom, mobile, RTL, forced-color, and reduced-motion protocol.</t>
        </is>
      </c>
      <c r="E29" s="26" t="inlineStr">
        <is>
          <t>package</t>
        </is>
      </c>
      <c r="F29" s="26" t="inlineStr">
        <is>
          <t>manual</t>
        </is>
      </c>
      <c r="G29" s="27" t="inlineStr">
        <is>
          <t>manual-tests/collapsible.md</t>
        </is>
      </c>
      <c r="H29" s="26" t="inlineStr">
        <is>
          <t>not started</t>
        </is>
      </c>
      <c r="I29" s="26" t="inlineStr">
        <is>
          <t>yes</t>
        </is>
      </c>
      <c r="J29" s="28" t="n">
        <v>46230</v>
      </c>
      <c r="K29" s="27" t="inlineStr">
        <is>
          <t>Human run intentionally unclaimed.</t>
        </is>
      </c>
      <c r="L29" s="26" t="n">
        <v>1</v>
      </c>
      <c r="M29" s="26">
        <f>IF(OR(AND(I29="yes",H29="verified"),AND(I29="no",OR(H29="tested",H29="verified")),AND(H29="not applicable",K29&lt;&gt;"")),1,0)</f>
        <v>0</v>
      </c>
    </row>
    <row r="30" ht="54" customHeight="1" s="17">
      <c r="A30" s="26" t="inlineStr">
        <is>
          <t>CO-22</t>
        </is>
      </c>
      <c r="B30" s="26" t="inlineStr">
        <is>
          <t>Docs</t>
        </is>
      </c>
      <c r="C30" s="26" t="inlineStr">
        <is>
          <t>All parts</t>
        </is>
      </c>
      <c r="D30" s="27" t="inlineStr">
        <is>
          <t>Source-backed use, anatomy, API, recipes, accessibility, responsive motion, composition, CSS hooks, customization, and evidence are documented.</t>
        </is>
      </c>
      <c r="E30" s="26" t="inlineStr">
        <is>
          <t>package</t>
        </is>
      </c>
      <c r="F30" s="26" t="inlineStr">
        <is>
          <t>docs</t>
        </is>
      </c>
      <c r="G30" s="27" t="inlineStr">
        <is>
          <t>../docs/components/collapsible/README.md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>1</v>
      </c>
    </row>
    <row r="31" ht="15" customHeight="1" s="17">
      <c r="A31" s="26" t="inlineStr">
        <is>
          <t>CO-23</t>
        </is>
      </c>
      <c r="B31" s="26" t="inlineStr">
        <is>
          <t>Changelog</t>
        </is>
      </c>
      <c r="C31" s="26" t="inlineStr">
        <is>
          <t>Collapsible</t>
        </is>
      </c>
      <c r="D31" s="27" t="inlineStr">
        <is>
          <t>Collapsible owns a public changelog and the package changelog records the user-facing addition.</t>
        </is>
      </c>
      <c r="E31" s="26" t="inlineStr">
        <is>
          <t>package</t>
        </is>
      </c>
      <c r="F31" s="26" t="inlineStr">
        <is>
          <t>docs</t>
        </is>
      </c>
      <c r="G31" s="27" t="inlineStr">
        <is>
          <t>../docs/components/collapsible/CHANGELOG.md; ../CHANGELOG.md</t>
        </is>
      </c>
      <c r="H31" s="26" t="inlineStr">
        <is>
          <t>tested</t>
        </is>
      </c>
      <c r="I31" s="26" t="inlineStr">
        <is>
          <t>no</t>
        </is>
      </c>
      <c r="J31" s="28" t="n">
        <v>46230</v>
      </c>
      <c r="K31" s="27" t="n"/>
      <c r="L31" s="26" t="n">
        <v>1</v>
      </c>
      <c r="M31" s="26">
        <f>IF(OR(AND(I31="yes",H31="verified"),AND(I31="no",OR(H31="tested",H31="verified")),AND(H31="not applicable",K31&lt;&gt;"")),1,0)</f>
        <v>1</v>
      </c>
    </row>
    <row r="32" ht="15" customHeight="1" s="17">
      <c r="A32" s="26" t="inlineStr">
        <is>
          <t>CO-24</t>
        </is>
      </c>
      <c r="B32" s="26" t="inlineStr">
        <is>
          <t>Consumer</t>
        </is>
      </c>
      <c r="C32" s="26" t="inlineStr">
        <is>
          <t>Collapsible</t>
        </is>
      </c>
      <c r="D32" s="27" t="inlineStr">
        <is>
          <t>Packed Consumer imports the public collapsible subpath and operates a realistic outlined disclosure on desktop and mobile.</t>
        </is>
      </c>
      <c r="E32" s="26" t="inlineStr">
        <is>
          <t>consumer</t>
        </is>
      </c>
      <c r="F32" s="26" t="inlineStr">
        <is>
          <t>consumer</t>
        </is>
      </c>
      <c r="G32" s="27" t="inlineStr">
        <is>
          <t>../apps/consumer/src/App.tsx; ../apps/consumer/tests/consumer.spec.ts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>1</v>
      </c>
    </row>
    <row r="33" ht="15" customHeight="1" s="17">
      <c r="A33" s="26" t="inlineStr">
        <is>
          <t>CO-25</t>
        </is>
      </c>
      <c r="B33" s="26" t="inlineStr">
        <is>
          <t>Package</t>
        </is>
      </c>
      <c r="C33" s="26" t="inlineStr">
        <is>
          <t>Collapsible</t>
        </is>
      </c>
      <c r="D33" s="27" t="inlineStr">
        <is>
          <t>Build, declarations, exports, SSR, CSS, tarball, docs, ownership, component coverage, and the configured browser matrix pass for Collapsible.</t>
        </is>
      </c>
      <c r="E33" s="26" t="inlineStr">
        <is>
          <t>package</t>
        </is>
      </c>
      <c r="F33" s="26" t="inlineStr">
        <is>
          <t>package</t>
        </is>
      </c>
      <c r="G33" s="27" t="inlineStr">
        <is>
          <t>../test/package/package.test.mjs; ../test/package/ssr.test.mjs; ../scripts/verify-package.mjs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>1</v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5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>26</v>
      </c>
      <c r="D4" s="20" t="inlineStr">
        <is>
          <t>Resolved</t>
        </is>
      </c>
      <c r="E4" s="21">
        <f>SUM(M9:M34)</f>
        <v>25</v>
      </c>
      <c r="G4" s="20" t="inlineStr">
        <is>
          <t>Completion</t>
        </is>
      </c>
      <c r="H4" s="22">
        <f>IF(B4=0,0,E4/B4)</f>
        <v>0.9615384615384616</v>
      </c>
      <c r="J4" s="20" t="inlineStr">
        <is>
          <t>Package gate</t>
        </is>
      </c>
      <c r="K4" s="21" t="str">
        <f>IF(COUNTIFS(E9:E34,"package",M9:M34,0)&gt;0,"open","complete")</f>
        <v>open</v>
      </c>
    </row>
    <row r="5" ht="17.25" customHeight="1" s="17">
      <c r="A5" s="20" t="inlineStr">
        <is>
          <t>Manual review</t>
        </is>
      </c>
      <c r="B5" s="21" t="str">
        <f>IF(COUNTIFS(I9:I34,"yes",M9:M34,0)&gt;0,"open","complete")</f>
        <v>open</v>
      </c>
      <c r="D5" s="20" t="inlineStr">
        <is>
          <t>Consumer gate</t>
        </is>
      </c>
      <c r="E5" s="21" t="str">
        <f>IF(COUNTIFS(E9:E34,"consumer",M9:M34,0)&gt;0,"open","complete")</f>
        <v>complete</v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5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6" t="inlineStr">
        <is>
          <t>AC-01</t>
        </is>
      </c>
      <c r="B9" s="26" t="inlineStr">
        <is>
          <t>Ownership</t>
        </is>
      </c>
      <c r="C9" s="26" t="inlineStr">
        <is>
          <t>Root</t>
        </is>
      </c>
      <c r="D9" s="27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../src/components/accordion</t>
        </is>
      </c>
      <c r="H9" s="26" t="inlineStr">
        <is>
          <t>tested</t>
        </is>
      </c>
      <c r="I9" s="26" t="inlineStr">
        <is>
          <t>no</t>
        </is>
      </c>
      <c r="J9" s="28" t="n">
        <v>46230</v>
      </c>
      <c r="K9" s="27" t="n"/>
      <c r="L9" s="26" t="n">
        <v>1</v>
      </c>
      <c r="M9" s="26">
        <f>IF(OR(AND(I9="yes",H9="verified"),AND(I9="no",OR(H9="tested",H9="verified")),AND(H9="not applicable",K9&lt;&gt;"")),1,0)</f>
        <v>1</v>
      </c>
    </row>
    <row r="10" ht="54" customHeight="1" s="17">
      <c r="A10" s="26" t="inlineStr">
        <is>
          <t>AC-02</t>
        </is>
      </c>
      <c r="B10" s="26" t="inlineStr">
        <is>
          <t>Anatomy</t>
        </is>
      </c>
      <c r="C10" s="26" t="inlineStr">
        <is>
          <t>All parts</t>
        </is>
      </c>
      <c r="D10" s="27" t="inlineStr">
        <is>
          <t>Root, Item, Header, Trigger, Indicator, Content, and ContentInner render stable public classes and slots; ContentInner alone owns visible panel padding.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../test/components/accordion/accordion.test.tsx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46230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>1</v>
      </c>
    </row>
    <row r="11" ht="54" customHeight="1" s="17">
      <c r="A11" s="26" t="inlineStr">
        <is>
          <t>AC-03</t>
        </is>
      </c>
      <c r="B11" s="26" t="inlineStr">
        <is>
          <t>Exports</t>
        </is>
      </c>
      <c r="C11" s="26" t="inlineStr">
        <is>
          <t>All parts</t>
        </is>
      </c>
      <c r="D11" s="27" t="inlineStr">
        <is>
          <t>The root and accordion subpath expose the namespace, seven named parts, every prop type, and closed size and variant unions with identical runtime identities.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46230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>1</v>
      </c>
    </row>
    <row r="12" ht="54" customHeight="1" s="17">
      <c r="A12" s="26" t="inlineStr">
        <is>
          <t>AC-04</t>
        </is>
      </c>
      <c r="B12" s="26" t="inlineStr">
        <is>
          <t>Types</t>
        </is>
      </c>
      <c r="C12" s="26" t="inlineStr">
        <is>
          <t>All parts</t>
        </is>
      </c>
      <c r="D12" s="27" t="inlineStr">
        <is>
          <t>Single and multiple value models, recipes, Atom props, native attributes, refs, composition, Indicator, and ContentInner type-check from the public subpath.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../test/types/components/accordion.test.ts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46230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>1</v>
      </c>
    </row>
    <row r="13" ht="54" customHeight="1" s="17">
      <c r="A13" s="26" t="inlineStr">
        <is>
          <t>AC-05</t>
        </is>
      </c>
      <c r="B13" s="26" t="inlineStr">
        <is>
          <t>CSS</t>
        </is>
      </c>
      <c r="C13" s="26" t="inlineStr">
        <is>
          <t>All parts</t>
        </is>
      </c>
      <c r="D13" s="27" t="inlineStr">
        <is>
          <t>Static CSS ships surfaces, dividers, sizes, state paint, focus, disabled and locked-open treatment, two-axis motion, RTL, reduced motion,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../src/components/accordion/accordion.css</t>
        </is>
      </c>
      <c r="H13" s="26" t="inlineStr">
        <is>
          <t>tested</t>
        </is>
      </c>
      <c r="I13" s="26" t="inlineStr">
        <is>
          <t>no</t>
        </is>
      </c>
      <c r="J13" s="28" t="n">
        <v>46230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>1</v>
      </c>
    </row>
    <row r="14" ht="54" customHeight="1" s="17">
      <c r="A14" s="26" t="inlineStr">
        <is>
          <t>AC-06</t>
        </is>
      </c>
      <c r="B14" s="26" t="inlineStr">
        <is>
          <t>Defaults</t>
        </is>
      </c>
      <c r="C14" s="26" t="inlineStr">
        <is>
          <t>Root</t>
        </is>
      </c>
      <c r="D14" s="27" t="inlineStr">
        <is>
          <t>The default renders closed, plain, medium, enabled, vertical, single-selection, and collapsible with labelled panel landmarks.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tests/components/accordion/behavior.spec.ts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46230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>1</v>
      </c>
    </row>
    <row r="15" ht="54" customHeight="1" s="17">
      <c r="A15" s="26" t="inlineStr">
        <is>
          <t>AC-07</t>
        </is>
      </c>
      <c r="B15" s="26" t="inlineStr">
        <is>
          <t>Variants</t>
        </is>
      </c>
      <c r="C15" s="26" t="inlineStr">
        <is>
          <t>Root</t>
        </is>
      </c>
      <c r="D15" s="27" t="inlineStr">
        <is>
          <t>Plain, soft, and outline change only the intended group surface while content, size, orientation, and state remain at defaults.</t>
        </is>
      </c>
      <c r="E15" s="26" t="inlineStr">
        <is>
          <t>package</t>
        </is>
      </c>
      <c r="F15" s="26" t="inlineStr">
        <is>
          <t>visual</t>
        </is>
      </c>
      <c r="G15" s="27" t="inlineStr">
        <is>
          <t>tests/components/accordion/visual.spec.ts</t>
        </is>
      </c>
      <c r="H15" s="26" t="inlineStr">
        <is>
          <t>verified</t>
        </is>
      </c>
      <c r="I15" s="26" t="inlineStr">
        <is>
          <t>yes</t>
        </is>
      </c>
      <c r="J15" s="28" t="n">
        <v>46230</v>
      </c>
      <c r="K15" s="27" t="inlineStr">
        <is>
          <t>Agent-inspected the generated variants baseline.</t>
        </is>
      </c>
      <c r="L15" s="26" t="n">
        <v>1</v>
      </c>
      <c r="M15" s="26">
        <f>IF(OR(AND(I15="yes",H15="verified"),AND(I15="no",OR(H15="tested",H15="verified")),AND(H15="not applicable",K15&lt;&gt;"")),1,0)</f>
        <v>1</v>
      </c>
    </row>
    <row r="16" ht="54" customHeight="1" s="17">
      <c r="A16" s="26" t="inlineStr">
        <is>
          <t>AC-08</t>
        </is>
      </c>
      <c r="B16" s="26" t="inlineStr">
        <is>
          <t>Sizes</t>
        </is>
      </c>
      <c r="C16" s="26" t="inlineStr">
        <is>
          <t>Root</t>
        </is>
      </c>
      <c r="D16" s="27" t="inlineStr">
        <is>
          <t>Small, medium, and large coordinate trigger target, typography, spacing, indicator, and ContentInner padding without changing other recipes.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tests/components/accordion/visual.spec.ts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46230</v>
      </c>
      <c r="K16" s="27" t="inlineStr">
        <is>
          <t>Agent-inspected the generated sizes baseline.</t>
        </is>
      </c>
      <c r="L16" s="26" t="n">
        <v>1</v>
      </c>
      <c r="M16" s="26">
        <f>IF(OR(AND(I16="yes",H16="verified"),AND(I16="no",OR(H16="tested",H16="verified")),AND(H16="not applicable",K16&lt;&gt;"")),1,0)</f>
        <v>1</v>
      </c>
    </row>
    <row r="17" ht="54" customHeight="1" s="17">
      <c r="A17" s="26" t="inlineStr">
        <is>
          <t>AC-09</t>
        </is>
      </c>
      <c r="B17" s="26" t="inlineStr">
        <is>
          <t>Single selection</t>
        </is>
      </c>
      <c r="C17" s="26" t="inlineStr">
        <is>
          <t>Root / Item</t>
        </is>
      </c>
      <c r="D17" s="27" t="inlineStr">
        <is>
          <t>Single mode opens one Item, replaces the previous value, and optionally allows the active Item to close.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../test/components/accordion/accordion.test.tsx; tests/components/accordion/behavior.spec.ts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46230</v>
      </c>
      <c r="K17" s="27" t="n"/>
      <c r="L17" s="26" t="n">
        <v>1</v>
      </c>
      <c r="M17" s="26">
        <f>IF(OR(AND(I17="yes",H17="verified"),AND(I17="no",OR(H17="tested",H17="verified")),AND(H17="not applicable",K17&lt;&gt;"")),1,0)</f>
        <v>1</v>
      </c>
    </row>
    <row r="18" ht="54" customHeight="1" s="17">
      <c r="A18" s="26" t="inlineStr">
        <is>
          <t>AC-10</t>
        </is>
      </c>
      <c r="B18" s="26" t="inlineStr">
        <is>
          <t>Multiple selection</t>
        </is>
      </c>
      <c r="C18" s="26" t="inlineStr">
        <is>
          <t>Root / Item</t>
        </is>
      </c>
      <c r="D18" s="27" t="inlineStr">
        <is>
          <t>Multiple mode independently opens and closes several unique Item values while preserving authored order.</t>
        </is>
      </c>
      <c r="E18" s="26" t="inlineStr">
        <is>
          <t>package</t>
        </is>
      </c>
      <c r="F18" s="26" t="inlineStr">
        <is>
          <t>component</t>
        </is>
      </c>
      <c r="G18" s="27" t="inlineStr">
        <is>
          <t>../test/components/accordion/accordion.test.tsx; tests/components/accordion/behavior.spec.ts</t>
        </is>
      </c>
      <c r="H18" s="26" t="inlineStr">
        <is>
          <t>tested</t>
        </is>
      </c>
      <c r="I18" s="26" t="inlineStr">
        <is>
          <t>no</t>
        </is>
      </c>
      <c r="J18" s="28" t="n">
        <v>46230</v>
      </c>
      <c r="K18" s="27" t="n"/>
      <c r="L18" s="26" t="n">
        <v>1</v>
      </c>
      <c r="M18" s="26">
        <f>IF(OR(AND(I18="yes",H18="verified"),AND(I18="no",OR(H18="tested",H18="verified")),AND(H18="not applicable",K18&lt;&gt;"")),1,0)</f>
        <v>1</v>
      </c>
    </row>
    <row r="19" ht="54" customHeight="1" s="17">
      <c r="A19" s="26" t="inlineStr">
        <is>
          <t>AC-11</t>
        </is>
      </c>
      <c r="B19" s="26" t="inlineStr">
        <is>
          <t>Controlled state</t>
        </is>
      </c>
      <c r="C19" s="26" t="inlineStr">
        <is>
          <t>Root</t>
        </is>
      </c>
      <c r="D19" s="27" t="inlineStr">
        <is>
          <t>Controlled selection reports the next exact string or string-array value once and preserves the authored callback.</t>
        </is>
      </c>
      <c r="E19" s="26" t="inlineStr">
        <is>
          <t>package</t>
        </is>
      </c>
      <c r="F19" s="26" t="inlineStr">
        <is>
          <t>component</t>
        </is>
      </c>
      <c r="G19" s="27" t="inlineStr">
        <is>
          <t>../test/components/accordion/accordion.test.tsx</t>
        </is>
      </c>
      <c r="H19" s="26" t="inlineStr">
        <is>
          <t>tested</t>
        </is>
      </c>
      <c r="I19" s="26" t="inlineStr">
        <is>
          <t>no</t>
        </is>
      </c>
      <c r="J19" s="28" t="n">
        <v>46230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>1</v>
      </c>
    </row>
    <row r="20" ht="54" customHeight="1" s="17">
      <c r="A20" s="26" t="inlineStr">
        <is>
          <t>AC-12</t>
        </is>
      </c>
      <c r="B20" s="26" t="inlineStr">
        <is>
          <t>Locked open</t>
        </is>
      </c>
      <c r="C20" s="26" t="inlineStr">
        <is>
          <t>Trigger</t>
        </is>
      </c>
      <c r="D20" s="27" t="inlineStr">
        <is>
          <t>A non-collapsible active single Trigger stays focusable, exposes aria-disabled and data-locked-open, and does not close.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../test/components/accordion/accordion.test.tsx; tests/components/accordion/behavior.spec.ts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46230</v>
      </c>
      <c r="K20" s="27" t="n"/>
      <c r="L20" s="26" t="n">
        <v>1</v>
      </c>
      <c r="M20" s="26">
        <f>IF(OR(AND(I20="yes",H20="verified"),AND(I20="no",OR(H20="tested",H20="verified")),AND(H20="not applicable",K20&lt;&gt;"")),1,0)</f>
        <v>1</v>
      </c>
    </row>
    <row r="21" ht="54" customHeight="1" s="17">
      <c r="A21" s="26" t="inlineStr">
        <is>
          <t>AC-13</t>
        </is>
      </c>
      <c r="B21" s="26" t="inlineStr">
        <is>
          <t>Disabled</t>
        </is>
      </c>
      <c r="C21" s="26" t="inlineStr">
        <is>
          <t>Root / Item / Trigger</t>
        </is>
      </c>
      <c r="D21" s="27" t="inlineStr">
        <is>
          <t>Root and Item disabled states expose Atom semantics, are skipped by navigation, and never change selection.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../test/components/accordion/accordion.test.tsx; tests/components/accordion/behavior.spec.ts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46230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>1</v>
      </c>
    </row>
    <row r="22" ht="54" customHeight="1" s="17">
      <c r="A22" s="26" t="inlineStr">
        <is>
          <t>AC-14</t>
        </is>
      </c>
      <c r="B22" s="26" t="inlineStr">
        <is>
          <t>Lifecycle</t>
        </is>
      </c>
      <c r="C22" s="26" t="inlineStr">
        <is>
          <t>Content</t>
        </is>
      </c>
      <c r="D22" s="27" t="inlineStr">
        <is>
          <t>Closed Content unmounts unless keepMounted is requested; landmark false omits region and aria-labelledby without changing visible content.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../test/components/accordion/accordion.test.tsx; tests/components/accordion/behavior.spec.ts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46230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>1</v>
      </c>
    </row>
    <row r="23" ht="54" customHeight="1" s="17">
      <c r="A23" s="26" t="inlineStr">
        <is>
          <t>AC-15</t>
        </is>
      </c>
      <c r="B23" s="26" t="inlineStr">
        <is>
          <t>Relationships</t>
        </is>
      </c>
      <c r="C23" s="26" t="inlineStr">
        <is>
          <t>Header / Trigger / Content</t>
        </is>
      </c>
      <c r="D23" s="27" t="inlineStr">
        <is>
          <t>Heading-contained Trigger and Content retain matching generated IDs, controls, labels, expanded state, and optional region role.</t>
        </is>
      </c>
      <c r="E23" s="26" t="inlineStr">
        <is>
          <t>package</t>
        </is>
      </c>
      <c r="F23" s="26" t="inlineStr">
        <is>
          <t>browser</t>
        </is>
      </c>
      <c r="G23" s="27" t="inlineStr">
        <is>
          <t>tests/components/accordion/behavior.spec.ts; ../test/package/ssr.test.mjs</t>
        </is>
      </c>
      <c r="H23" s="26" t="inlineStr">
        <is>
          <t>tested</t>
        </is>
      </c>
      <c r="I23" s="26" t="inlineStr">
        <is>
          <t>no</t>
        </is>
      </c>
      <c r="J23" s="28" t="n">
        <v>46230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>1</v>
      </c>
    </row>
    <row r="24" ht="54" customHeight="1" s="17">
      <c r="A24" s="26" t="inlineStr">
        <is>
          <t>AC-16</t>
        </is>
      </c>
      <c r="B24" s="26" t="inlineStr">
        <is>
          <t>Keyboard</t>
        </is>
      </c>
      <c r="C24" s="26" t="inlineStr">
        <is>
          <t>Trigger</t>
        </is>
      </c>
      <c r="D24" s="27" t="inlineStr">
        <is>
          <t>Enter and Space activate once; Home, End, and orientation-aware arrow keys move focus in enabled visual reading order.</t>
        </is>
      </c>
      <c r="E24" s="26" t="inlineStr">
        <is>
          <t>package</t>
        </is>
      </c>
      <c r="F24" s="26" t="inlineStr">
        <is>
          <t>browser</t>
        </is>
      </c>
      <c r="G24" s="27" t="inlineStr">
        <is>
          <t>tests/components/accordion/behavior.spec.ts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46230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>1</v>
      </c>
    </row>
    <row r="25" ht="54" customHeight="1" s="17">
      <c r="A25" s="26" t="inlineStr">
        <is>
          <t>AC-17</t>
        </is>
      </c>
      <c r="B25" s="26" t="inlineStr">
        <is>
          <t>Orientation</t>
        </is>
      </c>
      <c r="C25" s="26" t="inlineStr">
        <is>
          <t>All parts</t>
        </is>
      </c>
      <c r="D25" s="27" t="inlineStr">
        <is>
          <t>Vertical Items stack and animate measured height; horizontal Items order inline, pair Header beside Content, animate measured width, and reverse navigation in RTL.</t>
        </is>
      </c>
      <c r="E25" s="26" t="inlineStr">
        <is>
          <t>package</t>
        </is>
      </c>
      <c r="F25" s="26" t="inlineStr">
        <is>
          <t>visual</t>
        </is>
      </c>
      <c r="G25" s="27" t="inlineStr">
        <is>
          <t>tests/components/accordion/behavior.spec.ts; tests/components/accordion/visual.spec.ts</t>
        </is>
      </c>
      <c r="H25" s="26" t="inlineStr">
        <is>
          <t>verified</t>
        </is>
      </c>
      <c r="I25" s="26" t="inlineStr">
        <is>
          <t>yes</t>
        </is>
      </c>
      <c r="J25" s="28" t="n">
        <v>46230</v>
      </c>
      <c r="K25" s="27" t="inlineStr">
        <is>
          <t>Agent-inspected vertical, horizontal, narrow, and RTL baselines.</t>
        </is>
      </c>
      <c r="L25" s="26" t="n">
        <v>1</v>
      </c>
      <c r="M25" s="26">
        <f>IF(OR(AND(I25="yes",H25="verified"),AND(I25="no",OR(H25="tested",H25="verified")),AND(H25="not applicable",K25&lt;&gt;"")),1,0)</f>
        <v>1</v>
      </c>
    </row>
    <row r="26" ht="54" customHeight="1" s="17">
      <c r="A26" s="26" t="inlineStr">
        <is>
          <t>AC-18</t>
        </is>
      </c>
      <c r="B26" s="26" t="inlineStr">
        <is>
          <t>Composition</t>
        </is>
      </c>
      <c r="C26" s="26" t="inlineStr">
        <is>
          <t>Atom-backed parts</t>
        </is>
      </c>
      <c r="D26" s="27" t="inlineStr">
        <is>
          <t>Render and asChild composition preserve semantic hosts, heading levels, relationships, classes, styles, slots, native props, events, and refs.</t>
        </is>
      </c>
      <c r="E26" s="26" t="inlineStr">
        <is>
          <t>package</t>
        </is>
      </c>
      <c r="F26" s="26" t="inlineStr">
        <is>
          <t>component</t>
        </is>
      </c>
      <c r="G26" s="27" t="inlineStr">
        <is>
          <t>../test/components/accordion/accordion.test.tsx</t>
        </is>
      </c>
      <c r="H26" s="26" t="inlineStr">
        <is>
          <t>tested</t>
        </is>
      </c>
      <c r="I26" s="26" t="inlineStr">
        <is>
          <t>no</t>
        </is>
      </c>
      <c r="J26" s="28" t="n">
        <v>46230</v>
      </c>
      <c r="K26" s="27" t="n"/>
      <c r="L26" s="26" t="n">
        <v>1</v>
      </c>
      <c r="M26" s="26">
        <f>IF(OR(AND(I26="yes",H26="verified"),AND(I26="no",OR(H26="tested",H26="verified")),AND(H26="not applicable",K26&lt;&gt;"")),1,0)</f>
        <v>1</v>
      </c>
    </row>
    <row r="27" ht="54" customHeight="1" s="17">
      <c r="A27" s="26" t="inlineStr">
        <is>
          <t>AC-19</t>
        </is>
      </c>
      <c r="B27" s="26" t="inlineStr">
        <is>
          <t>Responsive and accessibility</t>
        </is>
      </c>
      <c r="C27" s="26" t="inlineStr">
        <is>
          <t>All parts</t>
        </is>
      </c>
      <c r="D27" s="27" t="inlineStr">
        <is>
          <t>Narrow horizontal scrolling stays inside Accordion, the page remains bounded, keyboard focus stays visible, and scoped axe checks pass.</t>
        </is>
      </c>
      <c r="E27" s="26" t="inlineStr">
        <is>
          <t>package</t>
        </is>
      </c>
      <c r="F27" s="26" t="inlineStr">
        <is>
          <t>axe</t>
        </is>
      </c>
      <c r="G27" s="27" t="inlineStr">
        <is>
          <t>tests/components/accordion/behavior.spec.ts</t>
        </is>
      </c>
      <c r="H27" s="26" t="inlineStr">
        <is>
          <t>tested</t>
        </is>
      </c>
      <c r="I27" s="26" t="inlineStr">
        <is>
          <t>no</t>
        </is>
      </c>
      <c r="J27" s="28" t="n">
        <v>46230</v>
      </c>
      <c r="K27" s="27" t="n"/>
      <c r="L27" s="26" t="n">
        <v>1</v>
      </c>
      <c r="M27" s="26">
        <f>IF(OR(AND(I27="yes",H27="verified"),AND(I27="no",OR(H27="tested",H27="verified")),AND(H27="not applicable",K27&lt;&gt;"")),1,0)</f>
        <v>1</v>
      </c>
    </row>
    <row r="28" ht="54" customHeight="1" s="17">
      <c r="A28" s="26" t="inlineStr">
        <is>
          <t>AC-20</t>
        </is>
      </c>
      <c r="B28" s="26" t="inlineStr">
        <is>
          <t>Appearance</t>
        </is>
      </c>
      <c r="C28" s="26" t="inlineStr">
        <is>
          <t>All parts</t>
        </is>
      </c>
      <c r="D28" s="27" t="inlineStr">
        <is>
          <t>Semantic paint adapts in light, dark, and forced colors; supported variables exactly match the customization example.</t>
        </is>
      </c>
      <c r="E28" s="26" t="inlineStr">
        <is>
          <t>package</t>
        </is>
      </c>
      <c r="F28" s="26" t="inlineStr">
        <is>
          <t>visual</t>
        </is>
      </c>
      <c r="G28" s="27" t="inlineStr">
        <is>
          <t>tests/components/accordion/visual.spec.ts</t>
        </is>
      </c>
      <c r="H28" s="26" t="inlineStr">
        <is>
          <t>verified</t>
        </is>
      </c>
      <c r="I28" s="26" t="inlineStr">
        <is>
          <t>yes</t>
        </is>
      </c>
      <c r="J28" s="28" t="n">
        <v>46230</v>
      </c>
      <c r="K28" s="27" t="inlineStr">
        <is>
          <t>Agent-inspected appearance, customization, and forced-color baselines.</t>
        </is>
      </c>
      <c r="L28" s="26" t="n">
        <v>1</v>
      </c>
      <c r="M28" s="26">
        <f>IF(OR(AND(I28="yes",H28="verified"),AND(I28="no",OR(H28="tested",H28="verified")),AND(H28="not applicable",K28&lt;&gt;"")),1,0)</f>
        <v>1</v>
      </c>
    </row>
    <row r="29" ht="54" customHeight="1" s="17">
      <c r="A29" s="26" t="inlineStr">
        <is>
          <t>AC-21</t>
        </is>
      </c>
      <c r="B29" s="26" t="inlineStr">
        <is>
          <t>Visual</t>
        </is>
      </c>
      <c r="C29" s="26" t="inlineStr">
        <is>
          <t>All parts</t>
        </is>
      </c>
      <c r="D29" s="27" t="inlineStr">
        <is>
          <t>Reviewed baselines cover defaults, variants, sizes, selection, states, both orientations, appearance, mobile RTL stress, and forced colors.</t>
        </is>
      </c>
      <c r="E29" s="26" t="inlineStr">
        <is>
          <t>package</t>
        </is>
      </c>
      <c r="F29" s="26" t="inlineStr">
        <is>
          <t>visual</t>
        </is>
      </c>
      <c r="G29" s="27" t="inlineStr">
        <is>
          <t>tests/components/accordion/visual.spec.ts</t>
        </is>
      </c>
      <c r="H29" s="26" t="inlineStr">
        <is>
          <t>verified</t>
        </is>
      </c>
      <c r="I29" s="26" t="inlineStr">
        <is>
          <t>yes</t>
        </is>
      </c>
      <c r="J29" s="28" t="n">
        <v>46230</v>
      </c>
      <c r="K29" s="27" t="inlineStr">
        <is>
          <t>Agent-inspected every generated Accordion baseline.</t>
        </is>
      </c>
      <c r="L29" s="26" t="n">
        <v>1</v>
      </c>
      <c r="M29" s="26">
        <f>IF(OR(AND(I29="yes",H29="verified"),AND(I29="no",OR(H29="tested",H29="verified")),AND(H29="not applicable",K29&lt;&gt;"")),1,0)</f>
        <v>1</v>
      </c>
    </row>
    <row r="30" ht="54" customHeight="1" s="17">
      <c r="A30" s="26" t="inlineStr">
        <is>
          <t>AC-22</t>
        </is>
      </c>
      <c r="B30" s="26" t="inlineStr">
        <is>
          <t>Playground</t>
        </is>
      </c>
      <c r="C30" s="26" t="inlineStr">
        <is>
          <t>All parts</t>
        </is>
      </c>
      <c r="D30" s="27" t="inlineStr">
        <is>
          <t>One navigable route exposes nine controlled scenarios for defaults, recipes, selection, state, orientation, keyboard, composition, appearance, and stress.</t>
        </is>
      </c>
      <c r="E30" s="26" t="inlineStr">
        <is>
          <t>package</t>
        </is>
      </c>
      <c r="F30" s="26" t="inlineStr">
        <is>
          <t>playground</t>
        </is>
      </c>
      <c r="G30" s="27" t="inlineStr">
        <is>
          <t>src/components/accordion/AccordionPage.tsx</t>
        </is>
      </c>
      <c r="H30" s="26" t="inlineStr">
        <is>
          <t>tested</t>
        </is>
      </c>
      <c r="I30" s="26" t="inlineStr">
        <is>
          <t>no</t>
        </is>
      </c>
      <c r="J30" s="28" t="n">
        <v>46230</v>
      </c>
      <c r="K30" s="27" t="n"/>
      <c r="L30" s="26" t="n">
        <v>1</v>
      </c>
      <c r="M30" s="26">
        <f>IF(OR(AND(I30="yes",H30="verified"),AND(I30="no",OR(H30="tested",H30="verified")),AND(H30="not applicable",K30&lt;&gt;"")),1,0)</f>
        <v>1</v>
      </c>
    </row>
    <row r="31" ht="15" customHeight="1" s="17">
      <c r="A31" s="26" t="inlineStr">
        <is>
          <t>AC-23</t>
        </is>
      </c>
      <c r="B31" s="26" t="inlineStr">
        <is>
          <t>Manual</t>
        </is>
      </c>
      <c r="C31" s="26" t="inlineStr">
        <is>
          <t>All parts</t>
        </is>
      </c>
      <c r="D31" s="27" t="inlineStr">
        <is>
          <t>A tester completes the concise pointer, keyboard, assistive-technology, appearance, zoom, mobile, RTL, forced-color, and reduced-motion protocol.</t>
        </is>
      </c>
      <c r="E31" s="26" t="inlineStr">
        <is>
          <t>package</t>
        </is>
      </c>
      <c r="F31" s="26" t="inlineStr">
        <is>
          <t>manual</t>
        </is>
      </c>
      <c r="G31" s="27" t="inlineStr">
        <is>
          <t>manual-tests/accordion.md</t>
        </is>
      </c>
      <c r="H31" s="26" t="inlineStr">
        <is>
          <t>not started</t>
        </is>
      </c>
      <c r="I31" s="26" t="inlineStr">
        <is>
          <t>yes</t>
        </is>
      </c>
      <c r="J31" s="28" t="n">
        <v>46230</v>
      </c>
      <c r="K31" s="27" t="inlineStr">
        <is>
          <t>Human run intentionally unclaimed.</t>
        </is>
      </c>
      <c r="L31" s="26" t="n">
        <v>1</v>
      </c>
      <c r="M31" s="26">
        <f>IF(OR(AND(I31="yes",H31="verified"),AND(I31="no",OR(H31="tested",H31="verified")),AND(H31="not applicable",K31&lt;&gt;"")),1,0)</f>
        <v>0</v>
      </c>
    </row>
    <row r="32" ht="15" customHeight="1" s="17">
      <c r="A32" s="26" t="inlineStr">
        <is>
          <t>AC-24</t>
        </is>
      </c>
      <c r="B32" s="26" t="inlineStr">
        <is>
          <t>Documentation</t>
        </is>
      </c>
      <c r="C32" s="26" t="inlineStr">
        <is>
          <t>All parts</t>
        </is>
      </c>
      <c r="D32" s="27" t="inlineStr">
        <is>
          <t>Source-backed use, anatomy, API, recipes, accessibility, responsive behavior, composition, hooks, customization, evidence, and public changes are documented.</t>
        </is>
      </c>
      <c r="E32" s="26" t="inlineStr">
        <is>
          <t>package</t>
        </is>
      </c>
      <c r="F32" s="26" t="inlineStr">
        <is>
          <t>docs</t>
        </is>
      </c>
      <c r="G32" s="27" t="inlineStr">
        <is>
          <t>../docs/components/accordion/README.md; ../docs/components/accordion/CHANGELOG.md; ../CHANGELOG.md</t>
        </is>
      </c>
      <c r="H32" s="26" t="inlineStr">
        <is>
          <t>tested</t>
        </is>
      </c>
      <c r="I32" s="26" t="inlineStr">
        <is>
          <t>no</t>
        </is>
      </c>
      <c r="J32" s="28" t="n">
        <v>46230</v>
      </c>
      <c r="K32" s="27" t="n"/>
      <c r="L32" s="26" t="n">
        <v>1</v>
      </c>
      <c r="M32" s="26">
        <f>IF(OR(AND(I32="yes",H32="verified"),AND(I32="no",OR(H32="tested",H32="verified")),AND(H32="not applicable",K32&lt;&gt;"")),1,0)</f>
        <v>1</v>
      </c>
    </row>
    <row r="33" ht="15" customHeight="1" s="17">
      <c r="A33" s="26" t="inlineStr">
        <is>
          <t>AC-25</t>
        </is>
      </c>
      <c r="B33" s="26" t="inlineStr">
        <is>
          <t>Consumer</t>
        </is>
      </c>
      <c r="C33" s="26" t="inlineStr">
        <is>
          <t>Accordion</t>
        </is>
      </c>
      <c r="D33" s="27" t="inlineStr">
        <is>
          <t>Packed Consumer imports the public accordion subpath and operates a realistic linked disclosure group on desktop and mobile.</t>
        </is>
      </c>
      <c r="E33" s="26" t="inlineStr">
        <is>
          <t>consumer</t>
        </is>
      </c>
      <c r="F33" s="26" t="inlineStr">
        <is>
          <t>consumer</t>
        </is>
      </c>
      <c r="G33" s="27" t="inlineStr">
        <is>
          <t>../apps/consumer/src/App.tsx; ../apps/consumer/tests/consumer.spec.ts</t>
        </is>
      </c>
      <c r="H33" s="26" t="inlineStr">
        <is>
          <t>tested</t>
        </is>
      </c>
      <c r="I33" s="26" t="inlineStr">
        <is>
          <t>no</t>
        </is>
      </c>
      <c r="J33" s="28" t="n">
        <v>46230</v>
      </c>
      <c r="K33" s="27" t="n"/>
      <c r="L33" s="26" t="n">
        <v>1</v>
      </c>
      <c r="M33" s="26">
        <f>IF(OR(AND(I33="yes",H33="verified"),AND(I33="no",OR(H33="tested",H33="verified")),AND(H33="not applicable",K33&lt;&gt;"")),1,0)</f>
        <v>1</v>
      </c>
    </row>
    <row r="34">
      <c r="A34" s="29" t="inlineStr">
        <is>
          <t>AC-26</t>
        </is>
      </c>
      <c r="B34" s="29" t="inlineStr">
        <is>
          <t>Package</t>
        </is>
      </c>
      <c r="C34" s="29" t="inlineStr">
        <is>
          <t>Accordion</t>
        </is>
      </c>
      <c r="D34" s="30" t="inlineStr">
        <is>
          <t>Build, declarations, exports, SSR, CSS, tarball, docs, ownership, component coverage, and configured browser checks pass for Accordion.</t>
        </is>
      </c>
      <c r="E34" s="29" t="inlineStr">
        <is>
          <t>package</t>
        </is>
      </c>
      <c r="F34" s="29" t="inlineStr">
        <is>
          <t>package</t>
        </is>
      </c>
      <c r="G34" s="30" t="inlineStr">
        <is>
          <t>../test/package/package.test.mjs; ../test/package/ssr.test.mjs; ../scripts/verify-package.mjs</t>
        </is>
      </c>
      <c r="H34" s="29" t="inlineStr">
        <is>
          <t>tested</t>
        </is>
      </c>
      <c r="I34" s="29" t="inlineStr">
        <is>
          <t>no</t>
        </is>
      </c>
      <c r="J34" s="31" t="n">
        <v>46230</v>
      </c>
      <c r="K34" s="30" t="n"/>
      <c r="L34" s="29" t="n">
        <v>1</v>
      </c>
      <c r="M34" s="29">
        <f>IF(OR(AND(I34="yes",H34="verified"),AND(I34="no",OR(H34="tested",H34="verified")),AND(H34="not applicable",K34&lt;&gt;"")),1,0)</f>
        <v>1</v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2026-07-27T21:05:40Z</dcterms:modified>
  <cp:lastModifiedBy>Flowstack</cp:lastModifiedBy>
  <cp:revision>0</cp:revision>
</cp:coreProperties>
</file>