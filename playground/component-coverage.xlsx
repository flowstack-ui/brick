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  <sheet name="Toggle" sheetId="11" state="visible" r:id="rId13"/>
    <sheet name="IconButton" sheetId="12" state="visible" r:id="rId14"/>
    <sheet name="AppBar" sheetId="13" state="visible" r:id="rId15"/>
    <sheet name="Tooltip" sheetId="14" state="visible" r:id="rId16"/>
    <sheet name="HoverCard" sheetId="15" state="visible" r:id="rId17"/>
    <sheet name="Popover" sheetId="16" state="visible" r:id="rId18"/>
    <sheet name="Form Foundation" sheetId="17" state="visible" r:id="rId19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Index!$A$1:$N$21</definedName>
    <definedName function="false" hidden="true" localSheetId="0" name="_xlnm._FilterDatabase" vbProcedure="false">Index!$A$7:$N$20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  <definedName function="false" hidden="false" localSheetId="10" name="_xlnm.Print_Area" vbProcedure="false">Toggle!$A$1:$M$47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<sst xmlns="http://schemas.openxmlformats.org/spreadsheetml/2006/main" count="5132" uniqueCount="1421">
  <si>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</si>
  <si>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</si>
  <si>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</si>
  <si>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</si>
  <si>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</si>
  <si>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</si>
  <si>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</si>
  <si>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</si>
  <si>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</si>
  <si>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</si>
  <si>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</si>
  <si>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</si>
  <si>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</si>
  <si>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</si>
  <si>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</si>
  <si>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</si>
  <si>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</si>
  <si>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</si>
  <si>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</si>
  <si>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</si>
  <si>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</si>
  <si>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</si>
  <si>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</si>
  <si>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</si>
  <si>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</si>
  <si>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</si>
  <si>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Toggle</t>
  </si>
  <si>
    <t xml:space="preserve">IconButton</t>
  </si>
  <si>
    <t xml:space="preserve">AppBar</t>
  </si>
  <si>
    <t xml:space="preserve">Tooltip</t>
  </si>
  <si>
    <t xml:space="preserve">HoverCard</t>
  </si>
  <si>
    <t xml:space="preserve">Popover</t>
  </si>
  <si>
    <t xml:space="preserve">Form Foundation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</si>
  <si>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</si>
  <si>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</si>
  <si>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</si>
  <si>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</si>
  <si>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</si>
  <si>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</si>
  <si>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</si>
  <si>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</si>
  <si>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</si>
  <si>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</si>
  <si>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</si>
  <si>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</si>
  <si>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</si>
  <si>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</si>
  <si>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</si>
  <si>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</si>
  <si>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</si>
  <si>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</si>
  <si>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</si>
  <si>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</si>
  <si>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</si>
  <si>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</si>
  <si>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</si>
  <si>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</si>
  <si>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</si>
  <si>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</si>
  <si>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</si>
  <si>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</si>
  <si>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</si>
  <si>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</si>
  <si>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</si>
  <si>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</si>
  <si>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</si>
  <si>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</si>
  <si>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</si>
  <si>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</si>
  <si>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</si>
  <si>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</si>
  <si>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</si>
  <si>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</si>
  <si>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</si>
  <si>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</si>
  <si>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</si>
  <si>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</si>
  <si>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</si>
  <si>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</si>
  <si>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</si>
  <si>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</si>
  <si>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</si>
  <si>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</si>
  <si>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</si>
  <si>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</si>
  <si>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</si>
  <si>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</si>
  <si>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</si>
  <si>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</si>
  <si>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</si>
  <si>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</si>
  <si>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</si>
  <si>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</si>
  <si>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</si>
  <si>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</si>
  <si>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</si>
  <si>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</si>
  <si>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</si>
  <si>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</si>
  <si>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</si>
  <si>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</si>
  <si>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</si>
  <si>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</si>
  <si>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</si>
  <si>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</si>
  <si>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</si>
  <si>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</si>
  <si>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</si>
  <si>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</si>
  <si>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</si>
  <si>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</si>
  <si>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</si>
  <si>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</si>
  <si>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</si>
  <si>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</si>
  <si>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</si>
  <si>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</si>
  <si>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</si>
  <si>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</si>
  <si>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</si>
  <si>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</si>
  <si>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</si>
  <si>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</si>
  <si>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</si>
  <si>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</si>
  <si>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</si>
  <si>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</si>
  <si>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</si>
  <si>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</si>
  <si>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</si>
  <si>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</si>
  <si>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</si>
  <si>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</si>
  <si>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</si>
  <si>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</si>
  <si>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</si>
  <si>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</si>
  <si>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</si>
  <si>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</si>
  <si>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</si>
  <si>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</si>
  <si>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</si>
  <si>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</si>
  <si>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</si>
  <si>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</si>
  <si>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</si>
  <si>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</si>
  <si>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</si>
  <si>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</si>
  <si>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</si>
  <si>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</si>
  <si>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</si>
  <si>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</si>
  <si>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</si>
  <si>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</si>
  <si>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</si>
  <si>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</si>
  <si>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</si>
  <si>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</si>
  <si>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</si>
  <si>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</si>
  <si>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</si>
  <si>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</si>
  <si>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</si>
  <si>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</si>
  <si>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</si>
  <si>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</si>
  <si>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</si>
  <si>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</si>
  <si>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</si>
  <si>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</si>
  <si>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</si>
  <si>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</si>
  <si>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</si>
  <si>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</si>
  <si>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</si>
  <si>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</si>
  <si>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</si>
  <si>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</si>
  <si>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</si>
  <si>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</si>
  <si>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</si>
  <si>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</si>
  <si>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</si>
  <si>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</si>
  <si>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</si>
  <si>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</si>
  <si>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</si>
  <si>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</si>
  <si>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</si>
  <si>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</si>
  <si>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</si>
  <si>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</si>
  <si>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</si>
  <si>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</si>
  <si>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</si>
  <si>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</si>
  <si>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</si>
  <si>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</si>
  <si>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</si>
  <si>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</si>
  <si>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</si>
  <si>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</si>
  <si>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</si>
  <si>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</si>
  <si>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</si>
  <si>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</si>
  <si>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</si>
  <si>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</si>
  <si>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</si>
  <si>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</si>
  <si>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</si>
  <si>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</si>
  <si>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</si>
  <si>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</si>
  <si>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</si>
  <si>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</si>
  <si>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</si>
  <si>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</si>
  <si>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</si>
  <si>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</si>
  <si>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</si>
  <si>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</si>
  <si>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</si>
  <si>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</si>
  <si>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</si>
  <si>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</si>
  <si>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</si>
  <si>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</si>
  <si>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</si>
  <si>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</si>
  <si>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</si>
  <si>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</si>
  <si>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</si>
  <si>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</si>
  <si>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</si>
  <si>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</si>
  <si>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</si>
  <si>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</si>
  <si>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</si>
  <si>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</si>
  <si>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</si>
  <si>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</si>
  <si>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</si>
  <si>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</si>
  <si>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</si>
  <si>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</si>
  <si>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</si>
  <si>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</si>
  <si>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</si>
  <si>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</si>
  <si>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</si>
  <si>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</si>
  <si>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</si>
  <si>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</si>
  <si>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</si>
  <si>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</si>
  <si>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</si>
  <si>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</si>
  <si>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</si>
  <si>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</si>
  <si>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</si>
  <si>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</si>
  <si>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</si>
  <si>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</si>
  <si>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</si>
  <si>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</si>
  <si>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</si>
  <si>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</si>
  <si>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</si>
  <si>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</si>
  <si>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</si>
  <si>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</si>
  <si>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</si>
  <si>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</si>
  <si>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</si>
  <si>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</si>
  <si>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</si>
  <si>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</si>
  <si>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</si>
  <si>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</si>
  <si>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</si>
  <si>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</si>
  <si>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</si>
  <si>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</si>
  <si>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</si>
  <si>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</si>
  <si>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</si>
  <si>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</si>
  <si>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</si>
  <si>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</si>
  <si>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</si>
  <si>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</si>
  <si>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</si>
  <si>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</si>
  <si>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</si>
  <si>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</si>
  <si>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</si>
  <si>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</si>
  <si>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</si>
  <si>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</si>
  <si>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</si>
  <si>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</si>
  <si>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</si>
  <si>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</si>
  <si>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</si>
  <si>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</si>
  <si>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</si>
  <si>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</si>
  <si>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</si>
  <si>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</si>
  <si>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</si>
  <si>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</si>
  <si>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</si>
  <si>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</si>
  <si>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</si>
  <si>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</si>
  <si>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</si>
  <si>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</si>
  <si>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</si>
  <si>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</si>
  <si>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</si>
  <si>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</si>
  <si>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</si>
  <si>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</si>
  <si>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</si>
  <si>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</si>
  <si>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</si>
  <si>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</si>
  <si>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</si>
  <si>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</si>
  <si>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</si>
  <si>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</si>
  <si>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</si>
  <si>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</si>
  <si>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</si>
  <si>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</si>
  <si>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</si>
  <si>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</si>
  <si>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</si>
  <si>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</si>
  <si>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</si>
  <si>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</si>
  <si>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</si>
  <si>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</si>
  <si>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</si>
  <si>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</si>
  <si>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</si>
  <si>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</si>
  <si>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</si>
  <si>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</si>
  <si>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</si>
  <si>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</si>
  <si>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</si>
  <si>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</si>
  <si>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</si>
  <si>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</si>
  <si>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</si>
  <si>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</si>
  <si>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</si>
  <si>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</si>
  <si>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</si>
  <si>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</si>
  <si>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</si>
  <si>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</si>
  <si>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</si>
  <si>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</si>
  <si>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</si>
  <si>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</si>
  <si>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</si>
  <si>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</si>
  <si>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</si>
  <si>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</si>
  <si>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</si>
  <si>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</si>
  <si>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</si>
  <si>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</si>
  <si>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</si>
  <si>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</si>
  <si>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</si>
  <si>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</si>
  <si>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</si>
  <si>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</si>
  <si>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</si>
  <si>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</si>
  <si>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</si>
  <si>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</si>
  <si>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</si>
  <si>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</si>
  <si>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</si>
  <si>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</si>
  <si>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</si>
  <si>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</si>
  <si>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</si>
  <si>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</si>
  <si>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</si>
  <si>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</si>
  <si>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</si>
  <si>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</si>
  <si>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</si>
  <si>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</si>
  <si>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</si>
  <si>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</si>
  <si>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</si>
  <si>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</si>
  <si>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</si>
  <si>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</si>
  <si>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</si>
  <si>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</si>
  <si>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</si>
  <si>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</si>
  <si>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</si>
  <si>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</si>
  <si>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</si>
  <si>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</si>
  <si>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</si>
  <si>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</si>
  <si>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</si>
  <si>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</si>
  <si>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</si>
  <si>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</si>
  <si>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</si>
  <si>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</si>
  <si>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</si>
  <si>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</si>
  <si>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</si>
  <si>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</si>
  <si>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</si>
  <si>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</si>
  <si>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</si>
  <si>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</si>
  <si>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</si>
  <si>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</si>
  <si>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</si>
  <si>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</si>
  <si>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</si>
  <si>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</si>
  <si>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Owner review and package gate pass; legacy removal awaits explicit dependency-led retirement authorization.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</si>
  <si>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</si>
  <si>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</si>
  <si>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</si>
  <si>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0.6.7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</si>
  <si>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</si>
  <si>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</si>
  <si>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</si>
  <si>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</si>
  <si>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</si>
  <si>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</si>
  <si>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</si>
  <si>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</si>
  <si>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</si>
  <si>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</si>
  <si>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</si>
  <si>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</si>
  <si>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</si>
  <si>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</si>
  <si>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</si>
  <si>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</si>
  <si>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</si>
  <si>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</si>
  <si>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</si>
  <si>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</si>
  <si>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</si>
  <si>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</si>
  <si>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</si>
  <si>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</si>
  <si>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</si>
  <si>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</si>
  <si>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</si>
  <si>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</si>
  <si>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</si>
  <si>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</si>
  <si>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</si>
  <si>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</si>
  <si>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</si>
  <si>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</si>
  <si>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</si>
  <si>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</si>
  <si>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</si>
  <si>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</si>
  <si>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</si>
  <si>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</si>
  <si>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</si>
  <si>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</si>
  <si>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</si>
  <si>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</si>
  <si>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</si>
  <si>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</si>
  <si>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</si>
  <si>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</si>
  <si>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</si>
  <si>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</si>
  <si>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</si>
  <si>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</si>
  <si>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</si>
  <si>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</si>
  <si>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</si>
  <si>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</si>
  <si>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</si>
  <si>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</si>
  <si>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</si>
  <si>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</si>
  <si>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</si>
  <si>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</si>
  <si>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</si>
  <si>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</si>
  <si>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passes, including focused RTL travel and extreme-height reflow coverage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</si>
  <si>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</si>
  <si>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</si>
  <si>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</si>
  <si>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</si>
  <si>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</si>
  <si>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</si>
  <si>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</si>
  <si>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</si>
  <si>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</si>
  <si>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</si>
  <si>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</si>
  <si>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run completed: eight steps pass. Exact Atom 0.6.7 root-overflow modal scroll-lock patch is installed; physical iPhone/iPad Safari confirmation remains pending.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</si>
  <si>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</si>
  <si>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</si>
  <si>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</si>
  <si>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</si>
  <si>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</si>
  <si>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</si>
  <si>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</si>
  <si>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</si>
  <si>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</si>
  <si>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</si>
  <si>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</si>
  <si>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</si>
  <si>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</si>
  <si>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</si>
  <si>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</si>
  <si>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</si>
  <si>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</si>
  <si>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</si>
  <si>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</si>
  <si>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</si>
  <si>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</si>
  <si>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</si>
  <si>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</si>
  <si>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</si>
  <si>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</si>
  <si>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</si>
  <si>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</si>
  <si>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</si>
  <si>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</si>
  <si>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</si>
  <si>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</si>
  <si>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</si>
  <si>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</si>
  <si>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</si>
  <si>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</si>
  <si>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</si>
  <si>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</si>
  <si>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</si>
  <si>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</si>
  <si>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</si>
  <si>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</si>
  <si>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</si>
  <si>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</si>
  <si>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</si>
  <si>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</si>
  <si>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</si>
  <si>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</si>
  <si>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</si>
  <si>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</si>
  <si>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</si>
  <si>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</si>
  <si>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</si>
  <si>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</si>
  <si>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</si>
  <si>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</si>
  <si>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</si>
  <si>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</si>
  <si>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</si>
  <si>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</si>
  <si>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</si>
  <si>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</si>
  <si>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</si>
  <si>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</si>
  <si>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</si>
  <si>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</si>
  <si>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</si>
  <si>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</si>
  <si>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</si>
  <si>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</si>
  <si>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</si>
  <si>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</si>
  <si>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</si>
  <si>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</si>
  <si>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</si>
  <si>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</si>
  <si>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</si>
  <si>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</si>
  <si>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</si>
  <si>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</si>
  <si>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</si>
  <si>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</si>
  <si>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</si>
  <si>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</si>
  <si>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</si>
  <si>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</si>
  <si>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</si>
  <si>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</si>
  <si>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</si>
  <si>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</si>
  <si>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</si>
  <si>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</si>
  <si>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</si>
  <si>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</si>
  <si>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</si>
  <si>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</si>
  <si>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</si>
  <si>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</si>
  <si>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</si>
  <si>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</si>
  <si>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</si>
  <si>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</si>
  <si>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</si>
  <si>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</si>
  <si>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</si>
  <si>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</si>
  <si>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</si>
  <si>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</si>
  <si>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</si>
  <si>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</si>
  <si>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</si>
  <si>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</si>
  <si>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</si>
  <si>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</si>
  <si>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</si>
  <si>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</si>
  <si>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</si>
  <si>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</si>
  <si>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</si>
  <si>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</si>
  <si>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</si>
  <si>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</si>
  <si>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</si>
  <si>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</si>
  <si>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</si>
  <si>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</si>
  <si>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</si>
  <si>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</si>
  <si>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</si>
  <si>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</si>
  <si>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</si>
  <si>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</si>
  <si>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</si>
  <si>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</si>
  <si>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</si>
  <si>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</si>
  <si>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</si>
  <si>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</si>
  <si>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</si>
  <si>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</si>
  <si>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</si>
  <si>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</si>
  <si>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</si>
  <si>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</si>
  <si>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</si>
  <si>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</si>
  <si>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</si>
  <si>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</si>
  <si>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</si>
  <si>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</si>
  <si>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</si>
  <si>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</si>
  <si>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</si>
  <si>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</si>
  <si>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</si>
  <si>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</si>
  <si>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</si>
  <si>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</si>
  <si>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</si>
  <si>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</si>
  <si>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</si>
  <si>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</si>
  <si>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</si>
  <si>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</si>
  <si>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</si>
  <si>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</si>
  <si>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</si>
  <si>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</si>
  <si>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</si>
  <si>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</si>
  <si>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</si>
  <si>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</si>
  <si>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</si>
  <si>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</si>
  <si>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</si>
  <si>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</si>
  <si>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</si>
  <si>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</si>
  <si>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</si>
  <si>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</si>
  <si>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</si>
  <si>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</si>
  <si>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</si>
  <si>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</si>
  <si>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</si>
  <si>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</si>
  <si>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</si>
  <si>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</si>
  <si>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</si>
  <si>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</si>
  <si>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</si>
  <si>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</si>
  <si>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</si>
  <si>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</si>
  <si>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</si>
  <si>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</si>
  <si>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</si>
  <si>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</si>
  <si>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</si>
  <si>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</si>
  <si>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</si>
  <si>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</si>
  <si>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</si>
  <si>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</si>
  <si>
    <t xml:space="preserve">Toggle Family Evidence Matrix</t>
  </si>
  <si>
    <t xml:space="preserve">Evidence gates for adopted Toggle and ToggleGroup APIs, Atom-owned interaction, package proof, Consumer cutover, and completed Core retirement.</t>
  </si>
  <si>
    <t xml:space="preserve">TOG-01</t>
  </si>
  <si>
    <t xml:space="preserve">Toggle directly composes public Atom 0.3.3 Toggle.Root without Core, framework, or local behavior state</t>
  </si>
  <si>
    <t xml:space="preserve">../src/components/toggle/Toggle.tsx</t>
  </si>
  <si>
    <t xml:space="preserve">TOG-02</t>
  </si>
  <si>
    <t xml:space="preserve">Owner-approved capability audit confirms Atom owns pressed/value state, activation, disabled semantics, roving focus, orientation, looping, RTL, composition, slots, and refs</t>
  </si>
  <si>
    <t xml:space="preserve">../../docs/toggle-component-brief.md</t>
  </si>
  <si>
    <t xml:space="preserve">TOG-03</t>
  </si>
  <si>
    <t xml:space="preserve">Root and toggle/toggle-group subpath exports, declarations, direct Toggle, compound Group namespace, named parts, and closed unions match the adopted brief</t>
  </si>
  <si>
    <t xml:space="preserve">TOG-04</t>
  </si>
  <si>
    <t xml:space="preserve">Shortest Toggle emits a native type=button with stable class/slot, false aria-pressed, off state, and soft/md/rounded defaults</t>
  </si>
  <si>
    <t xml:space="preserve">../test/components/toggle.test.tsx</t>
  </si>
  <si>
    <t xml:space="preserve">TOG-05</t>
  </si>
  <si>
    <t xml:space="preserve">Behavior</t>
  </si>
  <si>
    <t xml:space="preserve">Atom-owned uncontrolled pointer, Space, and controlled pressed paths update aria-pressed and onPressedChange without Brick state duplication</t>
  </si>
  <si>
    <t xml:space="preserve">TOG-06</t>
  </si>
  <si>
    <t xml:space="preserve">Native/ARIA/data props, class, style, slot, icon-only metadata, ref, asChild, and render composition are preserved</t>
  </si>
  <si>
    <t xml:space="preserve">TOG-07</t>
  </si>
  <si>
    <t xml:space="preserve">Solid, soft, outline, and ghost variants; sm/md/lg sizes; rounded/pill shapes; and icon-only geometry form closed recipes without tone or arbitrary radius</t>
  </si>
  <si>
    <t xml:space="preserve">TOG-08</t>
  </si>
  <si>
    <t xml:space="preserve">States</t>
  </si>
  <si>
    <t xml:space="preserve">Rest, hover, active, focus-visible, selected, disabled, and selected-disabled recipes use semantic tokens and preserve native disabled behavior</t>
  </si>
  <si>
    <t xml:space="preserve">tests/toggle.spec.ts</t>
  </si>
  <si>
    <t xml:space="preserve">TOG-09</t>
  </si>
  <si>
    <t xml:space="preserve">ToggleGroup.Root</t>
  </si>
  <si>
    <t xml:space="preserve">Root emits a named role=group with stable class/slot, separated horizontal layout, soft/md/rounded defaults, and no extra behavior layer</t>
  </si>
  <si>
    <t xml:space="preserve">TOG-10</t>
  </si>
  <si>
    <t xml:space="preserve">Selection</t>
  </si>
  <si>
    <t xml:space="preserve">Discriminated single string and multiple string-array contracts forward controlled/uncontrolled values and narrowed callbacks without a second store</t>
  </si>
  <si>
    <t xml:space="preserve">TOG-11</t>
  </si>
  <si>
    <t xml:space="preserve">ToggleGroup.Item</t>
  </si>
  <si>
    <t xml:space="preserve">Item requires value, emits native pressed button metadata, preserves disabled/native/composition/ref paths, and exposes only item iconOnly presentation</t>
  </si>
  <si>
    <t xml:space="preserve">TOG-12</t>
  </si>
  <si>
    <t xml:space="preserve">Keyboard</t>
  </si>
  <si>
    <t xml:space="preserve">ToggleGroup</t>
  </si>
  <si>
    <t xml:space="preserve">One roving Tab stop plus Arrow, Home, End, looping, activation, and disabled-item skipping remain Atom-owned and pass in real browsers</t>
  </si>
  <si>
    <t xml:space="preserve">TOG-13</t>
  </si>
  <si>
    <t xml:space="preserve">Direction</t>
  </si>
  <si>
    <t xml:space="preserve">Horizontal/vertical orientation metadata drives layout and Atom mirrors horizontal Arrow navigation in RTL</t>
  </si>
  <si>
    <t xml:space="preserve">TOG-14</t>
  </si>
  <si>
    <t xml:space="preserve">Separated default preserves inter-item gap and natural wrapping for localized multiple filter pills</t>
  </si>
  <si>
    <t xml:space="preserve">TOG-15</t>
  </si>
  <si>
    <t xml:space="preserve">Attached horizontal and vertical groups collapse adjacent borders and apply logical outer radii for rounded and pill shapes</t>
  </si>
  <si>
    <t xml:space="preserve">TOG-16</t>
  </si>
  <si>
    <t xml:space="preserve">Layout</t>
  </si>
  <si>
    <t xml:space="preserve">fullWidth fills available inline size and distributes items without changing Atom selection behavior</t>
  </si>
  <si>
    <t xml:space="preserve">TOG-17</t>
  </si>
  <si>
    <t xml:space="preserve">Stable visible or explicit icon labels, group naming, aria-pressed, disabled state, and controlled required-view handling preserve understandable semantics</t>
  </si>
  <si>
    <t xml:space="preserve">TOG-18</t>
  </si>
  <si>
    <t xml:space="preserve">Compiled layered CSS uses Brick classes, logical properties, semantic tokens, and documented --brick-toggle variables without global leakage</t>
  </si>
  <si>
    <t xml:space="preserve">../src/components/toggle/toggle.css</t>
  </si>
  <si>
    <t xml:space="preserve">TOG-19</t>
  </si>
  <si>
    <t xml:space="preserve">Reviewed light/dark baselines preserve neutral rest, accent selected hierarchy, sizes, shapes, and attached/separated group geometry</t>
  </si>
  <si>
    <t xml:space="preserve">TOG-20</t>
  </si>
  <si>
    <t xml:space="preserve">Forced-colors emulation preserves explicit selected, disabled, border, and focus boundaries without color-only state</t>
  </si>
  <si>
    <t xml:space="preserve">TOG-21</t>
  </si>
  <si>
    <t xml:space="preserve">Responsive</t>
  </si>
  <si>
    <t xml:space="preserve">Constrained mobile, long unbroken/localized labels, wrapping, mixed direction, and RTL remain contained without document overflow</t>
  </si>
  <si>
    <t xml:space="preserve">TOG-22</t>
  </si>
  <si>
    <t xml:space="preserve">Root class, style, slot, scoped appearance, group variables, and component-token overrides remain local and inspectable</t>
  </si>
  <si>
    <t xml:space="preserve">TOG-23</t>
  </si>
  <si>
    <t xml:space="preserve">The /toggle workbench exposes overview, complete standalone recipes, sizes/shapes/icons, attached single, separated multiple, vertical/disabled, customization, mobile stress, and RTL</t>
  </si>
  <si>
    <t xml:space="preserve">TOG-24</t>
  </si>
  <si>
    <t xml:space="preserve">Vitest and Testing Library cover defaults, recipes, activation, callbacks, native props, refs, disabled paths, composition, and discriminated values</t>
  </si>
  <si>
    <t xml:space="preserve">TOG-25</t>
  </si>
  <si>
    <t xml:space="preserve">Public root/subpath types accept supported contracts and reject standalone value, tone, invalid recipes, mismatched multiple values, item recipe overrides, and callable Group</t>
  </si>
  <si>
    <t xml:space="preserve">TOG-26</t>
  </si>
  <si>
    <t xml:space="preserve">Node package boundary, export identity, stylesheet, declarations, deterministic SSR, and dry-pack checks include both public subpaths</t>
  </si>
  <si>
    <t xml:space="preserve">TOG-27</t>
  </si>
  <si>
    <t xml:space="preserve">Clean packed React 18/19 consumers import root/subpath identities, SSR-render Toggle and ToggleGroup, typecheck, and load compiled CSS</t>
  </si>
  <si>
    <t xml:space="preserve">TOG-28</t>
  </si>
  <si>
    <t xml:space="preserve">Strict typecheck, production build, CSS report, and 100% Brick component-source line coverage pass</t>
  </si>
  <si>
    <t xml:space="preserve">TOG-29</t>
  </si>
  <si>
    <t xml:space="preserve">Seven focused browser checks cover standalone activation, recipes, single/multiple state, roving focus, disabled behavior, mobile/RTL, axe, and forced colors</t>
  </si>
  <si>
    <t xml:space="preserve">TOG-30</t>
  </si>
  <si>
    <t xml:space="preserve">Canonical Toggle route has no automatically detectable axe violations</t>
  </si>
  <si>
    <t xml:space="preserve">TOG-31</t>
  </si>
  <si>
    <t xml:space="preserve">Seven reviewed Chromium baselines cover recipes, sizes/shapes, attached single, dark standalone/multiple, mobile RTL stress, and forced colors</t>
  </si>
  <si>
    <t xml:space="preserve">TOG-32</t>
  </si>
  <si>
    <t xml:space="preserve">Chromium, Firefox, WebKit, Pixel, and iPhone focused release-matrix checks pass where applicable</t>
  </si>
  <si>
    <t xml:space="preserve">TOG-33</t>
  </si>
  <si>
    <t xml:space="preserve">Numbered Toggle protocol covers hierarchy, activation, keyboard/roving focus, selection modes, geometry, zoom/mobile/RTL, VoiceOver, preferences, and customization</t>
  </si>
  <si>
    <t xml:space="preserve">manual-tests/toggle.md</t>
  </si>
  <si>
    <t xml:space="preserve">TOG-34</t>
  </si>
  <si>
    <t xml:space="preserve">Latest owner run records every numbered Toggle and ToggleGroup result and corrects any finding before package completion</t>
  </si>
  <si>
    <t xml:space="preserve">TOG-35</t>
  </si>
  <si>
    <t xml:space="preserve">Public Toggle guide covers role boundaries, stable labels, behavior/native/ref contract, visual API, accessibility, CSS hooks, and preferences</t>
  </si>
  <si>
    <t xml:space="preserve">../docs/components/toggle/README.md</t>
  </si>
  <si>
    <t xml:space="preserve">TOG-36</t>
  </si>
  <si>
    <t xml:space="preserve">Public ToggleGroup guide and both changelogs cover discriminated selection, naming, keyboard, separated/attached/full-width geometry, ownership, and evidence</t>
  </si>
  <si>
    <t xml:space="preserve">../docs/components/toggle-group/README.md</t>
  </si>
  <si>
    <t xml:space="preserve">TOG-37</t>
  </si>
  <si>
    <t xml:space="preserve">Independent Consumer uses public Toggle and ToggleGroup subpaths for appearance and Cards/List view and passes production, boundary, desktop/mobile, state, layout, and axe checks</t>
  </si>
  <si>
    <t xml:space="preserve">TOG-38</t>
  </si>
  <si>
    <t xml:space="preserve">Legacy Toggle family</t>
  </si>
  <si>
    <t xml:space="preserve">Fresh searches found no live dependents; Core Toggle/ToggleGroup sources and input-barrel exports are removed and Core builds</t>
  </si>
  <si>
    <t xml:space="preserve">TOG-39</t>
  </si>
  <si>
    <t xml:space="preserve">Tone, generic Chip/Tag, required single-selection behavior, item-level recipe overrides, navigation, disclosure, and form-setting semantics remain deliberately excluded</t>
  </si>
  <si>
    <t xml:space="preserve">IconButton Evidence Matrix</t>
  </si>
  <si>
    <t xml:space="preserve">Evidence gates for the adopted IconButton API, Atom-owned action/link behavior, package proof, Consumer integration, and non-applicable legacy slice retirement.</t>
  </si>
  <si>
    <t xml:space="preserve">ICB-01</t>
  </si>
  <si>
    <t xml:space="preserve">IconButton directly styles public Atom 0.3.3 Button.Root without Core, framework, or local behavior state</t>
  </si>
  <si>
    <t xml:space="preserve">../src/components/icon-button/IconButton.tsx</t>
  </si>
  <si>
    <t xml:space="preserve">ICB-02</t>
  </si>
  <si>
    <t xml:space="preserve">Owner-approved audit confirms IconButton is an icon-only Button specialization and no separate IconLink is required</t>
  </si>
  <si>
    <t xml:space="preserve">../../docs/icon-button-component-brief.md</t>
  </si>
  <si>
    <t xml:space="preserve">ICB-03</t>
  </si>
  <si>
    <t xml:space="preserve">Root and icon-button subpath exports, declarations, direct component, closed recipes, and inherited native contracts match the adopted brief</t>
  </si>
  <si>
    <t xml:space="preserve">ICB-04</t>
  </si>
  <si>
    <t xml:space="preserve">Shortest action emits one native button with stable class/slot and ghost/neutral/md/rounded defaults</t>
  </si>
  <si>
    <t xml:space="preserve">../test/components/icon-button-app-bar.test.tsx</t>
  </si>
  <si>
    <t xml:space="preserve">ICB-05</t>
  </si>
  <si>
    <t xml:space="preserve">Semantics</t>
  </si>
  <si>
    <t xml:space="preserve">Every icon-only action requires an accessible name supplied by aria-label or aria-labelledby</t>
  </si>
  <si>
    <t xml:space="preserve">tests/icon-button-app-bar.spec.ts</t>
  </si>
  <si>
    <t xml:space="preserve">ICB-06</t>
  </si>
  <si>
    <t xml:space="preserve">Navigation</t>
  </si>
  <si>
    <t xml:space="preserve">href renders a genuine anchor and preserves target plus safe rel behavior through Atom Button</t>
  </si>
  <si>
    <t xml:space="preserve">ICB-07</t>
  </si>
  <si>
    <t xml:space="preserve">Pointer, keyboard, onPress, disabled, loading, native props, composition, and refs remain Atom-owned</t>
  </si>
  <si>
    <t xml:space="preserve">ICB-08</t>
  </si>
  <si>
    <t xml:space="preserve">Solid, soft, outline, and ghost variants form a closed presentation matrix</t>
  </si>
  <si>
    <t xml:space="preserve">ICB-09</t>
  </si>
  <si>
    <t xml:space="preserve">Neutral, accent, info, success, warning, and danger tones use semantic Brick tokens</t>
  </si>
  <si>
    <t xml:space="preserve">ICB-10</t>
  </si>
  <si>
    <t xml:space="preserve">xs through xl sizes retain square hit geometry and rounded/circle shapes without arbitrary radius</t>
  </si>
  <si>
    <t xml:space="preserve">ICB-11</t>
  </si>
  <si>
    <t xml:space="preserve">Icon</t>
  </si>
  <si>
    <t xml:space="preserve">The visual icon is presentation-only while the control name remains on the interactive element</t>
  </si>
  <si>
    <t xml:space="preserve">ICB-12</t>
  </si>
  <si>
    <t xml:space="preserve">Rest, hover, active, focus-visible, disabled, and loading recipes remain visibly distinct</t>
  </si>
  <si>
    <t xml:space="preserve">ICB-13</t>
  </si>
  <si>
    <t xml:space="preserve">Loading retains the accessible name, exposes Atom busy state, and replaces only the visual icon with a spinner</t>
  </si>
  <si>
    <t xml:space="preserve">ICB-14</t>
  </si>
  <si>
    <t xml:space="preserve">Focus visibility, native disabled semantics, link semantics, and named controls pass real-browser and axe checks</t>
  </si>
  <si>
    <t xml:space="preserve">ICB-15</t>
  </si>
  <si>
    <t xml:space="preserve">Appearance</t>
  </si>
  <si>
    <t xml:space="preserve">Reviewed light and dark baselines preserve hierarchy and icon contrast across variants and tones</t>
  </si>
  <si>
    <t xml:space="preserve">ICB-16</t>
  </si>
  <si>
    <t xml:space="preserve">Preferences</t>
  </si>
  <si>
    <t xml:space="preserve">Forced-colors preserves boundaries and loading indication; reduced-motion slows spinner animation</t>
  </si>
  <si>
    <t xml:space="preserve">ICB-17</t>
  </si>
  <si>
    <t xml:space="preserve">Narrow mobile and RTL stress examples remain contained without changing square control geometry</t>
  </si>
  <si>
    <t xml:space="preserve">ICB-18</t>
  </si>
  <si>
    <t xml:space="preserve">class, style, slot, scoped appearance, and documented component variables remain local and inspectable</t>
  </si>
  <si>
    <t xml:space="preserve">ICB-19</t>
  </si>
  <si>
    <t xml:space="preserve">Compiled layered CSS uses Brick classes, logical properties, semantic tokens, and no global leakage</t>
  </si>
  <si>
    <t xml:space="preserve">../src/components/icon-button/icon-button.css</t>
  </si>
  <si>
    <t xml:space="preserve">ICB-20</t>
  </si>
  <si>
    <t xml:space="preserve">The /icon-button workbench exposes overview, variants, tones, sizes, shapes, disabled/loading/link states, mobile stress, and RTL</t>
  </si>
  <si>
    <t xml:space="preserve">ICB-21</t>
  </si>
  <si>
    <t xml:space="preserve">Vitest covers defaults, recipes, links, events, disabled/loading behavior, composition, and refs</t>
  </si>
  <si>
    <t xml:space="preserve">ICB-22</t>
  </si>
  <si>
    <t xml:space="preserve">Public root/subpath types accept supported contracts and reject invalid variants, tones, sizes, and shapes</t>
  </si>
  <si>
    <t xml:space="preserve">ICB-23</t>
  </si>
  <si>
    <t xml:space="preserve">Node boundary, export identity, stylesheet, declarations, SSR, and dry-pack checks include the icon-button subpath</t>
  </si>
  <si>
    <t xml:space="preserve">ICB-24</t>
  </si>
  <si>
    <t xml:space="preserve">Clean packed React 18/19 consumers import, SSR-render, typecheck, and load IconButton CSS</t>
  </si>
  <si>
    <t xml:space="preserve">ICB-25</t>
  </si>
  <si>
    <t xml:space="preserve">Strict typecheck, production build, CSS report, and 100% component-source coverage pass</t>
  </si>
  <si>
    <t xml:space="preserve">ICB-26</t>
  </si>
  <si>
    <t xml:space="preserve">Focused browser checks cover action/link semantics, recipes, inactive states, mobile/RTL, axe, and forced colors</t>
  </si>
  <si>
    <t xml:space="preserve">ICB-27</t>
  </si>
  <si>
    <t xml:space="preserve">Chromium, Firefox, WebKit, Pixel, and iPhone release-matrix checks pass where applicable</t>
  </si>
  <si>
    <t xml:space="preserve">ICB-28</t>
  </si>
  <si>
    <t xml:space="preserve">Four reviewed Chromium baselines cover variants, dark tones, forced-colors states, and mobile RTL stress</t>
  </si>
  <si>
    <t xml:space="preserve">ICB-29</t>
  </si>
  <si>
    <t xml:space="preserve">Numbered protocol covers semantics, pointer/keyboard, link, recipes, states, zoom/mobile/RTL, VoiceOver, preferences, and customization</t>
  </si>
  <si>
    <t xml:space="preserve">manual-tests/icon-button.md</t>
  </si>
  <si>
    <t xml:space="preserve">ICB-30</t>
  </si>
  <si>
    <t xml:space="preserve">Latest owner run records every numbered IconButton result and corrects any finding before package completion</t>
  </si>
  <si>
    <t xml:space="preserve">ICB-31</t>
  </si>
  <si>
    <t xml:space="preserve">Public guide covers naming, action/link routing, Atom-owned behavior, recipes, accessibility, CSS hooks, and preferences</t>
  </si>
  <si>
    <t xml:space="preserve">../docs/components/icon-button/README.md</t>
  </si>
  <si>
    <t xml:space="preserve">ICB-32</t>
  </si>
  <si>
    <t xml:space="preserve">Component changelog records the initial public contract and evidence boundary</t>
  </si>
  <si>
    <t xml:space="preserve">../docs/components/icon-button/CHANGELOG.md</t>
  </si>
  <si>
    <t xml:space="preserve">ICB-33</t>
  </si>
  <si>
    <t xml:space="preserve">Independent Consumer uses the public icon-button subpath for a real AppBar anchor action</t>
  </si>
  <si>
    <t xml:space="preserve">../../../../apps/brick-consumer/src/App.tsx</t>
  </si>
  <si>
    <t xml:space="preserve">ICB-34</t>
  </si>
  <si>
    <t xml:space="preserve">Consumer boundary, production, desktop/mobile, layout, state, and axe gates pass with IconButton integration</t>
  </si>
  <si>
    <t xml:space="preserve">ICB-35</t>
  </si>
  <si>
    <t xml:space="preserve">Legacy icon-only styling</t>
  </si>
  <si>
    <t xml:space="preserve">Core has no standalone IconButton slice; deleting shared Button iconOnly support is outside this component's authority</t>
  </si>
  <si>
    <t xml:space="preserve">No standalone legacy component exists; shared Button dependencies remain</t>
  </si>
  <si>
    <t xml:space="preserve">ICB-36</t>
  </si>
  <si>
    <t xml:space="preserve">Toggle state, disclosure, tooltip generation, badges, arbitrary children, and application navigation policy remain excluded</t>
  </si>
  <si>
    <t xml:space="preserve">ICB-37</t>
  </si>
  <si>
    <t xml:space="preserve">Package</t>
  </si>
  <si>
    <t xml:space="preserve">Package metadata publishes the icon-button subpath and compiled CSS through stable public entrypoints</t>
  </si>
  <si>
    <t xml:space="preserve">../package.json</t>
  </si>
  <si>
    <t xml:space="preserve">ICB-38</t>
  </si>
  <si>
    <t xml:space="preserve">Integration</t>
  </si>
  <si>
    <t xml:space="preserve">AppBar composes the public IconButton rather than reproducing icon-only Button styling</t>
  </si>
  <si>
    <t xml:space="preserve">ICB-39</t>
  </si>
  <si>
    <t xml:space="preserve">Decision</t>
  </si>
  <si>
    <t xml:space="preserve">No Atom release is required because released Button behavior already satisfies the complete contract</t>
  </si>
  <si>
    <t xml:space="preserve">../../docs/icon-button-component-research.md</t>
  </si>
  <si>
    <t xml:space="preserve">AppBar Evidence Matrix</t>
  </si>
  <si>
    <t xml:space="preserve">Evidence gates for the adopted compound AppBar API, positioning/layout contract, package proof, Consumer cutover, and completed Core retirement.</t>
  </si>
  <si>
    <t xml:space="preserve">APB-01</t>
  </si>
  <si>
    <t xml:space="preserve">AppBar.Root</t>
  </si>
  <si>
    <t xml:space="preserve">Root directly styles public Atom 0.3.3 AppBar.Root without Core, framework, scroll listeners, or local behavior state</t>
  </si>
  <si>
    <t xml:space="preserve">../src/components/app-bar/AppBar.tsx</t>
  </si>
  <si>
    <t xml:space="preserve">APB-02</t>
  </si>
  <si>
    <t xml:space="preserve">Owner-approved audit defines AppBar as a top surface and one-row alignment structure rather than application navigation policy</t>
  </si>
  <si>
    <t xml:space="preserve">../../docs/app-bar-component-brief.md</t>
  </si>
  <si>
    <t xml:space="preserve">APB-03</t>
  </si>
  <si>
    <t xml:space="preserve">Root and app-bar subpath exports, declarations, exact frozen namespace, named parts, and closed unions match the adopted brief</t>
  </si>
  <si>
    <t xml:space="preserve">APB-04</t>
  </si>
  <si>
    <t xml:space="preserve">The namespace exposes exactly Root, Toolbar, Start, Center, and End and is not callable</t>
  </si>
  <si>
    <t xml:space="preserve">APB-05</t>
  </si>
  <si>
    <t xml:space="preserve">Shortest root emits a header landmark with stable class/slot and surface/static defaults</t>
  </si>
  <si>
    <t xml:space="preserve">APB-06</t>
  </si>
  <si>
    <t xml:space="preserve">AppBar.Toolbar</t>
  </si>
  <si>
    <t xml:space="preserve">Toolbar is a layout wrapper without an invented ARIA toolbar role and forwards compact/comfortable density</t>
  </si>
  <si>
    <t xml:space="preserve">APB-07</t>
  </si>
  <si>
    <t xml:space="preserve">AppBar.Start</t>
  </si>
  <si>
    <t xml:space="preserve">Start supplies the logical leading region with stable class and slot metadata</t>
  </si>
  <si>
    <t xml:space="preserve">APB-08</t>
  </si>
  <si>
    <t xml:space="preserve">AppBar.Center</t>
  </si>
  <si>
    <t xml:space="preserve">Center supplies the flexible middle region while application CSS may hide or replace navigation responsively</t>
  </si>
  <si>
    <t xml:space="preserve">APB-09</t>
  </si>
  <si>
    <t xml:space="preserve">AppBar.End</t>
  </si>
  <si>
    <t xml:space="preserve">End supplies the logical trailing action region with stable class and slot metadata</t>
  </si>
  <si>
    <t xml:space="preserve">APB-10</t>
  </si>
  <si>
    <t xml:space="preserve">Position</t>
  </si>
  <si>
    <t xml:space="preserve">Static remains the safe default and participates in normal document flow</t>
  </si>
  <si>
    <t xml:space="preserve">APB-11</t>
  </si>
  <si>
    <t xml:space="preserve">Absolute positions to the containing block while the application owns containment and offsets</t>
  </si>
  <si>
    <t xml:space="preserve">APB-12</t>
  </si>
  <si>
    <t xml:space="preserve">Sticky pins to the logical top within its scroll container</t>
  </si>
  <si>
    <t xml:space="preserve">APB-13</t>
  </si>
  <si>
    <t xml:space="preserve">Fixed pins to the viewport while the application explicitly owns content offset</t>
  </si>
  <si>
    <t xml:space="preserve">APB-14</t>
  </si>
  <si>
    <t xml:space="preserve">Solid, surface, and transparent variants form a closed background hierarchy</t>
  </si>
  <si>
    <t xml:space="preserve">APB-15</t>
  </si>
  <si>
    <t xml:space="preserve">Bordered, elevated, and blurred options compose independently without scroll-driven behavior</t>
  </si>
  <si>
    <t xml:space="preserve">APB-16</t>
  </si>
  <si>
    <t xml:space="preserve">Compact and comfortable densities preserve a deliberate one-row alignment contract</t>
  </si>
  <si>
    <t xml:space="preserve">APB-17</t>
  </si>
  <si>
    <t xml:space="preserve">Brand, links, Avatar, IconButton, and Toggle remain ordinary application-owned children</t>
  </si>
  <si>
    <t xml:space="preserve">APB-18</t>
  </si>
  <si>
    <t xml:space="preserve">Long brand text, narrow mobile layouts, hidden center policy, and RTL remain contained without forced second-row wrapping</t>
  </si>
  <si>
    <t xml:space="preserve">APB-19</t>
  </si>
  <si>
    <t xml:space="preserve">Logical Start/End alignment mirrors in RTL without reversing application content semantics</t>
  </si>
  <si>
    <t xml:space="preserve">APB-20</t>
  </si>
  <si>
    <t xml:space="preserve">Landmark labeling, ordinary navigation semantics, named controls, and axe checks pass without invented interaction roles</t>
  </si>
  <si>
    <t xml:space="preserve">APB-21</t>
  </si>
  <si>
    <t xml:space="preserve">Forced-colors preserves surface and action boundaries and blur degrades safely</t>
  </si>
  <si>
    <t xml:space="preserve">APB-22</t>
  </si>
  <si>
    <t xml:space="preserve">Root/part class, style, slot, scoped appearance, and documented component variables remain local and inspectable</t>
  </si>
  <si>
    <t xml:space="preserve">APB-23</t>
  </si>
  <si>
    <t xml:space="preserve">Compiled layered CSS uses Brick classes, logical properties, semantic tokens, and no global page-offset rules</t>
  </si>
  <si>
    <t xml:space="preserve">../src/components/app-bar/app-bar.css</t>
  </si>
  <si>
    <t xml:space="preserve">APB-24</t>
  </si>
  <si>
    <t xml:space="preserve">The /app-bar workbench exposes overview, variants, density, options, all position modes, mobile stress, and RTL</t>
  </si>
  <si>
    <t xml:space="preserve">APB-25</t>
  </si>
  <si>
    <t xml:space="preserve">Vitest covers exact anatomy, defaults, props, refs, composition, positions, variants, and options</t>
  </si>
  <si>
    <t xml:space="preserve">APB-26</t>
  </si>
  <si>
    <t xml:space="preserve">Public root/subpath types accept supported contracts and reject invalid variants, positions, density, and callable namespace use</t>
  </si>
  <si>
    <t xml:space="preserve">APB-27</t>
  </si>
  <si>
    <t xml:space="preserve">Node boundary, export identity, stylesheet, declarations, deterministic SSR, and dry-pack checks include app-bar</t>
  </si>
  <si>
    <t xml:space="preserve">APB-28</t>
  </si>
  <si>
    <t xml:space="preserve">Clean packed React 18/19 consumers import, SSR-render, typecheck, and load AppBar CSS</t>
  </si>
  <si>
    <t xml:space="preserve">APB-29</t>
  </si>
  <si>
    <t xml:space="preserve">APB-30</t>
  </si>
  <si>
    <t xml:space="preserve">Focused browser checks cover anatomy, positions, responsive/RTL containment, axe, and forced colors</t>
  </si>
  <si>
    <t xml:space="preserve">APB-31</t>
  </si>
  <si>
    <t xml:space="preserve">APB-32</t>
  </si>
  <si>
    <t xml:space="preserve">Four reviewed Chromium baselines cover light variants, dark options, mobile/RTL stress, and forced-colors density</t>
  </si>
  <si>
    <t xml:space="preserve">APB-33</t>
  </si>
  <si>
    <t xml:space="preserve">Numbered protocol covers hierarchy, anatomy, positions, keyboard/landmarks, zoom/mobile/RTL, VoiceOver, preferences, and customization</t>
  </si>
  <si>
    <t xml:space="preserve">manual-tests/app-bar.md</t>
  </si>
  <si>
    <t xml:space="preserve">APB-34</t>
  </si>
  <si>
    <t xml:space="preserve">Latest owner run records every numbered AppBar result and corrects any finding before package completion</t>
  </si>
  <si>
    <t xml:space="preserve">APB-35</t>
  </si>
  <si>
    <t xml:space="preserve">Public guide covers scope, exact anatomy, positions, fixed-offset ownership, responsive policy, semantics, CSS hooks, and preferences</t>
  </si>
  <si>
    <t xml:space="preserve">../docs/components/app-bar/README.md</t>
  </si>
  <si>
    <t xml:space="preserve">APB-36</t>
  </si>
  <si>
    <t xml:space="preserve">../docs/components/app-bar/CHANGELOG.md</t>
  </si>
  <si>
    <t xml:space="preserve">APB-37</t>
  </si>
  <si>
    <t xml:space="preserve">Independent Consumer uses public AppBar/IconButton subpaths for a sticky application header after correcting unrelated layout regressions</t>
  </si>
  <si>
    <t xml:space="preserve">APB-38</t>
  </si>
  <si>
    <t xml:space="preserve">Legacy AppBar</t>
  </si>
  <si>
    <t xml:space="preserve">Fresh searches found no live Core dependents; legacy AppBar sources and navigation-barrel export are removed and Core builds</t>
  </si>
  <si>
    <t xml:space="preserve">APB-39</t>
  </si>
  <si>
    <t xml:space="preserve">Automatic hide/elevate-on-scroll, generated navigation, responsive overflow menus, page offsets, and app-shell orchestration remain excluded</t>
  </si>
  <si>
    <t xml:space="preserve">Tooltip Evidence Matrix</t>
  </si>
  <si>
    <t xml:space="preserve">Evidence gates for the adopted eight-part Tooltip API, Atom 0.3.5 behavior boundary, package proof, Consumer cutover, manual review, and blocked Core retirement.</t>
  </si>
  <si>
    <t xml:space="preserve">TTP-01</t>
  </si>
  <si>
    <t xml:space="preserve">Directly styles public Atom 0.3.5 Tooltip without Core or local behavior</t>
  </si>
  <si>
    <t xml:space="preserve">../src/components/tooltip/Tooltip.tsx</t>
  </si>
  <si>
    <t xml:space="preserve">TTP-02</t>
  </si>
  <si>
    <t xml:space="preserve">Owner-adopted brief defines supplemental non-interactive plain and rich content</t>
  </si>
  <si>
    <t xml:space="preserve">../../docs/tooltip-component-brief.md</t>
  </si>
  <si>
    <t xml:space="preserve">TTP-03</t>
  </si>
  <si>
    <t xml:space="preserve">Exports</t>
  </si>
  <si>
    <t xml:space="preserve">Root and tooltip subpath exports and declarations match the adopted brief</t>
  </si>
  <si>
    <t xml:space="preserve">TTP-04</t>
  </si>
  <si>
    <t xml:space="preserve">Frozen namespace exposes exactly eight parts and is not callable</t>
  </si>
  <si>
    <t xml:space="preserve">../test/components/tooltip.test.tsx</t>
  </si>
  <si>
    <t xml:space="preserve">TTP-05</t>
  </si>
  <si>
    <t xml:space="preserve">Provider</t>
  </si>
  <si>
    <t xml:space="preserve">Provider forwards shared timing policy and renders no Brick wrapper</t>
  </si>
  <si>
    <t xml:space="preserve">TTP-06</t>
  </si>
  <si>
    <t xml:space="preserve">Root forwards state, delays, disabled, and plain/rich variant</t>
  </si>
  <si>
    <t xml:space="preserve">TTP-07</t>
  </si>
  <si>
    <t xml:space="preserve">Trigger supports asChild/render, ref, class, style, and stable slot</t>
  </si>
  <si>
    <t xml:space="preserve">TTP-08</t>
  </si>
  <si>
    <t xml:space="preserve">Portal forwards Atom container/disabled behavior without wrapper</t>
  </si>
  <si>
    <t xml:space="preserve">TTP-09</t>
  </si>
  <si>
    <t xml:space="preserve">Content owns stable hooks, defaults sideOffset to 8, and omits label overrides</t>
  </si>
  <si>
    <t xml:space="preserve">TTP-10</t>
  </si>
  <si>
    <t xml:space="preserve">Rich title is presentational, composable, native-prop and ref capable</t>
  </si>
  <si>
    <t xml:space="preserve">TTP-11</t>
  </si>
  <si>
    <t xml:space="preserve">Rich description is presentational, composable, native-prop and ref capable</t>
  </si>
  <si>
    <t xml:space="preserve">TTP-12</t>
  </si>
  <si>
    <t xml:space="preserve">Arrow</t>
  </si>
  <si>
    <t xml:space="preserve">Optional arrow forwards Atom geometry/composition with stable shared hook</t>
  </si>
  <si>
    <t xml:space="preserve">TTP-13</t>
  </si>
  <si>
    <t xml:space="preserve">Trigger retains an independent accessible name and Tooltip remains supplemental</t>
  </si>
  <si>
    <t xml:space="preserve">browser</t>
  </si>
  <si>
    <t xml:space="preserve">tests/tooltip.spec.ts</t>
  </si>
  <si>
    <t xml:space="preserve">TTP-14</t>
  </si>
  <si>
    <t xml:space="preserve">Plain and rich content remain non-interactive role=tooltip descriptions</t>
  </si>
  <si>
    <t xml:space="preserve">TTP-15</t>
  </si>
  <si>
    <t xml:space="preserve">Keyboard focus opens and Escape closes without moving trigger focus</t>
  </si>
  <si>
    <t xml:space="preserve">TTP-16</t>
  </si>
  <si>
    <t xml:space="preserve">Hover bridge, delays, pointer grace, and provider skip-delay match Atom 0.3.5</t>
  </si>
  <si>
    <t xml:space="preserve">manual-tests/tooltip.md</t>
  </si>
  <si>
    <t xml:space="preserve">TTP-17</t>
  </si>
  <si>
    <t xml:space="preserve">Touch</t>
  </si>
  <si>
    <t xml:space="preserve">Quick tap, deliberate hold, text selection prevention, release/outside/scroll dismissal pass on iPhone Safari</t>
  </si>
  <si>
    <t xml:space="preserve">TTP-18</t>
  </si>
  <si>
    <t xml:space="preserve">Android Chrome touch behavior matches the adopted mobile contract</t>
  </si>
  <si>
    <t xml:space="preserve">Android Chrome device unavailable; iPhone Safari passed published Atom 0.6.1 touch contract</t>
  </si>
  <si>
    <t xml:space="preserve">TTP-19</t>
  </si>
  <si>
    <t xml:space="preserve">Plain neutral inverse recipe is visually approved in light and dark</t>
  </si>
  <si>
    <t xml:space="preserve">/tooltip</t>
  </si>
  <si>
    <t xml:space="preserve">TTP-20</t>
  </si>
  <si>
    <t xml:space="preserve">Rich title/description recipe is visually approved in light and dark</t>
  </si>
  <si>
    <t xml:space="preserve">TTP-21</t>
  </si>
  <si>
    <t xml:space="preserve">Shared floating-arrow geometry and fill/border alignment are approved</t>
  </si>
  <si>
    <t xml:space="preserve">TTP-22</t>
  </si>
  <si>
    <t xml:space="preserve">Placement</t>
  </si>
  <si>
    <t xml:space="preserve">Top/right/bottom/left positioning and collision-resolved arrow remain aligned</t>
  </si>
  <si>
    <t xml:space="preserve">TTP-23</t>
  </si>
  <si>
    <t xml:space="preserve">256px RTL layout remains within viewport without page overflow</t>
  </si>
  <si>
    <t xml:space="preserve">TTP-24</t>
  </si>
  <si>
    <t xml:space="preserve">200% and 400% zoom wrapping and reachability are approved</t>
  </si>
  <si>
    <t xml:space="preserve">TTP-25</t>
  </si>
  <si>
    <t xml:space="preserve">Localization</t>
  </si>
  <si>
    <t xml:space="preserve">Long localized content wraps within closed plain/rich maximum widths</t>
  </si>
  <si>
    <t xml:space="preserve">TTP-26</t>
  </si>
  <si>
    <t xml:space="preserve">RTL trigger, content, and logical text alignment are approved</t>
  </si>
  <si>
    <t xml:space="preserve">TTP-27</t>
  </si>
  <si>
    <t xml:space="preserve">Reduced-motion behavior and visible forced-colors boundary are approved</t>
  </si>
  <si>
    <t xml:space="preserve">Reduced motion passed; forced colors unavailable without a Windows device</t>
  </si>
  <si>
    <t xml:space="preserve">TTP-28</t>
  </si>
  <si>
    <t xml:space="preserve">Focused playground surface has no axe violations excluding portalled landmark best-practice</t>
  </si>
  <si>
    <t xml:space="preserve">axe</t>
  </si>
  <si>
    <t xml:space="preserve">TTP-29</t>
  </si>
  <si>
    <t xml:space="preserve">CSS</t>
  </si>
  <si>
    <t xml:space="preserve">Production CSS includes tooltip recipes, shared arrow primitive, tokens, RTL/reflow/preference rules</t>
  </si>
  <si>
    <t xml:space="preserve">TTP-30</t>
  </si>
  <si>
    <t xml:space="preserve">Packed metadata exposes tooltip subpath and exact Atom 0.3.5 dependency</t>
  </si>
  <si>
    <t xml:space="preserve">TTP-31</t>
  </si>
  <si>
    <t xml:space="preserve">Consumers</t>
  </si>
  <si>
    <t xml:space="preserve">Generated React 18 and React 19 package consumers import Tooltip and CSS</t>
  </si>
  <si>
    <t xml:space="preserve">TTP-32</t>
  </si>
  <si>
    <t xml:space="preserve">Docs</t>
  </si>
  <si>
    <t xml:space="preserve">Public guide documents use, anatomy, rich boundary, hooks, and imports</t>
  </si>
  <si>
    <t xml:space="preserve">../docs/components/tooltip/README.md</t>
  </si>
  <si>
    <t xml:space="preserve">TTP-33</t>
  </si>
  <si>
    <t xml:space="preserve">Component and package changelogs record the addition</t>
  </si>
  <si>
    <t xml:space="preserve">../docs/components/tooltip/CHANGELOG.md</t>
  </si>
  <si>
    <t xml:space="preserve">TTP-34</t>
  </si>
  <si>
    <t xml:space="preserve">Deterministic workbench covers overview, placement, rich, stress, mobile, and RTL</t>
  </si>
  <si>
    <t xml:space="preserve">Owner manual review intentionally deferred</t>
  </si>
  <si>
    <t xml:space="preserve">TTP-35</t>
  </si>
  <si>
    <t xml:space="preserve">Manual</t>
  </si>
  <si>
    <t xml:space="preserve">Numbered desktop/mobile protocol has a completed owner run</t>
  </si>
  <si>
    <t xml:space="preserve">TTP-36</t>
  </si>
  <si>
    <t xml:space="preserve">Brick Consumer uses Tooltip on two real AppBar controls via public subpath</t>
  </si>
  <si>
    <t xml:space="preserve">../../../apps/brick-consumer/src/App.tsx</t>
  </si>
  <si>
    <t xml:space="preserve">TTP-37</t>
  </si>
  <si>
    <t xml:space="preserve">Consumer build, package boundary, and focused browser interaction pass</t>
  </si>
  <si>
    <t xml:space="preserve">../../../apps/brick-consumer/tests/consumer.spec.ts</t>
  </si>
  <si>
    <t xml:space="preserve">TTP-38</t>
  </si>
  <si>
    <t xml:space="preserve">Core Tooltip</t>
  </si>
  <si>
    <t xml:space="preserve">Legacy Core Tooltip remains because Sidebar imports its callable API</t>
  </si>
  <si>
    <t xml:space="preserve">blocker</t>
  </si>
  <si>
    <t xml:space="preserve">Blocked by later Sidebar redesign and cutover</t>
  </si>
  <si>
    <t xml:space="preserve">TTP-39</t>
  </si>
  <si>
    <t xml:space="preserve">Release gate</t>
  </si>
  <si>
    <t xml:space="preserve">Package, Consumer, workbook, and owner manual evidence are complete</t>
  </si>
  <si>
    <t xml:space="preserve">gate</t>
  </si>
  <si>
    <t xml:space="preserve">component-coverage.xlsx</t>
  </si>
  <si>
    <t xml:space="preserve">HoverCard Evidence Matrix</t>
  </si>
  <si>
    <t xml:space="preserve">Evidence gates for the adopted five-part HoverCard API, Atom 0.3.5 behavior boundary, package proof, Consumer cutover, owner review, and gated Core retirement.</t>
  </si>
  <si>
    <t xml:space="preserve">HVC-01</t>
  </si>
  <si>
    <t xml:space="preserve">Directly styles public Atom 0.3.5 HoverCard without Core or local behavior</t>
  </si>
  <si>
    <t xml:space="preserve">../src/components/hover-card/HoverCard.tsx</t>
  </si>
  <si>
    <t xml:space="preserve">HVC-02</t>
  </si>
  <si>
    <t xml:space="preserve">Owner-adopted brief defines a genuine-link, non-interactive, nonessential preview</t>
  </si>
  <si>
    <t xml:space="preserve">../../docs/hover-card-component-brief.md</t>
  </si>
  <si>
    <t xml:space="preserve">HVC-03</t>
  </si>
  <si>
    <t xml:space="preserve">Root and hover-card subpath exports and declarations match the adopted brief</t>
  </si>
  <si>
    <t xml:space="preserve">HVC-04</t>
  </si>
  <si>
    <t xml:space="preserve">Frozen namespace exposes exactly five parts and is not callable</t>
  </si>
  <si>
    <t xml:space="preserve">../test/components/hover-card.test.tsx</t>
  </si>
  <si>
    <t xml:space="preserve">HVC-05</t>
  </si>
  <si>
    <t xml:space="preserve">Root forwards state, 700/300 delays, disabled, and children without DOM</t>
  </si>
  <si>
    <t xml:space="preserve">HVC-06</t>
  </si>
  <si>
    <t xml:space="preserve">Trigger preserves link semantics plus asChild/render, refs, classes, and slots</t>
  </si>
  <si>
    <t xml:space="preserve">HVC-07</t>
  </si>
  <si>
    <t xml:space="preserve">Portal forwards Atom container/disabled behavior without a wrapper</t>
  </si>
  <si>
    <t xml:space="preserve">HVC-08</t>
  </si>
  <si>
    <t xml:space="preserve">Content has stable hooks, default 8px offset, closed sizes, and no label override</t>
  </si>
  <si>
    <t xml:space="preserve">HVC-09</t>
  </si>
  <si>
    <t xml:space="preserve">Optional Arrow forwards Atom geometry, ref, native props, and stable shared hook</t>
  </si>
  <si>
    <t xml:space="preserve">HVC-10</t>
  </si>
  <si>
    <t xml:space="preserve">Canonical triggers are genuine named links with destinations independent of preview</t>
  </si>
  <si>
    <t xml:space="preserve">tests/hover-card.spec.ts</t>
  </si>
  <si>
    <t xml:space="preserve">HVC-11</t>
  </si>
  <si>
    <t xml:space="preserve">Content remains generic with no role, name, expanded state, or trigger relationship</t>
  </si>
  <si>
    <t xml:space="preserve">HVC-12</t>
  </si>
  <si>
    <t xml:space="preserve">Canonical examples contain no focusable or interactive descendants</t>
  </si>
  <si>
    <t xml:space="preserve">HVC-13</t>
  </si>
  <si>
    <t xml:space="preserve">Keyboard focus opens; Escape closes without moving trigger focus</t>
  </si>
  <si>
    <t xml:space="preserve">HVC-14</t>
  </si>
  <si>
    <t xml:space="preserve">Pointer bridge keeps Content open across Trigger-to-Content movement</t>
  </si>
  <si>
    <t xml:space="preserve">HVC-15</t>
  </si>
  <si>
    <t xml:space="preserve">Disabled state blocks preview and controlled/default timing examples remain available</t>
  </si>
  <si>
    <t xml:space="preserve">HVC-16</t>
  </si>
  <si>
    <t xml:space="preserve">700/300 timing, collision, portal modes, presence, scroll, and resize remain released Atom behavior</t>
  </si>
  <si>
    <t xml:space="preserve">dependency</t>
  </si>
  <si>
    <t xml:space="preserve">@flowstack-ui/atom@0.6.6</t>
  </si>
  <si>
    <t xml:space="preserve">HVC-17</t>
  </si>
  <si>
    <t xml:space="preserve">Physical iPhone Safari link activation works without preview reliance</t>
  </si>
  <si>
    <t xml:space="preserve">manual-tests/hover-card.md</t>
  </si>
  <si>
    <t xml:space="preserve">Link activation passed; intermittent touch preview opening remains a non-blocking Atom follow-up.</t>
  </si>
  <si>
    <t xml:space="preserve">HVC-18</t>
  </si>
  <si>
    <t xml:space="preserve">Physical Android Chrome link activation works without preview reliance</t>
  </si>
  <si>
    <t xml:space="preserve">No physical Android device was available for this owner run; automated mobile Chromium coverage passed.</t>
  </si>
  <si>
    <t xml:space="preserve">HVC-19</t>
  </si>
  <si>
    <t xml:space="preserve">Elevated surface hierarchy is approved in light and dark</t>
  </si>
  <si>
    <t xml:space="preserve">/hover-card</t>
  </si>
  <si>
    <t xml:space="preserve">HVC-20</t>
  </si>
  <si>
    <t xml:space="preserve">sm, md, and lg bounded widths are visually distinct and intentional</t>
  </si>
  <si>
    <t xml:space="preserve">HVC-21</t>
  </si>
  <si>
    <t xml:space="preserve">Shared Arrow fill, border, optional absence, and collision alignment are approved</t>
  </si>
  <si>
    <t xml:space="preserve">HVC-22</t>
  </si>
  <si>
    <t xml:space="preserve">256px RTL content remains within the viewport without page overflow</t>
  </si>
  <si>
    <t xml:space="preserve">HVC-23</t>
  </si>
  <si>
    <t xml:space="preserve">200% and 400% zoom wrapping, overflow, reachability, and trigger visibility pass</t>
  </si>
  <si>
    <t xml:space="preserve">HVC-24</t>
  </si>
  <si>
    <t xml:space="preserve">Long unbroken and localized content wraps within dynamic viewport bounds</t>
  </si>
  <si>
    <t xml:space="preserve">HVC-25</t>
  </si>
  <si>
    <t xml:space="preserve">RTL internal composition and logical collision alignment are approved</t>
  </si>
  <si>
    <t xml:space="preserve">HVC-26</t>
  </si>
  <si>
    <t xml:space="preserve">Reduced-motion behavior and forced-colors surface/Arrow boundaries are approved</t>
  </si>
  <si>
    <t xml:space="preserve">HVC-27</t>
  </si>
  <si>
    <t xml:space="preserve">Focused playground surface has no axe violations after portalled-region exception</t>
  </si>
  <si>
    <t xml:space="preserve">HVC-28</t>
  </si>
  <si>
    <t xml:space="preserve">Screen reader announces the complete link without popup state or preview promise</t>
  </si>
  <si>
    <t xml:space="preserve">HVC-29</t>
  </si>
  <si>
    <t xml:space="preserve">Production CSS includes bounded sizes, shared Arrow, reflow, motion, and forced-colors rules</t>
  </si>
  <si>
    <t xml:space="preserve">HVC-30</t>
  </si>
  <si>
    <t xml:space="preserve">Packed metadata exposes hover-card subpath and exact Atom 0.6.6 dependency</t>
  </si>
  <si>
    <t xml:space="preserve">HVC-31</t>
  </si>
  <si>
    <t xml:space="preserve">Generated React 18 and React 19 package consumers import HoverCard and CSS</t>
  </si>
  <si>
    <t xml:space="preserve">HVC-32</t>
  </si>
  <si>
    <t xml:space="preserve">SSR</t>
  </si>
  <si>
    <t xml:space="preserve">Genuine link Trigger renders server-safe without popup ARIA</t>
  </si>
  <si>
    <t xml:space="preserve">HVC-33</t>
  </si>
  <si>
    <t xml:space="preserve">Public guide documents use, anatomy, noninteractive rule, hooks, and imports</t>
  </si>
  <si>
    <t xml:space="preserve">../docs/components/hover-card/README.md</t>
  </si>
  <si>
    <t xml:space="preserve">HVC-34</t>
  </si>
  <si>
    <t xml:space="preserve">../docs/components/hover-card/CHANGELOG.md</t>
  </si>
  <si>
    <t xml:space="preserve">HVC-35</t>
  </si>
  <si>
    <t xml:space="preserve">Workbench covers sizes, placement, state, composition, stress, mobile, and RTL</t>
  </si>
  <si>
    <t xml:space="preserve">HVC-36</t>
  </si>
  <si>
    <t xml:space="preserve">HVC-37</t>
  </si>
  <si>
    <t xml:space="preserve">Brick Consumer uses a public-subpath collaborator link preview</t>
  </si>
  <si>
    <t xml:space="preserve">HVC-38</t>
  </si>
  <si>
    <t xml:space="preserve">Consumer build, boundary, focused interaction, and genuine-link activation pass</t>
  </si>
  <si>
    <t xml:space="preserve">HVC-39</t>
  </si>
  <si>
    <t xml:space="preserve">Core HoverCard</t>
  </si>
  <si>
    <t xml:space="preserve">Legacy Core HoverCard slice is retired after owner manual and final replacement gates pass</t>
  </si>
  <si>
    <t xml:space="preserve">Popover Evidence Matrix</t>
  </si>
  <si>
    <t xml:space="preserve">Evidence gates for the adopted twelve-part Popover API, Atom 0.6.10 behavior boundary, package proof, Consumer cutover, owner review, and Sidebar-blocked Core retirement.</t>
  </si>
  <si>
    <t xml:space="preserve">POP-01</t>
  </si>
  <si>
    <t xml:space="preserve">Directly styles public Atom 0.6.10 Popover without Core or local behavior workarounds</t>
  </si>
  <si>
    <t xml:space="preserve">../src/components/popover/Popover.tsx</t>
  </si>
  <si>
    <t xml:space="preserve">POP-02</t>
  </si>
  <si>
    <t xml:space="preserve">Owner-adopted brief defines intentional compact interactive anchored content</t>
  </si>
  <si>
    <t xml:space="preserve">../../docs/popover-component-brief.md</t>
  </si>
  <si>
    <t xml:space="preserve">POP-03</t>
  </si>
  <si>
    <t xml:space="preserve">Root and popover subpath exports and declarations match the adopted brief</t>
  </si>
  <si>
    <t xml:space="preserve">POP-04</t>
  </si>
  <si>
    <t xml:space="preserve">Frozen non-callable namespace exposes exactly the twelve adopted parts</t>
  </si>
  <si>
    <t xml:space="preserve">../test/components/popover.test.tsx</t>
  </si>
  <si>
    <t xml:space="preserve">POP-05</t>
  </si>
  <si>
    <t xml:space="preserve">Root forwards state, modal, dismissal, and disabled while rejecting hover mode and delays</t>
  </si>
  <si>
    <t xml:space="preserve">POP-06</t>
  </si>
  <si>
    <t xml:space="preserve">Anchor</t>
  </si>
  <si>
    <t xml:space="preserve">Anchor forwards Atom composition, native hooks, and ref for separate positioning</t>
  </si>
  <si>
    <t xml:space="preserve">POP-07</t>
  </si>
  <si>
    <t xml:space="preserve">Trigger preserves button semantics, composition, refs, classes, and slots</t>
  </si>
  <si>
    <t xml:space="preserve">POP-08</t>
  </si>
  <si>
    <t xml:space="preserve">Portal forwards Atom container and disabled modes without a wrapper</t>
  </si>
  <si>
    <t xml:space="preserve">POP-09</t>
  </si>
  <si>
    <t xml:space="preserve">Content forwards native ARIA/focus/placement, default 8px offset, hooks, refs, and closed sizes</t>
  </si>
  <si>
    <t xml:space="preserve">POP-10</t>
  </si>
  <si>
    <t xml:space="preserve">Header is presentational and supports native props, refs, asChild, render, class, style, and slot</t>
  </si>
  <si>
    <t xml:space="preserve">POP-11</t>
  </si>
  <si>
    <t xml:space="preserve">Direct Atom Title supplies a server-stable generated accessible name</t>
  </si>
  <si>
    <t xml:space="preserve">POP-12</t>
  </si>
  <si>
    <t xml:space="preserve">Direct Atom Description supplies a server-stable generated accessible description</t>
  </si>
  <si>
    <t xml:space="preserve">POP-13</t>
  </si>
  <si>
    <t xml:space="preserve">Body / Footer</t>
  </si>
  <si>
    <t xml:space="preserve">Presentational Body scrolls and Footer wraps actions with native composition hooks</t>
  </si>
  <si>
    <t xml:space="preserve">POP-14</t>
  </si>
  <si>
    <t xml:space="preserve">Close forwards Atom button/composition behavior and stable Brick hooks</t>
  </si>
  <si>
    <t xml:space="preserve">POP-15</t>
  </si>
  <si>
    <t xml:space="preserve">Explicit Arrow forwards Atom geometry/ref/native props and shared styling</t>
  </si>
  <si>
    <t xml:space="preserve">POP-16</t>
  </si>
  <si>
    <t xml:space="preserve">Visible direct Title and Description generate dialog name and description relationships</t>
  </si>
  <si>
    <t xml:space="preserve">tests/popover.spec.ts</t>
  </si>
  <si>
    <t xml:space="preserve">POP-17</t>
  </si>
  <si>
    <t xml:space="preserve">Native heading and paragraph content use documented explicit relationships without Brick registration</t>
  </si>
  <si>
    <t xml:space="preserve">../docs/components/popover/README.md</t>
  </si>
  <si>
    <t xml:space="preserve">POP-18</t>
  </si>
  <si>
    <t xml:space="preserve">Focus</t>
  </si>
  <si>
    <t xml:space="preserve">Atom 0.6.10 owns initial/final focus, touch-safe outside dismissal, root-overflow modal locking, measured floating bounds, the non-clipping internal viewport, and portalled logical direction</t>
  </si>
  <si>
    <t xml:space="preserve">@flowstack-ui/atom@0.6.10</t>
  </si>
  <si>
    <t xml:space="preserve">POP-19</t>
  </si>
  <si>
    <t xml:space="preserve">Keyboard activation, Escape close, and trigger focus restoration pass</t>
  </si>
  <si>
    <t xml:space="preserve">POP-20</t>
  </si>
  <si>
    <t xml:space="preserve">Explicit Escape/outside dismissal policy is preserved</t>
  </si>
  <si>
    <t xml:space="preserve">POP-21</t>
  </si>
  <si>
    <t xml:space="preserve">Modal</t>
  </si>
  <si>
    <t xml:space="preserve">Modal mode exposes aria-modal and traps Tab until visible Close dismissal</t>
  </si>
  <si>
    <t xml:space="preserve">POP-22</t>
  </si>
  <si>
    <t xml:space="preserve">Nested</t>
  </si>
  <si>
    <t xml:space="preserve">Nested top-layer Escape closes child then parent in order</t>
  </si>
  <si>
    <t xml:space="preserve">POP-23</t>
  </si>
  <si>
    <t xml:space="preserve">sm, md, and lg expose bounded preferred widths and stable component-owned control heights</t>
  </si>
  <si>
    <t xml:space="preserve">POP-24</t>
  </si>
  <si>
    <t xml:space="preserve">Elevated surface hierarchy and compact structural spacing are owner-approved in light and dark</t>
  </si>
  <si>
    <t xml:space="preserve">/popover</t>
  </si>
  <si>
    <t xml:space="preserve">Owner approved the light and dark elevated surface hierarchy and spacing during the manual run.</t>
  </si>
  <si>
    <t xml:space="preserve">POP-25</t>
  </si>
  <si>
    <t xml:space="preserve">Shared Arrow fill, border, and collision alignment are owner-approved</t>
  </si>
  <si>
    <t xml:space="preserve">Owner approved Arrow fill, boundary, and resolved-side alignment during the manual run.</t>
  </si>
  <si>
    <t xml:space="preserve">POP-26</t>
  </si>
  <si>
    <t xml:space="preserve">256px RTL content remains within the viewport without horizontal page overflow</t>
  </si>
  <si>
    <t xml:space="preserve">POP-27</t>
  </si>
  <si>
    <t xml:space="preserve">200% and 400% zoom preserve scrolling, action reachability, and trigger visibility</t>
  </si>
  <si>
    <t xml:space="preserve">manual-tests/popover.md</t>
  </si>
  <si>
    <t xml:space="preserve">Owner confirmed 200% and 400% zoom scrolling and action reachability.</t>
  </si>
  <si>
    <t xml:space="preserve">POP-28</t>
  </si>
  <si>
    <t xml:space="preserve">RTL internal alignment, action order, and collision placement are owner-approved</t>
  </si>
  <si>
    <t xml:space="preserve">Owner confirmed RTL alignment, action order, and collision placement.</t>
  </si>
  <si>
    <t xml:space="preserve">POP-29</t>
  </si>
  <si>
    <t xml:space="preserve">Reduced-motion and forced-colors surface, Arrow, controls, and boundaries are owner-approved</t>
  </si>
  <si>
    <t xml:space="preserve">Forced-colors owner verification was not applicable because no Windows device was available; reduced motion passed.</t>
  </si>
  <si>
    <t xml:space="preserve">POP-30</t>
  </si>
  <si>
    <t xml:space="preserve">Focused 256px RTL surface has no axe violations</t>
  </si>
  <si>
    <t xml:space="preserve">POP-31</t>
  </si>
  <si>
    <t xml:space="preserve">Production CSS includes tokens, sizes, structure, Arrow, reflow, motion, and forced-colors rules</t>
  </si>
  <si>
    <t xml:space="preserve">POP-32</t>
  </si>
  <si>
    <t xml:space="preserve">Metadata exposes popover subpath and exact Atom 0.6.10 dependency</t>
  </si>
  <si>
    <t xml:space="preserve">POP-33</t>
  </si>
  <si>
    <t xml:space="preserve">Generated React 18 and React 19 packed consumers import root/subpath Popover and CSS</t>
  </si>
  <si>
    <t xml:space="preserve">POP-34</t>
  </si>
  <si>
    <t xml:space="preserve">Direct semantic parts render stable name/description IDs and relationships on the server</t>
  </si>
  <si>
    <t xml:space="preserve">POP-35</t>
  </si>
  <si>
    <t xml:space="preserve">Public guide and changelogs document routing, API, semantics, hooks, and customization</t>
  </si>
  <si>
    <t xml:space="preserve">POP-36</t>
  </si>
  <si>
    <t xml:space="preserve">Workbench covers anatomy, sizes, modal/state, Anchor, placement, nesting, stress, mobile, and RTL</t>
  </si>
  <si>
    <t xml:space="preserve">POP-37</t>
  </si>
  <si>
    <t xml:space="preserve">Numbered desktop, screen-reader, zoom, preference, and physical-mobile protocol has an owner run</t>
  </si>
  <si>
    <t xml:space="preserve">All 13 owner-run steps pass. iOS focus zoom from the raw sub-16px input fixture is assigned to future Brick Input work and does not block Popover.</t>
  </si>
  <si>
    <t xml:space="preserve">POP-38</t>
  </si>
  <si>
    <t xml:space="preserve">Brick Consumer public-subpath AppBar settings panel passes desktop/mobile browser and boundary suites</t>
  </si>
  <si>
    <t xml:space="preserve">POP-39</t>
  </si>
  <si>
    <t xml:space="preserve">Core Popover</t>
  </si>
  <si>
    <t xml:space="preserve">Legacy Core Popover remains while Sidebar imports its callable flyout API</t>
  </si>
  <si>
    <t xml:space="preserve">Form Foundation Evidence Matrix</t>
  </si>
  <si>
    <t xml:space="preserve">Evidence gates for the adopted direct Form and complete Field/Fieldset APIs, Atom 0.5.3 behavior boundary, package proof, Consumer integration, owner review, and dependency-led Core retirement.</t>
  </si>
  <si>
    <t xml:space="preserve">FFB-01</t>
  </si>
  <si>
    <t xml:space="preserve">Foundation</t>
  </si>
  <si>
    <t xml:space="preserve">Directly styles public Atom 0.5.3 Form, Field, and Fieldset without Core or local behavior workarounds</t>
  </si>
  <si>
    <t xml:space="preserve">../src/components/form/Form.tsx; ../src/components/field/Field.tsx; ../src/components/fieldset/Fieldset.tsx</t>
  </si>
  <si>
    <t xml:space="preserve">FFB-02</t>
  </si>
  <si>
    <t xml:space="preserve">Owner-adopted brief defines complete direct Form plus compound Field and Fieldset contracts</t>
  </si>
  <si>
    <t xml:space="preserve">../../docs/form-foundation-component-brief.md</t>
  </si>
  <si>
    <t xml:space="preserve">FFB-03</t>
  </si>
  <si>
    <t xml:space="preserve">Root, form, field, and fieldset subpath exports and declarations match the adopted anatomy</t>
  </si>
  <si>
    <t xml:space="preserve">../test/types/form-foundation.test.tsx</t>
  </si>
  <si>
    <t xml:space="preserve">FFB-04</t>
  </si>
  <si>
    <t xml:space="preserve">Form</t>
  </si>
  <si>
    <t xml:space="preserve">Form is direct, has no Root namespace, renders form, and forwards HTMLFormElement ref/native props</t>
  </si>
  <si>
    <t xml:space="preserve">../test/components/form-foundation.test.tsx</t>
  </si>
  <si>
    <t xml:space="preserve">FFB-05</t>
  </si>
  <si>
    <t xml:space="preserve">Field</t>
  </si>
  <si>
    <t xml:space="preserve">Frozen namespace exposes exactly Root, Label, Description, Error, and RequiredIndicator plus direct exports</t>
  </si>
  <si>
    <t xml:space="preserve">FFB-06</t>
  </si>
  <si>
    <t xml:space="preserve">Fieldset</t>
  </si>
  <si>
    <t xml:space="preserve">Frozen namespace exposes exactly Root, Legend, Description, and Error plus direct exports</t>
  </si>
  <si>
    <t xml:space="preserve">FFB-07</t>
  </si>
  <si>
    <t xml:space="preserve">Default, render, and strict asChild paths preserve native form semantics, props, classes, slots, and refs</t>
  </si>
  <si>
    <t xml:space="preserve">FFB-08</t>
  </si>
  <si>
    <t xml:space="preserve">Every Field part supports mutually exclusive render/asChild typing and preserves semantic adapters</t>
  </si>
  <si>
    <t xml:space="preserve">FFB-09</t>
  </si>
  <si>
    <t xml:space="preserve">Every Fieldset part supports mutually exclusive render/asChild typing and preserves native grouping</t>
  </si>
  <si>
    <t xml:space="preserve">FFB-10</t>
  </si>
  <si>
    <t xml:space="preserve">Default and Root asChild server markup retain styled Description/Error discovery and control relationships</t>
  </si>
  <si>
    <t xml:space="preserve">../test/components/form-foundation.test.tsx; ../test/package/ssr.test.mjs</t>
  </si>
  <si>
    <t xml:space="preserve">FFB-11</t>
  </si>
  <si>
    <t xml:space="preserve">Default and Root asChild server markup retain Legend/Description/Error discovery and group relationships</t>
  </si>
  <si>
    <t xml:space="preserve">FFB-12</t>
  </si>
  <si>
    <t xml:space="preserve">State</t>
  </si>
  <si>
    <t xml:space="preserve">Callback validation, submitting, submitted, rejected error visibility, and native reset metadata pass</t>
  </si>
  <si>
    <t xml:space="preserve">tests/form-foundation.spec.ts</t>
  </si>
  <si>
    <t xml:space="preserve">FFB-13</t>
  </si>
  <si>
    <t xml:space="preserve">Required, optional, disabled, read-only, invalid, forced, and matched Error states are implemented</t>
  </si>
  <si>
    <t xml:space="preserve">FFB-14</t>
  </si>
  <si>
    <t xml:space="preserve">Required, disabled, invalid, forced Error, and group-versus-item state preserve native semantics</t>
  </si>
  <si>
    <t xml:space="preserve">FFB-15</t>
  </si>
  <si>
    <t xml:space="preserve">Label activation and generated Description/Error relationships work while explicit native ARIA remains authoritative</t>
  </si>
  <si>
    <t xml:space="preserve">FFB-16</t>
  </si>
  <si>
    <t xml:space="preserve">Native fieldset/legend naming, disabled propagation, and grouped-control descriptions pass without invalid aria-required</t>
  </si>
  <si>
    <t xml:space="preserve">FFB-17</t>
  </si>
  <si>
    <t xml:space="preserve">Native URL/function action/callback models, FormData, external controls, and reset remain supported without Brick policy</t>
  </si>
  <si>
    <t xml:space="preserve">FFB-18</t>
  </si>
  <si>
    <t xml:space="preserve">Vertical source order and intrinsic horizontal two-to-one-column reflow pass exact browser geometry assertions</t>
  </si>
  <si>
    <t xml:space="preserve">FFB-19</t>
  </si>
  <si>
    <t xml:space="preserve">Plain borderless group rhythm supports grouped controls and nested Fields without becoming a Card</t>
  </si>
  <si>
    <t xml:space="preserve">../src/components/fieldset/fieldset.css</t>
  </si>
  <si>
    <t xml:space="preserve">FFB-20</t>
  </si>
  <si>
    <t xml:space="preserve">256 CSS-pixel English/RTL fixtures remain contained with no horizontal page overflow</t>
  </si>
  <si>
    <t xml:space="preserve">FFB-21</t>
  </si>
  <si>
    <t xml:space="preserve">Light/dark hierarchy, invalid boundaries, RTL stress, and forced colors have stable visual baselines</t>
  </si>
  <si>
    <t xml:space="preserve">FFB-22</t>
  </si>
  <si>
    <t xml:space="preserve">Required, invalid, disabled, grouped, constrained, and RTL fixtures have no axe violations</t>
  </si>
  <si>
    <t xml:space="preserve">FFB-23</t>
  </si>
  <si>
    <t xml:space="preserve">Announcements</t>
  </si>
  <si>
    <t xml:space="preserve">Error</t>
  </si>
  <si>
    <t xml:space="preserve">Field and Fieldset Error have no forced live role and accept deliberate native live-region props</t>
  </si>
  <si>
    <t xml:space="preserve">FFB-24</t>
  </si>
  <si>
    <t xml:space="preserve">Production CSS includes complete spacing tokens and visible callback-state treatment</t>
  </si>
  <si>
    <t xml:space="preserve">FFB-25</t>
  </si>
  <si>
    <t xml:space="preserve">Production CSS includes stable anatomy classes, slots, complete tokens, state, orientation, reflow, and forced colors</t>
  </si>
  <si>
    <t xml:space="preserve">FFB-26</t>
  </si>
  <si>
    <t xml:space="preserve">Production CSS includes stable anatomy classes, slots, complete tokens, native reset, state, and forced colors</t>
  </si>
  <si>
    <t xml:space="preserve">FFB-27</t>
  </si>
  <si>
    <t xml:space="preserve">Metadata exposes all three subpaths and pins exact public Atom 0.5.3</t>
  </si>
  <si>
    <t xml:space="preserve">FFB-28</t>
  </si>
  <si>
    <t xml:space="preserve">Generated React 18 and React 19 packed consumers import root/subpath APIs and CSS</t>
  </si>
  <si>
    <t xml:space="preserve">FFB-29</t>
  </si>
  <si>
    <t xml:space="preserve">Public Form guide/changelog document routing, native API, submission models, states, hooks, and customization</t>
  </si>
  <si>
    <t xml:space="preserve">../docs/components/form/README.md</t>
  </si>
  <si>
    <t xml:space="preserve">FFB-30</t>
  </si>
  <si>
    <t xml:space="preserve">Public Field guide/changelog document complete anatomy, state, relationships, composition, reflow, and tokens</t>
  </si>
  <si>
    <t xml:space="preserve">../docs/components/field/README.md</t>
  </si>
  <si>
    <t xml:space="preserve">FFB-31</t>
  </si>
  <si>
    <t xml:space="preserve">Public Fieldset guide/changelog document native grouping, anatomy, state, relationships, composition, and tokens</t>
  </si>
  <si>
    <t xml:space="preserve">../docs/components/fieldset/README.md</t>
  </si>
  <si>
    <t xml:space="preserve">FFB-32</t>
  </si>
  <si>
    <t xml:space="preserve">Nine-scenario workbench separates Form, Field, and Fieldset review sections plus shared integration, composition, appearance, relationships, and stress evidence</t>
  </si>
  <si>
    <t xml:space="preserve">FFB-33</t>
  </si>
  <si>
    <t xml:space="preserve">Fourteen-step owner protocol has dedicated Form, Field, and Fieldset sections plus foundation integration checks</t>
  </si>
  <si>
    <t xml:space="preserve">../../docs/manual-tests/form-foundation.md</t>
  </si>
  <si>
    <t xml:space="preserve">Owner protocol passed July 21, 2026; Windows forced colors not tested (no device)</t>
  </si>
  <si>
    <t xml:space="preserve">FFB-34</t>
  </si>
  <si>
    <t xml:space="preserve">Owner approves native submission models, callback state, reset, keyboard/touch behavior, and visible feedback</t>
  </si>
  <si>
    <t xml:space="preserve">Owner Form review passed July 21, 2026</t>
  </si>
  <si>
    <t xml:space="preserve">FFB-35</t>
  </si>
  <si>
    <t xml:space="preserve">Owner approves one-control anatomy, states, relationships, orientation, composition, touch, screen-reader, and zoom behavior</t>
  </si>
  <si>
    <t xml:space="preserve">Owner Field review passed July 21, 2026</t>
  </si>
  <si>
    <t xml:space="preserve">FFB-36</t>
  </si>
  <si>
    <t xml:space="preserve">Owner approves native group anatomy, states, relationships, composition, choice interaction, direction, and preferences where available</t>
  </si>
  <si>
    <t xml:space="preserve">Owner Fieldset review passed July 21, 2026; Windows forced colors not tested (no device)</t>
  </si>
  <si>
    <t xml:space="preserve">FFB-37</t>
  </si>
  <si>
    <t xml:space="preserve">Brick Consumer public subpaths implement invalid/valid/reset email Field and native role Fieldset across desktop/mobile</t>
  </si>
  <si>
    <t xml:space="preserve">FFB-38</t>
  </si>
  <si>
    <t xml:space="preserve">No legacy Core Form component exists to retire</t>
  </si>
  <si>
    <t xml:space="preserve">ledger</t>
  </si>
  <si>
    <t xml:space="preserve">No legacy Core Form implementation</t>
  </si>
  <si>
    <t xml:space="preserve">FFB-39</t>
  </si>
  <si>
    <t xml:space="preserve">Field / Fieldset</t>
  </si>
  <si>
    <t xml:space="preserve">Legacy Core Field and Fieldset remain until dependent controls migrate to the adopted Brick foundation</t>
  </si>
  <si>
    <t xml:space="preserve">Blocked by dependent control redesign and cutover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</si>
</sst>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COUNTA(A8:A21)</f>
        <v>14</v>
      </c>
      <c r="C4" s="4" t="s">
        <v>3</v>
      </c>
      <c r="D4" s="5" t="n">
        <f aca="false">COUNTIF(N8:N21,"complete")</f>
        <v>6</v>
      </c>
      <c r="E4" s="4" t="s">
        <v>4</v>
      </c>
      <c r="F4" s="5" t="n">
        <f aca="false">SUM(H8:H21)</f>
        <v>7</v>
      </c>
      <c r="G4" s="4" t="s">
        <v>5</v>
      </c>
      <c r="H4" s="6" t="n">
        <f aca="false">IFERROR(SUMPRODUCT(B8:B21,J8:J21)/SUM(B8:B21),0)</f>
        <v>0.982857142857143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0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9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0.974358974358974</v>
      </c>
      <c r="K11" s="8" t="str">
        <f aca="false">IF(COUNTIFS(AlertDialog!E9:E47,"package",AlertDialog!M9:M47,"&lt;1")=0,"complete","open")</f>
        <v>complete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1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1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0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5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1</v>
      </c>
      <c r="K13" s="8" t="str">
        <f aca="false">IF(COUNTIFS(Badge!E9:E47,"package",Badge!M9:M47,"&lt;1")=0,"complete","open")</f>
        <v>complete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complete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0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5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1</v>
      </c>
      <c r="K14" s="8" t="str">
        <f aca="false">IF(COUNTIFS(Avatar!E9:E47,"package",Avatar!M9:M47,"&lt;1")=0,"complete","open")</f>
        <v>complete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complete</v>
      </c>
    </row>
    <row r="15" customFormat="false" ht="15" hidden="false" customHeight="true" outlineLevel="0" collapsed="false">
      <c r="A15" s="8" t="s">
        <v>26</v>
      </c>
      <c r="B15" s="8" t="n">
        <f aca="false">COUNTA(Toggle!A9:A47)</f>
        <v>39</v>
      </c>
      <c r="C15" s="8" t="n">
        <f aca="false">COUNTIF(Toggle!H9:H47,"not started")</f>
        <v>0</v>
      </c>
      <c r="D15" s="8" t="n">
        <f aca="false">COUNTIF(Toggle!H9:H47,"partial")</f>
        <v>0</v>
      </c>
      <c r="E15" s="8" t="n">
        <f aca="false">COUNTIF(Toggle!H9:H47,"implemented")</f>
        <v>0</v>
      </c>
      <c r="F15" s="8" t="n">
        <f aca="false">COUNTIF(Toggle!H9:H47,"tested")</f>
        <v>32</v>
      </c>
      <c r="G15" s="8" t="n">
        <f aca="false">COUNTIF(Toggle!H9:H47,"verified")</f>
        <v>7</v>
      </c>
      <c r="H15" s="8" t="n">
        <f aca="false">COUNTIF(Toggle!H9:H47,"blocked")</f>
        <v>0</v>
      </c>
      <c r="I15" s="8" t="n">
        <f aca="false">COUNTIF(Toggle!H9:H47,"not applicable")</f>
        <v>0</v>
      </c>
      <c r="J15" s="9" t="n">
        <f aca="false">IFERROR(SUM(Toggle!M9:M47)/SUM(Toggle!L9:L47),0)</f>
        <v>1</v>
      </c>
      <c r="K15" s="8" t="str">
        <f aca="false">IF(COUNTIFS(Toggle!E9:E47,"package",Toggle!M9:M47,"&lt;1")=0,"complete","open")</f>
        <v>complete</v>
      </c>
      <c r="L15" s="8" t="str">
        <f aca="false">IF(COUNTIFS(Toggle!E9:E47,"consumer",Toggle!M9:M47,"&lt;1")=0,"complete","open")</f>
        <v>complete</v>
      </c>
      <c r="M15" s="8" t="str">
        <f aca="false">IF(COUNTIFS(Toggle!E9:E47,"retirement",Toggle!M9:M47,"&lt;1")=0,"complete","open")</f>
        <v>complete</v>
      </c>
      <c r="N15" s="1" t="str">
        <f aca="false">IF(H15&gt;0,"blocked",IF(AND(J15=1,K15="complete",L15="complete",M15="complete"),"complete",IF(J15=0,"not started","in progress")))</f>
        <v>complete</v>
      </c>
    </row>
    <row r="16" customFormat="false" ht="15" hidden="false" customHeight="true" outlineLevel="0" collapsed="false">
      <c r="A16" s="8" t="s">
        <v>27</v>
      </c>
      <c r="B16" s="8" t="n">
        <f aca="false">COUNTA(IconButton!A9:A47)</f>
        <v>39</v>
      </c>
      <c r="C16" s="8" t="n">
        <f aca="false">COUNTIF(IconButton!H9:H47,"not started")</f>
        <v>0</v>
      </c>
      <c r="D16" s="8" t="n">
        <f aca="false">COUNTIF(IconButton!H9:H47,"partial")</f>
        <v>0</v>
      </c>
      <c r="E16" s="8" t="n">
        <f aca="false">COUNTIF(IconButton!H9:H47,"implemented")</f>
        <v>0</v>
      </c>
      <c r="F16" s="8" t="n">
        <f aca="false">COUNTIF(IconButton!H9:H47,"tested")</f>
        <v>29</v>
      </c>
      <c r="G16" s="8" t="n">
        <f aca="false">COUNTIF(IconButton!H9:H47,"verified")</f>
        <v>9</v>
      </c>
      <c r="H16" s="8" t="n">
        <f aca="false">COUNTIF(IconButton!H9:H47,"blocked")</f>
        <v>0</v>
      </c>
      <c r="I16" s="8" t="n">
        <f aca="false">COUNTIF(IconButton!H9:H47,"not applicable")</f>
        <v>1</v>
      </c>
      <c r="J16" s="9" t="n">
        <f aca="false">IFERROR(SUM(IconButton!M9:M47)/SUM(IconButton!L9:L47),0)</f>
        <v>1</v>
      </c>
      <c r="K16" s="8" t="str">
        <f aca="false">IF(COUNTIFS(IconButton!E9:E47,"package",IconButton!M9:M47,"&lt;1")=0,"complete","open")</f>
        <v>complete</v>
      </c>
      <c r="L16" s="8" t="str">
        <f aca="false">IF(COUNTIFS(IconButton!E9:E47,"consumer",IconButton!M9:M47,"&lt;1")=0,"complete","open")</f>
        <v>complete</v>
      </c>
      <c r="M16" s="8" t="str">
        <f aca="false">IF(COUNTIFS(IconButton!E9:E47,"retirement",IconButton!M9:M47,"&lt;1")=0,"complete","open")</f>
        <v>complete</v>
      </c>
      <c r="N16" s="1" t="str">
        <f aca="false">IF(H16&gt;0,"blocked",IF(AND(J16=1,K16="complete",L16="complete",M16="complete"),"complete",IF(J16=0,"not started","in progress")))</f>
        <v>complete</v>
      </c>
    </row>
    <row r="17" customFormat="false" ht="15" hidden="false" customHeight="true" outlineLevel="0" collapsed="false">
      <c r="A17" s="8" t="s">
        <v>28</v>
      </c>
      <c r="B17" s="8" t="n">
        <f aca="false">COUNTA(AppBar!A9:A47)</f>
        <v>39</v>
      </c>
      <c r="C17" s="8" t="n">
        <f aca="false">COUNTIF(AppBar!H9:H47,"not started")</f>
        <v>0</v>
      </c>
      <c r="D17" s="8" t="n">
        <f aca="false">COUNTIF(AppBar!H9:H47,"partial")</f>
        <v>0</v>
      </c>
      <c r="E17" s="8" t="n">
        <f aca="false">COUNTIF(AppBar!H9:H47,"implemented")</f>
        <v>0</v>
      </c>
      <c r="F17" s="8" t="n">
        <f aca="false">COUNTIF(AppBar!H9:H47,"tested")</f>
        <v>31</v>
      </c>
      <c r="G17" s="8" t="n">
        <f aca="false">COUNTIF(AppBar!H9:H47,"verified")</f>
        <v>8</v>
      </c>
      <c r="H17" s="8" t="n">
        <f aca="false">COUNTIF(AppBar!H9:H47,"blocked")</f>
        <v>0</v>
      </c>
      <c r="I17" s="8" t="n">
        <f aca="false">COUNTIF(AppBar!H9:H47,"not applicable")</f>
        <v>0</v>
      </c>
      <c r="J17" s="9" t="n">
        <f aca="false">IFERROR(SUM(AppBar!M9:M47)/SUM(AppBar!L9:L47),0)</f>
        <v>1</v>
      </c>
      <c r="K17" s="8" t="str">
        <f aca="false">IF(COUNTIFS(AppBar!E9:E47,"package",AppBar!M9:M47,"&lt;1")=0,"complete","open")</f>
        <v>complete</v>
      </c>
      <c r="L17" s="8" t="str">
        <f aca="false">IF(COUNTIFS(AppBar!E9:E47,"consumer",AppBar!M9:M47,"&lt;1")=0,"complete","open")</f>
        <v>complete</v>
      </c>
      <c r="M17" s="8" t="str">
        <f aca="false">IF(COUNTIFS(AppBar!E9:E47,"retirement",AppBar!M9:M47,"&lt;1")=0,"complete","open")</f>
        <v>complete</v>
      </c>
      <c r="N17" s="1" t="str">
        <f aca="false">IF(H17&gt;0,"blocked",IF(AND(J17=1,K17="complete",L17="complete",M17="complete"),"complete",IF(J17=0,"not started","in progress")))</f>
        <v>complete</v>
      </c>
    </row>
    <row r="18" customFormat="false" ht="15" hidden="false" customHeight="true" outlineLevel="0" collapsed="false">
      <c r="A18" s="8" t="s">
        <v>29</v>
      </c>
      <c r="B18" s="8" t="n">
        <f aca="false">COUNTA(Tooltip!A9:A47)</f>
        <v>39</v>
      </c>
      <c r="C18" s="8" t="n">
        <f aca="false">COUNTIF(Tooltip!H9:H47,"not started")</f>
        <v>0</v>
      </c>
      <c r="D18" s="8" t="n">
        <f aca="false">COUNTIF(Tooltip!H9:H47,"partial")</f>
        <v>0</v>
      </c>
      <c r="E18" s="8" t="n">
        <f aca="false">COUNTIF(Tooltip!H9:H47,"implemented")</f>
        <v>0</v>
      </c>
      <c r="F18" s="8" t="n">
        <f aca="false">COUNTIF(Tooltip!H9:H47,"tested")</f>
        <v>26</v>
      </c>
      <c r="G18" s="8" t="n">
        <f aca="false">COUNTIF(Tooltip!H9:H47,"verified")</f>
        <v>11</v>
      </c>
      <c r="H18" s="8" t="n">
        <f aca="false">COUNTIF(Tooltip!H9:H47,"blocked")</f>
        <v>1</v>
      </c>
      <c r="I18" s="8" t="n">
        <f aca="false">COUNTIF(Tooltip!H9:H47,"not applicable")</f>
        <v>1</v>
      </c>
      <c r="J18" s="9" t="n">
        <f aca="false">IFERROR(SUM(Tooltip!M9:M47)/SUM(Tooltip!L9:L47),0)</f>
        <v>0.974358974358974</v>
      </c>
      <c r="K18" s="8" t="str">
        <f aca="false">IF(COUNTIFS(Tooltip!E9:E47,"package",Tooltip!M9:M47,"&lt;1")=0,"complete","open")</f>
        <v>complete</v>
      </c>
      <c r="L18" s="8" t="str">
        <f aca="false">IF(COUNTIFS(Tooltip!E9:E47,"consumer",Tooltip!M9:M47,"&lt;1")=0,"complete","open")</f>
        <v>complete</v>
      </c>
      <c r="M18" s="8" t="str">
        <f aca="false">IF(COUNTIFS(Tooltip!E9:E47,"retirement",Tooltip!M9:M47,"&lt;1")=0,"complete","open")</f>
        <v>open</v>
      </c>
      <c r="N18" s="1" t="str">
        <f aca="false">IF(H18&gt;0,"blocked",IF(AND(J18=1,K18="complete",L18="complete",M18="complete"),"complete",IF(J18=0,"not started","in progress")))</f>
        <v>blocked</v>
      </c>
    </row>
    <row r="19" customFormat="false" ht="15" hidden="false" customHeight="true" outlineLevel="0" collapsed="false">
      <c r="A19" s="8" t="s">
        <v>30</v>
      </c>
      <c r="B19" s="8" t="n">
        <f aca="false">COUNTA(HoverCard!A9:A47)</f>
        <v>39</v>
      </c>
      <c r="C19" s="8" t="n">
        <f aca="false">COUNTIF(HoverCard!H9:H47,"not started")</f>
        <v>0</v>
      </c>
      <c r="D19" s="8" t="n">
        <f aca="false">COUNTIF(HoverCard!H9:H47,"partial")</f>
        <v>0</v>
      </c>
      <c r="E19" s="8" t="n">
        <f aca="false">COUNTIF(HoverCard!H9:H47,"implemented")</f>
        <v>0</v>
      </c>
      <c r="F19" s="8" t="n">
        <f aca="false">COUNTIF(HoverCard!H9:H47,"tested")</f>
        <v>27</v>
      </c>
      <c r="G19" s="8" t="n">
        <f aca="false">COUNTIF(HoverCard!H9:H47,"verified")</f>
        <v>11</v>
      </c>
      <c r="H19" s="8" t="n">
        <f aca="false">COUNTIF(HoverCard!H9:H47,"blocked")</f>
        <v>0</v>
      </c>
      <c r="I19" s="8" t="n">
        <f aca="false">COUNTIF(HoverCard!H9:H47,"not applicable")</f>
        <v>1</v>
      </c>
      <c r="J19" s="9" t="n">
        <f aca="false">IFERROR(SUM(HoverCard!M9:M47)/SUM(HoverCard!L9:L47),0)</f>
        <v>1</v>
      </c>
      <c r="K19" s="8" t="str">
        <f aca="false">IF(COUNTIFS(HoverCard!E9:E47,"package",HoverCard!M9:M47,"&lt;1")=0,"complete","open")</f>
        <v>complete</v>
      </c>
      <c r="L19" s="8" t="str">
        <f aca="false">IF(COUNTIFS(HoverCard!E9:E47,"consumer",HoverCard!M9:M47,"&lt;1")=0,"complete","open")</f>
        <v>complete</v>
      </c>
      <c r="M19" s="8" t="str">
        <f aca="false">IF(COUNTIFS(HoverCard!E9:E47,"retirement",HoverCard!M9:M47,"&lt;1")=0,"complete","open")</f>
        <v>complete</v>
      </c>
      <c r="N19" s="1" t="str">
        <f aca="false">IF(H19&gt;0,"blocked",IF(AND(J19=1,K19="complete",L19="complete",M19="complete"),"complete",IF(J19=0,"not started","in progress")))</f>
        <v>complete</v>
      </c>
    </row>
    <row r="20" customFormat="false" ht="15" hidden="false" customHeight="true" outlineLevel="0" collapsed="false">
      <c r="A20" s="8" t="s">
        <v>31</v>
      </c>
      <c r="B20" s="8" t="n">
        <f aca="false">COUNTA(Popover!A9:A47)</f>
        <v>39</v>
      </c>
      <c r="C20" s="8" t="n">
        <f aca="false">COUNTIF(Popover!H9:H47,"not started")</f>
        <v>0</v>
      </c>
      <c r="D20" s="8" t="n">
        <f aca="false">COUNTIF(Popover!H9:H47,"partial")</f>
        <v>0</v>
      </c>
      <c r="E20" s="8" t="n">
        <f aca="false">COUNTIF(Popover!H9:H47,"implemented")</f>
        <v>0</v>
      </c>
      <c r="F20" s="8" t="n">
        <f aca="false">COUNTIF(Popover!H9:H47,"tested")</f>
        <v>31</v>
      </c>
      <c r="G20" s="8" t="n">
        <f aca="false">COUNTIF(Popover!H9:H47,"verified")</f>
        <v>6</v>
      </c>
      <c r="H20" s="8" t="n">
        <f aca="false">COUNTIF(Popover!H9:H47,"blocked")</f>
        <v>1</v>
      </c>
      <c r="I20" s="8" t="n">
        <f aca="false">COUNTIF(Popover!H9:H47,"not applicable")</f>
        <v>1</v>
      </c>
      <c r="J20" s="9" t="n">
        <f aca="false">IFERROR(SUM(Popover!M9:M47)/SUM(Popover!L9:L47),0)</f>
        <v>0.974358974358974</v>
      </c>
      <c r="K20" s="8" t="str">
        <f aca="false">IF(COUNTIFS(Popover!E9:E47,"package",Popover!M9:M47,"&lt;1")=0,"complete","open")</f>
        <v>complete</v>
      </c>
      <c r="L20" s="8" t="str">
        <f aca="false">IF(COUNTIFS(Popover!E9:E47,"consumer",Popover!M9:M47,"&lt;1")=0,"complete","open")</f>
        <v>complete</v>
      </c>
      <c r="M20" s="8" t="str">
        <f aca="false">IF(COUNTIFS(Popover!E9:E47,"retirement",Popover!M9:M47,"&lt;1")=0,"complete","open")</f>
        <v>open</v>
      </c>
      <c r="N20" s="1" t="str">
        <f aca="false">IF(H20&gt;0,"blocked",IF(AND(J20=1,K20="complete",L20="complete",M20="complete"),"complete",IF(J20=0,"not started","in progress")))</f>
        <v>blocked</v>
      </c>
    </row>
    <row r="21" customFormat="false" ht="15" hidden="false" customHeight="true" outlineLevel="0" collapsed="false">
      <c r="A21" s="8" t="s">
        <v>32</v>
      </c>
      <c r="B21" s="8" t="n">
        <f aca="false">COUNTA('Form Foundation'!A9:A47)</f>
        <v>39</v>
      </c>
      <c r="C21" s="8" t="n">
        <f aca="false">COUNTIF('Form Foundation'!H9:H47,"not started")</f>
        <v>0</v>
      </c>
      <c r="D21" s="8" t="n">
        <f aca="false">COUNTIF('Form Foundation'!H9:H47,"partial")</f>
        <v>0</v>
      </c>
      <c r="E21" s="8" t="n">
        <f aca="false">COUNTIF('Form Foundation'!H9:H47,"implemented")</f>
        <v>0</v>
      </c>
      <c r="F21" s="8" t="n">
        <f aca="false">COUNTIF('Form Foundation'!H9:H47,"tested")</f>
        <v>32</v>
      </c>
      <c r="G21" s="8" t="n">
        <f aca="false">COUNTIF('Form Foundation'!H9:H47,"verified")</f>
        <v>5</v>
      </c>
      <c r="H21" s="8" t="n">
        <f aca="false">COUNTIF('Form Foundation'!H9:H47,"blocked")</f>
        <v>1</v>
      </c>
      <c r="I21" s="8" t="n">
        <f aca="false">COUNTIF('Form Foundation'!H9:H47,"not applicable")</f>
        <v>1</v>
      </c>
      <c r="J21" s="9" t="n">
        <f aca="false">IFERROR(SUM('Form Foundation'!M9:M47)/SUM('Form Foundation'!L9:L47),0)</f>
        <v>0.974358974358974</v>
      </c>
      <c r="K21" s="8" t="str">
        <f aca="false">IF(COUNTIFS('Form Foundation'!E9:E47,"package",'Form Foundation'!M9:M47,"&lt;1")=0,"complete","open")</f>
        <v>complete</v>
      </c>
      <c r="L21" s="8" t="str">
        <f aca="false">IF(COUNTIFS('Form Foundation'!E9:E47,"consumer",'Form Foundation'!M9:M47,"&lt;1")=0,"complete","open")</f>
        <v>complete</v>
      </c>
      <c r="M21" s="8" t="str">
        <f aca="false">IF(COUNTIFS('Form Foundation'!E9:E47,"retirement",'Form Foundation'!M9:M47,"&lt;1")=0,"complete","open")</f>
        <v>open</v>
      </c>
      <c r="N21" s="1" t="str">
        <f aca="false">IF(H21&gt;0,"blocked",IF(AND(J21=1,K21="complete",L21="complete",M21="complete"),"complete",IF(J21=0,"not started","in progress")))</f>
        <v>blocked</v>
      </c>
    </row>
  </sheetData>
  <autoFilter ref="A7:N20"/>
  <mergeCells count="2">
    <mergeCell ref="A1:N1"/>
    <mergeCell ref="A2:N2"/>
  </mergeCells>
  <conditionalFormatting sqref="N8:N1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33</v>
      </c>
      <c r="B1" s="2"/>
      <c r="C1" s="2"/>
      <c r="D1" s="2"/>
    </row>
    <row r="2" customFormat="false" ht="33.75" hidden="false" customHeight="true" outlineLevel="0" collapsed="false">
      <c r="A2" s="3" t="s">
        <v>34</v>
      </c>
      <c r="B2" s="3"/>
      <c r="C2" s="3"/>
      <c r="D2" s="3"/>
    </row>
    <row r="4" customFormat="false" ht="15" hidden="false" customHeight="true" outlineLevel="0" collapsed="false">
      <c r="A4" s="7" t="s">
        <v>35</v>
      </c>
      <c r="B4" s="7" t="s">
        <v>36</v>
      </c>
    </row>
    <row r="5" customFormat="false" ht="30" hidden="false" customHeight="true" outlineLevel="0" collapsed="false">
      <c r="A5" s="10" t="s">
        <v>37</v>
      </c>
      <c r="B5" s="11" t="s">
        <v>38</v>
      </c>
    </row>
    <row r="6" customFormat="false" ht="30" hidden="false" customHeight="true" outlineLevel="0" collapsed="false">
      <c r="A6" s="12" t="s">
        <v>18</v>
      </c>
      <c r="B6" s="13" t="s">
        <v>39</v>
      </c>
    </row>
    <row r="7" customFormat="false" ht="30" hidden="false" customHeight="true" outlineLevel="0" collapsed="false">
      <c r="A7" s="10" t="s">
        <v>18</v>
      </c>
      <c r="B7" s="11" t="s">
        <v>40</v>
      </c>
    </row>
    <row r="8" customFormat="false" ht="30" hidden="false" customHeight="true" outlineLevel="0" collapsed="false">
      <c r="A8" s="12" t="s">
        <v>18</v>
      </c>
      <c r="B8" s="13" t="s">
        <v>41</v>
      </c>
    </row>
    <row r="9" customFormat="false" ht="30" hidden="false" customHeight="true" outlineLevel="0" collapsed="false">
      <c r="A9" s="10" t="s">
        <v>18</v>
      </c>
      <c r="B9" s="11" t="s">
        <v>42</v>
      </c>
    </row>
    <row r="10" customFormat="false" ht="30" hidden="false" customHeight="true" outlineLevel="0" collapsed="false">
      <c r="A10" s="12" t="s">
        <v>18</v>
      </c>
      <c r="B10" s="13" t="s">
        <v>43</v>
      </c>
    </row>
    <row r="11" customFormat="false" ht="30" hidden="false" customHeight="true" outlineLevel="0" collapsed="false">
      <c r="A11" s="10" t="s">
        <v>18</v>
      </c>
      <c r="B11" s="11" t="s">
        <v>44</v>
      </c>
    </row>
    <row r="12" customFormat="false" ht="30" hidden="false" customHeight="true" outlineLevel="0" collapsed="false">
      <c r="A12" s="12" t="s">
        <v>18</v>
      </c>
      <c r="B12" s="13" t="s">
        <v>45</v>
      </c>
    </row>
    <row r="13" customFormat="false" ht="30" hidden="false" customHeight="true" outlineLevel="0" collapsed="false">
      <c r="A13" s="10" t="s">
        <v>14</v>
      </c>
      <c r="B13" s="11" t="s">
        <v>46</v>
      </c>
    </row>
    <row r="14" customFormat="false" ht="30" hidden="false" customHeight="true" outlineLevel="0" collapsed="false">
      <c r="A14" s="12" t="s">
        <v>15</v>
      </c>
      <c r="B14" s="13" t="s">
        <v>47</v>
      </c>
    </row>
    <row r="15" customFormat="false" ht="30" hidden="false" customHeight="true" outlineLevel="0" collapsed="false">
      <c r="A15" s="10" t="s">
        <v>16</v>
      </c>
      <c r="B15" s="11" t="s">
        <v>48</v>
      </c>
    </row>
    <row r="16" customFormat="false" ht="30" hidden="false" customHeight="true" outlineLevel="0" collapsed="false">
      <c r="A16" s="12" t="s">
        <v>17</v>
      </c>
      <c r="B16" s="13" t="s">
        <v>49</v>
      </c>
    </row>
    <row r="17" customFormat="false" ht="30" hidden="false" customHeight="true" outlineLevel="0" collapsed="false">
      <c r="A17" s="10" t="s">
        <v>50</v>
      </c>
      <c r="B17" s="11" t="s">
        <v>51</v>
      </c>
    </row>
    <row r="18" customFormat="false" ht="30" hidden="false" customHeight="true" outlineLevel="0" collapsed="false">
      <c r="A18" s="12" t="s">
        <v>52</v>
      </c>
      <c r="B18" s="13" t="s">
        <v>53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56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.75" hidden="false" customHeight="true" outlineLevel="0" collapsed="false">
      <c r="A9" s="15" t="s">
        <v>69</v>
      </c>
      <c r="B9" s="15" t="s">
        <v>70</v>
      </c>
      <c r="C9" s="15" t="s">
        <v>6</v>
      </c>
      <c r="D9" s="15" t="s">
        <v>71</v>
      </c>
      <c r="E9" s="15" t="s">
        <v>72</v>
      </c>
      <c r="F9" s="15" t="s">
        <v>73</v>
      </c>
      <c r="G9" s="16" t="s">
        <v>74</v>
      </c>
      <c r="H9" s="15" t="s">
        <v>75</v>
      </c>
      <c r="I9" s="15" t="s">
        <v>76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77</v>
      </c>
      <c r="B10" s="15" t="s">
        <v>78</v>
      </c>
      <c r="C10" s="15" t="s">
        <v>6</v>
      </c>
      <c r="D10" s="15" t="s">
        <v>79</v>
      </c>
      <c r="E10" s="15" t="s">
        <v>72</v>
      </c>
      <c r="F10" s="15" t="s">
        <v>80</v>
      </c>
      <c r="G10" s="16" t="s">
        <v>81</v>
      </c>
      <c r="H10" s="15" t="s">
        <v>82</v>
      </c>
      <c r="I10" s="15" t="s">
        <v>83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84</v>
      </c>
      <c r="B11" s="15" t="s">
        <v>70</v>
      </c>
      <c r="C11" s="15" t="s">
        <v>6</v>
      </c>
      <c r="D11" s="15" t="s">
        <v>85</v>
      </c>
      <c r="E11" s="15" t="s">
        <v>72</v>
      </c>
      <c r="F11" s="15" t="s">
        <v>86</v>
      </c>
      <c r="G11" s="16" t="s">
        <v>87</v>
      </c>
      <c r="H11" s="15" t="s">
        <v>75</v>
      </c>
      <c r="I11" s="15" t="s">
        <v>76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88</v>
      </c>
      <c r="B12" s="15" t="s">
        <v>70</v>
      </c>
      <c r="C12" s="15" t="s">
        <v>6</v>
      </c>
      <c r="D12" s="15" t="s">
        <v>89</v>
      </c>
      <c r="E12" s="15" t="s">
        <v>72</v>
      </c>
      <c r="F12" s="15" t="s">
        <v>86</v>
      </c>
      <c r="G12" s="16" t="s">
        <v>90</v>
      </c>
      <c r="H12" s="15" t="s">
        <v>75</v>
      </c>
      <c r="I12" s="15" t="s">
        <v>76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91</v>
      </c>
      <c r="B13" s="15" t="s">
        <v>92</v>
      </c>
      <c r="C13" s="15" t="s">
        <v>6</v>
      </c>
      <c r="D13" s="15" t="s">
        <v>93</v>
      </c>
      <c r="E13" s="15" t="s">
        <v>72</v>
      </c>
      <c r="F13" s="15" t="s">
        <v>73</v>
      </c>
      <c r="G13" s="16" t="s">
        <v>94</v>
      </c>
      <c r="H13" s="15" t="s">
        <v>75</v>
      </c>
      <c r="I13" s="15" t="s">
        <v>76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95</v>
      </c>
      <c r="B14" s="15" t="s">
        <v>92</v>
      </c>
      <c r="C14" s="15" t="s">
        <v>6</v>
      </c>
      <c r="D14" s="15" t="s">
        <v>96</v>
      </c>
      <c r="E14" s="15" t="s">
        <v>72</v>
      </c>
      <c r="F14" s="15" t="s">
        <v>73</v>
      </c>
      <c r="G14" s="16" t="s">
        <v>97</v>
      </c>
      <c r="H14" s="15" t="s">
        <v>82</v>
      </c>
      <c r="I14" s="15" t="s">
        <v>83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98</v>
      </c>
      <c r="B15" s="15" t="s">
        <v>99</v>
      </c>
      <c r="C15" s="15" t="s">
        <v>6</v>
      </c>
      <c r="D15" s="15" t="s">
        <v>100</v>
      </c>
      <c r="E15" s="15" t="s">
        <v>72</v>
      </c>
      <c r="F15" s="15" t="s">
        <v>101</v>
      </c>
      <c r="G15" s="16" t="s">
        <v>102</v>
      </c>
      <c r="H15" s="15" t="s">
        <v>82</v>
      </c>
      <c r="I15" s="15" t="s">
        <v>83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103</v>
      </c>
      <c r="B16" s="15" t="s">
        <v>99</v>
      </c>
      <c r="C16" s="15" t="s">
        <v>6</v>
      </c>
      <c r="D16" s="15" t="s">
        <v>104</v>
      </c>
      <c r="E16" s="15" t="s">
        <v>72</v>
      </c>
      <c r="F16" s="15" t="s">
        <v>101</v>
      </c>
      <c r="G16" s="16" t="s">
        <v>102</v>
      </c>
      <c r="H16" s="15" t="s">
        <v>82</v>
      </c>
      <c r="I16" s="15" t="s">
        <v>83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105</v>
      </c>
      <c r="B17" s="15" t="s">
        <v>99</v>
      </c>
      <c r="C17" s="15" t="s">
        <v>6</v>
      </c>
      <c r="D17" s="15" t="s">
        <v>106</v>
      </c>
      <c r="E17" s="15" t="s">
        <v>72</v>
      </c>
      <c r="F17" s="15" t="s">
        <v>101</v>
      </c>
      <c r="G17" s="16" t="s">
        <v>102</v>
      </c>
      <c r="H17" s="15" t="s">
        <v>82</v>
      </c>
      <c r="I17" s="15" t="s">
        <v>83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107</v>
      </c>
      <c r="B18" s="15" t="s">
        <v>99</v>
      </c>
      <c r="C18" s="15" t="s">
        <v>6</v>
      </c>
      <c r="D18" s="15" t="s">
        <v>108</v>
      </c>
      <c r="E18" s="15" t="s">
        <v>72</v>
      </c>
      <c r="F18" s="15" t="s">
        <v>101</v>
      </c>
      <c r="G18" s="16" t="s">
        <v>109</v>
      </c>
      <c r="H18" s="15" t="s">
        <v>82</v>
      </c>
      <c r="I18" s="15" t="s">
        <v>83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110</v>
      </c>
      <c r="B19" s="15" t="s">
        <v>99</v>
      </c>
      <c r="C19" s="15" t="s">
        <v>6</v>
      </c>
      <c r="D19" s="15" t="s">
        <v>111</v>
      </c>
      <c r="E19" s="15" t="s">
        <v>72</v>
      </c>
      <c r="F19" s="15" t="s">
        <v>101</v>
      </c>
      <c r="G19" s="16" t="s">
        <v>102</v>
      </c>
      <c r="H19" s="15" t="s">
        <v>82</v>
      </c>
      <c r="I19" s="15" t="s">
        <v>83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112</v>
      </c>
      <c r="B20" s="15" t="s">
        <v>99</v>
      </c>
      <c r="C20" s="15" t="s">
        <v>6</v>
      </c>
      <c r="D20" s="15" t="s">
        <v>113</v>
      </c>
      <c r="E20" s="15" t="s">
        <v>72</v>
      </c>
      <c r="F20" s="15" t="s">
        <v>101</v>
      </c>
      <c r="G20" s="16" t="s">
        <v>102</v>
      </c>
      <c r="H20" s="15" t="s">
        <v>82</v>
      </c>
      <c r="I20" s="15" t="s">
        <v>83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114</v>
      </c>
      <c r="B21" s="15" t="s">
        <v>99</v>
      </c>
      <c r="C21" s="15" t="s">
        <v>6</v>
      </c>
      <c r="D21" s="15" t="s">
        <v>115</v>
      </c>
      <c r="E21" s="15" t="s">
        <v>72</v>
      </c>
      <c r="F21" s="15" t="s">
        <v>101</v>
      </c>
      <c r="G21" s="16" t="s">
        <v>116</v>
      </c>
      <c r="H21" s="15" t="s">
        <v>75</v>
      </c>
      <c r="I21" s="15" t="s">
        <v>76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117</v>
      </c>
      <c r="B22" s="15" t="s">
        <v>118</v>
      </c>
      <c r="C22" s="15" t="s">
        <v>6</v>
      </c>
      <c r="D22" s="15" t="s">
        <v>119</v>
      </c>
      <c r="E22" s="15" t="s">
        <v>72</v>
      </c>
      <c r="F22" s="15" t="s">
        <v>120</v>
      </c>
      <c r="G22" s="16" t="s">
        <v>90</v>
      </c>
      <c r="H22" s="15" t="s">
        <v>75</v>
      </c>
      <c r="I22" s="15" t="s">
        <v>76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121</v>
      </c>
      <c r="B23" s="15" t="s">
        <v>118</v>
      </c>
      <c r="C23" s="15" t="s">
        <v>6</v>
      </c>
      <c r="D23" s="15" t="s">
        <v>122</v>
      </c>
      <c r="E23" s="15" t="s">
        <v>72</v>
      </c>
      <c r="F23" s="15" t="s">
        <v>120</v>
      </c>
      <c r="G23" s="16" t="s">
        <v>123</v>
      </c>
      <c r="H23" s="15" t="s">
        <v>75</v>
      </c>
      <c r="I23" s="15" t="s">
        <v>76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124</v>
      </c>
      <c r="B24" s="15" t="s">
        <v>118</v>
      </c>
      <c r="C24" s="15" t="s">
        <v>6</v>
      </c>
      <c r="D24" s="15" t="s">
        <v>125</v>
      </c>
      <c r="E24" s="15" t="s">
        <v>72</v>
      </c>
      <c r="F24" s="15" t="s">
        <v>120</v>
      </c>
      <c r="G24" s="16" t="s">
        <v>116</v>
      </c>
      <c r="H24" s="15" t="s">
        <v>75</v>
      </c>
      <c r="I24" s="15" t="s">
        <v>76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126</v>
      </c>
      <c r="B25" s="15" t="s">
        <v>118</v>
      </c>
      <c r="C25" s="15" t="s">
        <v>6</v>
      </c>
      <c r="D25" s="15" t="s">
        <v>127</v>
      </c>
      <c r="E25" s="15" t="s">
        <v>72</v>
      </c>
      <c r="F25" s="15" t="s">
        <v>120</v>
      </c>
      <c r="G25" s="16" t="s">
        <v>128</v>
      </c>
      <c r="H25" s="15" t="s">
        <v>75</v>
      </c>
      <c r="I25" s="15" t="s">
        <v>76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129</v>
      </c>
      <c r="B26" s="15" t="s">
        <v>118</v>
      </c>
      <c r="C26" s="15" t="s">
        <v>6</v>
      </c>
      <c r="D26" s="15" t="s">
        <v>130</v>
      </c>
      <c r="E26" s="15" t="s">
        <v>72</v>
      </c>
      <c r="F26" s="15" t="s">
        <v>120</v>
      </c>
      <c r="G26" s="15" t="s">
        <v>131</v>
      </c>
      <c r="H26" s="15" t="s">
        <v>82</v>
      </c>
      <c r="I26" s="15" t="s">
        <v>83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132</v>
      </c>
      <c r="B27" s="15" t="s">
        <v>118</v>
      </c>
      <c r="C27" s="15" t="s">
        <v>6</v>
      </c>
      <c r="D27" s="15" t="s">
        <v>133</v>
      </c>
      <c r="E27" s="15" t="s">
        <v>72</v>
      </c>
      <c r="F27" s="15" t="s">
        <v>120</v>
      </c>
      <c r="G27" s="16" t="s">
        <v>134</v>
      </c>
      <c r="H27" s="15" t="s">
        <v>75</v>
      </c>
      <c r="I27" s="15" t="s">
        <v>76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135</v>
      </c>
      <c r="B28" s="15" t="s">
        <v>118</v>
      </c>
      <c r="C28" s="15" t="s">
        <v>6</v>
      </c>
      <c r="D28" s="15" t="s">
        <v>136</v>
      </c>
      <c r="E28" s="15" t="s">
        <v>72</v>
      </c>
      <c r="F28" s="15" t="s">
        <v>120</v>
      </c>
      <c r="G28" s="16" t="s">
        <v>137</v>
      </c>
      <c r="H28" s="15" t="s">
        <v>75</v>
      </c>
      <c r="I28" s="15" t="s">
        <v>76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138</v>
      </c>
      <c r="B29" s="15" t="s">
        <v>139</v>
      </c>
      <c r="C29" s="15" t="s">
        <v>6</v>
      </c>
      <c r="D29" s="15" t="s">
        <v>140</v>
      </c>
      <c r="E29" s="15" t="s">
        <v>72</v>
      </c>
      <c r="F29" s="15" t="s">
        <v>141</v>
      </c>
      <c r="G29" s="16" t="s">
        <v>102</v>
      </c>
      <c r="H29" s="15" t="s">
        <v>75</v>
      </c>
      <c r="I29" s="15" t="s">
        <v>76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142</v>
      </c>
      <c r="B30" s="15" t="s">
        <v>139</v>
      </c>
      <c r="C30" s="15" t="s">
        <v>6</v>
      </c>
      <c r="D30" s="15" t="s">
        <v>143</v>
      </c>
      <c r="E30" s="15" t="s">
        <v>72</v>
      </c>
      <c r="F30" s="15" t="s">
        <v>141</v>
      </c>
      <c r="G30" s="15" t="s">
        <v>102</v>
      </c>
      <c r="H30" s="15" t="s">
        <v>82</v>
      </c>
      <c r="I30" s="15" t="s">
        <v>83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144</v>
      </c>
      <c r="B31" s="15" t="s">
        <v>145</v>
      </c>
      <c r="C31" s="15" t="s">
        <v>6</v>
      </c>
      <c r="D31" s="15" t="s">
        <v>146</v>
      </c>
      <c r="E31" s="15" t="s">
        <v>72</v>
      </c>
      <c r="F31" s="15" t="s">
        <v>147</v>
      </c>
      <c r="G31" s="16" t="s">
        <v>148</v>
      </c>
      <c r="H31" s="15" t="s">
        <v>82</v>
      </c>
      <c r="I31" s="15" t="s">
        <v>83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149</v>
      </c>
      <c r="B32" s="15" t="s">
        <v>145</v>
      </c>
      <c r="C32" s="15" t="s">
        <v>6</v>
      </c>
      <c r="D32" s="15" t="s">
        <v>150</v>
      </c>
      <c r="E32" s="15" t="s">
        <v>72</v>
      </c>
      <c r="F32" s="15" t="s">
        <v>147</v>
      </c>
      <c r="G32" s="16" t="s">
        <v>151</v>
      </c>
      <c r="H32" s="15" t="s">
        <v>75</v>
      </c>
      <c r="I32" s="15" t="s">
        <v>76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152</v>
      </c>
      <c r="B33" s="15" t="s">
        <v>153</v>
      </c>
      <c r="C33" s="15" t="s">
        <v>6</v>
      </c>
      <c r="D33" s="15" t="s">
        <v>154</v>
      </c>
      <c r="E33" s="15" t="s">
        <v>155</v>
      </c>
      <c r="F33" s="15" t="s">
        <v>155</v>
      </c>
      <c r="G33" s="15" t="s">
        <v>156</v>
      </c>
      <c r="H33" s="15" t="s">
        <v>82</v>
      </c>
      <c r="I33" s="15" t="s">
        <v>83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157</v>
      </c>
      <c r="B34" s="15" t="s">
        <v>158</v>
      </c>
      <c r="C34" s="15" t="s">
        <v>6</v>
      </c>
      <c r="D34" s="15" t="s">
        <v>159</v>
      </c>
      <c r="E34" s="15" t="s">
        <v>160</v>
      </c>
      <c r="F34" s="15" t="s">
        <v>161</v>
      </c>
      <c r="G34" s="15"/>
      <c r="H34" s="15" t="s">
        <v>162</v>
      </c>
      <c r="I34" s="15" t="s">
        <v>83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164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56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.75" hidden="false" customHeight="true" outlineLevel="0" collapsed="false">
      <c r="A9" s="15" t="s">
        <v>165</v>
      </c>
      <c r="B9" s="15" t="s">
        <v>70</v>
      </c>
      <c r="C9" s="15" t="s">
        <v>166</v>
      </c>
      <c r="D9" s="15" t="s">
        <v>167</v>
      </c>
      <c r="E9" s="15" t="s">
        <v>72</v>
      </c>
      <c r="F9" s="15" t="s">
        <v>73</v>
      </c>
      <c r="G9" s="15" t="s">
        <v>168</v>
      </c>
      <c r="H9" s="15" t="s">
        <v>75</v>
      </c>
      <c r="I9" s="15" t="s">
        <v>76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169</v>
      </c>
      <c r="B10" s="15" t="s">
        <v>78</v>
      </c>
      <c r="C10" s="15" t="s">
        <v>6</v>
      </c>
      <c r="D10" s="15" t="s">
        <v>170</v>
      </c>
      <c r="E10" s="15" t="s">
        <v>72</v>
      </c>
      <c r="F10" s="15" t="s">
        <v>80</v>
      </c>
      <c r="G10" s="15" t="s">
        <v>171</v>
      </c>
      <c r="H10" s="15" t="s">
        <v>82</v>
      </c>
      <c r="I10" s="15" t="s">
        <v>83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172</v>
      </c>
      <c r="B11" s="15" t="s">
        <v>70</v>
      </c>
      <c r="C11" s="15" t="s">
        <v>166</v>
      </c>
      <c r="D11" s="15" t="s">
        <v>173</v>
      </c>
      <c r="E11" s="15" t="s">
        <v>72</v>
      </c>
      <c r="F11" s="15" t="s">
        <v>86</v>
      </c>
      <c r="G11" s="15" t="s">
        <v>174</v>
      </c>
      <c r="H11" s="15" t="s">
        <v>75</v>
      </c>
      <c r="I11" s="15" t="s">
        <v>76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175</v>
      </c>
      <c r="B12" s="15" t="s">
        <v>70</v>
      </c>
      <c r="C12" s="15" t="s">
        <v>176</v>
      </c>
      <c r="D12" s="15" t="s">
        <v>177</v>
      </c>
      <c r="E12" s="15" t="s">
        <v>72</v>
      </c>
      <c r="F12" s="15" t="s">
        <v>120</v>
      </c>
      <c r="G12" s="15" t="s">
        <v>178</v>
      </c>
      <c r="H12" s="15" t="s">
        <v>75</v>
      </c>
      <c r="I12" s="15" t="s">
        <v>76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179</v>
      </c>
      <c r="B13" s="15" t="s">
        <v>50</v>
      </c>
      <c r="C13" s="15" t="s">
        <v>180</v>
      </c>
      <c r="D13" s="15" t="s">
        <v>181</v>
      </c>
      <c r="E13" s="15" t="s">
        <v>72</v>
      </c>
      <c r="F13" s="15" t="s">
        <v>120</v>
      </c>
      <c r="G13" s="15" t="s">
        <v>178</v>
      </c>
      <c r="H13" s="15" t="s">
        <v>75</v>
      </c>
      <c r="I13" s="15" t="s">
        <v>76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182</v>
      </c>
      <c r="B14" s="15" t="s">
        <v>50</v>
      </c>
      <c r="C14" s="15" t="s">
        <v>183</v>
      </c>
      <c r="D14" s="15" t="s">
        <v>184</v>
      </c>
      <c r="E14" s="15" t="s">
        <v>72</v>
      </c>
      <c r="F14" s="15" t="s">
        <v>141</v>
      </c>
      <c r="G14" s="15" t="s">
        <v>185</v>
      </c>
      <c r="H14" s="15" t="s">
        <v>82</v>
      </c>
      <c r="I14" s="15" t="s">
        <v>83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186</v>
      </c>
      <c r="B15" s="15" t="s">
        <v>50</v>
      </c>
      <c r="C15" s="15" t="s">
        <v>187</v>
      </c>
      <c r="D15" s="15" t="s">
        <v>188</v>
      </c>
      <c r="E15" s="15" t="s">
        <v>72</v>
      </c>
      <c r="F15" s="15" t="s">
        <v>120</v>
      </c>
      <c r="G15" s="15" t="s">
        <v>178</v>
      </c>
      <c r="H15" s="15" t="s">
        <v>75</v>
      </c>
      <c r="I15" s="15" t="s">
        <v>76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189</v>
      </c>
      <c r="B16" s="15" t="s">
        <v>50</v>
      </c>
      <c r="C16" s="15" t="s">
        <v>190</v>
      </c>
      <c r="D16" s="15" t="s">
        <v>191</v>
      </c>
      <c r="E16" s="15" t="s">
        <v>72</v>
      </c>
      <c r="F16" s="15" t="s">
        <v>120</v>
      </c>
      <c r="G16" s="15" t="s">
        <v>178</v>
      </c>
      <c r="H16" s="15" t="s">
        <v>75</v>
      </c>
      <c r="I16" s="15" t="s">
        <v>76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192</v>
      </c>
      <c r="B17" s="15" t="s">
        <v>50</v>
      </c>
      <c r="C17" s="15" t="s">
        <v>193</v>
      </c>
      <c r="D17" s="15" t="s">
        <v>194</v>
      </c>
      <c r="E17" s="15" t="s">
        <v>72</v>
      </c>
      <c r="F17" s="15" t="s">
        <v>120</v>
      </c>
      <c r="G17" s="15" t="s">
        <v>195</v>
      </c>
      <c r="H17" s="15" t="s">
        <v>75</v>
      </c>
      <c r="I17" s="15" t="s">
        <v>76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196</v>
      </c>
      <c r="B18" s="15" t="s">
        <v>50</v>
      </c>
      <c r="C18" s="15" t="s">
        <v>197</v>
      </c>
      <c r="D18" s="15" t="s">
        <v>198</v>
      </c>
      <c r="E18" s="15" t="s">
        <v>72</v>
      </c>
      <c r="F18" s="15" t="s">
        <v>120</v>
      </c>
      <c r="G18" s="15" t="s">
        <v>178</v>
      </c>
      <c r="H18" s="15" t="s">
        <v>75</v>
      </c>
      <c r="I18" s="15" t="s">
        <v>76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199</v>
      </c>
      <c r="B19" s="15" t="s">
        <v>50</v>
      </c>
      <c r="C19" s="15" t="s">
        <v>200</v>
      </c>
      <c r="D19" s="15" t="s">
        <v>201</v>
      </c>
      <c r="E19" s="15" t="s">
        <v>72</v>
      </c>
      <c r="F19" s="15" t="s">
        <v>141</v>
      </c>
      <c r="G19" s="15" t="s">
        <v>185</v>
      </c>
      <c r="H19" s="15" t="s">
        <v>82</v>
      </c>
      <c r="I19" s="15" t="s">
        <v>83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202</v>
      </c>
      <c r="B20" s="15" t="s">
        <v>92</v>
      </c>
      <c r="C20" s="15" t="s">
        <v>176</v>
      </c>
      <c r="D20" s="15" t="s">
        <v>203</v>
      </c>
      <c r="E20" s="15" t="s">
        <v>72</v>
      </c>
      <c r="F20" s="15" t="s">
        <v>73</v>
      </c>
      <c r="G20" s="15" t="s">
        <v>204</v>
      </c>
      <c r="H20" s="15" t="s">
        <v>75</v>
      </c>
      <c r="I20" s="15" t="s">
        <v>76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205</v>
      </c>
      <c r="B21" s="15" t="s">
        <v>92</v>
      </c>
      <c r="C21" s="15" t="s">
        <v>180</v>
      </c>
      <c r="D21" s="15" t="s">
        <v>206</v>
      </c>
      <c r="E21" s="15" t="s">
        <v>72</v>
      </c>
      <c r="F21" s="15" t="s">
        <v>141</v>
      </c>
      <c r="G21" s="15" t="s">
        <v>185</v>
      </c>
      <c r="H21" s="15" t="s">
        <v>82</v>
      </c>
      <c r="I21" s="15" t="s">
        <v>83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207</v>
      </c>
      <c r="B22" s="15" t="s">
        <v>99</v>
      </c>
      <c r="C22" s="15" t="s">
        <v>176</v>
      </c>
      <c r="D22" s="15" t="s">
        <v>208</v>
      </c>
      <c r="E22" s="15" t="s">
        <v>72</v>
      </c>
      <c r="F22" s="15" t="s">
        <v>101</v>
      </c>
      <c r="G22" s="15" t="s">
        <v>185</v>
      </c>
      <c r="H22" s="15" t="s">
        <v>82</v>
      </c>
      <c r="I22" s="15" t="s">
        <v>83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209</v>
      </c>
      <c r="B23" s="15" t="s">
        <v>99</v>
      </c>
      <c r="C23" s="15" t="s">
        <v>180</v>
      </c>
      <c r="D23" s="15" t="s">
        <v>210</v>
      </c>
      <c r="E23" s="15" t="s">
        <v>72</v>
      </c>
      <c r="F23" s="15" t="s">
        <v>101</v>
      </c>
      <c r="G23" s="15" t="s">
        <v>195</v>
      </c>
      <c r="H23" s="15" t="s">
        <v>82</v>
      </c>
      <c r="I23" s="15" t="s">
        <v>83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211</v>
      </c>
      <c r="B24" s="15" t="s">
        <v>99</v>
      </c>
      <c r="C24" s="15" t="s">
        <v>176</v>
      </c>
      <c r="D24" s="15" t="s">
        <v>212</v>
      </c>
      <c r="E24" s="15" t="s">
        <v>72</v>
      </c>
      <c r="F24" s="15" t="s">
        <v>141</v>
      </c>
      <c r="G24" s="15" t="s">
        <v>185</v>
      </c>
      <c r="H24" s="15" t="s">
        <v>82</v>
      </c>
      <c r="I24" s="15" t="s">
        <v>83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213</v>
      </c>
      <c r="B25" s="15" t="s">
        <v>99</v>
      </c>
      <c r="C25" s="15" t="s">
        <v>180</v>
      </c>
      <c r="D25" s="15" t="s">
        <v>214</v>
      </c>
      <c r="E25" s="15" t="s">
        <v>72</v>
      </c>
      <c r="F25" s="15" t="s">
        <v>120</v>
      </c>
      <c r="G25" s="15" t="s">
        <v>109</v>
      </c>
      <c r="H25" s="15" t="s">
        <v>82</v>
      </c>
      <c r="I25" s="15" t="s">
        <v>83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215</v>
      </c>
      <c r="B26" s="15" t="s">
        <v>99</v>
      </c>
      <c r="C26" s="15" t="s">
        <v>176</v>
      </c>
      <c r="D26" s="15" t="s">
        <v>216</v>
      </c>
      <c r="E26" s="15" t="s">
        <v>72</v>
      </c>
      <c r="F26" s="15" t="s">
        <v>141</v>
      </c>
      <c r="G26" s="15" t="s">
        <v>185</v>
      </c>
      <c r="H26" s="15" t="s">
        <v>82</v>
      </c>
      <c r="I26" s="15" t="s">
        <v>83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217</v>
      </c>
      <c r="B27" s="15" t="s">
        <v>99</v>
      </c>
      <c r="C27" s="15" t="s">
        <v>176</v>
      </c>
      <c r="D27" s="15" t="s">
        <v>218</v>
      </c>
      <c r="E27" s="15" t="s">
        <v>72</v>
      </c>
      <c r="F27" s="15" t="s">
        <v>141</v>
      </c>
      <c r="G27" s="15" t="s">
        <v>185</v>
      </c>
      <c r="H27" s="15" t="s">
        <v>82</v>
      </c>
      <c r="I27" s="15" t="s">
        <v>83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219</v>
      </c>
      <c r="B28" s="15" t="s">
        <v>99</v>
      </c>
      <c r="C28" s="15" t="s">
        <v>6</v>
      </c>
      <c r="D28" s="15" t="s">
        <v>220</v>
      </c>
      <c r="E28" s="15" t="s">
        <v>72</v>
      </c>
      <c r="F28" s="15" t="s">
        <v>101</v>
      </c>
      <c r="G28" s="15" t="s">
        <v>195</v>
      </c>
      <c r="H28" s="15" t="s">
        <v>75</v>
      </c>
      <c r="I28" s="15" t="s">
        <v>76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221</v>
      </c>
      <c r="B29" s="15" t="s">
        <v>118</v>
      </c>
      <c r="C29" s="15" t="s">
        <v>176</v>
      </c>
      <c r="D29" s="15" t="s">
        <v>222</v>
      </c>
      <c r="E29" s="15" t="s">
        <v>72</v>
      </c>
      <c r="F29" s="15" t="s">
        <v>120</v>
      </c>
      <c r="G29" s="15" t="s">
        <v>178</v>
      </c>
      <c r="H29" s="15" t="s">
        <v>75</v>
      </c>
      <c r="I29" s="15" t="s">
        <v>76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223</v>
      </c>
      <c r="B30" s="15" t="s">
        <v>118</v>
      </c>
      <c r="C30" s="15" t="s">
        <v>166</v>
      </c>
      <c r="D30" s="15" t="s">
        <v>224</v>
      </c>
      <c r="E30" s="15" t="s">
        <v>72</v>
      </c>
      <c r="F30" s="15" t="s">
        <v>120</v>
      </c>
      <c r="G30" s="15" t="s">
        <v>123</v>
      </c>
      <c r="H30" s="15" t="s">
        <v>75</v>
      </c>
      <c r="I30" s="15" t="s">
        <v>76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225</v>
      </c>
      <c r="B31" s="15" t="s">
        <v>118</v>
      </c>
      <c r="C31" s="15" t="s">
        <v>180</v>
      </c>
      <c r="D31" s="15" t="s">
        <v>226</v>
      </c>
      <c r="E31" s="15" t="s">
        <v>72</v>
      </c>
      <c r="F31" s="15" t="s">
        <v>120</v>
      </c>
      <c r="G31" s="15" t="s">
        <v>195</v>
      </c>
      <c r="H31" s="15" t="s">
        <v>75</v>
      </c>
      <c r="I31" s="15" t="s">
        <v>76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227</v>
      </c>
      <c r="B32" s="15" t="s">
        <v>118</v>
      </c>
      <c r="C32" s="15" t="s">
        <v>180</v>
      </c>
      <c r="D32" s="15" t="s">
        <v>228</v>
      </c>
      <c r="E32" s="15" t="s">
        <v>72</v>
      </c>
      <c r="F32" s="15" t="s">
        <v>120</v>
      </c>
      <c r="G32" s="15" t="s">
        <v>128</v>
      </c>
      <c r="H32" s="15" t="s">
        <v>75</v>
      </c>
      <c r="I32" s="15" t="s">
        <v>76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229</v>
      </c>
      <c r="B33" s="15" t="s">
        <v>118</v>
      </c>
      <c r="C33" s="15" t="s">
        <v>180</v>
      </c>
      <c r="D33" s="15" t="s">
        <v>230</v>
      </c>
      <c r="E33" s="15" t="s">
        <v>72</v>
      </c>
      <c r="F33" s="15" t="s">
        <v>120</v>
      </c>
      <c r="G33" s="15" t="s">
        <v>131</v>
      </c>
      <c r="H33" s="15" t="s">
        <v>82</v>
      </c>
      <c r="I33" s="15" t="s">
        <v>83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231</v>
      </c>
      <c r="B34" s="15" t="s">
        <v>118</v>
      </c>
      <c r="C34" s="15" t="s">
        <v>176</v>
      </c>
      <c r="D34" s="15" t="s">
        <v>232</v>
      </c>
      <c r="E34" s="15" t="s">
        <v>72</v>
      </c>
      <c r="F34" s="15" t="s">
        <v>120</v>
      </c>
      <c r="G34" s="15" t="s">
        <v>233</v>
      </c>
      <c r="H34" s="15" t="s">
        <v>75</v>
      </c>
      <c r="I34" s="15" t="s">
        <v>76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234</v>
      </c>
      <c r="B35" s="15" t="s">
        <v>118</v>
      </c>
      <c r="C35" s="15" t="s">
        <v>6</v>
      </c>
      <c r="D35" s="15" t="s">
        <v>235</v>
      </c>
      <c r="E35" s="15" t="s">
        <v>72</v>
      </c>
      <c r="F35" s="15" t="s">
        <v>120</v>
      </c>
      <c r="G35" s="15" t="s">
        <v>236</v>
      </c>
      <c r="H35" s="15" t="s">
        <v>75</v>
      </c>
      <c r="I35" s="15" t="s">
        <v>76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237</v>
      </c>
      <c r="B36" s="15" t="s">
        <v>139</v>
      </c>
      <c r="C36" s="15" t="s">
        <v>6</v>
      </c>
      <c r="D36" s="15" t="s">
        <v>238</v>
      </c>
      <c r="E36" s="15" t="s">
        <v>72</v>
      </c>
      <c r="F36" s="15" t="s">
        <v>141</v>
      </c>
      <c r="G36" s="15" t="s">
        <v>185</v>
      </c>
      <c r="H36" s="15" t="s">
        <v>75</v>
      </c>
      <c r="I36" s="15" t="s">
        <v>76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239</v>
      </c>
      <c r="B37" s="15" t="s">
        <v>139</v>
      </c>
      <c r="C37" s="15" t="s">
        <v>176</v>
      </c>
      <c r="D37" s="15" t="s">
        <v>240</v>
      </c>
      <c r="E37" s="15" t="s">
        <v>72</v>
      </c>
      <c r="F37" s="15" t="s">
        <v>141</v>
      </c>
      <c r="G37" s="15" t="s">
        <v>185</v>
      </c>
      <c r="H37" s="15" t="s">
        <v>82</v>
      </c>
      <c r="I37" s="15" t="s">
        <v>83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241</v>
      </c>
      <c r="B38" s="15" t="s">
        <v>145</v>
      </c>
      <c r="C38" s="15" t="s">
        <v>6</v>
      </c>
      <c r="D38" s="15" t="s">
        <v>242</v>
      </c>
      <c r="E38" s="15" t="s">
        <v>72</v>
      </c>
      <c r="F38" s="15" t="s">
        <v>147</v>
      </c>
      <c r="G38" s="15" t="s">
        <v>243</v>
      </c>
      <c r="H38" s="15" t="s">
        <v>82</v>
      </c>
      <c r="I38" s="15" t="s">
        <v>83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244</v>
      </c>
      <c r="B39" s="15" t="s">
        <v>145</v>
      </c>
      <c r="C39" s="15" t="s">
        <v>6</v>
      </c>
      <c r="D39" s="15" t="s">
        <v>245</v>
      </c>
      <c r="E39" s="15" t="s">
        <v>72</v>
      </c>
      <c r="F39" s="15" t="s">
        <v>147</v>
      </c>
      <c r="G39" s="15" t="s">
        <v>246</v>
      </c>
      <c r="H39" s="15" t="s">
        <v>75</v>
      </c>
      <c r="I39" s="15" t="s">
        <v>76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247</v>
      </c>
      <c r="B40" s="15" t="s">
        <v>153</v>
      </c>
      <c r="C40" s="15" t="s">
        <v>6</v>
      </c>
      <c r="D40" s="15" t="s">
        <v>248</v>
      </c>
      <c r="E40" s="15" t="s">
        <v>155</v>
      </c>
      <c r="F40" s="15" t="s">
        <v>155</v>
      </c>
      <c r="G40" s="15" t="s">
        <v>156</v>
      </c>
      <c r="H40" s="15" t="s">
        <v>82</v>
      </c>
      <c r="I40" s="15" t="s">
        <v>83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249</v>
      </c>
      <c r="B41" s="15" t="s">
        <v>158</v>
      </c>
      <c r="C41" s="15" t="s">
        <v>250</v>
      </c>
      <c r="D41" s="15" t="s">
        <v>251</v>
      </c>
      <c r="E41" s="15" t="s">
        <v>160</v>
      </c>
      <c r="F41" s="15" t="s">
        <v>161</v>
      </c>
      <c r="G41" s="15" t="s">
        <v>252</v>
      </c>
      <c r="H41" s="15" t="s">
        <v>253</v>
      </c>
      <c r="I41" s="15" t="s">
        <v>83</v>
      </c>
      <c r="J41" s="17" t="n">
        <v>46220</v>
      </c>
      <c r="K41" s="15" t="s">
        <v>254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256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56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257</v>
      </c>
      <c r="B9" s="15" t="s">
        <v>70</v>
      </c>
      <c r="C9" s="15" t="s">
        <v>6</v>
      </c>
      <c r="D9" s="15" t="s">
        <v>258</v>
      </c>
      <c r="E9" s="15" t="s">
        <v>72</v>
      </c>
      <c r="F9" s="15" t="s">
        <v>73</v>
      </c>
      <c r="G9" s="15" t="s">
        <v>259</v>
      </c>
      <c r="H9" s="15" t="s">
        <v>75</v>
      </c>
      <c r="I9" s="15" t="s">
        <v>76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260</v>
      </c>
      <c r="B10" s="15" t="s">
        <v>78</v>
      </c>
      <c r="C10" s="15" t="s">
        <v>6</v>
      </c>
      <c r="D10" s="15" t="s">
        <v>261</v>
      </c>
      <c r="E10" s="15" t="s">
        <v>72</v>
      </c>
      <c r="F10" s="15" t="s">
        <v>80</v>
      </c>
      <c r="G10" s="15" t="s">
        <v>262</v>
      </c>
      <c r="H10" s="15" t="s">
        <v>82</v>
      </c>
      <c r="I10" s="15" t="s">
        <v>83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263</v>
      </c>
      <c r="B11" s="15" t="s">
        <v>70</v>
      </c>
      <c r="C11" s="15" t="s">
        <v>166</v>
      </c>
      <c r="D11" s="15" t="s">
        <v>264</v>
      </c>
      <c r="E11" s="15" t="s">
        <v>72</v>
      </c>
      <c r="F11" s="15" t="s">
        <v>86</v>
      </c>
      <c r="G11" s="15" t="s">
        <v>123</v>
      </c>
      <c r="H11" s="15" t="s">
        <v>75</v>
      </c>
      <c r="I11" s="15" t="s">
        <v>76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265</v>
      </c>
      <c r="B12" s="15" t="s">
        <v>50</v>
      </c>
      <c r="C12" s="15" t="s">
        <v>180</v>
      </c>
      <c r="D12" s="15" t="s">
        <v>266</v>
      </c>
      <c r="E12" s="15" t="s">
        <v>72</v>
      </c>
      <c r="F12" s="15" t="s">
        <v>120</v>
      </c>
      <c r="G12" s="15" t="s">
        <v>267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268</v>
      </c>
      <c r="B13" s="15" t="s">
        <v>50</v>
      </c>
      <c r="C13" s="15" t="s">
        <v>269</v>
      </c>
      <c r="D13" s="15" t="s">
        <v>270</v>
      </c>
      <c r="E13" s="15" t="s">
        <v>72</v>
      </c>
      <c r="F13" s="15" t="s">
        <v>120</v>
      </c>
      <c r="G13" s="15" t="s">
        <v>267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271</v>
      </c>
      <c r="B14" s="15" t="s">
        <v>50</v>
      </c>
      <c r="C14" s="15" t="s">
        <v>272</v>
      </c>
      <c r="D14" s="15" t="s">
        <v>273</v>
      </c>
      <c r="E14" s="15" t="s">
        <v>72</v>
      </c>
      <c r="F14" s="15" t="s">
        <v>120</v>
      </c>
      <c r="G14" s="15" t="s">
        <v>274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275</v>
      </c>
      <c r="B15" s="15" t="s">
        <v>50</v>
      </c>
      <c r="C15" s="15" t="s">
        <v>276</v>
      </c>
      <c r="D15" s="15" t="s">
        <v>277</v>
      </c>
      <c r="E15" s="15" t="s">
        <v>72</v>
      </c>
      <c r="F15" s="15" t="s">
        <v>120</v>
      </c>
      <c r="G15" s="15" t="s">
        <v>278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279</v>
      </c>
      <c r="B16" s="15" t="s">
        <v>50</v>
      </c>
      <c r="C16" s="15" t="s">
        <v>197</v>
      </c>
      <c r="D16" s="15" t="s">
        <v>280</v>
      </c>
      <c r="E16" s="15" t="s">
        <v>72</v>
      </c>
      <c r="F16" s="15" t="s">
        <v>120</v>
      </c>
      <c r="G16" s="15" t="s">
        <v>267</v>
      </c>
      <c r="H16" s="15" t="s">
        <v>75</v>
      </c>
      <c r="I16" s="15" t="s">
        <v>76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281</v>
      </c>
      <c r="B17" s="15" t="s">
        <v>50</v>
      </c>
      <c r="C17" s="15" t="s">
        <v>183</v>
      </c>
      <c r="D17" s="15" t="s">
        <v>282</v>
      </c>
      <c r="E17" s="15" t="s">
        <v>72</v>
      </c>
      <c r="F17" s="15" t="s">
        <v>120</v>
      </c>
      <c r="G17" s="15" t="s">
        <v>267</v>
      </c>
      <c r="H17" s="15" t="s">
        <v>75</v>
      </c>
      <c r="I17" s="15" t="s">
        <v>76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283</v>
      </c>
      <c r="B18" s="15" t="s">
        <v>50</v>
      </c>
      <c r="C18" s="15" t="s">
        <v>187</v>
      </c>
      <c r="D18" s="15" t="s">
        <v>284</v>
      </c>
      <c r="E18" s="15" t="s">
        <v>72</v>
      </c>
      <c r="F18" s="15" t="s">
        <v>120</v>
      </c>
      <c r="G18" s="15" t="s">
        <v>267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285</v>
      </c>
      <c r="B19" s="15" t="s">
        <v>50</v>
      </c>
      <c r="C19" s="15" t="s">
        <v>190</v>
      </c>
      <c r="D19" s="15" t="s">
        <v>286</v>
      </c>
      <c r="E19" s="15" t="s">
        <v>72</v>
      </c>
      <c r="F19" s="15" t="s">
        <v>120</v>
      </c>
      <c r="G19" s="15" t="s">
        <v>267</v>
      </c>
      <c r="H19" s="15" t="s">
        <v>75</v>
      </c>
      <c r="I19" s="15" t="s">
        <v>76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287</v>
      </c>
      <c r="B20" s="15" t="s">
        <v>50</v>
      </c>
      <c r="C20" s="15" t="s">
        <v>288</v>
      </c>
      <c r="D20" s="15" t="s">
        <v>289</v>
      </c>
      <c r="E20" s="15" t="s">
        <v>72</v>
      </c>
      <c r="F20" s="15" t="s">
        <v>141</v>
      </c>
      <c r="G20" s="15" t="s">
        <v>290</v>
      </c>
      <c r="H20" s="15" t="s">
        <v>82</v>
      </c>
      <c r="I20" s="15" t="s">
        <v>83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291</v>
      </c>
      <c r="B21" s="15" t="s">
        <v>50</v>
      </c>
      <c r="C21" s="15" t="s">
        <v>200</v>
      </c>
      <c r="D21" s="15" t="s">
        <v>292</v>
      </c>
      <c r="E21" s="15" t="s">
        <v>72</v>
      </c>
      <c r="F21" s="15" t="s">
        <v>141</v>
      </c>
      <c r="G21" s="15" t="s">
        <v>290</v>
      </c>
      <c r="H21" s="15" t="s">
        <v>82</v>
      </c>
      <c r="I21" s="15" t="s">
        <v>83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293</v>
      </c>
      <c r="B22" s="15" t="s">
        <v>50</v>
      </c>
      <c r="C22" s="15" t="s">
        <v>294</v>
      </c>
      <c r="D22" s="15" t="s">
        <v>295</v>
      </c>
      <c r="E22" s="15" t="s">
        <v>72</v>
      </c>
      <c r="F22" s="15" t="s">
        <v>120</v>
      </c>
      <c r="G22" s="15" t="s">
        <v>267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296</v>
      </c>
      <c r="B23" s="15" t="s">
        <v>50</v>
      </c>
      <c r="C23" s="15" t="s">
        <v>297</v>
      </c>
      <c r="D23" s="15" t="s">
        <v>298</v>
      </c>
      <c r="E23" s="15" t="s">
        <v>72</v>
      </c>
      <c r="F23" s="15" t="s">
        <v>120</v>
      </c>
      <c r="G23" s="15" t="s">
        <v>267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299</v>
      </c>
      <c r="B24" s="15" t="s">
        <v>92</v>
      </c>
      <c r="C24" s="15" t="s">
        <v>176</v>
      </c>
      <c r="D24" s="15" t="s">
        <v>300</v>
      </c>
      <c r="E24" s="15" t="s">
        <v>72</v>
      </c>
      <c r="F24" s="15" t="s">
        <v>73</v>
      </c>
      <c r="G24" s="15" t="s">
        <v>301</v>
      </c>
      <c r="H24" s="15" t="s">
        <v>75</v>
      </c>
      <c r="I24" s="15" t="s">
        <v>76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302</v>
      </c>
      <c r="B25" s="15" t="s">
        <v>92</v>
      </c>
      <c r="C25" s="15" t="s">
        <v>197</v>
      </c>
      <c r="D25" s="15" t="s">
        <v>303</v>
      </c>
      <c r="E25" s="15" t="s">
        <v>72</v>
      </c>
      <c r="F25" s="15" t="s">
        <v>141</v>
      </c>
      <c r="G25" s="15" t="s">
        <v>290</v>
      </c>
      <c r="H25" s="15" t="s">
        <v>82</v>
      </c>
      <c r="I25" s="15" t="s">
        <v>83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304</v>
      </c>
      <c r="B26" s="15" t="s">
        <v>99</v>
      </c>
      <c r="C26" s="15" t="s">
        <v>176</v>
      </c>
      <c r="D26" s="15" t="s">
        <v>305</v>
      </c>
      <c r="E26" s="15" t="s">
        <v>72</v>
      </c>
      <c r="F26" s="15" t="s">
        <v>101</v>
      </c>
      <c r="G26" s="15" t="s">
        <v>290</v>
      </c>
      <c r="H26" s="15" t="s">
        <v>82</v>
      </c>
      <c r="I26" s="15" t="s">
        <v>83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306</v>
      </c>
      <c r="B27" s="15" t="s">
        <v>99</v>
      </c>
      <c r="C27" s="15" t="s">
        <v>6</v>
      </c>
      <c r="D27" s="15" t="s">
        <v>307</v>
      </c>
      <c r="E27" s="15" t="s">
        <v>72</v>
      </c>
      <c r="F27" s="15" t="s">
        <v>101</v>
      </c>
      <c r="G27" s="15" t="s">
        <v>278</v>
      </c>
      <c r="H27" s="15" t="s">
        <v>82</v>
      </c>
      <c r="I27" s="15" t="s">
        <v>83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308</v>
      </c>
      <c r="B28" s="15" t="s">
        <v>99</v>
      </c>
      <c r="C28" s="15" t="s">
        <v>197</v>
      </c>
      <c r="D28" s="15" t="s">
        <v>309</v>
      </c>
      <c r="E28" s="15" t="s">
        <v>72</v>
      </c>
      <c r="F28" s="15" t="s">
        <v>141</v>
      </c>
      <c r="G28" s="15" t="s">
        <v>290</v>
      </c>
      <c r="H28" s="15" t="s">
        <v>82</v>
      </c>
      <c r="I28" s="15" t="s">
        <v>83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310</v>
      </c>
      <c r="B29" s="15" t="s">
        <v>99</v>
      </c>
      <c r="C29" s="15" t="s">
        <v>176</v>
      </c>
      <c r="D29" s="15" t="s">
        <v>311</v>
      </c>
      <c r="E29" s="15" t="s">
        <v>72</v>
      </c>
      <c r="F29" s="15" t="s">
        <v>120</v>
      </c>
      <c r="G29" s="15" t="s">
        <v>131</v>
      </c>
      <c r="H29" s="15" t="s">
        <v>82</v>
      </c>
      <c r="I29" s="15" t="s">
        <v>83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312</v>
      </c>
      <c r="B30" s="15" t="s">
        <v>99</v>
      </c>
      <c r="C30" s="15" t="s">
        <v>176</v>
      </c>
      <c r="D30" s="15" t="s">
        <v>313</v>
      </c>
      <c r="E30" s="15" t="s">
        <v>72</v>
      </c>
      <c r="F30" s="15" t="s">
        <v>141</v>
      </c>
      <c r="G30" s="15" t="s">
        <v>290</v>
      </c>
      <c r="H30" s="15" t="s">
        <v>82</v>
      </c>
      <c r="I30" s="15" t="s">
        <v>83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314</v>
      </c>
      <c r="B31" s="15" t="s">
        <v>99</v>
      </c>
      <c r="C31" s="15" t="s">
        <v>176</v>
      </c>
      <c r="D31" s="15" t="s">
        <v>315</v>
      </c>
      <c r="E31" s="15" t="s">
        <v>72</v>
      </c>
      <c r="F31" s="15" t="s">
        <v>141</v>
      </c>
      <c r="G31" s="15" t="s">
        <v>290</v>
      </c>
      <c r="H31" s="15" t="s">
        <v>82</v>
      </c>
      <c r="I31" s="15" t="s">
        <v>83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316</v>
      </c>
      <c r="B32" s="15" t="s">
        <v>99</v>
      </c>
      <c r="C32" s="15" t="s">
        <v>6</v>
      </c>
      <c r="D32" s="15" t="s">
        <v>317</v>
      </c>
      <c r="E32" s="15" t="s">
        <v>72</v>
      </c>
      <c r="F32" s="15" t="s">
        <v>101</v>
      </c>
      <c r="G32" s="15" t="s">
        <v>278</v>
      </c>
      <c r="H32" s="15" t="s">
        <v>75</v>
      </c>
      <c r="I32" s="15" t="s">
        <v>76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318</v>
      </c>
      <c r="B33" s="15" t="s">
        <v>118</v>
      </c>
      <c r="C33" s="15" t="s">
        <v>176</v>
      </c>
      <c r="D33" s="15" t="s">
        <v>319</v>
      </c>
      <c r="E33" s="15" t="s">
        <v>72</v>
      </c>
      <c r="F33" s="15" t="s">
        <v>120</v>
      </c>
      <c r="G33" s="15" t="s">
        <v>267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320</v>
      </c>
      <c r="B34" s="15" t="s">
        <v>118</v>
      </c>
      <c r="C34" s="15" t="s">
        <v>166</v>
      </c>
      <c r="D34" s="15" t="s">
        <v>321</v>
      </c>
      <c r="E34" s="15" t="s">
        <v>72</v>
      </c>
      <c r="F34" s="15" t="s">
        <v>120</v>
      </c>
      <c r="G34" s="15" t="s">
        <v>123</v>
      </c>
      <c r="H34" s="15" t="s">
        <v>75</v>
      </c>
      <c r="I34" s="15" t="s">
        <v>76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322</v>
      </c>
      <c r="B35" s="15" t="s">
        <v>118</v>
      </c>
      <c r="C35" s="15" t="s">
        <v>6</v>
      </c>
      <c r="D35" s="15" t="s">
        <v>323</v>
      </c>
      <c r="E35" s="15" t="s">
        <v>72</v>
      </c>
      <c r="F35" s="15" t="s">
        <v>120</v>
      </c>
      <c r="G35" s="15" t="s">
        <v>278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324</v>
      </c>
      <c r="B36" s="15" t="s">
        <v>118</v>
      </c>
      <c r="C36" s="15" t="s">
        <v>197</v>
      </c>
      <c r="D36" s="15" t="s">
        <v>325</v>
      </c>
      <c r="E36" s="15" t="s">
        <v>72</v>
      </c>
      <c r="F36" s="15" t="s">
        <v>120</v>
      </c>
      <c r="G36" s="15" t="s">
        <v>278</v>
      </c>
      <c r="H36" s="15" t="s">
        <v>75</v>
      </c>
      <c r="I36" s="15" t="s">
        <v>76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326</v>
      </c>
      <c r="B37" s="15" t="s">
        <v>118</v>
      </c>
      <c r="C37" s="15" t="s">
        <v>176</v>
      </c>
      <c r="D37" s="15" t="s">
        <v>327</v>
      </c>
      <c r="E37" s="15" t="s">
        <v>72</v>
      </c>
      <c r="F37" s="15" t="s">
        <v>120</v>
      </c>
      <c r="G37" s="15" t="s">
        <v>131</v>
      </c>
      <c r="H37" s="15" t="s">
        <v>82</v>
      </c>
      <c r="I37" s="15" t="s">
        <v>83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328</v>
      </c>
      <c r="B38" s="15" t="s">
        <v>118</v>
      </c>
      <c r="C38" s="15" t="s">
        <v>176</v>
      </c>
      <c r="D38" s="15" t="s">
        <v>329</v>
      </c>
      <c r="E38" s="15" t="s">
        <v>72</v>
      </c>
      <c r="F38" s="15" t="s">
        <v>120</v>
      </c>
      <c r="G38" s="15" t="s">
        <v>233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330</v>
      </c>
      <c r="B39" s="15" t="s">
        <v>118</v>
      </c>
      <c r="C39" s="15" t="s">
        <v>6</v>
      </c>
      <c r="D39" s="15" t="s">
        <v>235</v>
      </c>
      <c r="E39" s="15" t="s">
        <v>72</v>
      </c>
      <c r="F39" s="15" t="s">
        <v>120</v>
      </c>
      <c r="G39" s="15" t="s">
        <v>137</v>
      </c>
      <c r="H39" s="15" t="s">
        <v>75</v>
      </c>
      <c r="I39" s="15" t="s">
        <v>76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331</v>
      </c>
      <c r="B40" s="15" t="s">
        <v>139</v>
      </c>
      <c r="C40" s="15" t="s">
        <v>6</v>
      </c>
      <c r="D40" s="15" t="s">
        <v>332</v>
      </c>
      <c r="E40" s="15" t="s">
        <v>72</v>
      </c>
      <c r="F40" s="15" t="s">
        <v>141</v>
      </c>
      <c r="G40" s="15" t="s">
        <v>290</v>
      </c>
      <c r="H40" s="15" t="s">
        <v>75</v>
      </c>
      <c r="I40" s="15" t="s">
        <v>76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333</v>
      </c>
      <c r="B41" s="15" t="s">
        <v>139</v>
      </c>
      <c r="C41" s="15" t="s">
        <v>176</v>
      </c>
      <c r="D41" s="15" t="s">
        <v>334</v>
      </c>
      <c r="E41" s="15" t="s">
        <v>72</v>
      </c>
      <c r="F41" s="15" t="s">
        <v>141</v>
      </c>
      <c r="G41" s="15" t="s">
        <v>290</v>
      </c>
      <c r="H41" s="15" t="s">
        <v>82</v>
      </c>
      <c r="I41" s="15" t="s">
        <v>83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335</v>
      </c>
      <c r="B42" s="15" t="s">
        <v>145</v>
      </c>
      <c r="C42" s="15" t="s">
        <v>6</v>
      </c>
      <c r="D42" s="15" t="s">
        <v>336</v>
      </c>
      <c r="E42" s="15" t="s">
        <v>72</v>
      </c>
      <c r="F42" s="15" t="s">
        <v>147</v>
      </c>
      <c r="G42" s="15" t="s">
        <v>337</v>
      </c>
      <c r="H42" s="15" t="s">
        <v>82</v>
      </c>
      <c r="I42" s="15" t="s">
        <v>83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338</v>
      </c>
      <c r="B43" s="15" t="s">
        <v>145</v>
      </c>
      <c r="C43" s="15" t="s">
        <v>6</v>
      </c>
      <c r="D43" s="15" t="s">
        <v>339</v>
      </c>
      <c r="E43" s="15" t="s">
        <v>72</v>
      </c>
      <c r="F43" s="15" t="s">
        <v>147</v>
      </c>
      <c r="G43" s="15" t="s">
        <v>340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341</v>
      </c>
      <c r="B44" s="15" t="s">
        <v>153</v>
      </c>
      <c r="C44" s="15" t="s">
        <v>6</v>
      </c>
      <c r="D44" s="15" t="s">
        <v>342</v>
      </c>
      <c r="E44" s="15" t="s">
        <v>155</v>
      </c>
      <c r="F44" s="15" t="s">
        <v>155</v>
      </c>
      <c r="G44" s="15" t="s">
        <v>156</v>
      </c>
      <c r="H44" s="15" t="s">
        <v>82</v>
      </c>
      <c r="I44" s="15" t="s">
        <v>83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343</v>
      </c>
      <c r="B45" s="15" t="s">
        <v>158</v>
      </c>
      <c r="C45" s="15" t="s">
        <v>344</v>
      </c>
      <c r="D45" s="15" t="s">
        <v>345</v>
      </c>
      <c r="E45" s="15" t="s">
        <v>160</v>
      </c>
      <c r="F45" s="15" t="s">
        <v>161</v>
      </c>
      <c r="G45" s="15" t="s">
        <v>252</v>
      </c>
      <c r="H45" s="15" t="s">
        <v>253</v>
      </c>
      <c r="I45" s="15" t="s">
        <v>83</v>
      </c>
      <c r="J45" s="19" t="n">
        <v>46220</v>
      </c>
      <c r="K45" s="15" t="s">
        <v>346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162</v>
      </c>
      <c r="B1" s="1" t="s">
        <v>83</v>
      </c>
    </row>
    <row r="2" customFormat="false" ht="15" hidden="false" customHeight="true" outlineLevel="0" collapsed="false">
      <c r="A2" s="1" t="s">
        <v>347</v>
      </c>
      <c r="B2" s="1" t="s">
        <v>76</v>
      </c>
    </row>
    <row r="3" customFormat="false" ht="15" hidden="false" customHeight="true" outlineLevel="0" collapsed="false">
      <c r="A3" s="1" t="s">
        <v>348</v>
      </c>
    </row>
    <row r="4" customFormat="false" ht="15" hidden="false" customHeight="true" outlineLevel="0" collapsed="false">
      <c r="A4" s="1" t="s">
        <v>75</v>
      </c>
    </row>
    <row r="5" customFormat="false" ht="15" hidden="false" customHeight="true" outlineLevel="0" collapsed="false">
      <c r="A5" s="1" t="s">
        <v>82</v>
      </c>
    </row>
    <row r="6" customFormat="false" ht="15" hidden="false" customHeight="true" outlineLevel="0" collapsed="false">
      <c r="A6" s="1" t="s">
        <v>253</v>
      </c>
    </row>
    <row r="7" customFormat="false" ht="15" hidden="false" customHeight="true" outlineLevel="0" collapsed="false">
      <c r="A7" s="1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352</v>
      </c>
      <c r="B9" s="15" t="s">
        <v>70</v>
      </c>
      <c r="C9" s="15" t="s">
        <v>6</v>
      </c>
      <c r="D9" s="15" t="s">
        <v>353</v>
      </c>
      <c r="E9" s="15" t="s">
        <v>72</v>
      </c>
      <c r="F9" s="15" t="s">
        <v>73</v>
      </c>
      <c r="G9" s="16" t="s">
        <v>354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355</v>
      </c>
      <c r="B10" s="15" t="s">
        <v>78</v>
      </c>
      <c r="C10" s="15" t="s">
        <v>6</v>
      </c>
      <c r="D10" s="15" t="s">
        <v>356</v>
      </c>
      <c r="E10" s="15" t="s">
        <v>72</v>
      </c>
      <c r="F10" s="15" t="s">
        <v>80</v>
      </c>
      <c r="G10" s="16" t="s">
        <v>357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358</v>
      </c>
      <c r="B11" s="15" t="s">
        <v>70</v>
      </c>
      <c r="C11" s="15" t="s">
        <v>166</v>
      </c>
      <c r="D11" s="15" t="s">
        <v>359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360</v>
      </c>
      <c r="B12" s="15" t="s">
        <v>50</v>
      </c>
      <c r="C12" s="15" t="s">
        <v>180</v>
      </c>
      <c r="D12" s="15" t="s">
        <v>361</v>
      </c>
      <c r="E12" s="15" t="s">
        <v>72</v>
      </c>
      <c r="F12" s="15" t="s">
        <v>120</v>
      </c>
      <c r="G12" s="16" t="s">
        <v>362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363</v>
      </c>
      <c r="B13" s="15" t="s">
        <v>50</v>
      </c>
      <c r="C13" s="15" t="s">
        <v>269</v>
      </c>
      <c r="D13" s="15" t="s">
        <v>270</v>
      </c>
      <c r="E13" s="15" t="s">
        <v>72</v>
      </c>
      <c r="F13" s="15" t="s">
        <v>120</v>
      </c>
      <c r="G13" s="16" t="s">
        <v>362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364</v>
      </c>
      <c r="B14" s="15" t="s">
        <v>50</v>
      </c>
      <c r="C14" s="15" t="s">
        <v>272</v>
      </c>
      <c r="D14" s="15" t="s">
        <v>273</v>
      </c>
      <c r="E14" s="15" t="s">
        <v>72</v>
      </c>
      <c r="F14" s="15" t="s">
        <v>120</v>
      </c>
      <c r="G14" s="16" t="s">
        <v>362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365</v>
      </c>
      <c r="B15" s="15" t="s">
        <v>50</v>
      </c>
      <c r="C15" s="15" t="s">
        <v>276</v>
      </c>
      <c r="D15" s="15" t="s">
        <v>366</v>
      </c>
      <c r="E15" s="15" t="s">
        <v>72</v>
      </c>
      <c r="F15" s="15" t="s">
        <v>120</v>
      </c>
      <c r="G15" s="16" t="s">
        <v>367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368</v>
      </c>
      <c r="B16" s="15" t="s">
        <v>50</v>
      </c>
      <c r="C16" s="15" t="s">
        <v>197</v>
      </c>
      <c r="D16" s="15" t="s">
        <v>369</v>
      </c>
      <c r="E16" s="15" t="s">
        <v>72</v>
      </c>
      <c r="F16" s="15" t="s">
        <v>120</v>
      </c>
      <c r="G16" s="16" t="s">
        <v>362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370</v>
      </c>
      <c r="B17" s="15" t="s">
        <v>50</v>
      </c>
      <c r="C17" s="15" t="s">
        <v>183</v>
      </c>
      <c r="D17" s="15" t="s">
        <v>371</v>
      </c>
      <c r="E17" s="15" t="s">
        <v>72</v>
      </c>
      <c r="F17" s="15" t="s">
        <v>120</v>
      </c>
      <c r="G17" s="16" t="s">
        <v>362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372</v>
      </c>
      <c r="B18" s="15" t="s">
        <v>50</v>
      </c>
      <c r="C18" s="15" t="s">
        <v>187</v>
      </c>
      <c r="D18" s="15" t="s">
        <v>284</v>
      </c>
      <c r="E18" s="15" t="s">
        <v>72</v>
      </c>
      <c r="F18" s="15" t="s">
        <v>120</v>
      </c>
      <c r="G18" s="16" t="s">
        <v>362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373</v>
      </c>
      <c r="B19" s="15" t="s">
        <v>50</v>
      </c>
      <c r="C19" s="15" t="s">
        <v>190</v>
      </c>
      <c r="D19" s="15" t="s">
        <v>374</v>
      </c>
      <c r="E19" s="15" t="s">
        <v>72</v>
      </c>
      <c r="F19" s="15" t="s">
        <v>120</v>
      </c>
      <c r="G19" s="16" t="s">
        <v>362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375</v>
      </c>
      <c r="B20" s="15" t="s">
        <v>50</v>
      </c>
      <c r="C20" s="15" t="s">
        <v>288</v>
      </c>
      <c r="D20" s="15" t="s">
        <v>376</v>
      </c>
      <c r="E20" s="15" t="s">
        <v>72</v>
      </c>
      <c r="F20" s="15" t="s">
        <v>141</v>
      </c>
      <c r="G20" s="16" t="s">
        <v>377</v>
      </c>
      <c r="H20" s="15" t="s">
        <v>82</v>
      </c>
      <c r="I20" s="15" t="s">
        <v>83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378</v>
      </c>
      <c r="B21" s="15" t="s">
        <v>50</v>
      </c>
      <c r="C21" s="15" t="s">
        <v>200</v>
      </c>
      <c r="D21" s="15" t="s">
        <v>379</v>
      </c>
      <c r="E21" s="15" t="s">
        <v>72</v>
      </c>
      <c r="F21" s="15" t="s">
        <v>141</v>
      </c>
      <c r="G21" s="16" t="s">
        <v>377</v>
      </c>
      <c r="H21" s="15" t="s">
        <v>82</v>
      </c>
      <c r="I21" s="15" t="s">
        <v>83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380</v>
      </c>
      <c r="B22" s="15" t="s">
        <v>50</v>
      </c>
      <c r="C22" s="15" t="s">
        <v>381</v>
      </c>
      <c r="D22" s="15" t="s">
        <v>382</v>
      </c>
      <c r="E22" s="15" t="s">
        <v>72</v>
      </c>
      <c r="F22" s="15" t="s">
        <v>120</v>
      </c>
      <c r="G22" s="16" t="s">
        <v>383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384</v>
      </c>
      <c r="B23" s="15" t="s">
        <v>50</v>
      </c>
      <c r="C23" s="15" t="s">
        <v>193</v>
      </c>
      <c r="D23" s="15" t="s">
        <v>385</v>
      </c>
      <c r="E23" s="15" t="s">
        <v>72</v>
      </c>
      <c r="F23" s="15" t="s">
        <v>120</v>
      </c>
      <c r="G23" s="16" t="s">
        <v>383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386</v>
      </c>
      <c r="B24" s="15" t="s">
        <v>92</v>
      </c>
      <c r="C24" s="15" t="s">
        <v>176</v>
      </c>
      <c r="D24" s="15" t="s">
        <v>387</v>
      </c>
      <c r="E24" s="15" t="s">
        <v>72</v>
      </c>
      <c r="F24" s="15" t="s">
        <v>73</v>
      </c>
      <c r="G24" s="16" t="s">
        <v>388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389</v>
      </c>
      <c r="B25" s="15" t="s">
        <v>92</v>
      </c>
      <c r="C25" s="15" t="s">
        <v>197</v>
      </c>
      <c r="D25" s="15" t="s">
        <v>390</v>
      </c>
      <c r="E25" s="15" t="s">
        <v>72</v>
      </c>
      <c r="F25" s="15" t="s">
        <v>141</v>
      </c>
      <c r="G25" s="16" t="s">
        <v>377</v>
      </c>
      <c r="H25" s="15" t="s">
        <v>82</v>
      </c>
      <c r="I25" s="15" t="s">
        <v>83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391</v>
      </c>
      <c r="B26" s="15" t="s">
        <v>99</v>
      </c>
      <c r="C26" s="15" t="s">
        <v>176</v>
      </c>
      <c r="D26" s="15" t="s">
        <v>392</v>
      </c>
      <c r="E26" s="15" t="s">
        <v>72</v>
      </c>
      <c r="F26" s="15" t="s">
        <v>101</v>
      </c>
      <c r="G26" s="16" t="s">
        <v>393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394</v>
      </c>
      <c r="B27" s="15" t="s">
        <v>99</v>
      </c>
      <c r="C27" s="15" t="s">
        <v>6</v>
      </c>
      <c r="D27" s="15" t="s">
        <v>395</v>
      </c>
      <c r="E27" s="15" t="s">
        <v>72</v>
      </c>
      <c r="F27" s="15" t="s">
        <v>101</v>
      </c>
      <c r="G27" s="16" t="s">
        <v>367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396</v>
      </c>
      <c r="B28" s="15" t="s">
        <v>99</v>
      </c>
      <c r="C28" s="15" t="s">
        <v>197</v>
      </c>
      <c r="D28" s="15" t="s">
        <v>397</v>
      </c>
      <c r="E28" s="15" t="s">
        <v>72</v>
      </c>
      <c r="F28" s="15" t="s">
        <v>120</v>
      </c>
      <c r="G28" s="16" t="s">
        <v>367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398</v>
      </c>
      <c r="B29" s="15" t="s">
        <v>99</v>
      </c>
      <c r="C29" s="15" t="s">
        <v>176</v>
      </c>
      <c r="D29" s="15" t="s">
        <v>311</v>
      </c>
      <c r="E29" s="15" t="s">
        <v>72</v>
      </c>
      <c r="F29" s="15" t="s">
        <v>141</v>
      </c>
      <c r="G29" s="16" t="s">
        <v>377</v>
      </c>
      <c r="H29" s="15" t="s">
        <v>82</v>
      </c>
      <c r="I29" s="15" t="s">
        <v>83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399</v>
      </c>
      <c r="B30" s="15" t="s">
        <v>99</v>
      </c>
      <c r="C30" s="15" t="s">
        <v>176</v>
      </c>
      <c r="D30" s="15" t="s">
        <v>313</v>
      </c>
      <c r="E30" s="15" t="s">
        <v>72</v>
      </c>
      <c r="F30" s="15" t="s">
        <v>141</v>
      </c>
      <c r="G30" s="16" t="s">
        <v>377</v>
      </c>
      <c r="H30" s="15" t="s">
        <v>82</v>
      </c>
      <c r="I30" s="15" t="s">
        <v>83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400</v>
      </c>
      <c r="B31" s="15" t="s">
        <v>99</v>
      </c>
      <c r="C31" s="15" t="s">
        <v>176</v>
      </c>
      <c r="D31" s="15" t="s">
        <v>401</v>
      </c>
      <c r="E31" s="15" t="s">
        <v>72</v>
      </c>
      <c r="F31" s="15" t="s">
        <v>141</v>
      </c>
      <c r="G31" s="16" t="s">
        <v>377</v>
      </c>
      <c r="H31" s="15" t="s">
        <v>82</v>
      </c>
      <c r="I31" s="15" t="s">
        <v>83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402</v>
      </c>
      <c r="B32" s="15" t="s">
        <v>99</v>
      </c>
      <c r="C32" s="15" t="s">
        <v>6</v>
      </c>
      <c r="D32" s="15" t="s">
        <v>403</v>
      </c>
      <c r="E32" s="15" t="s">
        <v>72</v>
      </c>
      <c r="F32" s="15" t="s">
        <v>101</v>
      </c>
      <c r="G32" s="16" t="s">
        <v>367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404</v>
      </c>
      <c r="B33" s="15" t="s">
        <v>118</v>
      </c>
      <c r="C33" s="15" t="s">
        <v>176</v>
      </c>
      <c r="D33" s="15" t="s">
        <v>405</v>
      </c>
      <c r="E33" s="15" t="s">
        <v>72</v>
      </c>
      <c r="F33" s="15" t="s">
        <v>120</v>
      </c>
      <c r="G33" s="16" t="s">
        <v>362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406</v>
      </c>
      <c r="B34" s="15" t="s">
        <v>118</v>
      </c>
      <c r="C34" s="15" t="s">
        <v>166</v>
      </c>
      <c r="D34" s="15" t="s">
        <v>407</v>
      </c>
      <c r="E34" s="15" t="s">
        <v>72</v>
      </c>
      <c r="F34" s="15" t="s">
        <v>120</v>
      </c>
      <c r="G34" s="16" t="s">
        <v>123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408</v>
      </c>
      <c r="B35" s="15" t="s">
        <v>118</v>
      </c>
      <c r="C35" s="15" t="s">
        <v>6</v>
      </c>
      <c r="D35" s="15" t="s">
        <v>409</v>
      </c>
      <c r="E35" s="15" t="s">
        <v>72</v>
      </c>
      <c r="F35" s="15" t="s">
        <v>120</v>
      </c>
      <c r="G35" s="16" t="s">
        <v>367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410</v>
      </c>
      <c r="B36" s="15" t="s">
        <v>118</v>
      </c>
      <c r="C36" s="15" t="s">
        <v>411</v>
      </c>
      <c r="D36" s="15" t="s">
        <v>412</v>
      </c>
      <c r="E36" s="15" t="s">
        <v>72</v>
      </c>
      <c r="F36" s="15" t="s">
        <v>120</v>
      </c>
      <c r="G36" s="16" t="s">
        <v>367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413</v>
      </c>
      <c r="B37" s="15" t="s">
        <v>118</v>
      </c>
      <c r="C37" s="15" t="s">
        <v>6</v>
      </c>
      <c r="D37" s="15" t="s">
        <v>414</v>
      </c>
      <c r="E37" s="15" t="s">
        <v>72</v>
      </c>
      <c r="F37" s="15" t="s">
        <v>120</v>
      </c>
      <c r="G37" s="16" t="s">
        <v>367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415</v>
      </c>
      <c r="B38" s="15" t="s">
        <v>118</v>
      </c>
      <c r="C38" s="15" t="s">
        <v>197</v>
      </c>
      <c r="D38" s="15" t="s">
        <v>416</v>
      </c>
      <c r="E38" s="15" t="s">
        <v>72</v>
      </c>
      <c r="F38" s="15" t="s">
        <v>120</v>
      </c>
      <c r="G38" s="16" t="s">
        <v>367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417</v>
      </c>
      <c r="B39" s="15" t="s">
        <v>118</v>
      </c>
      <c r="C39" s="15" t="s">
        <v>176</v>
      </c>
      <c r="D39" s="15" t="s">
        <v>327</v>
      </c>
      <c r="E39" s="15" t="s">
        <v>72</v>
      </c>
      <c r="F39" s="15" t="s">
        <v>120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418</v>
      </c>
      <c r="B40" s="15" t="s">
        <v>118</v>
      </c>
      <c r="C40" s="15" t="s">
        <v>176</v>
      </c>
      <c r="D40" s="15" t="s">
        <v>419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420</v>
      </c>
      <c r="B41" s="15" t="s">
        <v>118</v>
      </c>
      <c r="C41" s="15" t="s">
        <v>6</v>
      </c>
      <c r="D41" s="15" t="s">
        <v>421</v>
      </c>
      <c r="E41" s="15" t="s">
        <v>72</v>
      </c>
      <c r="F41" s="15" t="s">
        <v>120</v>
      </c>
      <c r="G41" s="16" t="s">
        <v>137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422</v>
      </c>
      <c r="B42" s="15" t="s">
        <v>139</v>
      </c>
      <c r="C42" s="15" t="s">
        <v>6</v>
      </c>
      <c r="D42" s="15" t="s">
        <v>423</v>
      </c>
      <c r="E42" s="15" t="s">
        <v>72</v>
      </c>
      <c r="F42" s="15" t="s">
        <v>141</v>
      </c>
      <c r="G42" s="16" t="s">
        <v>377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424</v>
      </c>
      <c r="B43" s="15" t="s">
        <v>139</v>
      </c>
      <c r="C43" s="15" t="s">
        <v>176</v>
      </c>
      <c r="D43" s="15" t="s">
        <v>425</v>
      </c>
      <c r="E43" s="15" t="s">
        <v>72</v>
      </c>
      <c r="F43" s="15" t="s">
        <v>141</v>
      </c>
      <c r="G43" s="16" t="s">
        <v>377</v>
      </c>
      <c r="H43" s="15" t="s">
        <v>82</v>
      </c>
      <c r="I43" s="15" t="s">
        <v>83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426</v>
      </c>
      <c r="B44" s="15" t="s">
        <v>145</v>
      </c>
      <c r="C44" s="15" t="s">
        <v>6</v>
      </c>
      <c r="D44" s="15" t="s">
        <v>427</v>
      </c>
      <c r="E44" s="15" t="s">
        <v>72</v>
      </c>
      <c r="F44" s="15" t="s">
        <v>147</v>
      </c>
      <c r="G44" s="16" t="s">
        <v>428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429</v>
      </c>
      <c r="B45" s="15" t="s">
        <v>145</v>
      </c>
      <c r="C45" s="15" t="s">
        <v>6</v>
      </c>
      <c r="D45" s="15" t="s">
        <v>430</v>
      </c>
      <c r="E45" s="15" t="s">
        <v>72</v>
      </c>
      <c r="F45" s="15" t="s">
        <v>147</v>
      </c>
      <c r="G45" s="16" t="s">
        <v>431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432</v>
      </c>
      <c r="B46" s="15" t="s">
        <v>153</v>
      </c>
      <c r="C46" s="15" t="s">
        <v>6</v>
      </c>
      <c r="D46" s="15" t="s">
        <v>433</v>
      </c>
      <c r="E46" s="15" t="s">
        <v>155</v>
      </c>
      <c r="F46" s="15" t="s">
        <v>155</v>
      </c>
      <c r="G46" s="16" t="s">
        <v>156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434</v>
      </c>
      <c r="B47" s="15" t="s">
        <v>158</v>
      </c>
      <c r="C47" s="15" t="s">
        <v>435</v>
      </c>
      <c r="D47" s="15" t="s">
        <v>436</v>
      </c>
      <c r="E47" s="15" t="s">
        <v>160</v>
      </c>
      <c r="F47" s="15" t="s">
        <v>161</v>
      </c>
      <c r="G47" s="16" t="s">
        <v>252</v>
      </c>
      <c r="H47" s="15" t="s">
        <v>253</v>
      </c>
      <c r="I47" s="15" t="s">
        <v>83</v>
      </c>
      <c r="J47" s="19" t="n">
        <v>46222</v>
      </c>
      <c r="K47" s="15" t="s">
        <v>437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440</v>
      </c>
      <c r="B9" s="15" t="s">
        <v>70</v>
      </c>
      <c r="C9" s="15" t="s">
        <v>6</v>
      </c>
      <c r="D9" s="15" t="s">
        <v>441</v>
      </c>
      <c r="E9" s="15" t="s">
        <v>72</v>
      </c>
      <c r="F9" s="15" t="s">
        <v>73</v>
      </c>
      <c r="G9" s="16" t="s">
        <v>442</v>
      </c>
      <c r="H9" s="15" t="s">
        <v>75</v>
      </c>
      <c r="I9" s="15" t="s">
        <v>76</v>
      </c>
      <c r="J9" s="19" t="n">
        <v>46224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443</v>
      </c>
      <c r="B10" s="15" t="s">
        <v>78</v>
      </c>
      <c r="C10" s="15" t="s">
        <v>6</v>
      </c>
      <c r="D10" s="15" t="s">
        <v>444</v>
      </c>
      <c r="E10" s="15" t="s">
        <v>72</v>
      </c>
      <c r="F10" s="15" t="s">
        <v>80</v>
      </c>
      <c r="G10" s="16" t="s">
        <v>445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446</v>
      </c>
      <c r="B11" s="15" t="s">
        <v>78</v>
      </c>
      <c r="C11" s="15" t="s">
        <v>6</v>
      </c>
      <c r="D11" s="15" t="s">
        <v>447</v>
      </c>
      <c r="E11" s="15" t="s">
        <v>72</v>
      </c>
      <c r="F11" s="15" t="s">
        <v>80</v>
      </c>
      <c r="G11" s="16" t="s">
        <v>448</v>
      </c>
      <c r="H11" s="15" t="s">
        <v>82</v>
      </c>
      <c r="I11" s="15" t="s">
        <v>83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449</v>
      </c>
      <c r="B12" s="15" t="s">
        <v>70</v>
      </c>
      <c r="C12" s="15" t="s">
        <v>166</v>
      </c>
      <c r="D12" s="15" t="s">
        <v>450</v>
      </c>
      <c r="E12" s="15" t="s">
        <v>72</v>
      </c>
      <c r="F12" s="15" t="s">
        <v>86</v>
      </c>
      <c r="G12" s="16" t="s">
        <v>123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451</v>
      </c>
      <c r="B13" s="15" t="s">
        <v>50</v>
      </c>
      <c r="C13" s="15" t="s">
        <v>180</v>
      </c>
      <c r="D13" s="15" t="s">
        <v>452</v>
      </c>
      <c r="E13" s="15" t="s">
        <v>72</v>
      </c>
      <c r="F13" s="15" t="s">
        <v>120</v>
      </c>
      <c r="G13" s="16" t="s">
        <v>453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454</v>
      </c>
      <c r="B14" s="15" t="s">
        <v>50</v>
      </c>
      <c r="C14" s="15" t="s">
        <v>269</v>
      </c>
      <c r="D14" s="15" t="s">
        <v>455</v>
      </c>
      <c r="E14" s="15" t="s">
        <v>72</v>
      </c>
      <c r="F14" s="15" t="s">
        <v>120</v>
      </c>
      <c r="G14" s="16" t="s">
        <v>453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456</v>
      </c>
      <c r="B15" s="15" t="s">
        <v>50</v>
      </c>
      <c r="C15" s="15" t="s">
        <v>272</v>
      </c>
      <c r="D15" s="15" t="s">
        <v>457</v>
      </c>
      <c r="E15" s="15" t="s">
        <v>72</v>
      </c>
      <c r="F15" s="15" t="s">
        <v>120</v>
      </c>
      <c r="G15" s="16" t="s">
        <v>453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458</v>
      </c>
      <c r="B16" s="15" t="s">
        <v>50</v>
      </c>
      <c r="C16" s="15" t="s">
        <v>276</v>
      </c>
      <c r="D16" s="15" t="s">
        <v>459</v>
      </c>
      <c r="E16" s="15" t="s">
        <v>72</v>
      </c>
      <c r="F16" s="15" t="s">
        <v>120</v>
      </c>
      <c r="G16" s="16" t="s">
        <v>460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461</v>
      </c>
      <c r="B17" s="15" t="s">
        <v>50</v>
      </c>
      <c r="C17" s="15" t="s">
        <v>197</v>
      </c>
      <c r="D17" s="15" t="s">
        <v>462</v>
      </c>
      <c r="E17" s="15" t="s">
        <v>72</v>
      </c>
      <c r="F17" s="15" t="s">
        <v>120</v>
      </c>
      <c r="G17" s="16" t="s">
        <v>453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463</v>
      </c>
      <c r="B18" s="15" t="s">
        <v>50</v>
      </c>
      <c r="C18" s="15" t="s">
        <v>183</v>
      </c>
      <c r="D18" s="15" t="s">
        <v>464</v>
      </c>
      <c r="E18" s="15" t="s">
        <v>72</v>
      </c>
      <c r="F18" s="15" t="s">
        <v>120</v>
      </c>
      <c r="G18" s="16" t="s">
        <v>453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465</v>
      </c>
      <c r="B19" s="15" t="s">
        <v>50</v>
      </c>
      <c r="C19" s="15" t="s">
        <v>187</v>
      </c>
      <c r="D19" s="15" t="s">
        <v>466</v>
      </c>
      <c r="E19" s="15" t="s">
        <v>72</v>
      </c>
      <c r="F19" s="15" t="s">
        <v>120</v>
      </c>
      <c r="G19" s="16" t="s">
        <v>453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467</v>
      </c>
      <c r="B20" s="15" t="s">
        <v>50</v>
      </c>
      <c r="C20" s="15" t="s">
        <v>190</v>
      </c>
      <c r="D20" s="15" t="s">
        <v>468</v>
      </c>
      <c r="E20" s="15" t="s">
        <v>72</v>
      </c>
      <c r="F20" s="15" t="s">
        <v>120</v>
      </c>
      <c r="G20" s="16" t="s">
        <v>453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469</v>
      </c>
      <c r="B21" s="15" t="s">
        <v>50</v>
      </c>
      <c r="C21" s="15" t="s">
        <v>288</v>
      </c>
      <c r="D21" s="15" t="s">
        <v>470</v>
      </c>
      <c r="E21" s="15" t="s">
        <v>72</v>
      </c>
      <c r="F21" s="15" t="s">
        <v>120</v>
      </c>
      <c r="G21" s="16" t="s">
        <v>460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471</v>
      </c>
      <c r="B22" s="15" t="s">
        <v>50</v>
      </c>
      <c r="C22" s="15" t="s">
        <v>200</v>
      </c>
      <c r="D22" s="15" t="s">
        <v>472</v>
      </c>
      <c r="E22" s="15" t="s">
        <v>72</v>
      </c>
      <c r="F22" s="15" t="s">
        <v>120</v>
      </c>
      <c r="G22" s="16" t="s">
        <v>460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473</v>
      </c>
      <c r="B23" s="15" t="s">
        <v>50</v>
      </c>
      <c r="C23" s="15" t="s">
        <v>294</v>
      </c>
      <c r="D23" s="15" t="s">
        <v>474</v>
      </c>
      <c r="E23" s="15" t="s">
        <v>72</v>
      </c>
      <c r="F23" s="15" t="s">
        <v>120</v>
      </c>
      <c r="G23" s="16" t="s">
        <v>453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475</v>
      </c>
      <c r="B24" s="15" t="s">
        <v>50</v>
      </c>
      <c r="C24" s="15" t="s">
        <v>297</v>
      </c>
      <c r="D24" s="15" t="s">
        <v>476</v>
      </c>
      <c r="E24" s="15" t="s">
        <v>72</v>
      </c>
      <c r="F24" s="15" t="s">
        <v>120</v>
      </c>
      <c r="G24" s="16" t="s">
        <v>460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477</v>
      </c>
      <c r="B25" s="15" t="s">
        <v>92</v>
      </c>
      <c r="C25" s="15" t="s">
        <v>197</v>
      </c>
      <c r="D25" s="15" t="s">
        <v>478</v>
      </c>
      <c r="E25" s="15" t="s">
        <v>72</v>
      </c>
      <c r="F25" s="15" t="s">
        <v>120</v>
      </c>
      <c r="G25" s="16" t="s">
        <v>460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479</v>
      </c>
      <c r="B26" s="15" t="s">
        <v>92</v>
      </c>
      <c r="C26" s="15" t="s">
        <v>197</v>
      </c>
      <c r="D26" s="15" t="s">
        <v>480</v>
      </c>
      <c r="E26" s="15" t="s">
        <v>72</v>
      </c>
      <c r="F26" s="15" t="s">
        <v>120</v>
      </c>
      <c r="G26" s="16" t="s">
        <v>453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481</v>
      </c>
      <c r="B27" s="15" t="s">
        <v>92</v>
      </c>
      <c r="C27" s="15" t="s">
        <v>197</v>
      </c>
      <c r="D27" s="15" t="s">
        <v>482</v>
      </c>
      <c r="E27" s="15" t="s">
        <v>72</v>
      </c>
      <c r="F27" s="15" t="s">
        <v>120</v>
      </c>
      <c r="G27" s="16" t="s">
        <v>460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483</v>
      </c>
      <c r="B28" s="15" t="s">
        <v>92</v>
      </c>
      <c r="C28" s="15" t="s">
        <v>176</v>
      </c>
      <c r="D28" s="15" t="s">
        <v>484</v>
      </c>
      <c r="E28" s="15" t="s">
        <v>72</v>
      </c>
      <c r="F28" s="15" t="s">
        <v>485</v>
      </c>
      <c r="G28" s="16" t="s">
        <v>131</v>
      </c>
      <c r="H28" s="15" t="s">
        <v>82</v>
      </c>
      <c r="I28" s="15" t="s">
        <v>83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486</v>
      </c>
      <c r="B29" s="15" t="s">
        <v>92</v>
      </c>
      <c r="C29" s="15" t="s">
        <v>176</v>
      </c>
      <c r="D29" s="15" t="s">
        <v>487</v>
      </c>
      <c r="E29" s="15" t="s">
        <v>72</v>
      </c>
      <c r="F29" s="15" t="s">
        <v>485</v>
      </c>
      <c r="G29" s="16" t="s">
        <v>131</v>
      </c>
      <c r="H29" s="15" t="s">
        <v>82</v>
      </c>
      <c r="I29" s="15" t="s">
        <v>83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488</v>
      </c>
      <c r="B30" s="15" t="s">
        <v>92</v>
      </c>
      <c r="C30" s="15" t="s">
        <v>197</v>
      </c>
      <c r="D30" s="15" t="s">
        <v>489</v>
      </c>
      <c r="E30" s="15" t="s">
        <v>72</v>
      </c>
      <c r="F30" s="15" t="s">
        <v>120</v>
      </c>
      <c r="G30" s="16" t="s">
        <v>460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490</v>
      </c>
      <c r="B31" s="15" t="s">
        <v>92</v>
      </c>
      <c r="C31" s="15" t="s">
        <v>176</v>
      </c>
      <c r="D31" s="15" t="s">
        <v>491</v>
      </c>
      <c r="E31" s="15" t="s">
        <v>72</v>
      </c>
      <c r="F31" s="15" t="s">
        <v>485</v>
      </c>
      <c r="G31" s="16" t="s">
        <v>131</v>
      </c>
      <c r="H31" s="15" t="s">
        <v>82</v>
      </c>
      <c r="I31" s="15" t="s">
        <v>83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492</v>
      </c>
      <c r="B32" s="15" t="s">
        <v>92</v>
      </c>
      <c r="C32" s="15" t="s">
        <v>197</v>
      </c>
      <c r="D32" s="15" t="s">
        <v>493</v>
      </c>
      <c r="E32" s="15" t="s">
        <v>72</v>
      </c>
      <c r="F32" s="15" t="s">
        <v>101</v>
      </c>
      <c r="G32" s="16" t="s">
        <v>393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494</v>
      </c>
      <c r="B33" s="15" t="s">
        <v>99</v>
      </c>
      <c r="C33" s="15" t="s">
        <v>176</v>
      </c>
      <c r="D33" s="15" t="s">
        <v>495</v>
      </c>
      <c r="E33" s="15" t="s">
        <v>72</v>
      </c>
      <c r="F33" s="15" t="s">
        <v>101</v>
      </c>
      <c r="G33" s="16" t="s">
        <v>393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496</v>
      </c>
      <c r="B34" s="15" t="s">
        <v>99</v>
      </c>
      <c r="C34" s="15" t="s">
        <v>176</v>
      </c>
      <c r="D34" s="15" t="s">
        <v>497</v>
      </c>
      <c r="E34" s="15" t="s">
        <v>72</v>
      </c>
      <c r="F34" s="15" t="s">
        <v>101</v>
      </c>
      <c r="G34" s="16" t="s">
        <v>393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498</v>
      </c>
      <c r="B35" s="15" t="s">
        <v>118</v>
      </c>
      <c r="C35" s="15" t="s">
        <v>6</v>
      </c>
      <c r="D35" s="15" t="s">
        <v>499</v>
      </c>
      <c r="E35" s="15" t="s">
        <v>72</v>
      </c>
      <c r="F35" s="15" t="s">
        <v>120</v>
      </c>
      <c r="G35" s="16" t="s">
        <v>453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500</v>
      </c>
      <c r="B36" s="15" t="s">
        <v>118</v>
      </c>
      <c r="C36" s="15" t="s">
        <v>166</v>
      </c>
      <c r="D36" s="15" t="s">
        <v>501</v>
      </c>
      <c r="E36" s="15" t="s">
        <v>72</v>
      </c>
      <c r="F36" s="15" t="s">
        <v>86</v>
      </c>
      <c r="G36" s="16" t="s">
        <v>123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502</v>
      </c>
      <c r="B37" s="15" t="s">
        <v>118</v>
      </c>
      <c r="C37" s="15" t="s">
        <v>6</v>
      </c>
      <c r="D37" s="15" t="s">
        <v>503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505</v>
      </c>
      <c r="B38" s="15" t="s">
        <v>118</v>
      </c>
      <c r="C38" s="15" t="s">
        <v>6</v>
      </c>
      <c r="D38" s="15" t="s">
        <v>506</v>
      </c>
      <c r="E38" s="15" t="s">
        <v>72</v>
      </c>
      <c r="F38" s="15" t="s">
        <v>120</v>
      </c>
      <c r="G38" s="16" t="s">
        <v>460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507</v>
      </c>
      <c r="B39" s="15" t="s">
        <v>118</v>
      </c>
      <c r="C39" s="15" t="s">
        <v>197</v>
      </c>
      <c r="D39" s="15" t="s">
        <v>508</v>
      </c>
      <c r="E39" s="15" t="s">
        <v>72</v>
      </c>
      <c r="F39" s="15" t="s">
        <v>120</v>
      </c>
      <c r="G39" s="16" t="s">
        <v>460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509</v>
      </c>
      <c r="B40" s="15" t="s">
        <v>118</v>
      </c>
      <c r="C40" s="15" t="s">
        <v>176</v>
      </c>
      <c r="D40" s="15" t="s">
        <v>510</v>
      </c>
      <c r="E40" s="15" t="s">
        <v>72</v>
      </c>
      <c r="F40" s="15" t="s">
        <v>485</v>
      </c>
      <c r="G40" s="16" t="s">
        <v>131</v>
      </c>
      <c r="H40" s="15" t="s">
        <v>82</v>
      </c>
      <c r="I40" s="15" t="s">
        <v>83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511</v>
      </c>
      <c r="B41" s="15" t="s">
        <v>118</v>
      </c>
      <c r="C41" s="15" t="s">
        <v>6</v>
      </c>
      <c r="D41" s="15" t="s">
        <v>512</v>
      </c>
      <c r="E41" s="15" t="s">
        <v>72</v>
      </c>
      <c r="F41" s="15" t="s">
        <v>72</v>
      </c>
      <c r="G41" s="16" t="s">
        <v>137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513</v>
      </c>
      <c r="B42" s="15" t="s">
        <v>139</v>
      </c>
      <c r="C42" s="15" t="s">
        <v>6</v>
      </c>
      <c r="D42" s="15" t="s">
        <v>514</v>
      </c>
      <c r="E42" s="15" t="s">
        <v>72</v>
      </c>
      <c r="F42" s="15" t="s">
        <v>141</v>
      </c>
      <c r="G42" s="16" t="s">
        <v>515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516</v>
      </c>
      <c r="B43" s="15" t="s">
        <v>139</v>
      </c>
      <c r="C43" s="15" t="s">
        <v>6</v>
      </c>
      <c r="D43" s="15" t="s">
        <v>517</v>
      </c>
      <c r="E43" s="15" t="s">
        <v>72</v>
      </c>
      <c r="F43" s="15" t="s">
        <v>141</v>
      </c>
      <c r="G43" s="16" t="s">
        <v>515</v>
      </c>
      <c r="H43" s="15" t="s">
        <v>347</v>
      </c>
      <c r="I43" s="15" t="s">
        <v>83</v>
      </c>
      <c r="J43" s="19" t="n">
        <v>46224</v>
      </c>
      <c r="K43" s="15" t="s">
        <v>518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519</v>
      </c>
      <c r="B44" s="15" t="s">
        <v>145</v>
      </c>
      <c r="C44" s="15" t="s">
        <v>6</v>
      </c>
      <c r="D44" s="15" t="s">
        <v>520</v>
      </c>
      <c r="E44" s="15" t="s">
        <v>72</v>
      </c>
      <c r="F44" s="15" t="s">
        <v>147</v>
      </c>
      <c r="G44" s="16" t="s">
        <v>521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522</v>
      </c>
      <c r="B45" s="15" t="s">
        <v>145</v>
      </c>
      <c r="C45" s="15" t="s">
        <v>6</v>
      </c>
      <c r="D45" s="15" t="s">
        <v>523</v>
      </c>
      <c r="E45" s="15" t="s">
        <v>72</v>
      </c>
      <c r="F45" s="15" t="s">
        <v>147</v>
      </c>
      <c r="G45" s="16" t="s">
        <v>524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525</v>
      </c>
      <c r="B46" s="15" t="s">
        <v>153</v>
      </c>
      <c r="C46" s="15" t="s">
        <v>6</v>
      </c>
      <c r="D46" s="15" t="s">
        <v>526</v>
      </c>
      <c r="E46" s="15" t="s">
        <v>155</v>
      </c>
      <c r="F46" s="15" t="s">
        <v>155</v>
      </c>
      <c r="G46" s="16" t="s">
        <v>156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527</v>
      </c>
      <c r="B47" s="15" t="s">
        <v>158</v>
      </c>
      <c r="C47" s="15" t="s">
        <v>528</v>
      </c>
      <c r="D47" s="15" t="s">
        <v>529</v>
      </c>
      <c r="E47" s="15" t="s">
        <v>160</v>
      </c>
      <c r="F47" s="15" t="s">
        <v>161</v>
      </c>
      <c r="G47" s="16" t="s">
        <v>252</v>
      </c>
      <c r="H47" s="15" t="s">
        <v>253</v>
      </c>
      <c r="I47" s="15" t="s">
        <v>76</v>
      </c>
      <c r="J47" s="19" t="n">
        <v>46221</v>
      </c>
      <c r="K47" s="15" t="s">
        <v>530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532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533</v>
      </c>
      <c r="B9" s="15" t="s">
        <v>70</v>
      </c>
      <c r="C9" s="15" t="s">
        <v>24</v>
      </c>
      <c r="D9" s="15" t="s">
        <v>534</v>
      </c>
      <c r="E9" s="15" t="s">
        <v>72</v>
      </c>
      <c r="F9" s="15" t="s">
        <v>73</v>
      </c>
      <c r="G9" s="16" t="s">
        <v>535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536</v>
      </c>
      <c r="B10" s="15" t="s">
        <v>78</v>
      </c>
      <c r="C10" s="15" t="s">
        <v>537</v>
      </c>
      <c r="D10" s="15" t="s">
        <v>538</v>
      </c>
      <c r="E10" s="15" t="s">
        <v>72</v>
      </c>
      <c r="F10" s="15" t="s">
        <v>80</v>
      </c>
      <c r="G10" s="16" t="s">
        <v>539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540</v>
      </c>
      <c r="B11" s="15" t="s">
        <v>70</v>
      </c>
      <c r="C11" s="15" t="s">
        <v>537</v>
      </c>
      <c r="D11" s="15" t="s">
        <v>541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542</v>
      </c>
      <c r="B12" s="15" t="s">
        <v>50</v>
      </c>
      <c r="C12" s="15" t="s">
        <v>24</v>
      </c>
      <c r="D12" s="15" t="s">
        <v>543</v>
      </c>
      <c r="E12" s="15" t="s">
        <v>72</v>
      </c>
      <c r="F12" s="15" t="s">
        <v>120</v>
      </c>
      <c r="G12" s="16" t="s">
        <v>544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545</v>
      </c>
      <c r="B13" s="15" t="s">
        <v>92</v>
      </c>
      <c r="C13" s="15" t="s">
        <v>24</v>
      </c>
      <c r="D13" s="15" t="s">
        <v>546</v>
      </c>
      <c r="E13" s="15" t="s">
        <v>72</v>
      </c>
      <c r="F13" s="15" t="s">
        <v>120</v>
      </c>
      <c r="G13" s="16" t="s">
        <v>544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547</v>
      </c>
      <c r="B14" s="15" t="s">
        <v>70</v>
      </c>
      <c r="C14" s="15" t="s">
        <v>24</v>
      </c>
      <c r="D14" s="15" t="s">
        <v>548</v>
      </c>
      <c r="E14" s="15" t="s">
        <v>72</v>
      </c>
      <c r="F14" s="15" t="s">
        <v>120</v>
      </c>
      <c r="G14" s="16" t="s">
        <v>544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549</v>
      </c>
      <c r="B15" s="15" t="s">
        <v>550</v>
      </c>
      <c r="C15" s="15" t="s">
        <v>24</v>
      </c>
      <c r="D15" s="15" t="s">
        <v>551</v>
      </c>
      <c r="E15" s="15" t="s">
        <v>72</v>
      </c>
      <c r="F15" s="15" t="s">
        <v>120</v>
      </c>
      <c r="G15" s="16" t="s">
        <v>544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552</v>
      </c>
      <c r="B16" s="15" t="s">
        <v>50</v>
      </c>
      <c r="C16" s="15" t="s">
        <v>553</v>
      </c>
      <c r="D16" s="15" t="s">
        <v>554</v>
      </c>
      <c r="E16" s="15" t="s">
        <v>72</v>
      </c>
      <c r="F16" s="15" t="s">
        <v>86</v>
      </c>
      <c r="G16" s="16" t="s">
        <v>123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555</v>
      </c>
      <c r="B17" s="15" t="s">
        <v>556</v>
      </c>
      <c r="C17" s="15" t="s">
        <v>553</v>
      </c>
      <c r="D17" s="15" t="s">
        <v>557</v>
      </c>
      <c r="E17" s="15" t="s">
        <v>72</v>
      </c>
      <c r="F17" s="15" t="s">
        <v>120</v>
      </c>
      <c r="G17" s="16" t="s">
        <v>544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558</v>
      </c>
      <c r="B18" s="15" t="s">
        <v>556</v>
      </c>
      <c r="C18" s="15" t="s">
        <v>553</v>
      </c>
      <c r="D18" s="15" t="s">
        <v>559</v>
      </c>
      <c r="E18" s="15" t="s">
        <v>72</v>
      </c>
      <c r="F18" s="15" t="s">
        <v>120</v>
      </c>
      <c r="G18" s="16" t="s">
        <v>544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560</v>
      </c>
      <c r="B19" s="15" t="s">
        <v>561</v>
      </c>
      <c r="C19" s="15" t="s">
        <v>553</v>
      </c>
      <c r="D19" s="15" t="s">
        <v>562</v>
      </c>
      <c r="E19" s="15" t="s">
        <v>72</v>
      </c>
      <c r="F19" s="15" t="s">
        <v>120</v>
      </c>
      <c r="G19" s="16" t="s">
        <v>544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563</v>
      </c>
      <c r="B20" s="15" t="s">
        <v>550</v>
      </c>
      <c r="C20" s="15" t="s">
        <v>553</v>
      </c>
      <c r="D20" s="15" t="s">
        <v>564</v>
      </c>
      <c r="E20" s="15" t="s">
        <v>72</v>
      </c>
      <c r="F20" s="15" t="s">
        <v>120</v>
      </c>
      <c r="G20" s="16" t="s">
        <v>565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566</v>
      </c>
      <c r="B21" s="15" t="s">
        <v>92</v>
      </c>
      <c r="C21" s="15" t="s">
        <v>537</v>
      </c>
      <c r="D21" s="15" t="s">
        <v>567</v>
      </c>
      <c r="E21" s="15" t="s">
        <v>72</v>
      </c>
      <c r="F21" s="15" t="s">
        <v>73</v>
      </c>
      <c r="G21" s="16" t="s">
        <v>568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569</v>
      </c>
      <c r="B22" s="15" t="s">
        <v>92</v>
      </c>
      <c r="C22" s="15" t="s">
        <v>537</v>
      </c>
      <c r="D22" s="15" t="s">
        <v>570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571</v>
      </c>
      <c r="B23" s="15" t="s">
        <v>92</v>
      </c>
      <c r="C23" s="15" t="s">
        <v>537</v>
      </c>
      <c r="D23" s="15" t="s">
        <v>572</v>
      </c>
      <c r="E23" s="15" t="s">
        <v>72</v>
      </c>
      <c r="F23" s="15" t="s">
        <v>120</v>
      </c>
      <c r="G23" s="16" t="s">
        <v>565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573</v>
      </c>
      <c r="B24" s="15" t="s">
        <v>92</v>
      </c>
      <c r="C24" s="15" t="s">
        <v>553</v>
      </c>
      <c r="D24" s="15" t="s">
        <v>574</v>
      </c>
      <c r="E24" s="15" t="s">
        <v>72</v>
      </c>
      <c r="F24" s="15" t="s">
        <v>120</v>
      </c>
      <c r="G24" s="16" t="s">
        <v>565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575</v>
      </c>
      <c r="B25" s="15" t="s">
        <v>92</v>
      </c>
      <c r="C25" s="15" t="s">
        <v>537</v>
      </c>
      <c r="D25" s="15" t="s">
        <v>576</v>
      </c>
      <c r="E25" s="15" t="s">
        <v>72</v>
      </c>
      <c r="F25" s="15" t="s">
        <v>120</v>
      </c>
      <c r="G25" s="16" t="s">
        <v>565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577</v>
      </c>
      <c r="B26" s="15" t="s">
        <v>578</v>
      </c>
      <c r="C26" s="15" t="s">
        <v>553</v>
      </c>
      <c r="D26" s="15" t="s">
        <v>579</v>
      </c>
      <c r="E26" s="15" t="s">
        <v>72</v>
      </c>
      <c r="F26" s="15" t="s">
        <v>120</v>
      </c>
      <c r="G26" s="16" t="s">
        <v>565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580</v>
      </c>
      <c r="B27" s="15" t="s">
        <v>581</v>
      </c>
      <c r="C27" s="15" t="s">
        <v>537</v>
      </c>
      <c r="D27" s="15" t="s">
        <v>582</v>
      </c>
      <c r="E27" s="15" t="s">
        <v>72</v>
      </c>
      <c r="F27" s="15" t="s">
        <v>101</v>
      </c>
      <c r="G27" s="16" t="s">
        <v>393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583</v>
      </c>
      <c r="B28" s="15" t="s">
        <v>99</v>
      </c>
      <c r="C28" s="15" t="s">
        <v>537</v>
      </c>
      <c r="D28" s="15" t="s">
        <v>584</v>
      </c>
      <c r="E28" s="15" t="s">
        <v>72</v>
      </c>
      <c r="F28" s="15" t="s">
        <v>101</v>
      </c>
      <c r="G28" s="16" t="s">
        <v>393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585</v>
      </c>
      <c r="B29" s="15" t="s">
        <v>99</v>
      </c>
      <c r="C29" s="15" t="s">
        <v>553</v>
      </c>
      <c r="D29" s="15" t="s">
        <v>586</v>
      </c>
      <c r="E29" s="15" t="s">
        <v>72</v>
      </c>
      <c r="F29" s="15" t="s">
        <v>101</v>
      </c>
      <c r="G29" s="16" t="s">
        <v>393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587</v>
      </c>
      <c r="B30" s="15" t="s">
        <v>99</v>
      </c>
      <c r="C30" s="15" t="s">
        <v>537</v>
      </c>
      <c r="D30" s="15" t="s">
        <v>588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589</v>
      </c>
      <c r="B31" s="15" t="s">
        <v>118</v>
      </c>
      <c r="C31" s="15" t="s">
        <v>24</v>
      </c>
      <c r="D31" s="15" t="s">
        <v>590</v>
      </c>
      <c r="E31" s="15" t="s">
        <v>72</v>
      </c>
      <c r="F31" s="15" t="s">
        <v>120</v>
      </c>
      <c r="G31" s="16" t="s">
        <v>544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591</v>
      </c>
      <c r="B32" s="15" t="s">
        <v>118</v>
      </c>
      <c r="C32" s="15" t="s">
        <v>553</v>
      </c>
      <c r="D32" s="15" t="s">
        <v>592</v>
      </c>
      <c r="E32" s="15" t="s">
        <v>72</v>
      </c>
      <c r="F32" s="15" t="s">
        <v>120</v>
      </c>
      <c r="G32" s="16" t="s">
        <v>544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593</v>
      </c>
      <c r="B33" s="15" t="s">
        <v>118</v>
      </c>
      <c r="C33" s="15" t="s">
        <v>537</v>
      </c>
      <c r="D33" s="15" t="s">
        <v>594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595</v>
      </c>
      <c r="B34" s="15" t="s">
        <v>118</v>
      </c>
      <c r="C34" s="15" t="s">
        <v>537</v>
      </c>
      <c r="D34" s="15" t="s">
        <v>596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597</v>
      </c>
      <c r="B35" s="15" t="s">
        <v>118</v>
      </c>
      <c r="C35" s="15" t="s">
        <v>24</v>
      </c>
      <c r="D35" s="15" t="s">
        <v>598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599</v>
      </c>
      <c r="B36" s="15" t="s">
        <v>118</v>
      </c>
      <c r="C36" s="15" t="s">
        <v>537</v>
      </c>
      <c r="D36" s="15" t="s">
        <v>600</v>
      </c>
      <c r="E36" s="15" t="s">
        <v>72</v>
      </c>
      <c r="F36" s="15" t="s">
        <v>120</v>
      </c>
      <c r="G36" s="16" t="s">
        <v>544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601</v>
      </c>
      <c r="B37" s="15" t="s">
        <v>118</v>
      </c>
      <c r="C37" s="15" t="s">
        <v>537</v>
      </c>
      <c r="D37" s="15" t="s">
        <v>602</v>
      </c>
      <c r="E37" s="15" t="s">
        <v>72</v>
      </c>
      <c r="F37" s="15" t="s">
        <v>120</v>
      </c>
      <c r="G37" s="16" t="s">
        <v>565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603</v>
      </c>
      <c r="B38" s="15" t="s">
        <v>118</v>
      </c>
      <c r="C38" s="15" t="s">
        <v>537</v>
      </c>
      <c r="D38" s="15" t="s">
        <v>604</v>
      </c>
      <c r="E38" s="15" t="s">
        <v>72</v>
      </c>
      <c r="F38" s="15" t="s">
        <v>120</v>
      </c>
      <c r="G38" s="16" t="s">
        <v>565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605</v>
      </c>
      <c r="B39" s="15" t="s">
        <v>118</v>
      </c>
      <c r="C39" s="15" t="s">
        <v>537</v>
      </c>
      <c r="D39" s="15" t="s">
        <v>606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607</v>
      </c>
      <c r="B40" s="15" t="s">
        <v>118</v>
      </c>
      <c r="C40" s="15" t="s">
        <v>537</v>
      </c>
      <c r="D40" s="15" t="s">
        <v>608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609</v>
      </c>
      <c r="B41" s="15" t="s">
        <v>139</v>
      </c>
      <c r="C41" s="15" t="s">
        <v>537</v>
      </c>
      <c r="D41" s="15" t="s">
        <v>610</v>
      </c>
      <c r="E41" s="15" t="s">
        <v>72</v>
      </c>
      <c r="F41" s="15" t="s">
        <v>141</v>
      </c>
      <c r="G41" s="16" t="s">
        <v>611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612</v>
      </c>
      <c r="B42" s="15" t="s">
        <v>139</v>
      </c>
      <c r="C42" s="15" t="s">
        <v>537</v>
      </c>
      <c r="D42" s="15" t="s">
        <v>613</v>
      </c>
      <c r="E42" s="15" t="s">
        <v>72</v>
      </c>
      <c r="F42" s="15" t="s">
        <v>141</v>
      </c>
      <c r="G42" s="16" t="s">
        <v>611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614</v>
      </c>
      <c r="B43" s="15" t="s">
        <v>145</v>
      </c>
      <c r="C43" s="15" t="s">
        <v>537</v>
      </c>
      <c r="D43" s="15" t="s">
        <v>615</v>
      </c>
      <c r="E43" s="15" t="s">
        <v>72</v>
      </c>
      <c r="F43" s="15" t="s">
        <v>147</v>
      </c>
      <c r="G43" s="16" t="s">
        <v>616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617</v>
      </c>
      <c r="B44" s="15" t="s">
        <v>145</v>
      </c>
      <c r="C44" s="15" t="s">
        <v>537</v>
      </c>
      <c r="D44" s="15" t="s">
        <v>618</v>
      </c>
      <c r="E44" s="15" t="s">
        <v>72</v>
      </c>
      <c r="F44" s="15" t="s">
        <v>147</v>
      </c>
      <c r="G44" s="16" t="s">
        <v>619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620</v>
      </c>
      <c r="B45" s="15" t="s">
        <v>153</v>
      </c>
      <c r="C45" s="15" t="s">
        <v>537</v>
      </c>
      <c r="D45" s="15" t="s">
        <v>621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622</v>
      </c>
      <c r="B46" s="15" t="s">
        <v>158</v>
      </c>
      <c r="C46" s="15" t="s">
        <v>623</v>
      </c>
      <c r="D46" s="15" t="s">
        <v>624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625</v>
      </c>
      <c r="B47" s="15" t="s">
        <v>626</v>
      </c>
      <c r="C47" s="15" t="s">
        <v>627</v>
      </c>
      <c r="D47" s="15" t="s">
        <v>628</v>
      </c>
      <c r="E47" s="15" t="s">
        <v>72</v>
      </c>
      <c r="F47" s="15" t="s">
        <v>80</v>
      </c>
      <c r="G47" s="16" t="s">
        <v>539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631</v>
      </c>
      <c r="B9" s="15" t="s">
        <v>70</v>
      </c>
      <c r="C9" s="15" t="s">
        <v>25</v>
      </c>
      <c r="D9" s="15" t="s">
        <v>632</v>
      </c>
      <c r="E9" s="15" t="s">
        <v>72</v>
      </c>
      <c r="F9" s="15" t="s">
        <v>73</v>
      </c>
      <c r="G9" s="16" t="s">
        <v>633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634</v>
      </c>
      <c r="B10" s="15" t="s">
        <v>78</v>
      </c>
      <c r="C10" s="15" t="s">
        <v>25</v>
      </c>
      <c r="D10" s="15" t="s">
        <v>635</v>
      </c>
      <c r="E10" s="15" t="s">
        <v>72</v>
      </c>
      <c r="F10" s="15" t="s">
        <v>80</v>
      </c>
      <c r="G10" s="16" t="s">
        <v>636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637</v>
      </c>
      <c r="B11" s="15" t="s">
        <v>70</v>
      </c>
      <c r="C11" s="15" t="s">
        <v>25</v>
      </c>
      <c r="D11" s="15" t="s">
        <v>638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639</v>
      </c>
      <c r="B12" s="15" t="s">
        <v>50</v>
      </c>
      <c r="C12" s="15" t="s">
        <v>180</v>
      </c>
      <c r="D12" s="15" t="s">
        <v>640</v>
      </c>
      <c r="E12" s="15" t="s">
        <v>72</v>
      </c>
      <c r="F12" s="15" t="s">
        <v>120</v>
      </c>
      <c r="G12" s="16" t="s">
        <v>641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642</v>
      </c>
      <c r="B13" s="15" t="s">
        <v>50</v>
      </c>
      <c r="C13" s="15" t="s">
        <v>643</v>
      </c>
      <c r="D13" s="15" t="s">
        <v>644</v>
      </c>
      <c r="E13" s="15" t="s">
        <v>72</v>
      </c>
      <c r="F13" s="15" t="s">
        <v>120</v>
      </c>
      <c r="G13" s="16" t="s">
        <v>641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645</v>
      </c>
      <c r="B14" s="15" t="s">
        <v>50</v>
      </c>
      <c r="C14" s="15" t="s">
        <v>646</v>
      </c>
      <c r="D14" s="15" t="s">
        <v>647</v>
      </c>
      <c r="E14" s="15" t="s">
        <v>72</v>
      </c>
      <c r="F14" s="15" t="s">
        <v>120</v>
      </c>
      <c r="G14" s="16" t="s">
        <v>641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648</v>
      </c>
      <c r="B15" s="15" t="s">
        <v>649</v>
      </c>
      <c r="C15" s="15" t="s">
        <v>25</v>
      </c>
      <c r="D15" s="15" t="s">
        <v>650</v>
      </c>
      <c r="E15" s="15" t="s">
        <v>72</v>
      </c>
      <c r="F15" s="15" t="s">
        <v>120</v>
      </c>
      <c r="G15" s="16" t="s">
        <v>641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651</v>
      </c>
      <c r="B16" s="15" t="s">
        <v>649</v>
      </c>
      <c r="C16" s="15" t="s">
        <v>25</v>
      </c>
      <c r="D16" s="15" t="s">
        <v>652</v>
      </c>
      <c r="E16" s="15" t="s">
        <v>72</v>
      </c>
      <c r="F16" s="15" t="s">
        <v>120</v>
      </c>
      <c r="G16" s="16" t="s">
        <v>641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653</v>
      </c>
      <c r="B17" s="15" t="s">
        <v>70</v>
      </c>
      <c r="C17" s="15" t="s">
        <v>180</v>
      </c>
      <c r="D17" s="15" t="s">
        <v>654</v>
      </c>
      <c r="E17" s="15" t="s">
        <v>72</v>
      </c>
      <c r="F17" s="15" t="s">
        <v>120</v>
      </c>
      <c r="G17" s="16" t="s">
        <v>641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655</v>
      </c>
      <c r="B18" s="15" t="s">
        <v>92</v>
      </c>
      <c r="C18" s="15" t="s">
        <v>25</v>
      </c>
      <c r="D18" s="15" t="s">
        <v>656</v>
      </c>
      <c r="E18" s="15" t="s">
        <v>72</v>
      </c>
      <c r="F18" s="15" t="s">
        <v>120</v>
      </c>
      <c r="G18" s="16" t="s">
        <v>657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658</v>
      </c>
      <c r="B19" s="15" t="s">
        <v>92</v>
      </c>
      <c r="C19" s="15" t="s">
        <v>25</v>
      </c>
      <c r="D19" s="15" t="s">
        <v>659</v>
      </c>
      <c r="E19" s="15" t="s">
        <v>72</v>
      </c>
      <c r="F19" s="15" t="s">
        <v>120</v>
      </c>
      <c r="G19" s="16" t="s">
        <v>657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660</v>
      </c>
      <c r="B20" s="15" t="s">
        <v>18</v>
      </c>
      <c r="C20" s="15" t="s">
        <v>25</v>
      </c>
      <c r="D20" s="15" t="s">
        <v>661</v>
      </c>
      <c r="E20" s="15" t="s">
        <v>72</v>
      </c>
      <c r="F20" s="15" t="s">
        <v>120</v>
      </c>
      <c r="G20" s="16" t="s">
        <v>657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662</v>
      </c>
      <c r="B21" s="15" t="s">
        <v>18</v>
      </c>
      <c r="C21" s="15" t="s">
        <v>25</v>
      </c>
      <c r="D21" s="15" t="s">
        <v>663</v>
      </c>
      <c r="E21" s="15" t="s">
        <v>72</v>
      </c>
      <c r="F21" s="15" t="s">
        <v>120</v>
      </c>
      <c r="G21" s="16" t="s">
        <v>657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664</v>
      </c>
      <c r="B22" s="15" t="s">
        <v>550</v>
      </c>
      <c r="C22" s="15" t="s">
        <v>25</v>
      </c>
      <c r="D22" s="15" t="s">
        <v>665</v>
      </c>
      <c r="E22" s="15" t="s">
        <v>72</v>
      </c>
      <c r="F22" s="15" t="s">
        <v>120</v>
      </c>
      <c r="G22" s="16" t="s">
        <v>657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666</v>
      </c>
      <c r="B23" s="15" t="s">
        <v>550</v>
      </c>
      <c r="C23" s="15" t="s">
        <v>18</v>
      </c>
      <c r="D23" s="15" t="s">
        <v>667</v>
      </c>
      <c r="E23" s="15" t="s">
        <v>72</v>
      </c>
      <c r="F23" s="15" t="s">
        <v>101</v>
      </c>
      <c r="G23" s="16" t="s">
        <v>393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668</v>
      </c>
      <c r="B24" s="15" t="s">
        <v>669</v>
      </c>
      <c r="C24" s="15" t="s">
        <v>553</v>
      </c>
      <c r="D24" s="15" t="s">
        <v>670</v>
      </c>
      <c r="E24" s="15" t="s">
        <v>72</v>
      </c>
      <c r="F24" s="15" t="s">
        <v>120</v>
      </c>
      <c r="G24" s="16" t="s">
        <v>657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671</v>
      </c>
      <c r="B25" s="15" t="s">
        <v>92</v>
      </c>
      <c r="C25" s="15" t="s">
        <v>25</v>
      </c>
      <c r="D25" s="15" t="s">
        <v>672</v>
      </c>
      <c r="E25" s="15" t="s">
        <v>72</v>
      </c>
      <c r="F25" s="15" t="s">
        <v>73</v>
      </c>
      <c r="G25" s="16" t="s">
        <v>673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674</v>
      </c>
      <c r="B26" s="15" t="s">
        <v>92</v>
      </c>
      <c r="C26" s="15" t="s">
        <v>25</v>
      </c>
      <c r="D26" s="15" t="s">
        <v>675</v>
      </c>
      <c r="E26" s="15" t="s">
        <v>72</v>
      </c>
      <c r="F26" s="15" t="s">
        <v>485</v>
      </c>
      <c r="G26" s="16" t="s">
        <v>131</v>
      </c>
      <c r="H26" s="15" t="s">
        <v>82</v>
      </c>
      <c r="I26" s="15" t="s">
        <v>83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676</v>
      </c>
      <c r="B27" s="15" t="s">
        <v>92</v>
      </c>
      <c r="C27" s="15" t="s">
        <v>25</v>
      </c>
      <c r="D27" s="15" t="s">
        <v>677</v>
      </c>
      <c r="E27" s="15" t="s">
        <v>72</v>
      </c>
      <c r="F27" s="15" t="s">
        <v>120</v>
      </c>
      <c r="G27" s="16" t="s">
        <v>657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678</v>
      </c>
      <c r="B28" s="15" t="s">
        <v>92</v>
      </c>
      <c r="C28" s="15" t="s">
        <v>25</v>
      </c>
      <c r="D28" s="15" t="s">
        <v>679</v>
      </c>
      <c r="E28" s="15" t="s">
        <v>72</v>
      </c>
      <c r="F28" s="15" t="s">
        <v>120</v>
      </c>
      <c r="G28" s="16" t="s">
        <v>657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680</v>
      </c>
      <c r="B29" s="15" t="s">
        <v>581</v>
      </c>
      <c r="C29" s="15" t="s">
        <v>25</v>
      </c>
      <c r="D29" s="15" t="s">
        <v>681</v>
      </c>
      <c r="E29" s="15" t="s">
        <v>72</v>
      </c>
      <c r="F29" s="15" t="s">
        <v>101</v>
      </c>
      <c r="G29" s="16" t="s">
        <v>393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682</v>
      </c>
      <c r="B30" s="15" t="s">
        <v>99</v>
      </c>
      <c r="C30" s="15" t="s">
        <v>25</v>
      </c>
      <c r="D30" s="15" t="s">
        <v>683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684</v>
      </c>
      <c r="B31" s="15" t="s">
        <v>99</v>
      </c>
      <c r="C31" s="15" t="s">
        <v>25</v>
      </c>
      <c r="D31" s="15" t="s">
        <v>685</v>
      </c>
      <c r="E31" s="15" t="s">
        <v>72</v>
      </c>
      <c r="F31" s="15" t="s">
        <v>101</v>
      </c>
      <c r="G31" s="16" t="s">
        <v>393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686</v>
      </c>
      <c r="B32" s="15" t="s">
        <v>118</v>
      </c>
      <c r="C32" s="15" t="s">
        <v>25</v>
      </c>
      <c r="D32" s="15" t="s">
        <v>687</v>
      </c>
      <c r="E32" s="15" t="s">
        <v>72</v>
      </c>
      <c r="F32" s="15" t="s">
        <v>120</v>
      </c>
      <c r="G32" s="16" t="s">
        <v>641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688</v>
      </c>
      <c r="B33" s="15" t="s">
        <v>118</v>
      </c>
      <c r="C33" s="15" t="s">
        <v>25</v>
      </c>
      <c r="D33" s="15" t="s">
        <v>689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690</v>
      </c>
      <c r="B34" s="15" t="s">
        <v>118</v>
      </c>
      <c r="C34" s="15" t="s">
        <v>25</v>
      </c>
      <c r="D34" s="15" t="s">
        <v>691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692</v>
      </c>
      <c r="B35" s="15" t="s">
        <v>118</v>
      </c>
      <c r="C35" s="15" t="s">
        <v>25</v>
      </c>
      <c r="D35" s="15" t="s">
        <v>693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694</v>
      </c>
      <c r="B36" s="15" t="s">
        <v>118</v>
      </c>
      <c r="C36" s="15" t="s">
        <v>25</v>
      </c>
      <c r="D36" s="15" t="s">
        <v>600</v>
      </c>
      <c r="E36" s="15" t="s">
        <v>72</v>
      </c>
      <c r="F36" s="15" t="s">
        <v>120</v>
      </c>
      <c r="G36" s="16" t="s">
        <v>641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695</v>
      </c>
      <c r="B37" s="15" t="s">
        <v>118</v>
      </c>
      <c r="C37" s="15" t="s">
        <v>25</v>
      </c>
      <c r="D37" s="15" t="s">
        <v>696</v>
      </c>
      <c r="E37" s="15" t="s">
        <v>72</v>
      </c>
      <c r="F37" s="15" t="s">
        <v>120</v>
      </c>
      <c r="G37" s="16" t="s">
        <v>657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697</v>
      </c>
      <c r="B38" s="15" t="s">
        <v>118</v>
      </c>
      <c r="C38" s="15" t="s">
        <v>25</v>
      </c>
      <c r="D38" s="15" t="s">
        <v>698</v>
      </c>
      <c r="E38" s="15" t="s">
        <v>72</v>
      </c>
      <c r="F38" s="15" t="s">
        <v>120</v>
      </c>
      <c r="G38" s="16" t="s">
        <v>657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699</v>
      </c>
      <c r="B39" s="15" t="s">
        <v>118</v>
      </c>
      <c r="C39" s="15" t="s">
        <v>25</v>
      </c>
      <c r="D39" s="15" t="s">
        <v>700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701</v>
      </c>
      <c r="B40" s="15" t="s">
        <v>118</v>
      </c>
      <c r="C40" s="15" t="s">
        <v>25</v>
      </c>
      <c r="D40" s="15" t="s">
        <v>702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703</v>
      </c>
      <c r="B41" s="15" t="s">
        <v>139</v>
      </c>
      <c r="C41" s="15" t="s">
        <v>25</v>
      </c>
      <c r="D41" s="15" t="s">
        <v>704</v>
      </c>
      <c r="E41" s="15" t="s">
        <v>72</v>
      </c>
      <c r="F41" s="15" t="s">
        <v>141</v>
      </c>
      <c r="G41" s="16" t="s">
        <v>705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706</v>
      </c>
      <c r="B42" s="15" t="s">
        <v>139</v>
      </c>
      <c r="C42" s="15" t="s">
        <v>25</v>
      </c>
      <c r="D42" s="15" t="s">
        <v>707</v>
      </c>
      <c r="E42" s="15" t="s">
        <v>72</v>
      </c>
      <c r="F42" s="15" t="s">
        <v>141</v>
      </c>
      <c r="G42" s="16" t="s">
        <v>705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708</v>
      </c>
      <c r="B43" s="15" t="s">
        <v>145</v>
      </c>
      <c r="C43" s="15" t="s">
        <v>25</v>
      </c>
      <c r="D43" s="15" t="s">
        <v>709</v>
      </c>
      <c r="E43" s="15" t="s">
        <v>72</v>
      </c>
      <c r="F43" s="15" t="s">
        <v>147</v>
      </c>
      <c r="G43" s="16" t="s">
        <v>710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711</v>
      </c>
      <c r="B44" s="15" t="s">
        <v>145</v>
      </c>
      <c r="C44" s="15" t="s">
        <v>25</v>
      </c>
      <c r="D44" s="15" t="s">
        <v>712</v>
      </c>
      <c r="E44" s="15" t="s">
        <v>72</v>
      </c>
      <c r="F44" s="15" t="s">
        <v>147</v>
      </c>
      <c r="G44" s="16" t="s">
        <v>713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714</v>
      </c>
      <c r="B45" s="15" t="s">
        <v>153</v>
      </c>
      <c r="C45" s="15" t="s">
        <v>25</v>
      </c>
      <c r="D45" s="15" t="s">
        <v>715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716</v>
      </c>
      <c r="B46" s="15" t="s">
        <v>158</v>
      </c>
      <c r="C46" s="15" t="s">
        <v>717</v>
      </c>
      <c r="D46" s="15" t="s">
        <v>718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719</v>
      </c>
      <c r="B47" s="15" t="s">
        <v>626</v>
      </c>
      <c r="C47" s="15" t="s">
        <v>720</v>
      </c>
      <c r="D47" s="15" t="s">
        <v>721</v>
      </c>
      <c r="E47" s="15" t="s">
        <v>72</v>
      </c>
      <c r="F47" s="15" t="s">
        <v>80</v>
      </c>
      <c r="G47" s="16" t="s">
        <v>636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722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723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724</v>
      </c>
      <c r="B9" s="15" t="s">
        <v>70</v>
      </c>
      <c r="C9" s="15" t="s">
        <v>26</v>
      </c>
      <c r="D9" s="15" t="s">
        <v>725</v>
      </c>
      <c r="E9" s="15" t="s">
        <v>72</v>
      </c>
      <c r="F9" s="15" t="s">
        <v>73</v>
      </c>
      <c r="G9" s="16" t="s">
        <v>726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727</v>
      </c>
      <c r="B10" s="15" t="s">
        <v>78</v>
      </c>
      <c r="C10" s="15" t="s">
        <v>537</v>
      </c>
      <c r="D10" s="15" t="s">
        <v>728</v>
      </c>
      <c r="E10" s="15" t="s">
        <v>72</v>
      </c>
      <c r="F10" s="15" t="s">
        <v>80</v>
      </c>
      <c r="G10" s="16" t="s">
        <v>729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730</v>
      </c>
      <c r="B11" s="15" t="s">
        <v>70</v>
      </c>
      <c r="C11" s="15" t="s">
        <v>537</v>
      </c>
      <c r="D11" s="15" t="s">
        <v>731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732</v>
      </c>
      <c r="B12" s="15" t="s">
        <v>50</v>
      </c>
      <c r="C12" s="15" t="s">
        <v>26</v>
      </c>
      <c r="D12" s="15" t="s">
        <v>733</v>
      </c>
      <c r="E12" s="15" t="s">
        <v>72</v>
      </c>
      <c r="F12" s="15" t="s">
        <v>120</v>
      </c>
      <c r="G12" s="16" t="s">
        <v>734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735</v>
      </c>
      <c r="B13" s="15" t="s">
        <v>736</v>
      </c>
      <c r="C13" s="15" t="s">
        <v>26</v>
      </c>
      <c r="D13" s="15" t="s">
        <v>737</v>
      </c>
      <c r="E13" s="15" t="s">
        <v>72</v>
      </c>
      <c r="F13" s="15" t="s">
        <v>120</v>
      </c>
      <c r="G13" s="16" t="s">
        <v>734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738</v>
      </c>
      <c r="B14" s="15" t="s">
        <v>70</v>
      </c>
      <c r="C14" s="15" t="s">
        <v>26</v>
      </c>
      <c r="D14" s="15" t="s">
        <v>739</v>
      </c>
      <c r="E14" s="15" t="s">
        <v>72</v>
      </c>
      <c r="F14" s="15" t="s">
        <v>120</v>
      </c>
      <c r="G14" s="16" t="s">
        <v>734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740</v>
      </c>
      <c r="B15" s="15" t="s">
        <v>92</v>
      </c>
      <c r="C15" s="15" t="s">
        <v>26</v>
      </c>
      <c r="D15" s="15" t="s">
        <v>741</v>
      </c>
      <c r="E15" s="15" t="s">
        <v>72</v>
      </c>
      <c r="F15" s="15" t="s">
        <v>120</v>
      </c>
      <c r="G15" s="16" t="s">
        <v>734</v>
      </c>
      <c r="H15" s="15" t="s">
        <v>75</v>
      </c>
      <c r="I15" s="15" t="s">
        <v>76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742</v>
      </c>
      <c r="B16" s="15" t="s">
        <v>743</v>
      </c>
      <c r="C16" s="15" t="s">
        <v>26</v>
      </c>
      <c r="D16" s="15" t="s">
        <v>744</v>
      </c>
      <c r="E16" s="15" t="s">
        <v>72</v>
      </c>
      <c r="F16" s="15" t="s">
        <v>120</v>
      </c>
      <c r="G16" s="16" t="s">
        <v>745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746</v>
      </c>
      <c r="B17" s="15" t="s">
        <v>50</v>
      </c>
      <c r="C17" s="15" t="s">
        <v>747</v>
      </c>
      <c r="D17" s="15" t="s">
        <v>748</v>
      </c>
      <c r="E17" s="15" t="s">
        <v>72</v>
      </c>
      <c r="F17" s="15" t="s">
        <v>120</v>
      </c>
      <c r="G17" s="16" t="s">
        <v>734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749</v>
      </c>
      <c r="B18" s="15" t="s">
        <v>750</v>
      </c>
      <c r="C18" s="15" t="s">
        <v>747</v>
      </c>
      <c r="D18" s="15" t="s">
        <v>751</v>
      </c>
      <c r="E18" s="15" t="s">
        <v>72</v>
      </c>
      <c r="F18" s="15" t="s">
        <v>86</v>
      </c>
      <c r="G18" s="16" t="s">
        <v>123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752</v>
      </c>
      <c r="B19" s="15" t="s">
        <v>50</v>
      </c>
      <c r="C19" s="15" t="s">
        <v>753</v>
      </c>
      <c r="D19" s="15" t="s">
        <v>754</v>
      </c>
      <c r="E19" s="15" t="s">
        <v>72</v>
      </c>
      <c r="F19" s="15" t="s">
        <v>120</v>
      </c>
      <c r="G19" s="16" t="s">
        <v>734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755</v>
      </c>
      <c r="B20" s="15" t="s">
        <v>756</v>
      </c>
      <c r="C20" s="15" t="s">
        <v>757</v>
      </c>
      <c r="D20" s="15" t="s">
        <v>758</v>
      </c>
      <c r="E20" s="15" t="s">
        <v>72</v>
      </c>
      <c r="F20" s="15" t="s">
        <v>120</v>
      </c>
      <c r="G20" s="16" t="s">
        <v>745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759</v>
      </c>
      <c r="B21" s="15" t="s">
        <v>760</v>
      </c>
      <c r="C21" s="15" t="s">
        <v>757</v>
      </c>
      <c r="D21" s="15" t="s">
        <v>761</v>
      </c>
      <c r="E21" s="15" t="s">
        <v>72</v>
      </c>
      <c r="F21" s="15" t="s">
        <v>120</v>
      </c>
      <c r="G21" s="16" t="s">
        <v>745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762</v>
      </c>
      <c r="B22" s="15" t="s">
        <v>561</v>
      </c>
      <c r="C22" s="15" t="s">
        <v>757</v>
      </c>
      <c r="D22" s="15" t="s">
        <v>763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764</v>
      </c>
      <c r="B23" s="15" t="s">
        <v>561</v>
      </c>
      <c r="C23" s="15" t="s">
        <v>757</v>
      </c>
      <c r="D23" s="15" t="s">
        <v>765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766</v>
      </c>
      <c r="B24" s="15" t="s">
        <v>767</v>
      </c>
      <c r="C24" s="15" t="s">
        <v>757</v>
      </c>
      <c r="D24" s="15" t="s">
        <v>768</v>
      </c>
      <c r="E24" s="15" t="s">
        <v>72</v>
      </c>
      <c r="F24" s="15" t="s">
        <v>120</v>
      </c>
      <c r="G24" s="16" t="s">
        <v>745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769</v>
      </c>
      <c r="B25" s="15" t="s">
        <v>550</v>
      </c>
      <c r="C25" s="15" t="s">
        <v>537</v>
      </c>
      <c r="D25" s="15" t="s">
        <v>770</v>
      </c>
      <c r="E25" s="15" t="s">
        <v>72</v>
      </c>
      <c r="F25" s="15" t="s">
        <v>120</v>
      </c>
      <c r="G25" s="16" t="s">
        <v>745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771</v>
      </c>
      <c r="B26" s="15" t="s">
        <v>92</v>
      </c>
      <c r="C26" s="15" t="s">
        <v>537</v>
      </c>
      <c r="D26" s="15" t="s">
        <v>772</v>
      </c>
      <c r="E26" s="15" t="s">
        <v>72</v>
      </c>
      <c r="F26" s="15" t="s">
        <v>73</v>
      </c>
      <c r="G26" s="16" t="s">
        <v>773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774</v>
      </c>
      <c r="B27" s="15" t="s">
        <v>92</v>
      </c>
      <c r="C27" s="15" t="s">
        <v>537</v>
      </c>
      <c r="D27" s="15" t="s">
        <v>775</v>
      </c>
      <c r="E27" s="15" t="s">
        <v>72</v>
      </c>
      <c r="F27" s="15" t="s">
        <v>485</v>
      </c>
      <c r="G27" s="16" t="s">
        <v>131</v>
      </c>
      <c r="H27" s="15" t="s">
        <v>82</v>
      </c>
      <c r="I27" s="15" t="s">
        <v>83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776</v>
      </c>
      <c r="B28" s="15" t="s">
        <v>92</v>
      </c>
      <c r="C28" s="15" t="s">
        <v>537</v>
      </c>
      <c r="D28" s="15" t="s">
        <v>777</v>
      </c>
      <c r="E28" s="15" t="s">
        <v>72</v>
      </c>
      <c r="F28" s="15" t="s">
        <v>120</v>
      </c>
      <c r="G28" s="16" t="s">
        <v>745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778</v>
      </c>
      <c r="B29" s="15" t="s">
        <v>779</v>
      </c>
      <c r="C29" s="15" t="s">
        <v>537</v>
      </c>
      <c r="D29" s="15" t="s">
        <v>780</v>
      </c>
      <c r="E29" s="15" t="s">
        <v>72</v>
      </c>
      <c r="F29" s="15" t="s">
        <v>120</v>
      </c>
      <c r="G29" s="16" t="s">
        <v>745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781</v>
      </c>
      <c r="B30" s="15" t="s">
        <v>581</v>
      </c>
      <c r="C30" s="15" t="s">
        <v>537</v>
      </c>
      <c r="D30" s="15" t="s">
        <v>782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783</v>
      </c>
      <c r="B31" s="15" t="s">
        <v>99</v>
      </c>
      <c r="C31" s="15" t="s">
        <v>537</v>
      </c>
      <c r="D31" s="15" t="s">
        <v>784</v>
      </c>
      <c r="E31" s="15" t="s">
        <v>72</v>
      </c>
      <c r="F31" s="15" t="s">
        <v>101</v>
      </c>
      <c r="G31" s="16" t="s">
        <v>393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785</v>
      </c>
      <c r="B32" s="15" t="s">
        <v>118</v>
      </c>
      <c r="C32" s="15" t="s">
        <v>537</v>
      </c>
      <c r="D32" s="15" t="s">
        <v>786</v>
      </c>
      <c r="E32" s="15" t="s">
        <v>72</v>
      </c>
      <c r="F32" s="15" t="s">
        <v>120</v>
      </c>
      <c r="G32" s="16" t="s">
        <v>734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787</v>
      </c>
      <c r="B33" s="15" t="s">
        <v>118</v>
      </c>
      <c r="C33" s="15" t="s">
        <v>537</v>
      </c>
      <c r="D33" s="15" t="s">
        <v>788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789</v>
      </c>
      <c r="B34" s="15" t="s">
        <v>118</v>
      </c>
      <c r="C34" s="15" t="s">
        <v>537</v>
      </c>
      <c r="D34" s="15" t="s">
        <v>790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791</v>
      </c>
      <c r="B35" s="15" t="s">
        <v>118</v>
      </c>
      <c r="C35" s="15" t="s">
        <v>537</v>
      </c>
      <c r="D35" s="15" t="s">
        <v>792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793</v>
      </c>
      <c r="B36" s="15" t="s">
        <v>118</v>
      </c>
      <c r="C36" s="15" t="s">
        <v>537</v>
      </c>
      <c r="D36" s="15" t="s">
        <v>794</v>
      </c>
      <c r="E36" s="15" t="s">
        <v>72</v>
      </c>
      <c r="F36" s="15" t="s">
        <v>120</v>
      </c>
      <c r="G36" s="16" t="s">
        <v>734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795</v>
      </c>
      <c r="B37" s="15" t="s">
        <v>118</v>
      </c>
      <c r="C37" s="15" t="s">
        <v>537</v>
      </c>
      <c r="D37" s="15" t="s">
        <v>796</v>
      </c>
      <c r="E37" s="15" t="s">
        <v>72</v>
      </c>
      <c r="F37" s="15" t="s">
        <v>120</v>
      </c>
      <c r="G37" s="16" t="s">
        <v>745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797</v>
      </c>
      <c r="B38" s="15" t="s">
        <v>118</v>
      </c>
      <c r="C38" s="15" t="s">
        <v>537</v>
      </c>
      <c r="D38" s="15" t="s">
        <v>798</v>
      </c>
      <c r="E38" s="15" t="s">
        <v>72</v>
      </c>
      <c r="F38" s="15" t="s">
        <v>120</v>
      </c>
      <c r="G38" s="16" t="s">
        <v>745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799</v>
      </c>
      <c r="B39" s="15" t="s">
        <v>118</v>
      </c>
      <c r="C39" s="15" t="s">
        <v>537</v>
      </c>
      <c r="D39" s="15" t="s">
        <v>800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801</v>
      </c>
      <c r="B40" s="15" t="s">
        <v>118</v>
      </c>
      <c r="C40" s="15" t="s">
        <v>537</v>
      </c>
      <c r="D40" s="15" t="s">
        <v>802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803</v>
      </c>
      <c r="B41" s="15" t="s">
        <v>139</v>
      </c>
      <c r="C41" s="15" t="s">
        <v>537</v>
      </c>
      <c r="D41" s="15" t="s">
        <v>804</v>
      </c>
      <c r="E41" s="15" t="s">
        <v>72</v>
      </c>
      <c r="F41" s="15" t="s">
        <v>141</v>
      </c>
      <c r="G41" s="16" t="s">
        <v>805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806</v>
      </c>
      <c r="B42" s="15" t="s">
        <v>139</v>
      </c>
      <c r="C42" s="15" t="s">
        <v>537</v>
      </c>
      <c r="D42" s="15" t="s">
        <v>807</v>
      </c>
      <c r="E42" s="15" t="s">
        <v>72</v>
      </c>
      <c r="F42" s="15" t="s">
        <v>141</v>
      </c>
      <c r="G42" s="16" t="s">
        <v>805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808</v>
      </c>
      <c r="B43" s="15" t="s">
        <v>145</v>
      </c>
      <c r="C43" s="15" t="s">
        <v>26</v>
      </c>
      <c r="D43" s="15" t="s">
        <v>809</v>
      </c>
      <c r="E43" s="15" t="s">
        <v>72</v>
      </c>
      <c r="F43" s="15" t="s">
        <v>147</v>
      </c>
      <c r="G43" s="16" t="s">
        <v>810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811</v>
      </c>
      <c r="B44" s="15" t="s">
        <v>145</v>
      </c>
      <c r="C44" s="15" t="s">
        <v>757</v>
      </c>
      <c r="D44" s="15" t="s">
        <v>812</v>
      </c>
      <c r="E44" s="15" t="s">
        <v>72</v>
      </c>
      <c r="F44" s="15" t="s">
        <v>147</v>
      </c>
      <c r="G44" s="16" t="s">
        <v>813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814</v>
      </c>
      <c r="B45" s="15" t="s">
        <v>153</v>
      </c>
      <c r="C45" s="15" t="s">
        <v>537</v>
      </c>
      <c r="D45" s="15" t="s">
        <v>815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816</v>
      </c>
      <c r="B46" s="15" t="s">
        <v>158</v>
      </c>
      <c r="C46" s="15" t="s">
        <v>817</v>
      </c>
      <c r="D46" s="15" t="s">
        <v>818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819</v>
      </c>
      <c r="B47" s="15" t="s">
        <v>626</v>
      </c>
      <c r="C47" s="15" t="s">
        <v>537</v>
      </c>
      <c r="D47" s="15" t="s">
        <v>820</v>
      </c>
      <c r="E47" s="15" t="s">
        <v>72</v>
      </c>
      <c r="F47" s="15" t="s">
        <v>80</v>
      </c>
      <c r="G47" s="16" t="s">
        <v>729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toggle/Toggle.tsx"/>
    <hyperlink ref="G10" r:id="rId2" display="../../docs/toggle-component-brief.md"/>
    <hyperlink ref="G11" r:id="rId3" display="../test/types/public-api.test.ts"/>
    <hyperlink ref="G12" r:id="rId4" display="../test/components/toggle.test.tsx"/>
    <hyperlink ref="G13" r:id="rId5" display="../test/components/toggle.test.tsx"/>
    <hyperlink ref="G14" r:id="rId6" display="../test/components/toggle.test.tsx"/>
    <hyperlink ref="G15" r:id="rId7" display="../test/components/toggle.test.tsx"/>
    <hyperlink ref="G16" r:id="rId8" display="tests/toggle.spec.ts"/>
    <hyperlink ref="G17" r:id="rId9" display="../test/components/toggle.test.tsx"/>
    <hyperlink ref="G18" r:id="rId10" display="../test/types/public-api.test.ts"/>
    <hyperlink ref="G19" r:id="rId11" display="../test/components/toggle.test.tsx"/>
    <hyperlink ref="G20" r:id="rId12" display="tests/toggle.spec.ts"/>
    <hyperlink ref="G21" r:id="rId13" display="tests/toggle.spec.ts"/>
    <hyperlink ref="G22" r:id="rId14" display="tests/visual.spec.ts"/>
    <hyperlink ref="G23" r:id="rId15" display="tests/visual.spec.ts"/>
    <hyperlink ref="G24" r:id="rId16" display="tests/toggle.spec.ts"/>
    <hyperlink ref="G25" r:id="rId17" display="tests/toggle.spec.ts"/>
    <hyperlink ref="G26" r:id="rId18" display="../src/components/toggle/toggle.css"/>
    <hyperlink ref="G27" r:id="rId19" display="tests/visual.spec.ts"/>
    <hyperlink ref="G28" r:id="rId20" display="tests/toggle.spec.ts"/>
    <hyperlink ref="G29" r:id="rId21" display="tests/toggle.spec.ts"/>
    <hyperlink ref="G30" r:id="rId22" display="../playground/src/main.tsx"/>
    <hyperlink ref="G31" r:id="rId23" display="../playground/src/main.tsx"/>
    <hyperlink ref="G32" r:id="rId24" display="../test/components/toggl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toggle.test.tsx"/>
    <hyperlink ref="G37" r:id="rId29" display="tests/toggle.spec.ts"/>
    <hyperlink ref="G38" r:id="rId30" display="tests/toggle.spec.ts"/>
    <hyperlink ref="G39" r:id="rId31" display="tests/visual.spec.ts"/>
    <hyperlink ref="G40" r:id="rId32" display="../playwright.config.ts"/>
    <hyperlink ref="G41" r:id="rId33" display="manual-tests/toggle.md"/>
    <hyperlink ref="G42" r:id="rId34" display="manual-tests/toggle.md"/>
    <hyperlink ref="G43" r:id="rId35" display="../docs/components/toggle/README.md"/>
    <hyperlink ref="G44" r:id="rId36" display="../docs/components/toggle-group/README.md"/>
    <hyperlink ref="G45" r:id="rId37" display="../../../../apps/brick-consumer/tests/consumer.spec.ts"/>
    <hyperlink ref="G46" r:id="rId38" display="../../docs/core-dependency-ledger.md"/>
    <hyperlink ref="G47" r:id="rId39" display="../../docs/toggl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821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822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823</v>
      </c>
      <c r="B9" s="15" t="s">
        <v>70</v>
      </c>
      <c r="C9" s="15" t="s">
        <v>27</v>
      </c>
      <c r="D9" s="15" t="s">
        <v>824</v>
      </c>
      <c r="E9" s="15" t="s">
        <v>72</v>
      </c>
      <c r="F9" s="15" t="s">
        <v>73</v>
      </c>
      <c r="G9" s="16" t="s">
        <v>825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826</v>
      </c>
      <c r="B10" s="15" t="s">
        <v>78</v>
      </c>
      <c r="C10" s="15" t="s">
        <v>27</v>
      </c>
      <c r="D10" s="15" t="s">
        <v>827</v>
      </c>
      <c r="E10" s="15" t="s">
        <v>72</v>
      </c>
      <c r="F10" s="15" t="s">
        <v>80</v>
      </c>
      <c r="G10" s="16" t="s">
        <v>828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829</v>
      </c>
      <c r="B11" s="15" t="s">
        <v>70</v>
      </c>
      <c r="C11" s="15" t="s">
        <v>27</v>
      </c>
      <c r="D11" s="15" t="s">
        <v>830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831</v>
      </c>
      <c r="B12" s="15" t="s">
        <v>50</v>
      </c>
      <c r="C12" s="15" t="s">
        <v>27</v>
      </c>
      <c r="D12" s="15" t="s">
        <v>832</v>
      </c>
      <c r="E12" s="15" t="s">
        <v>72</v>
      </c>
      <c r="F12" s="15" t="s">
        <v>120</v>
      </c>
      <c r="G12" s="16" t="s">
        <v>833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834</v>
      </c>
      <c r="B13" s="15" t="s">
        <v>835</v>
      </c>
      <c r="C13" s="15" t="s">
        <v>27</v>
      </c>
      <c r="D13" s="15" t="s">
        <v>836</v>
      </c>
      <c r="E13" s="15" t="s">
        <v>72</v>
      </c>
      <c r="F13" s="15" t="s">
        <v>120</v>
      </c>
      <c r="G13" s="16" t="s">
        <v>837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838</v>
      </c>
      <c r="B14" s="15" t="s">
        <v>839</v>
      </c>
      <c r="C14" s="15" t="s">
        <v>27</v>
      </c>
      <c r="D14" s="15" t="s">
        <v>840</v>
      </c>
      <c r="E14" s="15" t="s">
        <v>72</v>
      </c>
      <c r="F14" s="15" t="s">
        <v>120</v>
      </c>
      <c r="G14" s="16" t="s">
        <v>833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841</v>
      </c>
      <c r="B15" s="15" t="s">
        <v>736</v>
      </c>
      <c r="C15" s="15" t="s">
        <v>27</v>
      </c>
      <c r="D15" s="15" t="s">
        <v>842</v>
      </c>
      <c r="E15" s="15" t="s">
        <v>72</v>
      </c>
      <c r="F15" s="15" t="s">
        <v>120</v>
      </c>
      <c r="G15" s="16" t="s">
        <v>833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843</v>
      </c>
      <c r="B16" s="15" t="s">
        <v>92</v>
      </c>
      <c r="C16" s="15" t="s">
        <v>27</v>
      </c>
      <c r="D16" s="15" t="s">
        <v>844</v>
      </c>
      <c r="E16" s="15" t="s">
        <v>72</v>
      </c>
      <c r="F16" s="15" t="s">
        <v>485</v>
      </c>
      <c r="G16" s="16" t="s">
        <v>131</v>
      </c>
      <c r="H16" s="15" t="s">
        <v>82</v>
      </c>
      <c r="I16" s="15" t="s">
        <v>83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845</v>
      </c>
      <c r="B17" s="15" t="s">
        <v>92</v>
      </c>
      <c r="C17" s="15" t="s">
        <v>27</v>
      </c>
      <c r="D17" s="15" t="s">
        <v>846</v>
      </c>
      <c r="E17" s="15" t="s">
        <v>72</v>
      </c>
      <c r="F17" s="15" t="s">
        <v>485</v>
      </c>
      <c r="G17" s="16" t="s">
        <v>131</v>
      </c>
      <c r="H17" s="15" t="s">
        <v>82</v>
      </c>
      <c r="I17" s="15" t="s">
        <v>83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847</v>
      </c>
      <c r="B18" s="15" t="s">
        <v>561</v>
      </c>
      <c r="C18" s="15" t="s">
        <v>27</v>
      </c>
      <c r="D18" s="15" t="s">
        <v>848</v>
      </c>
      <c r="E18" s="15" t="s">
        <v>72</v>
      </c>
      <c r="F18" s="15" t="s">
        <v>120</v>
      </c>
      <c r="G18" s="16" t="s">
        <v>833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849</v>
      </c>
      <c r="B19" s="15" t="s">
        <v>850</v>
      </c>
      <c r="C19" s="15" t="s">
        <v>27</v>
      </c>
      <c r="D19" s="15" t="s">
        <v>851</v>
      </c>
      <c r="E19" s="15" t="s">
        <v>72</v>
      </c>
      <c r="F19" s="15" t="s">
        <v>120</v>
      </c>
      <c r="G19" s="16" t="s">
        <v>833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852</v>
      </c>
      <c r="B20" s="15" t="s">
        <v>743</v>
      </c>
      <c r="C20" s="15" t="s">
        <v>27</v>
      </c>
      <c r="D20" s="15" t="s">
        <v>853</v>
      </c>
      <c r="E20" s="15" t="s">
        <v>72</v>
      </c>
      <c r="F20" s="15" t="s">
        <v>485</v>
      </c>
      <c r="G20" s="16" t="s">
        <v>131</v>
      </c>
      <c r="H20" s="15" t="s">
        <v>82</v>
      </c>
      <c r="I20" s="15" t="s">
        <v>83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854</v>
      </c>
      <c r="B21" s="15" t="s">
        <v>649</v>
      </c>
      <c r="C21" s="15" t="s">
        <v>27</v>
      </c>
      <c r="D21" s="15" t="s">
        <v>855</v>
      </c>
      <c r="E21" s="15" t="s">
        <v>72</v>
      </c>
      <c r="F21" s="15" t="s">
        <v>120</v>
      </c>
      <c r="G21" s="16" t="s">
        <v>833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856</v>
      </c>
      <c r="B22" s="15" t="s">
        <v>550</v>
      </c>
      <c r="C22" s="15" t="s">
        <v>27</v>
      </c>
      <c r="D22" s="15" t="s">
        <v>857</v>
      </c>
      <c r="E22" s="15" t="s">
        <v>72</v>
      </c>
      <c r="F22" s="15" t="s">
        <v>120</v>
      </c>
      <c r="G22" s="16" t="s">
        <v>837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858</v>
      </c>
      <c r="B23" s="15" t="s">
        <v>859</v>
      </c>
      <c r="C23" s="15" t="s">
        <v>27</v>
      </c>
      <c r="D23" s="15" t="s">
        <v>860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861</v>
      </c>
      <c r="B24" s="15" t="s">
        <v>862</v>
      </c>
      <c r="C24" s="15" t="s">
        <v>27</v>
      </c>
      <c r="D24" s="15" t="s">
        <v>863</v>
      </c>
      <c r="E24" s="15" t="s">
        <v>72</v>
      </c>
      <c r="F24" s="15" t="s">
        <v>120</v>
      </c>
      <c r="G24" s="16" t="s">
        <v>837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864</v>
      </c>
      <c r="B25" s="15" t="s">
        <v>779</v>
      </c>
      <c r="C25" s="15" t="s">
        <v>27</v>
      </c>
      <c r="D25" s="15" t="s">
        <v>865</v>
      </c>
      <c r="E25" s="15" t="s">
        <v>72</v>
      </c>
      <c r="F25" s="15" t="s">
        <v>120</v>
      </c>
      <c r="G25" s="16" t="s">
        <v>837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866</v>
      </c>
      <c r="B26" s="15" t="s">
        <v>581</v>
      </c>
      <c r="C26" s="15" t="s">
        <v>27</v>
      </c>
      <c r="D26" s="15" t="s">
        <v>867</v>
      </c>
      <c r="E26" s="15" t="s">
        <v>72</v>
      </c>
      <c r="F26" s="15" t="s">
        <v>101</v>
      </c>
      <c r="G26" s="16" t="s">
        <v>393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868</v>
      </c>
      <c r="B27" s="15" t="s">
        <v>92</v>
      </c>
      <c r="C27" s="15" t="s">
        <v>27</v>
      </c>
      <c r="D27" s="15" t="s">
        <v>869</v>
      </c>
      <c r="E27" s="15" t="s">
        <v>72</v>
      </c>
      <c r="F27" s="15" t="s">
        <v>73</v>
      </c>
      <c r="G27" s="16" t="s">
        <v>870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871</v>
      </c>
      <c r="B28" s="15" t="s">
        <v>99</v>
      </c>
      <c r="C28" s="15" t="s">
        <v>27</v>
      </c>
      <c r="D28" s="15" t="s">
        <v>872</v>
      </c>
      <c r="E28" s="15" t="s">
        <v>72</v>
      </c>
      <c r="F28" s="15" t="s">
        <v>101</v>
      </c>
      <c r="G28" s="16" t="s">
        <v>393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873</v>
      </c>
      <c r="B29" s="15" t="s">
        <v>118</v>
      </c>
      <c r="C29" s="15" t="s">
        <v>27</v>
      </c>
      <c r="D29" s="15" t="s">
        <v>874</v>
      </c>
      <c r="E29" s="15" t="s">
        <v>72</v>
      </c>
      <c r="F29" s="15" t="s">
        <v>120</v>
      </c>
      <c r="G29" s="16" t="s">
        <v>833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875</v>
      </c>
      <c r="B30" s="15" t="s">
        <v>118</v>
      </c>
      <c r="C30" s="15" t="s">
        <v>27</v>
      </c>
      <c r="D30" s="15" t="s">
        <v>876</v>
      </c>
      <c r="E30" s="15" t="s">
        <v>72</v>
      </c>
      <c r="F30" s="15" t="s">
        <v>86</v>
      </c>
      <c r="G30" s="16" t="s">
        <v>123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877</v>
      </c>
      <c r="B31" s="15" t="s">
        <v>118</v>
      </c>
      <c r="C31" s="15" t="s">
        <v>27</v>
      </c>
      <c r="D31" s="15" t="s">
        <v>878</v>
      </c>
      <c r="E31" s="15" t="s">
        <v>72</v>
      </c>
      <c r="F31" s="15" t="s">
        <v>120</v>
      </c>
      <c r="G31" s="16" t="s">
        <v>504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879</v>
      </c>
      <c r="B32" s="15" t="s">
        <v>118</v>
      </c>
      <c r="C32" s="15" t="s">
        <v>27</v>
      </c>
      <c r="D32" s="15" t="s">
        <v>880</v>
      </c>
      <c r="E32" s="15" t="s">
        <v>72</v>
      </c>
      <c r="F32" s="15" t="s">
        <v>72</v>
      </c>
      <c r="G32" s="16" t="s">
        <v>137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881</v>
      </c>
      <c r="B33" s="15" t="s">
        <v>118</v>
      </c>
      <c r="C33" s="15" t="s">
        <v>27</v>
      </c>
      <c r="D33" s="15" t="s">
        <v>882</v>
      </c>
      <c r="E33" s="15" t="s">
        <v>72</v>
      </c>
      <c r="F33" s="15" t="s">
        <v>120</v>
      </c>
      <c r="G33" s="16" t="s">
        <v>833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883</v>
      </c>
      <c r="B34" s="15" t="s">
        <v>118</v>
      </c>
      <c r="C34" s="15" t="s">
        <v>27</v>
      </c>
      <c r="D34" s="15" t="s">
        <v>884</v>
      </c>
      <c r="E34" s="15" t="s">
        <v>72</v>
      </c>
      <c r="F34" s="15" t="s">
        <v>120</v>
      </c>
      <c r="G34" s="16" t="s">
        <v>837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885</v>
      </c>
      <c r="B35" s="15" t="s">
        <v>118</v>
      </c>
      <c r="C35" s="15" t="s">
        <v>27</v>
      </c>
      <c r="D35" s="15" t="s">
        <v>886</v>
      </c>
      <c r="E35" s="15" t="s">
        <v>72</v>
      </c>
      <c r="F35" s="15" t="s">
        <v>120</v>
      </c>
      <c r="G35" s="16" t="s">
        <v>233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887</v>
      </c>
      <c r="B36" s="15" t="s">
        <v>118</v>
      </c>
      <c r="C36" s="15" t="s">
        <v>27</v>
      </c>
      <c r="D36" s="15" t="s">
        <v>888</v>
      </c>
      <c r="E36" s="15" t="s">
        <v>72</v>
      </c>
      <c r="F36" s="15" t="s">
        <v>485</v>
      </c>
      <c r="G36" s="16" t="s">
        <v>131</v>
      </c>
      <c r="H36" s="15" t="s">
        <v>82</v>
      </c>
      <c r="I36" s="15" t="s">
        <v>83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889</v>
      </c>
      <c r="B37" s="15" t="s">
        <v>139</v>
      </c>
      <c r="C37" s="15" t="s">
        <v>27</v>
      </c>
      <c r="D37" s="15" t="s">
        <v>890</v>
      </c>
      <c r="E37" s="15" t="s">
        <v>72</v>
      </c>
      <c r="F37" s="15" t="s">
        <v>141</v>
      </c>
      <c r="G37" s="16" t="s">
        <v>891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892</v>
      </c>
      <c r="B38" s="15" t="s">
        <v>139</v>
      </c>
      <c r="C38" s="15" t="s">
        <v>27</v>
      </c>
      <c r="D38" s="15" t="s">
        <v>893</v>
      </c>
      <c r="E38" s="15" t="s">
        <v>72</v>
      </c>
      <c r="F38" s="15" t="s">
        <v>141</v>
      </c>
      <c r="G38" s="16" t="s">
        <v>891</v>
      </c>
      <c r="H38" s="15" t="s">
        <v>82</v>
      </c>
      <c r="I38" s="15" t="s">
        <v>83</v>
      </c>
      <c r="J38" s="19" t="n">
        <v>46223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894</v>
      </c>
      <c r="B39" s="15" t="s">
        <v>145</v>
      </c>
      <c r="C39" s="15" t="s">
        <v>27</v>
      </c>
      <c r="D39" s="15" t="s">
        <v>895</v>
      </c>
      <c r="E39" s="15" t="s">
        <v>72</v>
      </c>
      <c r="F39" s="15" t="s">
        <v>147</v>
      </c>
      <c r="G39" s="16" t="s">
        <v>896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897</v>
      </c>
      <c r="B40" s="15" t="s">
        <v>145</v>
      </c>
      <c r="C40" s="15" t="s">
        <v>27</v>
      </c>
      <c r="D40" s="15" t="s">
        <v>898</v>
      </c>
      <c r="E40" s="15" t="s">
        <v>72</v>
      </c>
      <c r="F40" s="15" t="s">
        <v>147</v>
      </c>
      <c r="G40" s="16" t="s">
        <v>899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900</v>
      </c>
      <c r="B41" s="15" t="s">
        <v>153</v>
      </c>
      <c r="C41" s="15" t="s">
        <v>27</v>
      </c>
      <c r="D41" s="15" t="s">
        <v>901</v>
      </c>
      <c r="E41" s="15" t="s">
        <v>155</v>
      </c>
      <c r="F41" s="15" t="s">
        <v>155</v>
      </c>
      <c r="G41" s="16" t="s">
        <v>902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903</v>
      </c>
      <c r="B42" s="15" t="s">
        <v>153</v>
      </c>
      <c r="C42" s="15" t="s">
        <v>27</v>
      </c>
      <c r="D42" s="15" t="s">
        <v>904</v>
      </c>
      <c r="E42" s="15" t="s">
        <v>155</v>
      </c>
      <c r="F42" s="15" t="s">
        <v>120</v>
      </c>
      <c r="G42" s="16" t="s">
        <v>156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905</v>
      </c>
      <c r="B43" s="15" t="s">
        <v>158</v>
      </c>
      <c r="C43" s="15" t="s">
        <v>906</v>
      </c>
      <c r="D43" s="15" t="s">
        <v>907</v>
      </c>
      <c r="E43" s="15" t="s">
        <v>160</v>
      </c>
      <c r="F43" s="15" t="s">
        <v>80</v>
      </c>
      <c r="G43" s="16" t="s">
        <v>252</v>
      </c>
      <c r="H43" s="15" t="s">
        <v>349</v>
      </c>
      <c r="I43" s="15" t="s">
        <v>76</v>
      </c>
      <c r="J43" s="19" t="n">
        <v>46221</v>
      </c>
      <c r="K43" s="15" t="s">
        <v>908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909</v>
      </c>
      <c r="B44" s="15" t="s">
        <v>626</v>
      </c>
      <c r="C44" s="15" t="s">
        <v>27</v>
      </c>
      <c r="D44" s="15" t="s">
        <v>910</v>
      </c>
      <c r="E44" s="15" t="s">
        <v>72</v>
      </c>
      <c r="F44" s="15" t="s">
        <v>80</v>
      </c>
      <c r="G44" s="16" t="s">
        <v>828</v>
      </c>
      <c r="H44" s="15" t="s">
        <v>82</v>
      </c>
      <c r="I44" s="15" t="s">
        <v>83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911</v>
      </c>
      <c r="B45" s="15" t="s">
        <v>912</v>
      </c>
      <c r="C45" s="15" t="s">
        <v>27</v>
      </c>
      <c r="D45" s="15" t="s">
        <v>913</v>
      </c>
      <c r="E45" s="15" t="s">
        <v>72</v>
      </c>
      <c r="F45" s="15" t="s">
        <v>72</v>
      </c>
      <c r="G45" s="16" t="s">
        <v>914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915</v>
      </c>
      <c r="B46" s="15" t="s">
        <v>916</v>
      </c>
      <c r="C46" s="15" t="s">
        <v>27</v>
      </c>
      <c r="D46" s="15" t="s">
        <v>917</v>
      </c>
      <c r="E46" s="15" t="s">
        <v>72</v>
      </c>
      <c r="F46" s="15" t="s">
        <v>73</v>
      </c>
      <c r="G46" s="16" t="s">
        <v>393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918</v>
      </c>
      <c r="B47" s="15" t="s">
        <v>919</v>
      </c>
      <c r="C47" s="15" t="s">
        <v>27</v>
      </c>
      <c r="D47" s="15" t="s">
        <v>920</v>
      </c>
      <c r="E47" s="15" t="s">
        <v>72</v>
      </c>
      <c r="F47" s="15" t="s">
        <v>80</v>
      </c>
      <c r="G47" s="16" t="s">
        <v>921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icon-button/IconButton.tsx"/>
    <hyperlink ref="G10" r:id="rId2" display="../../docs/icon-button-component-brief.md"/>
    <hyperlink ref="G11" r:id="rId3" display="../test/types/public-api.test.ts"/>
    <hyperlink ref="G12" r:id="rId4" display="../test/components/icon-button-app-bar.test.tsx"/>
    <hyperlink ref="G13" r:id="rId5" display="tests/icon-button-app-bar.spec.ts"/>
    <hyperlink ref="G14" r:id="rId6" display="../test/components/icon-button-app-bar.test.tsx"/>
    <hyperlink ref="G15" r:id="rId7" display="../test/components/icon-button-app-bar.test.tsx"/>
    <hyperlink ref="G16" r:id="rId8" display="tests/visual.spec.ts"/>
    <hyperlink ref="G17" r:id="rId9" display="tests/visual.spec.ts"/>
    <hyperlink ref="G18" r:id="rId10" display="../test/components/icon-button-app-bar.test.tsx"/>
    <hyperlink ref="G19" r:id="rId11" display="../test/components/icon-button-app-bar.test.tsx"/>
    <hyperlink ref="G20" r:id="rId12" display="tests/visual.spec.ts"/>
    <hyperlink ref="G21" r:id="rId13" display="../test/components/icon-button-app-bar.test.tsx"/>
    <hyperlink ref="G22" r:id="rId14" display="tests/icon-button-app-bar.spec.ts"/>
    <hyperlink ref="G23" r:id="rId15" display="tests/visual.spec.ts"/>
    <hyperlink ref="G24" r:id="rId16" display="tests/icon-button-app-bar.spec.ts"/>
    <hyperlink ref="G25" r:id="rId17" display="tests/icon-button-app-bar.spec.ts"/>
    <hyperlink ref="G26" r:id="rId18" display="../playground/src/main.tsx"/>
    <hyperlink ref="G27" r:id="rId19" display="../src/components/icon-button/icon-button.css"/>
    <hyperlink ref="G28" r:id="rId20" display="../playground/src/main.tsx"/>
    <hyperlink ref="G29" r:id="rId21" display="../test/components/icon-button-app-bar.test.tsx"/>
    <hyperlink ref="G30" r:id="rId22" display="../test/types/public-api.test.ts"/>
    <hyperlink ref="G31" r:id="rId23" display="../test/package/package.test.mjs"/>
    <hyperlink ref="G32" r:id="rId24" display="../scripts/verify-consumers.mjs"/>
    <hyperlink ref="G33" r:id="rId25" display="../test/components/icon-button-app-bar.test.tsx"/>
    <hyperlink ref="G34" r:id="rId26" display="tests/icon-button-app-bar.spec.ts"/>
    <hyperlink ref="G35" r:id="rId27" display="../playwright.config.ts"/>
    <hyperlink ref="G36" r:id="rId28" display="tests/visual.spec.ts"/>
    <hyperlink ref="G37" r:id="rId29" display="manual-tests/icon-button.md"/>
    <hyperlink ref="G38" r:id="rId30" display="manual-tests/icon-button.md"/>
    <hyperlink ref="G39" r:id="rId31" display="../docs/components/icon-button/README.md"/>
    <hyperlink ref="G40" r:id="rId32" display="../docs/components/icon-button/CHANGELOG.md"/>
    <hyperlink ref="G41" r:id="rId33" display="../../../../apps/brick-consumer/src/App.tsx"/>
    <hyperlink ref="G42" r:id="rId34" display="../../../../apps/brick-consumer/tests/consumer.spec.ts"/>
    <hyperlink ref="G43" r:id="rId35" display="../../docs/core-dependency-ledger.md"/>
    <hyperlink ref="G44" r:id="rId36" display="../../docs/icon-button-component-brief.md"/>
    <hyperlink ref="G45" r:id="rId37" display="../package.json"/>
    <hyperlink ref="G46" r:id="rId38" display="../playground/src/main.tsx"/>
    <hyperlink ref="G47" r:id="rId39" display="../../docs/icon-button-component-research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922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923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924</v>
      </c>
      <c r="B9" s="15" t="s">
        <v>70</v>
      </c>
      <c r="C9" s="15" t="s">
        <v>925</v>
      </c>
      <c r="D9" s="15" t="s">
        <v>926</v>
      </c>
      <c r="E9" s="15" t="s">
        <v>72</v>
      </c>
      <c r="F9" s="15" t="s">
        <v>73</v>
      </c>
      <c r="G9" s="16" t="s">
        <v>927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928</v>
      </c>
      <c r="B10" s="15" t="s">
        <v>78</v>
      </c>
      <c r="C10" s="15" t="s">
        <v>28</v>
      </c>
      <c r="D10" s="15" t="s">
        <v>929</v>
      </c>
      <c r="E10" s="15" t="s">
        <v>72</v>
      </c>
      <c r="F10" s="15" t="s">
        <v>80</v>
      </c>
      <c r="G10" s="16" t="s">
        <v>930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931</v>
      </c>
      <c r="B11" s="15" t="s">
        <v>70</v>
      </c>
      <c r="C11" s="15" t="s">
        <v>28</v>
      </c>
      <c r="D11" s="15" t="s">
        <v>932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933</v>
      </c>
      <c r="B12" s="15" t="s">
        <v>50</v>
      </c>
      <c r="C12" s="15" t="s">
        <v>28</v>
      </c>
      <c r="D12" s="15" t="s">
        <v>934</v>
      </c>
      <c r="E12" s="15" t="s">
        <v>72</v>
      </c>
      <c r="F12" s="15" t="s">
        <v>120</v>
      </c>
      <c r="G12" s="16" t="s">
        <v>833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935</v>
      </c>
      <c r="B13" s="15" t="s">
        <v>50</v>
      </c>
      <c r="C13" s="15" t="s">
        <v>925</v>
      </c>
      <c r="D13" s="15" t="s">
        <v>936</v>
      </c>
      <c r="E13" s="15" t="s">
        <v>72</v>
      </c>
      <c r="F13" s="15" t="s">
        <v>120</v>
      </c>
      <c r="G13" s="16" t="s">
        <v>833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937</v>
      </c>
      <c r="B14" s="15" t="s">
        <v>50</v>
      </c>
      <c r="C14" s="15" t="s">
        <v>938</v>
      </c>
      <c r="D14" s="15" t="s">
        <v>939</v>
      </c>
      <c r="E14" s="15" t="s">
        <v>72</v>
      </c>
      <c r="F14" s="15" t="s">
        <v>120</v>
      </c>
      <c r="G14" s="16" t="s">
        <v>837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940</v>
      </c>
      <c r="B15" s="15" t="s">
        <v>50</v>
      </c>
      <c r="C15" s="15" t="s">
        <v>941</v>
      </c>
      <c r="D15" s="15" t="s">
        <v>942</v>
      </c>
      <c r="E15" s="15" t="s">
        <v>72</v>
      </c>
      <c r="F15" s="15" t="s">
        <v>120</v>
      </c>
      <c r="G15" s="16" t="s">
        <v>833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943</v>
      </c>
      <c r="B16" s="15" t="s">
        <v>50</v>
      </c>
      <c r="C16" s="15" t="s">
        <v>944</v>
      </c>
      <c r="D16" s="15" t="s">
        <v>945</v>
      </c>
      <c r="E16" s="15" t="s">
        <v>72</v>
      </c>
      <c r="F16" s="15" t="s">
        <v>120</v>
      </c>
      <c r="G16" s="16" t="s">
        <v>837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946</v>
      </c>
      <c r="B17" s="15" t="s">
        <v>50</v>
      </c>
      <c r="C17" s="15" t="s">
        <v>947</v>
      </c>
      <c r="D17" s="15" t="s">
        <v>948</v>
      </c>
      <c r="E17" s="15" t="s">
        <v>72</v>
      </c>
      <c r="F17" s="15" t="s">
        <v>120</v>
      </c>
      <c r="G17" s="16" t="s">
        <v>833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949</v>
      </c>
      <c r="B18" s="15" t="s">
        <v>950</v>
      </c>
      <c r="C18" s="15" t="s">
        <v>925</v>
      </c>
      <c r="D18" s="15" t="s">
        <v>951</v>
      </c>
      <c r="E18" s="15" t="s">
        <v>72</v>
      </c>
      <c r="F18" s="15" t="s">
        <v>120</v>
      </c>
      <c r="G18" s="16" t="s">
        <v>837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952</v>
      </c>
      <c r="B19" s="15" t="s">
        <v>950</v>
      </c>
      <c r="C19" s="15" t="s">
        <v>925</v>
      </c>
      <c r="D19" s="15" t="s">
        <v>953</v>
      </c>
      <c r="E19" s="15" t="s">
        <v>72</v>
      </c>
      <c r="F19" s="15" t="s">
        <v>120</v>
      </c>
      <c r="G19" s="16" t="s">
        <v>837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954</v>
      </c>
      <c r="B20" s="15" t="s">
        <v>950</v>
      </c>
      <c r="C20" s="15" t="s">
        <v>925</v>
      </c>
      <c r="D20" s="15" t="s">
        <v>955</v>
      </c>
      <c r="E20" s="15" t="s">
        <v>72</v>
      </c>
      <c r="F20" s="15" t="s">
        <v>120</v>
      </c>
      <c r="G20" s="16" t="s">
        <v>837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956</v>
      </c>
      <c r="B21" s="15" t="s">
        <v>950</v>
      </c>
      <c r="C21" s="15" t="s">
        <v>925</v>
      </c>
      <c r="D21" s="15" t="s">
        <v>957</v>
      </c>
      <c r="E21" s="15" t="s">
        <v>72</v>
      </c>
      <c r="F21" s="15" t="s">
        <v>120</v>
      </c>
      <c r="G21" s="16" t="s">
        <v>837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958</v>
      </c>
      <c r="B22" s="15" t="s">
        <v>92</v>
      </c>
      <c r="C22" s="15" t="s">
        <v>925</v>
      </c>
      <c r="D22" s="15" t="s">
        <v>959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960</v>
      </c>
      <c r="B23" s="15" t="s">
        <v>92</v>
      </c>
      <c r="C23" s="15" t="s">
        <v>925</v>
      </c>
      <c r="D23" s="15" t="s">
        <v>961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962</v>
      </c>
      <c r="B24" s="15" t="s">
        <v>561</v>
      </c>
      <c r="C24" s="15" t="s">
        <v>938</v>
      </c>
      <c r="D24" s="15" t="s">
        <v>963</v>
      </c>
      <c r="E24" s="15" t="s">
        <v>72</v>
      </c>
      <c r="F24" s="15" t="s">
        <v>485</v>
      </c>
      <c r="G24" s="16" t="s">
        <v>131</v>
      </c>
      <c r="H24" s="15" t="s">
        <v>82</v>
      </c>
      <c r="I24" s="15" t="s">
        <v>83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964</v>
      </c>
      <c r="B25" s="15" t="s">
        <v>669</v>
      </c>
      <c r="C25" s="15" t="s">
        <v>28</v>
      </c>
      <c r="D25" s="15" t="s">
        <v>965</v>
      </c>
      <c r="E25" s="15" t="s">
        <v>72</v>
      </c>
      <c r="F25" s="15" t="s">
        <v>101</v>
      </c>
      <c r="G25" s="16" t="s">
        <v>393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966</v>
      </c>
      <c r="B26" s="15" t="s">
        <v>779</v>
      </c>
      <c r="C26" s="15" t="s">
        <v>28</v>
      </c>
      <c r="D26" s="15" t="s">
        <v>967</v>
      </c>
      <c r="E26" s="15" t="s">
        <v>72</v>
      </c>
      <c r="F26" s="15" t="s">
        <v>120</v>
      </c>
      <c r="G26" s="16" t="s">
        <v>837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968</v>
      </c>
      <c r="B27" s="15" t="s">
        <v>760</v>
      </c>
      <c r="C27" s="15" t="s">
        <v>28</v>
      </c>
      <c r="D27" s="15" t="s">
        <v>969</v>
      </c>
      <c r="E27" s="15" t="s">
        <v>72</v>
      </c>
      <c r="F27" s="15" t="s">
        <v>120</v>
      </c>
      <c r="G27" s="16" t="s">
        <v>837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970</v>
      </c>
      <c r="B28" s="15" t="s">
        <v>550</v>
      </c>
      <c r="C28" s="15" t="s">
        <v>28</v>
      </c>
      <c r="D28" s="15" t="s">
        <v>971</v>
      </c>
      <c r="E28" s="15" t="s">
        <v>72</v>
      </c>
      <c r="F28" s="15" t="s">
        <v>120</v>
      </c>
      <c r="G28" s="16" t="s">
        <v>837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972</v>
      </c>
      <c r="B29" s="15" t="s">
        <v>862</v>
      </c>
      <c r="C29" s="15" t="s">
        <v>28</v>
      </c>
      <c r="D29" s="15" t="s">
        <v>973</v>
      </c>
      <c r="E29" s="15" t="s">
        <v>72</v>
      </c>
      <c r="F29" s="15" t="s">
        <v>485</v>
      </c>
      <c r="G29" s="16" t="s">
        <v>131</v>
      </c>
      <c r="H29" s="15" t="s">
        <v>82</v>
      </c>
      <c r="I29" s="15" t="s">
        <v>83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974</v>
      </c>
      <c r="B30" s="15" t="s">
        <v>581</v>
      </c>
      <c r="C30" s="15" t="s">
        <v>28</v>
      </c>
      <c r="D30" s="15" t="s">
        <v>975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976</v>
      </c>
      <c r="B31" s="15" t="s">
        <v>92</v>
      </c>
      <c r="C31" s="15" t="s">
        <v>28</v>
      </c>
      <c r="D31" s="15" t="s">
        <v>977</v>
      </c>
      <c r="E31" s="15" t="s">
        <v>72</v>
      </c>
      <c r="F31" s="15" t="s">
        <v>73</v>
      </c>
      <c r="G31" s="16" t="s">
        <v>978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979</v>
      </c>
      <c r="B32" s="15" t="s">
        <v>99</v>
      </c>
      <c r="C32" s="15" t="s">
        <v>28</v>
      </c>
      <c r="D32" s="15" t="s">
        <v>980</v>
      </c>
      <c r="E32" s="15" t="s">
        <v>72</v>
      </c>
      <c r="F32" s="15" t="s">
        <v>101</v>
      </c>
      <c r="G32" s="16" t="s">
        <v>393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981</v>
      </c>
      <c r="B33" s="15" t="s">
        <v>118</v>
      </c>
      <c r="C33" s="15" t="s">
        <v>28</v>
      </c>
      <c r="D33" s="15" t="s">
        <v>982</v>
      </c>
      <c r="E33" s="15" t="s">
        <v>72</v>
      </c>
      <c r="F33" s="15" t="s">
        <v>120</v>
      </c>
      <c r="G33" s="16" t="s">
        <v>833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983</v>
      </c>
      <c r="B34" s="15" t="s">
        <v>118</v>
      </c>
      <c r="C34" s="15" t="s">
        <v>28</v>
      </c>
      <c r="D34" s="15" t="s">
        <v>984</v>
      </c>
      <c r="E34" s="15" t="s">
        <v>72</v>
      </c>
      <c r="F34" s="15" t="s">
        <v>86</v>
      </c>
      <c r="G34" s="16" t="s">
        <v>123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985</v>
      </c>
      <c r="B35" s="15" t="s">
        <v>118</v>
      </c>
      <c r="C35" s="15" t="s">
        <v>28</v>
      </c>
      <c r="D35" s="15" t="s">
        <v>986</v>
      </c>
      <c r="E35" s="15" t="s">
        <v>72</v>
      </c>
      <c r="F35" s="15" t="s">
        <v>120</v>
      </c>
      <c r="G35" s="16" t="s">
        <v>504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987</v>
      </c>
      <c r="B36" s="15" t="s">
        <v>118</v>
      </c>
      <c r="C36" s="15" t="s">
        <v>28</v>
      </c>
      <c r="D36" s="15" t="s">
        <v>988</v>
      </c>
      <c r="E36" s="15" t="s">
        <v>72</v>
      </c>
      <c r="F36" s="15" t="s">
        <v>72</v>
      </c>
      <c r="G36" s="16" t="s">
        <v>137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989</v>
      </c>
      <c r="B37" s="15" t="s">
        <v>118</v>
      </c>
      <c r="C37" s="15" t="s">
        <v>28</v>
      </c>
      <c r="D37" s="15" t="s">
        <v>882</v>
      </c>
      <c r="E37" s="15" t="s">
        <v>72</v>
      </c>
      <c r="F37" s="15" t="s">
        <v>120</v>
      </c>
      <c r="G37" s="16" t="s">
        <v>833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990</v>
      </c>
      <c r="B38" s="15" t="s">
        <v>118</v>
      </c>
      <c r="C38" s="15" t="s">
        <v>28</v>
      </c>
      <c r="D38" s="15" t="s">
        <v>991</v>
      </c>
      <c r="E38" s="15" t="s">
        <v>72</v>
      </c>
      <c r="F38" s="15" t="s">
        <v>120</v>
      </c>
      <c r="G38" s="16" t="s">
        <v>837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992</v>
      </c>
      <c r="B39" s="15" t="s">
        <v>118</v>
      </c>
      <c r="C39" s="15" t="s">
        <v>28</v>
      </c>
      <c r="D39" s="15" t="s">
        <v>886</v>
      </c>
      <c r="E39" s="15" t="s">
        <v>72</v>
      </c>
      <c r="F39" s="15" t="s">
        <v>120</v>
      </c>
      <c r="G39" s="16" t="s">
        <v>233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993</v>
      </c>
      <c r="B40" s="15" t="s">
        <v>118</v>
      </c>
      <c r="C40" s="15" t="s">
        <v>28</v>
      </c>
      <c r="D40" s="15" t="s">
        <v>994</v>
      </c>
      <c r="E40" s="15" t="s">
        <v>72</v>
      </c>
      <c r="F40" s="15" t="s">
        <v>485</v>
      </c>
      <c r="G40" s="16" t="s">
        <v>131</v>
      </c>
      <c r="H40" s="15" t="s">
        <v>82</v>
      </c>
      <c r="I40" s="15" t="s">
        <v>83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995</v>
      </c>
      <c r="B41" s="15" t="s">
        <v>139</v>
      </c>
      <c r="C41" s="15" t="s">
        <v>28</v>
      </c>
      <c r="D41" s="15" t="s">
        <v>996</v>
      </c>
      <c r="E41" s="15" t="s">
        <v>72</v>
      </c>
      <c r="F41" s="15" t="s">
        <v>141</v>
      </c>
      <c r="G41" s="16" t="s">
        <v>997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998</v>
      </c>
      <c r="B42" s="15" t="s">
        <v>139</v>
      </c>
      <c r="C42" s="15" t="s">
        <v>28</v>
      </c>
      <c r="D42" s="15" t="s">
        <v>999</v>
      </c>
      <c r="E42" s="15" t="s">
        <v>72</v>
      </c>
      <c r="F42" s="15" t="s">
        <v>141</v>
      </c>
      <c r="G42" s="16" t="s">
        <v>997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1000</v>
      </c>
      <c r="B43" s="15" t="s">
        <v>145</v>
      </c>
      <c r="C43" s="15" t="s">
        <v>28</v>
      </c>
      <c r="D43" s="15" t="s">
        <v>1001</v>
      </c>
      <c r="E43" s="15" t="s">
        <v>72</v>
      </c>
      <c r="F43" s="15" t="s">
        <v>147</v>
      </c>
      <c r="G43" s="16" t="s">
        <v>1002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1003</v>
      </c>
      <c r="B44" s="15" t="s">
        <v>145</v>
      </c>
      <c r="C44" s="15" t="s">
        <v>28</v>
      </c>
      <c r="D44" s="15" t="s">
        <v>898</v>
      </c>
      <c r="E44" s="15" t="s">
        <v>72</v>
      </c>
      <c r="F44" s="15" t="s">
        <v>147</v>
      </c>
      <c r="G44" s="16" t="s">
        <v>1004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1005</v>
      </c>
      <c r="B45" s="15" t="s">
        <v>153</v>
      </c>
      <c r="C45" s="15" t="s">
        <v>28</v>
      </c>
      <c r="D45" s="15" t="s">
        <v>1006</v>
      </c>
      <c r="E45" s="15" t="s">
        <v>155</v>
      </c>
      <c r="F45" s="15" t="s">
        <v>155</v>
      </c>
      <c r="G45" s="16" t="s">
        <v>902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1007</v>
      </c>
      <c r="B46" s="15" t="s">
        <v>158</v>
      </c>
      <c r="C46" s="15" t="s">
        <v>1008</v>
      </c>
      <c r="D46" s="15" t="s">
        <v>1009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1010</v>
      </c>
      <c r="B47" s="15" t="s">
        <v>626</v>
      </c>
      <c r="C47" s="15" t="s">
        <v>28</v>
      </c>
      <c r="D47" s="15" t="s">
        <v>1011</v>
      </c>
      <c r="E47" s="15" t="s">
        <v>72</v>
      </c>
      <c r="F47" s="15" t="s">
        <v>80</v>
      </c>
      <c r="G47" s="16" t="s">
        <v>930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pp-bar/AppBar.tsx"/>
    <hyperlink ref="G10" r:id="rId2" display="../../docs/app-bar-component-brief.md"/>
    <hyperlink ref="G11" r:id="rId3" display="../test/types/public-api.test.ts"/>
    <hyperlink ref="G12" r:id="rId4" display="../test/components/icon-button-app-bar.test.tsx"/>
    <hyperlink ref="G13" r:id="rId5" display="../test/components/icon-button-app-bar.test.tsx"/>
    <hyperlink ref="G14" r:id="rId6" display="tests/icon-button-app-bar.spec.ts"/>
    <hyperlink ref="G15" r:id="rId7" display="../test/components/icon-button-app-bar.test.tsx"/>
    <hyperlink ref="G16" r:id="rId8" display="tests/icon-button-app-bar.spec.ts"/>
    <hyperlink ref="G17" r:id="rId9" display="../test/components/icon-button-app-bar.test.tsx"/>
    <hyperlink ref="G18" r:id="rId10" display="tests/icon-button-app-bar.spec.ts"/>
    <hyperlink ref="G19" r:id="rId11" display="tests/icon-button-app-bar.spec.ts"/>
    <hyperlink ref="G20" r:id="rId12" display="tests/icon-button-app-bar.spec.ts"/>
    <hyperlink ref="G21" r:id="rId13" display="tests/icon-button-app-bar.spec.ts"/>
    <hyperlink ref="G22" r:id="rId14" display="tests/visual.spec.ts"/>
    <hyperlink ref="G23" r:id="rId15" display="tests/visual.spec.ts"/>
    <hyperlink ref="G24" r:id="rId16" display="tests/visual.spec.ts"/>
    <hyperlink ref="G25" r:id="rId17" display="../playground/src/main.tsx"/>
    <hyperlink ref="G26" r:id="rId18" display="tests/icon-button-app-bar.spec.ts"/>
    <hyperlink ref="G27" r:id="rId19" display="tests/icon-button-app-bar.spec.ts"/>
    <hyperlink ref="G28" r:id="rId20" display="tests/icon-button-app-bar.spec.ts"/>
    <hyperlink ref="G29" r:id="rId21" display="tests/visual.spec.ts"/>
    <hyperlink ref="G30" r:id="rId22" display="../playground/src/main.tsx"/>
    <hyperlink ref="G31" r:id="rId23" display="../src/components/app-bar/app-bar.css"/>
    <hyperlink ref="G32" r:id="rId24" display="../playground/src/main.tsx"/>
    <hyperlink ref="G33" r:id="rId25" display="../test/components/icon-button-app-bar.test.tsx"/>
    <hyperlink ref="G34" r:id="rId26" display="../test/types/public-api.test.ts"/>
    <hyperlink ref="G35" r:id="rId27" display="../test/package/package.test.mjs"/>
    <hyperlink ref="G36" r:id="rId28" display="../scripts/verify-consumers.mjs"/>
    <hyperlink ref="G37" r:id="rId29" display="../test/components/icon-button-app-bar.test.tsx"/>
    <hyperlink ref="G38" r:id="rId30" display="tests/icon-button-app-bar.spec.ts"/>
    <hyperlink ref="G39" r:id="rId31" display="../playwright.config.ts"/>
    <hyperlink ref="G40" r:id="rId32" display="tests/visual.spec.ts"/>
    <hyperlink ref="G41" r:id="rId33" display="manual-tests/app-bar.md"/>
    <hyperlink ref="G42" r:id="rId34" display="manual-tests/app-bar.md"/>
    <hyperlink ref="G43" r:id="rId35" display="../docs/components/app-bar/README.md"/>
    <hyperlink ref="G44" r:id="rId36" display="../docs/components/app-bar/CHANGELOG.md"/>
    <hyperlink ref="G45" r:id="rId37" display="../../../../apps/brick-consumer/src/App.tsx"/>
    <hyperlink ref="G46" r:id="rId38" display="../../docs/core-dependency-ledger.md"/>
    <hyperlink ref="G47" r:id="rId39" display="../../docs/app-b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1012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1013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1014</v>
      </c>
      <c r="B9" s="15" t="s">
        <v>70</v>
      </c>
      <c r="C9" s="15" t="s">
        <v>29</v>
      </c>
      <c r="D9" s="15" t="s">
        <v>1015</v>
      </c>
      <c r="E9" s="15" t="s">
        <v>72</v>
      </c>
      <c r="F9" s="15" t="s">
        <v>73</v>
      </c>
      <c r="G9" s="16" t="s">
        <v>1016</v>
      </c>
      <c r="H9" s="15" t="s">
        <v>75</v>
      </c>
      <c r="I9" s="15" t="s">
        <v>76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1017</v>
      </c>
      <c r="B10" s="15" t="s">
        <v>78</v>
      </c>
      <c r="C10" s="15" t="s">
        <v>29</v>
      </c>
      <c r="D10" s="15" t="s">
        <v>1018</v>
      </c>
      <c r="E10" s="15" t="s">
        <v>72</v>
      </c>
      <c r="F10" s="15" t="s">
        <v>80</v>
      </c>
      <c r="G10" s="16" t="s">
        <v>1019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1020</v>
      </c>
      <c r="B11" s="15" t="s">
        <v>1021</v>
      </c>
      <c r="C11" s="15" t="s">
        <v>29</v>
      </c>
      <c r="D11" s="15" t="s">
        <v>1022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1023</v>
      </c>
      <c r="B12" s="15" t="s">
        <v>50</v>
      </c>
      <c r="C12" s="15" t="s">
        <v>29</v>
      </c>
      <c r="D12" s="15" t="s">
        <v>1024</v>
      </c>
      <c r="E12" s="15" t="s">
        <v>72</v>
      </c>
      <c r="F12" s="15" t="s">
        <v>120</v>
      </c>
      <c r="G12" s="16" t="s">
        <v>1025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1026</v>
      </c>
      <c r="B13" s="15" t="s">
        <v>50</v>
      </c>
      <c r="C13" s="15" t="s">
        <v>1027</v>
      </c>
      <c r="D13" s="15" t="s">
        <v>1028</v>
      </c>
      <c r="E13" s="15" t="s">
        <v>72</v>
      </c>
      <c r="F13" s="15" t="s">
        <v>73</v>
      </c>
      <c r="G13" s="16" t="s">
        <v>1016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1029</v>
      </c>
      <c r="B14" s="15" t="s">
        <v>50</v>
      </c>
      <c r="C14" s="15" t="s">
        <v>180</v>
      </c>
      <c r="D14" s="15" t="s">
        <v>1030</v>
      </c>
      <c r="E14" s="15" t="s">
        <v>72</v>
      </c>
      <c r="F14" s="15" t="s">
        <v>120</v>
      </c>
      <c r="G14" s="16" t="s">
        <v>1025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1031</v>
      </c>
      <c r="B15" s="15" t="s">
        <v>50</v>
      </c>
      <c r="C15" s="15" t="s">
        <v>269</v>
      </c>
      <c r="D15" s="15" t="s">
        <v>1032</v>
      </c>
      <c r="E15" s="15" t="s">
        <v>72</v>
      </c>
      <c r="F15" s="15" t="s">
        <v>120</v>
      </c>
      <c r="G15" s="16" t="s">
        <v>1025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1033</v>
      </c>
      <c r="B16" s="15" t="s">
        <v>50</v>
      </c>
      <c r="C16" s="15" t="s">
        <v>272</v>
      </c>
      <c r="D16" s="15" t="s">
        <v>1034</v>
      </c>
      <c r="E16" s="15" t="s">
        <v>72</v>
      </c>
      <c r="F16" s="15" t="s">
        <v>73</v>
      </c>
      <c r="G16" s="16" t="s">
        <v>1016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1035</v>
      </c>
      <c r="B17" s="15" t="s">
        <v>50</v>
      </c>
      <c r="C17" s="15" t="s">
        <v>197</v>
      </c>
      <c r="D17" s="15" t="s">
        <v>1036</v>
      </c>
      <c r="E17" s="15" t="s">
        <v>72</v>
      </c>
      <c r="F17" s="15" t="s">
        <v>86</v>
      </c>
      <c r="G17" s="16" t="s">
        <v>123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1037</v>
      </c>
      <c r="B18" s="15" t="s">
        <v>50</v>
      </c>
      <c r="C18" s="15" t="s">
        <v>187</v>
      </c>
      <c r="D18" s="15" t="s">
        <v>1038</v>
      </c>
      <c r="E18" s="15" t="s">
        <v>72</v>
      </c>
      <c r="F18" s="15" t="s">
        <v>120</v>
      </c>
      <c r="G18" s="16" t="s">
        <v>1025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1039</v>
      </c>
      <c r="B19" s="15" t="s">
        <v>50</v>
      </c>
      <c r="C19" s="15" t="s">
        <v>190</v>
      </c>
      <c r="D19" s="15" t="s">
        <v>1040</v>
      </c>
      <c r="E19" s="15" t="s">
        <v>72</v>
      </c>
      <c r="F19" s="15" t="s">
        <v>120</v>
      </c>
      <c r="G19" s="16" t="s">
        <v>1025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1041</v>
      </c>
      <c r="B20" s="15" t="s">
        <v>50</v>
      </c>
      <c r="C20" s="15" t="s">
        <v>1042</v>
      </c>
      <c r="D20" s="15" t="s">
        <v>1043</v>
      </c>
      <c r="E20" s="15" t="s">
        <v>72</v>
      </c>
      <c r="F20" s="15" t="s">
        <v>120</v>
      </c>
      <c r="G20" s="16" t="s">
        <v>1025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1044</v>
      </c>
      <c r="B21" s="15" t="s">
        <v>835</v>
      </c>
      <c r="C21" s="15" t="s">
        <v>269</v>
      </c>
      <c r="D21" s="15" t="s">
        <v>1045</v>
      </c>
      <c r="E21" s="15" t="s">
        <v>72</v>
      </c>
      <c r="F21" s="15" t="s">
        <v>1046</v>
      </c>
      <c r="G21" s="16" t="s">
        <v>1047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1048</v>
      </c>
      <c r="B22" s="15" t="s">
        <v>835</v>
      </c>
      <c r="C22" s="15" t="s">
        <v>197</v>
      </c>
      <c r="D22" s="15" t="s">
        <v>1049</v>
      </c>
      <c r="E22" s="15" t="s">
        <v>72</v>
      </c>
      <c r="F22" s="15" t="s">
        <v>1046</v>
      </c>
      <c r="G22" s="16" t="s">
        <v>1047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1050</v>
      </c>
      <c r="B23" s="15" t="s">
        <v>736</v>
      </c>
      <c r="C23" s="15" t="s">
        <v>29</v>
      </c>
      <c r="D23" s="15" t="s">
        <v>1051</v>
      </c>
      <c r="E23" s="15" t="s">
        <v>72</v>
      </c>
      <c r="F23" s="15" t="s">
        <v>1046</v>
      </c>
      <c r="G23" s="16" t="s">
        <v>1047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1052</v>
      </c>
      <c r="B24" s="15" t="s">
        <v>736</v>
      </c>
      <c r="C24" s="15" t="s">
        <v>29</v>
      </c>
      <c r="D24" s="15" t="s">
        <v>1053</v>
      </c>
      <c r="E24" s="15" t="s">
        <v>72</v>
      </c>
      <c r="F24" s="15" t="s">
        <v>141</v>
      </c>
      <c r="G24" s="16" t="s">
        <v>1054</v>
      </c>
      <c r="H24" s="15" t="s">
        <v>82</v>
      </c>
      <c r="I24" s="15" t="s">
        <v>83</v>
      </c>
      <c r="J24" s="19" t="n">
        <v>46223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1055</v>
      </c>
      <c r="B25" s="15" t="s">
        <v>1056</v>
      </c>
      <c r="C25" s="15" t="s">
        <v>29</v>
      </c>
      <c r="D25" s="15" t="s">
        <v>1057</v>
      </c>
      <c r="E25" s="15" t="s">
        <v>72</v>
      </c>
      <c r="F25" s="15" t="s">
        <v>141</v>
      </c>
      <c r="G25" s="16" t="s">
        <v>1054</v>
      </c>
      <c r="H25" s="15" t="s">
        <v>82</v>
      </c>
      <c r="I25" s="15" t="s">
        <v>83</v>
      </c>
      <c r="J25" s="19" t="n">
        <v>46223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1058</v>
      </c>
      <c r="B26" s="15" t="s">
        <v>1056</v>
      </c>
      <c r="C26" s="15" t="s">
        <v>29</v>
      </c>
      <c r="D26" s="15" t="s">
        <v>1059</v>
      </c>
      <c r="E26" s="15" t="s">
        <v>72</v>
      </c>
      <c r="F26" s="15" t="s">
        <v>141</v>
      </c>
      <c r="G26" s="16" t="s">
        <v>1054</v>
      </c>
      <c r="H26" s="15" t="s">
        <v>349</v>
      </c>
      <c r="I26" s="15" t="s">
        <v>83</v>
      </c>
      <c r="J26" s="19" t="n">
        <v>46223</v>
      </c>
      <c r="K26" s="15" t="s">
        <v>1060</v>
      </c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1061</v>
      </c>
      <c r="B27" s="15" t="s">
        <v>859</v>
      </c>
      <c r="C27" s="15" t="s">
        <v>197</v>
      </c>
      <c r="D27" s="15" t="s">
        <v>1062</v>
      </c>
      <c r="E27" s="15" t="s">
        <v>72</v>
      </c>
      <c r="F27" s="15" t="s">
        <v>485</v>
      </c>
      <c r="G27" s="16" t="s">
        <v>1063</v>
      </c>
      <c r="H27" s="15" t="s">
        <v>82</v>
      </c>
      <c r="I27" s="15" t="s">
        <v>83</v>
      </c>
      <c r="J27" s="19" t="n">
        <v>46223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1064</v>
      </c>
      <c r="B28" s="15" t="s">
        <v>859</v>
      </c>
      <c r="C28" s="15" t="s">
        <v>197</v>
      </c>
      <c r="D28" s="15" t="s">
        <v>1065</v>
      </c>
      <c r="E28" s="15" t="s">
        <v>72</v>
      </c>
      <c r="F28" s="15" t="s">
        <v>485</v>
      </c>
      <c r="G28" s="16" t="s">
        <v>1063</v>
      </c>
      <c r="H28" s="15" t="s">
        <v>82</v>
      </c>
      <c r="I28" s="15" t="s">
        <v>83</v>
      </c>
      <c r="J28" s="19" t="n">
        <v>46223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1066</v>
      </c>
      <c r="B29" s="15" t="s">
        <v>859</v>
      </c>
      <c r="C29" s="15" t="s">
        <v>1042</v>
      </c>
      <c r="D29" s="15" t="s">
        <v>1067</v>
      </c>
      <c r="E29" s="15" t="s">
        <v>72</v>
      </c>
      <c r="F29" s="15" t="s">
        <v>485</v>
      </c>
      <c r="G29" s="16" t="s">
        <v>1063</v>
      </c>
      <c r="H29" s="15" t="s">
        <v>82</v>
      </c>
      <c r="I29" s="15" t="s">
        <v>83</v>
      </c>
      <c r="J29" s="19" t="n">
        <v>46223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1068</v>
      </c>
      <c r="B30" s="15" t="s">
        <v>1069</v>
      </c>
      <c r="C30" s="15" t="s">
        <v>29</v>
      </c>
      <c r="D30" s="15" t="s">
        <v>1070</v>
      </c>
      <c r="E30" s="15" t="s">
        <v>72</v>
      </c>
      <c r="F30" s="15" t="s">
        <v>1046</v>
      </c>
      <c r="G30" s="16" t="s">
        <v>1047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1071</v>
      </c>
      <c r="B31" s="15" t="s">
        <v>779</v>
      </c>
      <c r="C31" s="15" t="s">
        <v>197</v>
      </c>
      <c r="D31" s="15" t="s">
        <v>1072</v>
      </c>
      <c r="E31" s="15" t="s">
        <v>72</v>
      </c>
      <c r="F31" s="15" t="s">
        <v>1046</v>
      </c>
      <c r="G31" s="16" t="s">
        <v>1047</v>
      </c>
      <c r="H31" s="15" t="s">
        <v>75</v>
      </c>
      <c r="I31" s="15" t="s">
        <v>76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1073</v>
      </c>
      <c r="B32" s="15" t="s">
        <v>779</v>
      </c>
      <c r="C32" s="15" t="s">
        <v>197</v>
      </c>
      <c r="D32" s="15" t="s">
        <v>1074</v>
      </c>
      <c r="E32" s="15" t="s">
        <v>72</v>
      </c>
      <c r="F32" s="15" t="s">
        <v>141</v>
      </c>
      <c r="G32" s="16" t="s">
        <v>1054</v>
      </c>
      <c r="H32" s="15" t="s">
        <v>82</v>
      </c>
      <c r="I32" s="15" t="s">
        <v>83</v>
      </c>
      <c r="J32" s="19" t="n">
        <v>46223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1075</v>
      </c>
      <c r="B33" s="15" t="s">
        <v>1076</v>
      </c>
      <c r="C33" s="15" t="s">
        <v>197</v>
      </c>
      <c r="D33" s="15" t="s">
        <v>1077</v>
      </c>
      <c r="E33" s="15" t="s">
        <v>72</v>
      </c>
      <c r="F33" s="15" t="s">
        <v>1046</v>
      </c>
      <c r="G33" s="16" t="s">
        <v>1047</v>
      </c>
      <c r="H33" s="15" t="s">
        <v>75</v>
      </c>
      <c r="I33" s="15" t="s">
        <v>76</v>
      </c>
      <c r="J33" s="19" t="n">
        <v>46222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1078</v>
      </c>
      <c r="B34" s="15" t="s">
        <v>760</v>
      </c>
      <c r="C34" s="15" t="s">
        <v>29</v>
      </c>
      <c r="D34" s="15" t="s">
        <v>1079</v>
      </c>
      <c r="E34" s="15" t="s">
        <v>72</v>
      </c>
      <c r="F34" s="15" t="s">
        <v>141</v>
      </c>
      <c r="G34" s="16" t="s">
        <v>1054</v>
      </c>
      <c r="H34" s="15" t="s">
        <v>82</v>
      </c>
      <c r="I34" s="15" t="s">
        <v>83</v>
      </c>
      <c r="J34" s="19" t="n">
        <v>46223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1080</v>
      </c>
      <c r="B35" s="15" t="s">
        <v>862</v>
      </c>
      <c r="C35" s="15" t="s">
        <v>29</v>
      </c>
      <c r="D35" s="15" t="s">
        <v>1081</v>
      </c>
      <c r="E35" s="15" t="s">
        <v>72</v>
      </c>
      <c r="F35" s="15" t="s">
        <v>141</v>
      </c>
      <c r="G35" s="16" t="s">
        <v>1054</v>
      </c>
      <c r="H35" s="15" t="s">
        <v>82</v>
      </c>
      <c r="I35" s="15" t="s">
        <v>83</v>
      </c>
      <c r="J35" s="19" t="n">
        <v>46223</v>
      </c>
      <c r="K35" s="15" t="s">
        <v>1082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1083</v>
      </c>
      <c r="B36" s="15" t="s">
        <v>550</v>
      </c>
      <c r="C36" s="15" t="s">
        <v>29</v>
      </c>
      <c r="D36" s="15" t="s">
        <v>1084</v>
      </c>
      <c r="E36" s="15" t="s">
        <v>72</v>
      </c>
      <c r="F36" s="15" t="s">
        <v>1085</v>
      </c>
      <c r="G36" s="16" t="s">
        <v>1047</v>
      </c>
      <c r="H36" s="15" t="s">
        <v>75</v>
      </c>
      <c r="I36" s="15" t="s">
        <v>76</v>
      </c>
      <c r="J36" s="19" t="n">
        <v>46222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1086</v>
      </c>
      <c r="B37" s="15" t="s">
        <v>1087</v>
      </c>
      <c r="C37" s="15" t="s">
        <v>29</v>
      </c>
      <c r="D37" s="15" t="s">
        <v>1088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1089</v>
      </c>
      <c r="B38" s="15" t="s">
        <v>912</v>
      </c>
      <c r="C38" s="15" t="s">
        <v>29</v>
      </c>
      <c r="D38" s="15" t="s">
        <v>1090</v>
      </c>
      <c r="E38" s="15" t="s">
        <v>72</v>
      </c>
      <c r="F38" s="15" t="s">
        <v>120</v>
      </c>
      <c r="G38" s="16" t="s">
        <v>504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1091</v>
      </c>
      <c r="B39" s="15" t="s">
        <v>1092</v>
      </c>
      <c r="C39" s="15" t="s">
        <v>29</v>
      </c>
      <c r="D39" s="15" t="s">
        <v>1093</v>
      </c>
      <c r="E39" s="15" t="s">
        <v>72</v>
      </c>
      <c r="F39" s="15" t="s">
        <v>155</v>
      </c>
      <c r="G39" s="16" t="s">
        <v>137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1094</v>
      </c>
      <c r="B40" s="15" t="s">
        <v>1095</v>
      </c>
      <c r="C40" s="15" t="s">
        <v>29</v>
      </c>
      <c r="D40" s="15" t="s">
        <v>1096</v>
      </c>
      <c r="E40" s="15" t="s">
        <v>72</v>
      </c>
      <c r="F40" s="15" t="s">
        <v>147</v>
      </c>
      <c r="G40" s="16" t="s">
        <v>1097</v>
      </c>
      <c r="H40" s="15" t="s">
        <v>75</v>
      </c>
      <c r="I40" s="15" t="s">
        <v>76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1098</v>
      </c>
      <c r="B41" s="15" t="s">
        <v>1095</v>
      </c>
      <c r="C41" s="15" t="s">
        <v>29</v>
      </c>
      <c r="D41" s="15" t="s">
        <v>1099</v>
      </c>
      <c r="E41" s="15" t="s">
        <v>72</v>
      </c>
      <c r="F41" s="15" t="s">
        <v>147</v>
      </c>
      <c r="G41" s="16" t="s">
        <v>1100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1101</v>
      </c>
      <c r="B42" s="15" t="s">
        <v>99</v>
      </c>
      <c r="C42" s="15" t="s">
        <v>29</v>
      </c>
      <c r="D42" s="15" t="s">
        <v>1102</v>
      </c>
      <c r="E42" s="15" t="s">
        <v>72</v>
      </c>
      <c r="F42" s="15" t="s">
        <v>73</v>
      </c>
      <c r="G42" s="16" t="s">
        <v>393</v>
      </c>
      <c r="H42" s="15" t="s">
        <v>75</v>
      </c>
      <c r="I42" s="15" t="s">
        <v>76</v>
      </c>
      <c r="J42" s="19" t="n">
        <v>46222</v>
      </c>
      <c r="K42" s="15" t="s">
        <v>1103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1104</v>
      </c>
      <c r="B43" s="15" t="s">
        <v>1105</v>
      </c>
      <c r="C43" s="15" t="s">
        <v>29</v>
      </c>
      <c r="D43" s="15" t="s">
        <v>1106</v>
      </c>
      <c r="E43" s="15" t="s">
        <v>72</v>
      </c>
      <c r="F43" s="15" t="s">
        <v>141</v>
      </c>
      <c r="G43" s="16" t="s">
        <v>1054</v>
      </c>
      <c r="H43" s="15" t="s">
        <v>82</v>
      </c>
      <c r="I43" s="15" t="s">
        <v>83</v>
      </c>
      <c r="J43" s="19" t="n">
        <v>46223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1107</v>
      </c>
      <c r="B44" s="15" t="s">
        <v>153</v>
      </c>
      <c r="C44" s="15" t="s">
        <v>29</v>
      </c>
      <c r="D44" s="15" t="s">
        <v>1108</v>
      </c>
      <c r="E44" s="15" t="s">
        <v>155</v>
      </c>
      <c r="F44" s="15" t="s">
        <v>73</v>
      </c>
      <c r="G44" s="16" t="s">
        <v>1109</v>
      </c>
      <c r="H44" s="15" t="s">
        <v>75</v>
      </c>
      <c r="I44" s="15" t="s">
        <v>76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1110</v>
      </c>
      <c r="B45" s="15" t="s">
        <v>153</v>
      </c>
      <c r="C45" s="15" t="s">
        <v>29</v>
      </c>
      <c r="D45" s="15" t="s">
        <v>1111</v>
      </c>
      <c r="E45" s="15" t="s">
        <v>155</v>
      </c>
      <c r="F45" s="15" t="s">
        <v>120</v>
      </c>
      <c r="G45" s="16" t="s">
        <v>1112</v>
      </c>
      <c r="H45" s="15" t="s">
        <v>75</v>
      </c>
      <c r="I45" s="15" t="s">
        <v>76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1113</v>
      </c>
      <c r="B46" s="15" t="s">
        <v>158</v>
      </c>
      <c r="C46" s="15" t="s">
        <v>1114</v>
      </c>
      <c r="D46" s="15" t="s">
        <v>1115</v>
      </c>
      <c r="E46" s="15" t="s">
        <v>160</v>
      </c>
      <c r="F46" s="15" t="s">
        <v>1116</v>
      </c>
      <c r="G46" s="16" t="s">
        <v>252</v>
      </c>
      <c r="H46" s="15" t="s">
        <v>253</v>
      </c>
      <c r="I46" s="15" t="s">
        <v>83</v>
      </c>
      <c r="J46" s="19" t="n">
        <v>46221</v>
      </c>
      <c r="K46" s="15" t="s">
        <v>1117</v>
      </c>
      <c r="L46" s="18" t="n">
        <v>1</v>
      </c>
      <c r="M46" s="18" t="n">
        <f aca="false">IF(H46="not applicable",IF(K46&lt;&gt;"",1,0),IF(I46="yes",IF(H46="verified",1,0),IF(OR(H46="tested",H46="verified"),1,0)))</f>
        <v>0</v>
      </c>
    </row>
    <row r="47" customFormat="false" ht="42" hidden="false" customHeight="true" outlineLevel="0" collapsed="false">
      <c r="A47" s="15" t="s">
        <v>1118</v>
      </c>
      <c r="B47" s="15" t="s">
        <v>1119</v>
      </c>
      <c r="C47" s="15" t="s">
        <v>29</v>
      </c>
      <c r="D47" s="15" t="s">
        <v>1120</v>
      </c>
      <c r="E47" s="15" t="s">
        <v>72</v>
      </c>
      <c r="F47" s="15" t="s">
        <v>1121</v>
      </c>
      <c r="G47" s="16" t="s">
        <v>1122</v>
      </c>
      <c r="H47" s="15" t="s">
        <v>82</v>
      </c>
      <c r="I47" s="15" t="s">
        <v>83</v>
      </c>
      <c r="J47" s="19" t="n">
        <v>46223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hyperlinks>
    <hyperlink ref="G9" r:id="rId1" display="../src/components/tooltip/Tooltip.tsx"/>
    <hyperlink ref="G10" r:id="rId2" display="../../docs/tooltip-component-brief.md"/>
    <hyperlink ref="G11" r:id="rId3" display="../test/types/public-api.test.ts"/>
    <hyperlink ref="G12" r:id="rId4" display="../test/components/tooltip.test.tsx"/>
    <hyperlink ref="G13" r:id="rId5" display="../src/components/tooltip/Tooltip.tsx"/>
    <hyperlink ref="G14" r:id="rId6" display="../test/components/tooltip.test.tsx"/>
    <hyperlink ref="G15" r:id="rId7" display="../test/components/tooltip.test.tsx"/>
    <hyperlink ref="G16" r:id="rId8" display="../src/components/tooltip/Tooltip.tsx"/>
    <hyperlink ref="G17" r:id="rId9" display="../test/types/public-api.test.ts"/>
    <hyperlink ref="G18" r:id="rId10" display="../test/components/tooltip.test.tsx"/>
    <hyperlink ref="G19" r:id="rId11" display="../test/components/tooltip.test.tsx"/>
    <hyperlink ref="G20" r:id="rId12" display="../test/components/tooltip.test.tsx"/>
    <hyperlink ref="G21" r:id="rId13" display="tests/tooltip.spec.ts"/>
    <hyperlink ref="G22" r:id="rId14" display="tests/tooltip.spec.ts"/>
    <hyperlink ref="G23" r:id="rId15" display="tests/tooltip.spec.ts"/>
    <hyperlink ref="G24" r:id="rId16" display="manual-tests/tooltip.md"/>
    <hyperlink ref="G25" r:id="rId17" display="manual-tests/tooltip.md"/>
    <hyperlink ref="G26" r:id="rId18" display="manual-tests/tooltip.md"/>
    <hyperlink ref="G27" r:id="rId19" display="/tooltip"/>
    <hyperlink ref="G28" r:id="rId20" display="/tooltip"/>
    <hyperlink ref="G29" r:id="rId21" display="/tooltip"/>
    <hyperlink ref="G30" r:id="rId22" display="tests/tooltip.spec.ts"/>
    <hyperlink ref="G31" r:id="rId23" display="tests/tooltip.spec.ts"/>
    <hyperlink ref="G32" r:id="rId24" display="manual-tests/tooltip.md"/>
    <hyperlink ref="G33" r:id="rId25" display="tests/tooltip.spec.ts"/>
    <hyperlink ref="G34" r:id="rId26" display="manual-tests/tooltip.md"/>
    <hyperlink ref="G35" r:id="rId27" display="manual-tests/tooltip.md"/>
    <hyperlink ref="G36" r:id="rId28" display="tests/tooltip.spec.ts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docs/components/tooltip/README.md"/>
    <hyperlink ref="G41" r:id="rId33" display="../docs/components/tooltip/CHANGELOG.md"/>
    <hyperlink ref="G42" r:id="rId34" display="../playground/src/main.tsx"/>
    <hyperlink ref="G43" r:id="rId35" display="manual-tests/tooltip.md"/>
    <hyperlink ref="G44" r:id="rId36" display="../../../apps/brick-consumer/src/App.tsx"/>
    <hyperlink ref="G45" r:id="rId37" display="../../../apps/brick-consumer/tests/consumer.spec.ts"/>
    <hyperlink ref="G46" r:id="rId38" display="../../docs/core-dependency-ledger.md"/>
    <hyperlink ref="G47" r:id="rId39" display="component-coverage.xls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1123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1124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1125</v>
      </c>
      <c r="B9" s="15" t="s">
        <v>70</v>
      </c>
      <c r="C9" s="15" t="s">
        <v>30</v>
      </c>
      <c r="D9" s="15" t="s">
        <v>1126</v>
      </c>
      <c r="E9" s="15" t="s">
        <v>72</v>
      </c>
      <c r="F9" s="15" t="s">
        <v>73</v>
      </c>
      <c r="G9" s="16" t="s">
        <v>1127</v>
      </c>
      <c r="H9" s="15" t="s">
        <v>75</v>
      </c>
      <c r="I9" s="15" t="s">
        <v>76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1128</v>
      </c>
      <c r="B10" s="15" t="s">
        <v>78</v>
      </c>
      <c r="C10" s="15" t="s">
        <v>30</v>
      </c>
      <c r="D10" s="15" t="s">
        <v>1129</v>
      </c>
      <c r="E10" s="15" t="s">
        <v>72</v>
      </c>
      <c r="F10" s="15" t="s">
        <v>80</v>
      </c>
      <c r="G10" s="16" t="s">
        <v>1130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1131</v>
      </c>
      <c r="B11" s="15" t="s">
        <v>1021</v>
      </c>
      <c r="C11" s="15" t="s">
        <v>30</v>
      </c>
      <c r="D11" s="15" t="s">
        <v>1132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1133</v>
      </c>
      <c r="B12" s="15" t="s">
        <v>50</v>
      </c>
      <c r="C12" s="15" t="s">
        <v>30</v>
      </c>
      <c r="D12" s="15" t="s">
        <v>1134</v>
      </c>
      <c r="E12" s="15" t="s">
        <v>72</v>
      </c>
      <c r="F12" s="15" t="s">
        <v>120</v>
      </c>
      <c r="G12" s="16" t="s">
        <v>1135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1136</v>
      </c>
      <c r="B13" s="15" t="s">
        <v>50</v>
      </c>
      <c r="C13" s="15" t="s">
        <v>180</v>
      </c>
      <c r="D13" s="15" t="s">
        <v>1137</v>
      </c>
      <c r="E13" s="15" t="s">
        <v>72</v>
      </c>
      <c r="F13" s="15" t="s">
        <v>73</v>
      </c>
      <c r="G13" s="16" t="s">
        <v>1127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1138</v>
      </c>
      <c r="B14" s="15" t="s">
        <v>50</v>
      </c>
      <c r="C14" s="15" t="s">
        <v>269</v>
      </c>
      <c r="D14" s="15" t="s">
        <v>1139</v>
      </c>
      <c r="E14" s="15" t="s">
        <v>72</v>
      </c>
      <c r="F14" s="15" t="s">
        <v>120</v>
      </c>
      <c r="G14" s="16" t="s">
        <v>1135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1140</v>
      </c>
      <c r="B15" s="15" t="s">
        <v>50</v>
      </c>
      <c r="C15" s="15" t="s">
        <v>272</v>
      </c>
      <c r="D15" s="15" t="s">
        <v>1141</v>
      </c>
      <c r="E15" s="15" t="s">
        <v>72</v>
      </c>
      <c r="F15" s="15" t="s">
        <v>73</v>
      </c>
      <c r="G15" s="16" t="s">
        <v>1127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1142</v>
      </c>
      <c r="B16" s="15" t="s">
        <v>50</v>
      </c>
      <c r="C16" s="15" t="s">
        <v>197</v>
      </c>
      <c r="D16" s="15" t="s">
        <v>1143</v>
      </c>
      <c r="E16" s="15" t="s">
        <v>72</v>
      </c>
      <c r="F16" s="15" t="s">
        <v>86</v>
      </c>
      <c r="G16" s="16" t="s">
        <v>123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1144</v>
      </c>
      <c r="B17" s="15" t="s">
        <v>50</v>
      </c>
      <c r="C17" s="15" t="s">
        <v>1042</v>
      </c>
      <c r="D17" s="15" t="s">
        <v>1145</v>
      </c>
      <c r="E17" s="15" t="s">
        <v>72</v>
      </c>
      <c r="F17" s="15" t="s">
        <v>120</v>
      </c>
      <c r="G17" s="16" t="s">
        <v>1135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1146</v>
      </c>
      <c r="B18" s="15" t="s">
        <v>835</v>
      </c>
      <c r="C18" s="15" t="s">
        <v>269</v>
      </c>
      <c r="D18" s="15" t="s">
        <v>1147</v>
      </c>
      <c r="E18" s="15" t="s">
        <v>72</v>
      </c>
      <c r="F18" s="15" t="s">
        <v>1046</v>
      </c>
      <c r="G18" s="16" t="s">
        <v>1148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1149</v>
      </c>
      <c r="B19" s="15" t="s">
        <v>835</v>
      </c>
      <c r="C19" s="15" t="s">
        <v>197</v>
      </c>
      <c r="D19" s="15" t="s">
        <v>1150</v>
      </c>
      <c r="E19" s="15" t="s">
        <v>72</v>
      </c>
      <c r="F19" s="15" t="s">
        <v>1046</v>
      </c>
      <c r="G19" s="16" t="s">
        <v>1148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1151</v>
      </c>
      <c r="B20" s="15" t="s">
        <v>835</v>
      </c>
      <c r="C20" s="15" t="s">
        <v>197</v>
      </c>
      <c r="D20" s="15" t="s">
        <v>1152</v>
      </c>
      <c r="E20" s="15" t="s">
        <v>72</v>
      </c>
      <c r="F20" s="15" t="s">
        <v>1046</v>
      </c>
      <c r="G20" s="16" t="s">
        <v>1148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1153</v>
      </c>
      <c r="B21" s="15" t="s">
        <v>736</v>
      </c>
      <c r="C21" s="15" t="s">
        <v>30</v>
      </c>
      <c r="D21" s="15" t="s">
        <v>1154</v>
      </c>
      <c r="E21" s="15" t="s">
        <v>72</v>
      </c>
      <c r="F21" s="15" t="s">
        <v>1046</v>
      </c>
      <c r="G21" s="16" t="s">
        <v>1148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1155</v>
      </c>
      <c r="B22" s="15" t="s">
        <v>736</v>
      </c>
      <c r="C22" s="15" t="s">
        <v>30</v>
      </c>
      <c r="D22" s="15" t="s">
        <v>1156</v>
      </c>
      <c r="E22" s="15" t="s">
        <v>72</v>
      </c>
      <c r="F22" s="15" t="s">
        <v>1046</v>
      </c>
      <c r="G22" s="16" t="s">
        <v>1148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1157</v>
      </c>
      <c r="B23" s="15" t="s">
        <v>736</v>
      </c>
      <c r="C23" s="15" t="s">
        <v>30</v>
      </c>
      <c r="D23" s="15" t="s">
        <v>1158</v>
      </c>
      <c r="E23" s="15" t="s">
        <v>72</v>
      </c>
      <c r="F23" s="15" t="s">
        <v>1046</v>
      </c>
      <c r="G23" s="16" t="s">
        <v>1148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1159</v>
      </c>
      <c r="B24" s="15" t="s">
        <v>736</v>
      </c>
      <c r="C24" s="15" t="s">
        <v>30</v>
      </c>
      <c r="D24" s="15" t="s">
        <v>1160</v>
      </c>
      <c r="E24" s="15" t="s">
        <v>72</v>
      </c>
      <c r="F24" s="15" t="s">
        <v>1161</v>
      </c>
      <c r="G24" s="16" t="s">
        <v>1162</v>
      </c>
      <c r="H24" s="15" t="s">
        <v>75</v>
      </c>
      <c r="I24" s="15" t="s">
        <v>76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1163</v>
      </c>
      <c r="B25" s="15" t="s">
        <v>1056</v>
      </c>
      <c r="C25" s="15" t="s">
        <v>269</v>
      </c>
      <c r="D25" s="15" t="s">
        <v>1164</v>
      </c>
      <c r="E25" s="15" t="s">
        <v>72</v>
      </c>
      <c r="F25" s="15" t="s">
        <v>141</v>
      </c>
      <c r="G25" s="16" t="s">
        <v>1165</v>
      </c>
      <c r="H25" s="15" t="s">
        <v>82</v>
      </c>
      <c r="I25" s="15" t="s">
        <v>83</v>
      </c>
      <c r="J25" s="19" t="n">
        <v>46224</v>
      </c>
      <c r="K25" s="15" t="s">
        <v>1166</v>
      </c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1167</v>
      </c>
      <c r="B26" s="15" t="s">
        <v>1056</v>
      </c>
      <c r="C26" s="15" t="s">
        <v>269</v>
      </c>
      <c r="D26" s="15" t="s">
        <v>1168</v>
      </c>
      <c r="E26" s="15" t="s">
        <v>72</v>
      </c>
      <c r="F26" s="15" t="s">
        <v>141</v>
      </c>
      <c r="G26" s="16" t="s">
        <v>1165</v>
      </c>
      <c r="H26" s="15" t="s">
        <v>349</v>
      </c>
      <c r="I26" s="15" t="s">
        <v>83</v>
      </c>
      <c r="J26" s="19" t="n">
        <v>46224</v>
      </c>
      <c r="K26" s="15" t="s">
        <v>1169</v>
      </c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1170</v>
      </c>
      <c r="B27" s="15" t="s">
        <v>859</v>
      </c>
      <c r="C27" s="15" t="s">
        <v>197</v>
      </c>
      <c r="D27" s="15" t="s">
        <v>1171</v>
      </c>
      <c r="E27" s="15" t="s">
        <v>72</v>
      </c>
      <c r="F27" s="15" t="s">
        <v>485</v>
      </c>
      <c r="G27" s="16" t="s">
        <v>1172</v>
      </c>
      <c r="H27" s="15" t="s">
        <v>82</v>
      </c>
      <c r="I27" s="15" t="s">
        <v>83</v>
      </c>
      <c r="J27" s="19" t="n">
        <v>46224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1173</v>
      </c>
      <c r="B28" s="15" t="s">
        <v>859</v>
      </c>
      <c r="C28" s="15" t="s">
        <v>197</v>
      </c>
      <c r="D28" s="15" t="s">
        <v>1174</v>
      </c>
      <c r="E28" s="15" t="s">
        <v>72</v>
      </c>
      <c r="F28" s="15" t="s">
        <v>485</v>
      </c>
      <c r="G28" s="16" t="s">
        <v>1172</v>
      </c>
      <c r="H28" s="15" t="s">
        <v>82</v>
      </c>
      <c r="I28" s="15" t="s">
        <v>83</v>
      </c>
      <c r="J28" s="19" t="n">
        <v>46224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1175</v>
      </c>
      <c r="B29" s="15" t="s">
        <v>859</v>
      </c>
      <c r="C29" s="15" t="s">
        <v>1042</v>
      </c>
      <c r="D29" s="15" t="s">
        <v>1176</v>
      </c>
      <c r="E29" s="15" t="s">
        <v>72</v>
      </c>
      <c r="F29" s="15" t="s">
        <v>485</v>
      </c>
      <c r="G29" s="16" t="s">
        <v>1172</v>
      </c>
      <c r="H29" s="15" t="s">
        <v>82</v>
      </c>
      <c r="I29" s="15" t="s">
        <v>83</v>
      </c>
      <c r="J29" s="19" t="n">
        <v>46224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1177</v>
      </c>
      <c r="B30" s="15" t="s">
        <v>779</v>
      </c>
      <c r="C30" s="15" t="s">
        <v>197</v>
      </c>
      <c r="D30" s="15" t="s">
        <v>1178</v>
      </c>
      <c r="E30" s="15" t="s">
        <v>72</v>
      </c>
      <c r="F30" s="15" t="s">
        <v>1046</v>
      </c>
      <c r="G30" s="16" t="s">
        <v>1148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1179</v>
      </c>
      <c r="B31" s="15" t="s">
        <v>779</v>
      </c>
      <c r="C31" s="15" t="s">
        <v>197</v>
      </c>
      <c r="D31" s="15" t="s">
        <v>1180</v>
      </c>
      <c r="E31" s="15" t="s">
        <v>72</v>
      </c>
      <c r="F31" s="15" t="s">
        <v>141</v>
      </c>
      <c r="G31" s="16" t="s">
        <v>1165</v>
      </c>
      <c r="H31" s="15" t="s">
        <v>82</v>
      </c>
      <c r="I31" s="15" t="s">
        <v>83</v>
      </c>
      <c r="J31" s="19" t="n">
        <v>46224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1181</v>
      </c>
      <c r="B32" s="15" t="s">
        <v>1076</v>
      </c>
      <c r="C32" s="15" t="s">
        <v>197</v>
      </c>
      <c r="D32" s="15" t="s">
        <v>1182</v>
      </c>
      <c r="E32" s="15" t="s">
        <v>72</v>
      </c>
      <c r="F32" s="15" t="s">
        <v>1046</v>
      </c>
      <c r="G32" s="16" t="s">
        <v>1148</v>
      </c>
      <c r="H32" s="15" t="s">
        <v>75</v>
      </c>
      <c r="I32" s="15" t="s">
        <v>76</v>
      </c>
      <c r="J32" s="19" t="n">
        <v>46224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1183</v>
      </c>
      <c r="B33" s="15" t="s">
        <v>760</v>
      </c>
      <c r="C33" s="15" t="s">
        <v>30</v>
      </c>
      <c r="D33" s="15" t="s">
        <v>1184</v>
      </c>
      <c r="E33" s="15" t="s">
        <v>72</v>
      </c>
      <c r="F33" s="15" t="s">
        <v>141</v>
      </c>
      <c r="G33" s="16" t="s">
        <v>1165</v>
      </c>
      <c r="H33" s="15" t="s">
        <v>82</v>
      </c>
      <c r="I33" s="15" t="s">
        <v>83</v>
      </c>
      <c r="J33" s="19" t="n">
        <v>46224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1185</v>
      </c>
      <c r="B34" s="15" t="s">
        <v>862</v>
      </c>
      <c r="C34" s="15" t="s">
        <v>30</v>
      </c>
      <c r="D34" s="15" t="s">
        <v>1186</v>
      </c>
      <c r="E34" s="15" t="s">
        <v>72</v>
      </c>
      <c r="F34" s="15" t="s">
        <v>141</v>
      </c>
      <c r="G34" s="16" t="s">
        <v>1165</v>
      </c>
      <c r="H34" s="15" t="s">
        <v>82</v>
      </c>
      <c r="I34" s="15" t="s">
        <v>83</v>
      </c>
      <c r="J34" s="19" t="n">
        <v>46224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1187</v>
      </c>
      <c r="B35" s="15" t="s">
        <v>550</v>
      </c>
      <c r="C35" s="15" t="s">
        <v>30</v>
      </c>
      <c r="D35" s="15" t="s">
        <v>1188</v>
      </c>
      <c r="E35" s="15" t="s">
        <v>72</v>
      </c>
      <c r="F35" s="15" t="s">
        <v>1085</v>
      </c>
      <c r="G35" s="16" t="s">
        <v>1148</v>
      </c>
      <c r="H35" s="15" t="s">
        <v>75</v>
      </c>
      <c r="I35" s="15" t="s">
        <v>76</v>
      </c>
      <c r="J35" s="19" t="n">
        <v>46224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1189</v>
      </c>
      <c r="B36" s="15" t="s">
        <v>550</v>
      </c>
      <c r="C36" s="15" t="s">
        <v>269</v>
      </c>
      <c r="D36" s="15" t="s">
        <v>1190</v>
      </c>
      <c r="E36" s="15" t="s">
        <v>72</v>
      </c>
      <c r="F36" s="15" t="s">
        <v>141</v>
      </c>
      <c r="G36" s="16" t="s">
        <v>1165</v>
      </c>
      <c r="H36" s="15" t="s">
        <v>82</v>
      </c>
      <c r="I36" s="15" t="s">
        <v>83</v>
      </c>
      <c r="J36" s="19" t="n">
        <v>46224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1191</v>
      </c>
      <c r="B37" s="15" t="s">
        <v>1087</v>
      </c>
      <c r="C37" s="15" t="s">
        <v>30</v>
      </c>
      <c r="D37" s="15" t="s">
        <v>1192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1193</v>
      </c>
      <c r="B38" s="15" t="s">
        <v>912</v>
      </c>
      <c r="C38" s="15" t="s">
        <v>30</v>
      </c>
      <c r="D38" s="15" t="s">
        <v>1194</v>
      </c>
      <c r="E38" s="15" t="s">
        <v>72</v>
      </c>
      <c r="F38" s="15" t="s">
        <v>120</v>
      </c>
      <c r="G38" s="16" t="s">
        <v>504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1195</v>
      </c>
      <c r="B39" s="15" t="s">
        <v>1092</v>
      </c>
      <c r="C39" s="15" t="s">
        <v>30</v>
      </c>
      <c r="D39" s="15" t="s">
        <v>1196</v>
      </c>
      <c r="E39" s="15" t="s">
        <v>72</v>
      </c>
      <c r="F39" s="15" t="s">
        <v>155</v>
      </c>
      <c r="G39" s="16" t="s">
        <v>137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1197</v>
      </c>
      <c r="B40" s="15" t="s">
        <v>1198</v>
      </c>
      <c r="C40" s="15" t="s">
        <v>269</v>
      </c>
      <c r="D40" s="15" t="s">
        <v>1199</v>
      </c>
      <c r="E40" s="15" t="s">
        <v>72</v>
      </c>
      <c r="F40" s="15" t="s">
        <v>120</v>
      </c>
      <c r="G40" s="16" t="s">
        <v>236</v>
      </c>
      <c r="H40" s="15" t="s">
        <v>75</v>
      </c>
      <c r="I40" s="15" t="s">
        <v>76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1200</v>
      </c>
      <c r="B41" s="15" t="s">
        <v>1095</v>
      </c>
      <c r="C41" s="15" t="s">
        <v>30</v>
      </c>
      <c r="D41" s="15" t="s">
        <v>1201</v>
      </c>
      <c r="E41" s="15" t="s">
        <v>72</v>
      </c>
      <c r="F41" s="15" t="s">
        <v>147</v>
      </c>
      <c r="G41" s="16" t="s">
        <v>1202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1203</v>
      </c>
      <c r="B42" s="15" t="s">
        <v>1095</v>
      </c>
      <c r="C42" s="15" t="s">
        <v>30</v>
      </c>
      <c r="D42" s="15" t="s">
        <v>1099</v>
      </c>
      <c r="E42" s="15" t="s">
        <v>72</v>
      </c>
      <c r="F42" s="15" t="s">
        <v>147</v>
      </c>
      <c r="G42" s="16" t="s">
        <v>1204</v>
      </c>
      <c r="H42" s="15" t="s">
        <v>75</v>
      </c>
      <c r="I42" s="15" t="s">
        <v>76</v>
      </c>
      <c r="J42" s="19" t="n">
        <v>46224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1205</v>
      </c>
      <c r="B43" s="15" t="s">
        <v>99</v>
      </c>
      <c r="C43" s="15" t="s">
        <v>30</v>
      </c>
      <c r="D43" s="15" t="s">
        <v>1206</v>
      </c>
      <c r="E43" s="15" t="s">
        <v>72</v>
      </c>
      <c r="F43" s="15" t="s">
        <v>73</v>
      </c>
      <c r="G43" s="16" t="s">
        <v>393</v>
      </c>
      <c r="H43" s="15" t="s">
        <v>75</v>
      </c>
      <c r="I43" s="15" t="s">
        <v>76</v>
      </c>
      <c r="J43" s="19" t="n">
        <v>46224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1207</v>
      </c>
      <c r="B44" s="15" t="s">
        <v>1105</v>
      </c>
      <c r="C44" s="15" t="s">
        <v>30</v>
      </c>
      <c r="D44" s="15" t="s">
        <v>1106</v>
      </c>
      <c r="E44" s="15" t="s">
        <v>72</v>
      </c>
      <c r="F44" s="15" t="s">
        <v>141</v>
      </c>
      <c r="G44" s="16" t="s">
        <v>1165</v>
      </c>
      <c r="H44" s="15" t="s">
        <v>82</v>
      </c>
      <c r="I44" s="15" t="s">
        <v>83</v>
      </c>
      <c r="J44" s="19" t="n">
        <v>46224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1208</v>
      </c>
      <c r="B45" s="15" t="s">
        <v>153</v>
      </c>
      <c r="C45" s="15" t="s">
        <v>30</v>
      </c>
      <c r="D45" s="15" t="s">
        <v>1209</v>
      </c>
      <c r="E45" s="15" t="s">
        <v>155</v>
      </c>
      <c r="F45" s="15" t="s">
        <v>73</v>
      </c>
      <c r="G45" s="16" t="s">
        <v>1109</v>
      </c>
      <c r="H45" s="15" t="s">
        <v>75</v>
      </c>
      <c r="I45" s="15" t="s">
        <v>76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1210</v>
      </c>
      <c r="B46" s="15" t="s">
        <v>153</v>
      </c>
      <c r="C46" s="15" t="s">
        <v>30</v>
      </c>
      <c r="D46" s="15" t="s">
        <v>1211</v>
      </c>
      <c r="E46" s="15" t="s">
        <v>155</v>
      </c>
      <c r="F46" s="15" t="s">
        <v>120</v>
      </c>
      <c r="G46" s="16" t="s">
        <v>1112</v>
      </c>
      <c r="H46" s="15" t="s">
        <v>75</v>
      </c>
      <c r="I46" s="15" t="s">
        <v>76</v>
      </c>
      <c r="J46" s="19" t="n">
        <v>46224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1212</v>
      </c>
      <c r="B47" s="15" t="s">
        <v>158</v>
      </c>
      <c r="C47" s="15" t="s">
        <v>1213</v>
      </c>
      <c r="D47" s="15" t="s">
        <v>1214</v>
      </c>
      <c r="E47" s="15" t="s">
        <v>160</v>
      </c>
      <c r="F47" s="15" t="s">
        <v>1121</v>
      </c>
      <c r="G47" s="16" t="s">
        <v>252</v>
      </c>
      <c r="H47" s="15" t="s">
        <v>82</v>
      </c>
      <c r="I47" s="15" t="s">
        <v>83</v>
      </c>
      <c r="J47" s="19" t="n">
        <v>46224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hyperlinks>
    <hyperlink ref="G9" r:id="rId1" display="../src/components/hover-card/HoverCard.tsx"/>
    <hyperlink ref="G10" r:id="rId2" display="../../docs/hover-card-component-brief.md"/>
    <hyperlink ref="G11" r:id="rId3" display="../test/types/public-api.test.ts"/>
    <hyperlink ref="G12" r:id="rId4" display="../test/components/hover-card.test.tsx"/>
    <hyperlink ref="G13" r:id="rId5" display="../src/components/hover-card/HoverCard.tsx"/>
    <hyperlink ref="G14" r:id="rId6" display="../test/components/hover-card.test.tsx"/>
    <hyperlink ref="G15" r:id="rId7" display="../src/components/hover-card/HoverCard.tsx"/>
    <hyperlink ref="G16" r:id="rId8" display="../test/types/public-api.test.ts"/>
    <hyperlink ref="G17" r:id="rId9" display="../test/components/hover-card.test.tsx"/>
    <hyperlink ref="G18" r:id="rId10" display="tests/hover-card.spec.ts"/>
    <hyperlink ref="G19" r:id="rId11" display="tests/hover-card.spec.ts"/>
    <hyperlink ref="G20" r:id="rId12" display="tests/hover-card.spec.ts"/>
    <hyperlink ref="G21" r:id="rId13" display="tests/hover-card.spec.ts"/>
    <hyperlink ref="G22" r:id="rId14" display="tests/hover-card.spec.ts"/>
    <hyperlink ref="G23" r:id="rId15" display="tests/hover-card.spec.ts"/>
    <hyperlink ref="G24" r:id="rId16" display="@flowstack-ui/atom@0.6.6"/>
    <hyperlink ref="G25" r:id="rId17" display="manual-tests/hover-card.md"/>
    <hyperlink ref="G26" r:id="rId18" display="manual-tests/hover-card.md"/>
    <hyperlink ref="G27" r:id="rId19" display="/hover-card"/>
    <hyperlink ref="G28" r:id="rId20" display="/hover-card"/>
    <hyperlink ref="G29" r:id="rId21" display="/hover-card"/>
    <hyperlink ref="G30" r:id="rId22" display="tests/hover-card.spec.ts"/>
    <hyperlink ref="G31" r:id="rId23" display="manual-tests/hover-card.md"/>
    <hyperlink ref="G32" r:id="rId24" display="tests/hover-card.spec.ts"/>
    <hyperlink ref="G33" r:id="rId25" display="manual-tests/hover-card.md"/>
    <hyperlink ref="G34" r:id="rId26" display="manual-tests/hover-card.md"/>
    <hyperlink ref="G35" r:id="rId27" display="tests/hover-card.spec.ts"/>
    <hyperlink ref="G36" r:id="rId28" display="manual-tests/hover-card.md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test/package/ssr.test.mjs"/>
    <hyperlink ref="G41" r:id="rId33" display="../docs/components/hover-card/README.md"/>
    <hyperlink ref="G42" r:id="rId34" display="../docs/components/hover-card/CHANGELOG.md"/>
    <hyperlink ref="G43" r:id="rId35" display="../playground/src/main.tsx"/>
    <hyperlink ref="G44" r:id="rId36" display="manual-tests/hover-card.md"/>
    <hyperlink ref="G45" r:id="rId37" display="../../../apps/brick-consumer/src/App.tsx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1215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1216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1217</v>
      </c>
      <c r="B9" s="15" t="s">
        <v>70</v>
      </c>
      <c r="C9" s="15" t="s">
        <v>31</v>
      </c>
      <c r="D9" s="15" t="s">
        <v>1218</v>
      </c>
      <c r="E9" s="15" t="s">
        <v>72</v>
      </c>
      <c r="F9" s="15" t="s">
        <v>73</v>
      </c>
      <c r="G9" s="16" t="s">
        <v>1219</v>
      </c>
      <c r="H9" s="15" t="s">
        <v>75</v>
      </c>
      <c r="I9" s="15" t="s">
        <v>76</v>
      </c>
      <c r="J9" s="19" t="n">
        <v>46224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1220</v>
      </c>
      <c r="B10" s="15" t="s">
        <v>78</v>
      </c>
      <c r="C10" s="15" t="s">
        <v>31</v>
      </c>
      <c r="D10" s="15" t="s">
        <v>1221</v>
      </c>
      <c r="E10" s="15" t="s">
        <v>72</v>
      </c>
      <c r="F10" s="15" t="s">
        <v>80</v>
      </c>
      <c r="G10" s="16" t="s">
        <v>1222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1223</v>
      </c>
      <c r="B11" s="15" t="s">
        <v>1021</v>
      </c>
      <c r="C11" s="15" t="s">
        <v>31</v>
      </c>
      <c r="D11" s="15" t="s">
        <v>1224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1225</v>
      </c>
      <c r="B12" s="15" t="s">
        <v>50</v>
      </c>
      <c r="C12" s="15" t="s">
        <v>31</v>
      </c>
      <c r="D12" s="15" t="s">
        <v>1226</v>
      </c>
      <c r="E12" s="15" t="s">
        <v>72</v>
      </c>
      <c r="F12" s="15" t="s">
        <v>120</v>
      </c>
      <c r="G12" s="16" t="s">
        <v>1227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1228</v>
      </c>
      <c r="B13" s="15" t="s">
        <v>50</v>
      </c>
      <c r="C13" s="15" t="s">
        <v>180</v>
      </c>
      <c r="D13" s="15" t="s">
        <v>1229</v>
      </c>
      <c r="E13" s="15" t="s">
        <v>72</v>
      </c>
      <c r="F13" s="15" t="s">
        <v>86</v>
      </c>
      <c r="G13" s="16" t="s">
        <v>123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1230</v>
      </c>
      <c r="B14" s="15" t="s">
        <v>50</v>
      </c>
      <c r="C14" s="15" t="s">
        <v>1231</v>
      </c>
      <c r="D14" s="15" t="s">
        <v>1232</v>
      </c>
      <c r="E14" s="15" t="s">
        <v>72</v>
      </c>
      <c r="F14" s="15" t="s">
        <v>120</v>
      </c>
      <c r="G14" s="16" t="s">
        <v>1227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1233</v>
      </c>
      <c r="B15" s="15" t="s">
        <v>50</v>
      </c>
      <c r="C15" s="15" t="s">
        <v>269</v>
      </c>
      <c r="D15" s="15" t="s">
        <v>1234</v>
      </c>
      <c r="E15" s="15" t="s">
        <v>72</v>
      </c>
      <c r="F15" s="15" t="s">
        <v>120</v>
      </c>
      <c r="G15" s="16" t="s">
        <v>1227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1235</v>
      </c>
      <c r="B16" s="15" t="s">
        <v>50</v>
      </c>
      <c r="C16" s="15" t="s">
        <v>272</v>
      </c>
      <c r="D16" s="15" t="s">
        <v>1236</v>
      </c>
      <c r="E16" s="15" t="s">
        <v>72</v>
      </c>
      <c r="F16" s="15" t="s">
        <v>73</v>
      </c>
      <c r="G16" s="16" t="s">
        <v>1219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1237</v>
      </c>
      <c r="B17" s="15" t="s">
        <v>50</v>
      </c>
      <c r="C17" s="15" t="s">
        <v>197</v>
      </c>
      <c r="D17" s="15" t="s">
        <v>1238</v>
      </c>
      <c r="E17" s="15" t="s">
        <v>72</v>
      </c>
      <c r="F17" s="15" t="s">
        <v>120</v>
      </c>
      <c r="G17" s="16" t="s">
        <v>1227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1239</v>
      </c>
      <c r="B18" s="15" t="s">
        <v>50</v>
      </c>
      <c r="C18" s="15" t="s">
        <v>183</v>
      </c>
      <c r="D18" s="15" t="s">
        <v>1240</v>
      </c>
      <c r="E18" s="15" t="s">
        <v>72</v>
      </c>
      <c r="F18" s="15" t="s">
        <v>120</v>
      </c>
      <c r="G18" s="16" t="s">
        <v>1227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1241</v>
      </c>
      <c r="B19" s="15" t="s">
        <v>50</v>
      </c>
      <c r="C19" s="15" t="s">
        <v>187</v>
      </c>
      <c r="D19" s="15" t="s">
        <v>1242</v>
      </c>
      <c r="E19" s="15" t="s">
        <v>72</v>
      </c>
      <c r="F19" s="15" t="s">
        <v>120</v>
      </c>
      <c r="G19" s="16" t="s">
        <v>236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1243</v>
      </c>
      <c r="B20" s="15" t="s">
        <v>50</v>
      </c>
      <c r="C20" s="15" t="s">
        <v>190</v>
      </c>
      <c r="D20" s="15" t="s">
        <v>1244</v>
      </c>
      <c r="E20" s="15" t="s">
        <v>72</v>
      </c>
      <c r="F20" s="15" t="s">
        <v>120</v>
      </c>
      <c r="G20" s="16" t="s">
        <v>236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1245</v>
      </c>
      <c r="B21" s="15" t="s">
        <v>50</v>
      </c>
      <c r="C21" s="15" t="s">
        <v>1246</v>
      </c>
      <c r="D21" s="15" t="s">
        <v>1247</v>
      </c>
      <c r="E21" s="15" t="s">
        <v>72</v>
      </c>
      <c r="F21" s="15" t="s">
        <v>73</v>
      </c>
      <c r="G21" s="16" t="s">
        <v>1219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1248</v>
      </c>
      <c r="B22" s="15" t="s">
        <v>50</v>
      </c>
      <c r="C22" s="15" t="s">
        <v>294</v>
      </c>
      <c r="D22" s="15" t="s">
        <v>1249</v>
      </c>
      <c r="E22" s="15" t="s">
        <v>72</v>
      </c>
      <c r="F22" s="15" t="s">
        <v>120</v>
      </c>
      <c r="G22" s="16" t="s">
        <v>1227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1250</v>
      </c>
      <c r="B23" s="15" t="s">
        <v>50</v>
      </c>
      <c r="C23" s="15" t="s">
        <v>1042</v>
      </c>
      <c r="D23" s="15" t="s">
        <v>1251</v>
      </c>
      <c r="E23" s="15" t="s">
        <v>72</v>
      </c>
      <c r="F23" s="15" t="s">
        <v>120</v>
      </c>
      <c r="G23" s="16" t="s">
        <v>1227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1252</v>
      </c>
      <c r="B24" s="15" t="s">
        <v>835</v>
      </c>
      <c r="C24" s="15" t="s">
        <v>197</v>
      </c>
      <c r="D24" s="15" t="s">
        <v>1253</v>
      </c>
      <c r="E24" s="15" t="s">
        <v>72</v>
      </c>
      <c r="F24" s="15" t="s">
        <v>1046</v>
      </c>
      <c r="G24" s="16" t="s">
        <v>1254</v>
      </c>
      <c r="H24" s="15" t="s">
        <v>75</v>
      </c>
      <c r="I24" s="15" t="s">
        <v>76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1255</v>
      </c>
      <c r="B25" s="15" t="s">
        <v>835</v>
      </c>
      <c r="C25" s="15" t="s">
        <v>183</v>
      </c>
      <c r="D25" s="15" t="s">
        <v>1256</v>
      </c>
      <c r="E25" s="15" t="s">
        <v>72</v>
      </c>
      <c r="F25" s="15" t="s">
        <v>147</v>
      </c>
      <c r="G25" s="16" t="s">
        <v>1257</v>
      </c>
      <c r="H25" s="15" t="s">
        <v>75</v>
      </c>
      <c r="I25" s="15" t="s">
        <v>76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1258</v>
      </c>
      <c r="B26" s="15" t="s">
        <v>1259</v>
      </c>
      <c r="C26" s="15" t="s">
        <v>197</v>
      </c>
      <c r="D26" s="15" t="s">
        <v>1260</v>
      </c>
      <c r="E26" s="15" t="s">
        <v>72</v>
      </c>
      <c r="F26" s="15" t="s">
        <v>1161</v>
      </c>
      <c r="G26" s="16" t="s">
        <v>1261</v>
      </c>
      <c r="H26" s="15" t="s">
        <v>75</v>
      </c>
      <c r="I26" s="15" t="s">
        <v>76</v>
      </c>
      <c r="J26" s="19" t="n">
        <v>46224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1262</v>
      </c>
      <c r="B27" s="15" t="s">
        <v>736</v>
      </c>
      <c r="C27" s="15" t="s">
        <v>31</v>
      </c>
      <c r="D27" s="15" t="s">
        <v>1263</v>
      </c>
      <c r="E27" s="15" t="s">
        <v>72</v>
      </c>
      <c r="F27" s="15" t="s">
        <v>1046</v>
      </c>
      <c r="G27" s="16" t="s">
        <v>1254</v>
      </c>
      <c r="H27" s="15" t="s">
        <v>75</v>
      </c>
      <c r="I27" s="15" t="s">
        <v>76</v>
      </c>
      <c r="J27" s="19" t="n">
        <v>46222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1264</v>
      </c>
      <c r="B28" s="15" t="s">
        <v>736</v>
      </c>
      <c r="C28" s="15" t="s">
        <v>31</v>
      </c>
      <c r="D28" s="15" t="s">
        <v>1265</v>
      </c>
      <c r="E28" s="15" t="s">
        <v>72</v>
      </c>
      <c r="F28" s="15" t="s">
        <v>1046</v>
      </c>
      <c r="G28" s="16" t="s">
        <v>1254</v>
      </c>
      <c r="H28" s="15" t="s">
        <v>75</v>
      </c>
      <c r="I28" s="15" t="s">
        <v>76</v>
      </c>
      <c r="J28" s="19" t="n">
        <v>46222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1266</v>
      </c>
      <c r="B29" s="15" t="s">
        <v>736</v>
      </c>
      <c r="C29" s="15" t="s">
        <v>1267</v>
      </c>
      <c r="D29" s="15" t="s">
        <v>1268</v>
      </c>
      <c r="E29" s="15" t="s">
        <v>72</v>
      </c>
      <c r="F29" s="15" t="s">
        <v>1046</v>
      </c>
      <c r="G29" s="16" t="s">
        <v>1254</v>
      </c>
      <c r="H29" s="15" t="s">
        <v>75</v>
      </c>
      <c r="I29" s="15" t="s">
        <v>76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1269</v>
      </c>
      <c r="B30" s="15" t="s">
        <v>736</v>
      </c>
      <c r="C30" s="15" t="s">
        <v>1270</v>
      </c>
      <c r="D30" s="15" t="s">
        <v>1271</v>
      </c>
      <c r="E30" s="15" t="s">
        <v>72</v>
      </c>
      <c r="F30" s="15" t="s">
        <v>1046</v>
      </c>
      <c r="G30" s="16" t="s">
        <v>1254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1272</v>
      </c>
      <c r="B31" s="15" t="s">
        <v>859</v>
      </c>
      <c r="C31" s="15" t="s">
        <v>197</v>
      </c>
      <c r="D31" s="15" t="s">
        <v>1273</v>
      </c>
      <c r="E31" s="15" t="s">
        <v>72</v>
      </c>
      <c r="F31" s="15" t="s">
        <v>1046</v>
      </c>
      <c r="G31" s="16" t="s">
        <v>1254</v>
      </c>
      <c r="H31" s="15" t="s">
        <v>75</v>
      </c>
      <c r="I31" s="15" t="s">
        <v>76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1274</v>
      </c>
      <c r="B32" s="15" t="s">
        <v>859</v>
      </c>
      <c r="C32" s="15" t="s">
        <v>197</v>
      </c>
      <c r="D32" s="15" t="s">
        <v>1275</v>
      </c>
      <c r="E32" s="15" t="s">
        <v>72</v>
      </c>
      <c r="F32" s="15" t="s">
        <v>485</v>
      </c>
      <c r="G32" s="16" t="s">
        <v>1276</v>
      </c>
      <c r="H32" s="15" t="s">
        <v>82</v>
      </c>
      <c r="I32" s="15" t="s">
        <v>76</v>
      </c>
      <c r="J32" s="19" t="n">
        <v>46224</v>
      </c>
      <c r="K32" s="15" t="s">
        <v>1277</v>
      </c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1278</v>
      </c>
      <c r="B33" s="15" t="s">
        <v>859</v>
      </c>
      <c r="C33" s="15" t="s">
        <v>1042</v>
      </c>
      <c r="D33" s="15" t="s">
        <v>1279</v>
      </c>
      <c r="E33" s="15" t="s">
        <v>72</v>
      </c>
      <c r="F33" s="15" t="s">
        <v>485</v>
      </c>
      <c r="G33" s="16" t="s">
        <v>1276</v>
      </c>
      <c r="H33" s="15" t="s">
        <v>82</v>
      </c>
      <c r="I33" s="15" t="s">
        <v>76</v>
      </c>
      <c r="J33" s="19" t="n">
        <v>46224</v>
      </c>
      <c r="K33" s="15" t="s">
        <v>1280</v>
      </c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1281</v>
      </c>
      <c r="B34" s="15" t="s">
        <v>779</v>
      </c>
      <c r="C34" s="15" t="s">
        <v>197</v>
      </c>
      <c r="D34" s="15" t="s">
        <v>1282</v>
      </c>
      <c r="E34" s="15" t="s">
        <v>72</v>
      </c>
      <c r="F34" s="15" t="s">
        <v>1046</v>
      </c>
      <c r="G34" s="16" t="s">
        <v>1254</v>
      </c>
      <c r="H34" s="15" t="s">
        <v>75</v>
      </c>
      <c r="I34" s="15" t="s">
        <v>76</v>
      </c>
      <c r="J34" s="19" t="n">
        <v>46222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1283</v>
      </c>
      <c r="B35" s="15" t="s">
        <v>779</v>
      </c>
      <c r="C35" s="15" t="s">
        <v>197</v>
      </c>
      <c r="D35" s="15" t="s">
        <v>1284</v>
      </c>
      <c r="E35" s="15" t="s">
        <v>72</v>
      </c>
      <c r="F35" s="15" t="s">
        <v>141</v>
      </c>
      <c r="G35" s="16" t="s">
        <v>1285</v>
      </c>
      <c r="H35" s="15" t="s">
        <v>82</v>
      </c>
      <c r="I35" s="15" t="s">
        <v>76</v>
      </c>
      <c r="J35" s="19" t="n">
        <v>46224</v>
      </c>
      <c r="K35" s="15" t="s">
        <v>1286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1287</v>
      </c>
      <c r="B36" s="15" t="s">
        <v>760</v>
      </c>
      <c r="C36" s="15" t="s">
        <v>31</v>
      </c>
      <c r="D36" s="15" t="s">
        <v>1288</v>
      </c>
      <c r="E36" s="15" t="s">
        <v>72</v>
      </c>
      <c r="F36" s="15" t="s">
        <v>141</v>
      </c>
      <c r="G36" s="16" t="s">
        <v>1285</v>
      </c>
      <c r="H36" s="15" t="s">
        <v>82</v>
      </c>
      <c r="I36" s="15" t="s">
        <v>76</v>
      </c>
      <c r="J36" s="19" t="n">
        <v>46224</v>
      </c>
      <c r="K36" s="15" t="s">
        <v>1289</v>
      </c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1290</v>
      </c>
      <c r="B37" s="15" t="s">
        <v>862</v>
      </c>
      <c r="C37" s="15" t="s">
        <v>31</v>
      </c>
      <c r="D37" s="15" t="s">
        <v>1291</v>
      </c>
      <c r="E37" s="15" t="s">
        <v>72</v>
      </c>
      <c r="F37" s="15" t="s">
        <v>141</v>
      </c>
      <c r="G37" s="16" t="s">
        <v>1285</v>
      </c>
      <c r="H37" s="15" t="s">
        <v>349</v>
      </c>
      <c r="I37" s="15" t="s">
        <v>76</v>
      </c>
      <c r="J37" s="19" t="n">
        <v>46224</v>
      </c>
      <c r="K37" s="15" t="s">
        <v>1292</v>
      </c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1293</v>
      </c>
      <c r="B38" s="15" t="s">
        <v>550</v>
      </c>
      <c r="C38" s="15" t="s">
        <v>31</v>
      </c>
      <c r="D38" s="15" t="s">
        <v>1294</v>
      </c>
      <c r="E38" s="15" t="s">
        <v>72</v>
      </c>
      <c r="F38" s="15" t="s">
        <v>1085</v>
      </c>
      <c r="G38" s="16" t="s">
        <v>1254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1295</v>
      </c>
      <c r="B39" s="15" t="s">
        <v>1087</v>
      </c>
      <c r="C39" s="15" t="s">
        <v>31</v>
      </c>
      <c r="D39" s="15" t="s">
        <v>1296</v>
      </c>
      <c r="E39" s="15" t="s">
        <v>72</v>
      </c>
      <c r="F39" s="15" t="s">
        <v>120</v>
      </c>
      <c r="G39" s="16" t="s">
        <v>504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1297</v>
      </c>
      <c r="B40" s="15" t="s">
        <v>912</v>
      </c>
      <c r="C40" s="15" t="s">
        <v>31</v>
      </c>
      <c r="D40" s="15" t="s">
        <v>1298</v>
      </c>
      <c r="E40" s="15" t="s">
        <v>72</v>
      </c>
      <c r="F40" s="15" t="s">
        <v>120</v>
      </c>
      <c r="G40" s="16" t="s">
        <v>504</v>
      </c>
      <c r="H40" s="15" t="s">
        <v>75</v>
      </c>
      <c r="I40" s="15" t="s">
        <v>76</v>
      </c>
      <c r="J40" s="19" t="n">
        <v>46224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1299</v>
      </c>
      <c r="B41" s="15" t="s">
        <v>1092</v>
      </c>
      <c r="C41" s="15" t="s">
        <v>31</v>
      </c>
      <c r="D41" s="15" t="s">
        <v>1300</v>
      </c>
      <c r="E41" s="15" t="s">
        <v>72</v>
      </c>
      <c r="F41" s="15" t="s">
        <v>155</v>
      </c>
      <c r="G41" s="16" t="s">
        <v>137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1301</v>
      </c>
      <c r="B42" s="15" t="s">
        <v>1198</v>
      </c>
      <c r="C42" s="15" t="s">
        <v>197</v>
      </c>
      <c r="D42" s="15" t="s">
        <v>1302</v>
      </c>
      <c r="E42" s="15" t="s">
        <v>72</v>
      </c>
      <c r="F42" s="15" t="s">
        <v>120</v>
      </c>
      <c r="G42" s="16" t="s">
        <v>236</v>
      </c>
      <c r="H42" s="15" t="s">
        <v>75</v>
      </c>
      <c r="I42" s="15" t="s">
        <v>76</v>
      </c>
      <c r="J42" s="19" t="n">
        <v>46222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1303</v>
      </c>
      <c r="B43" s="15" t="s">
        <v>1095</v>
      </c>
      <c r="C43" s="15" t="s">
        <v>31</v>
      </c>
      <c r="D43" s="15" t="s">
        <v>1304</v>
      </c>
      <c r="E43" s="15" t="s">
        <v>72</v>
      </c>
      <c r="F43" s="15" t="s">
        <v>147</v>
      </c>
      <c r="G43" s="16" t="s">
        <v>1257</v>
      </c>
      <c r="H43" s="15" t="s">
        <v>75</v>
      </c>
      <c r="I43" s="15" t="s">
        <v>76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1305</v>
      </c>
      <c r="B44" s="15" t="s">
        <v>99</v>
      </c>
      <c r="C44" s="15" t="s">
        <v>31</v>
      </c>
      <c r="D44" s="15" t="s">
        <v>1306</v>
      </c>
      <c r="E44" s="15" t="s">
        <v>72</v>
      </c>
      <c r="F44" s="15" t="s">
        <v>73</v>
      </c>
      <c r="G44" s="16" t="s">
        <v>393</v>
      </c>
      <c r="H44" s="15" t="s">
        <v>75</v>
      </c>
      <c r="I44" s="15" t="s">
        <v>76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1307</v>
      </c>
      <c r="B45" s="15" t="s">
        <v>1105</v>
      </c>
      <c r="C45" s="15" t="s">
        <v>31</v>
      </c>
      <c r="D45" s="15" t="s">
        <v>1308</v>
      </c>
      <c r="E45" s="15" t="s">
        <v>72</v>
      </c>
      <c r="F45" s="15" t="s">
        <v>141</v>
      </c>
      <c r="G45" s="16" t="s">
        <v>1285</v>
      </c>
      <c r="H45" s="15" t="s">
        <v>82</v>
      </c>
      <c r="I45" s="15" t="s">
        <v>76</v>
      </c>
      <c r="J45" s="19" t="n">
        <v>46224</v>
      </c>
      <c r="K45" s="15" t="s">
        <v>1309</v>
      </c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1310</v>
      </c>
      <c r="B46" s="15" t="s">
        <v>153</v>
      </c>
      <c r="C46" s="15" t="s">
        <v>31</v>
      </c>
      <c r="D46" s="15" t="s">
        <v>1311</v>
      </c>
      <c r="E46" s="15" t="s">
        <v>155</v>
      </c>
      <c r="F46" s="15" t="s">
        <v>120</v>
      </c>
      <c r="G46" s="16" t="s">
        <v>1112</v>
      </c>
      <c r="H46" s="15" t="s">
        <v>75</v>
      </c>
      <c r="I46" s="15" t="s">
        <v>76</v>
      </c>
      <c r="J46" s="19" t="n">
        <v>46222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1312</v>
      </c>
      <c r="B47" s="15" t="s">
        <v>158</v>
      </c>
      <c r="C47" s="15" t="s">
        <v>1313</v>
      </c>
      <c r="D47" s="15" t="s">
        <v>1314</v>
      </c>
      <c r="E47" s="15" t="s">
        <v>160</v>
      </c>
      <c r="F47" s="15" t="s">
        <v>1116</v>
      </c>
      <c r="G47" s="16" t="s">
        <v>252</v>
      </c>
      <c r="H47" s="15" t="s">
        <v>253</v>
      </c>
      <c r="I47" s="15" t="s">
        <v>83</v>
      </c>
      <c r="J47" s="19" t="n">
        <v>46222</v>
      </c>
      <c r="K47" s="15" t="s">
        <v>1117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popover/Popover.tsx"/>
    <hyperlink ref="G10" r:id="rId2" display="../../docs/popover-component-brief.md"/>
    <hyperlink ref="G11" r:id="rId3" display="../test/types/public-api.test.ts"/>
    <hyperlink ref="G12" r:id="rId4" display="../test/components/popover.test.tsx"/>
    <hyperlink ref="G13" r:id="rId5" display="../test/types/public-api.test.ts"/>
    <hyperlink ref="G14" r:id="rId6" display="../test/components/popover.test.tsx"/>
    <hyperlink ref="G15" r:id="rId7" display="../test/components/popover.test.tsx"/>
    <hyperlink ref="G16" r:id="rId8" display="../src/components/popover/Popover.tsx"/>
    <hyperlink ref="G17" r:id="rId9" display="../test/components/popover.test.tsx"/>
    <hyperlink ref="G18" r:id="rId10" display="../test/components/popover.test.tsx"/>
    <hyperlink ref="G19" r:id="rId11" display="../test/package/ssr.test.mjs"/>
    <hyperlink ref="G20" r:id="rId12" display="../test/package/ssr.test.mjs"/>
    <hyperlink ref="G21" r:id="rId13" display="../src/components/popover/Popover.tsx"/>
    <hyperlink ref="G22" r:id="rId14" display="../test/components/popover.test.tsx"/>
    <hyperlink ref="G23" r:id="rId15" display="../test/components/popover.test.tsx"/>
    <hyperlink ref="G24" r:id="rId16" display="tests/popover.spec.ts"/>
    <hyperlink ref="G25" r:id="rId17" display="../docs/components/popover/README.md"/>
    <hyperlink ref="G26" r:id="rId18" display="@flowstack-ui/atom@0.6.10"/>
    <hyperlink ref="G27" r:id="rId19" display="tests/popover.spec.ts"/>
    <hyperlink ref="G28" r:id="rId20" display="tests/popover.spec.ts"/>
    <hyperlink ref="G29" r:id="rId21" display="tests/popover.spec.ts"/>
    <hyperlink ref="G30" r:id="rId22" display="tests/popover.spec.ts"/>
    <hyperlink ref="G31" r:id="rId23" display="tests/popover.spec.ts"/>
    <hyperlink ref="G32" r:id="rId24" display="/popover"/>
    <hyperlink ref="G33" r:id="rId25" display="/popover"/>
    <hyperlink ref="G34" r:id="rId26" display="tests/popover.spec.ts"/>
    <hyperlink ref="G35" r:id="rId27" display="manual-tests/popover.md"/>
    <hyperlink ref="G36" r:id="rId28" display="manual-tests/popover.md"/>
    <hyperlink ref="G37" r:id="rId29" display="manual-tests/popover.md"/>
    <hyperlink ref="G38" r:id="rId30" display="tests/popover.spec.ts"/>
    <hyperlink ref="G39" r:id="rId31" display="../test/package/package.test.mjs"/>
    <hyperlink ref="G40" r:id="rId32" display="../test/package/package.test.mjs"/>
    <hyperlink ref="G41" r:id="rId33" display="../scripts/verify-consumers.mjs"/>
    <hyperlink ref="G42" r:id="rId34" display="../test/package/ssr.test.mjs"/>
    <hyperlink ref="G43" r:id="rId35" display="../docs/components/popover/README.md"/>
    <hyperlink ref="G44" r:id="rId36" display="../playground/src/main.tsx"/>
    <hyperlink ref="G45" r:id="rId37" display="manual-tests/popover.md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1315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1316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1317</v>
      </c>
      <c r="B9" s="15" t="s">
        <v>70</v>
      </c>
      <c r="C9" s="15" t="s">
        <v>1318</v>
      </c>
      <c r="D9" s="15" t="s">
        <v>1319</v>
      </c>
      <c r="E9" s="15" t="s">
        <v>72</v>
      </c>
      <c r="F9" s="15" t="s">
        <v>73</v>
      </c>
      <c r="G9" s="16" t="s">
        <v>1320</v>
      </c>
      <c r="H9" s="15" t="s">
        <v>75</v>
      </c>
      <c r="I9" s="15" t="s">
        <v>76</v>
      </c>
      <c r="J9" s="19" t="n">
        <v>46223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1321</v>
      </c>
      <c r="B10" s="15" t="s">
        <v>78</v>
      </c>
      <c r="C10" s="15" t="s">
        <v>1318</v>
      </c>
      <c r="D10" s="15" t="s">
        <v>1322</v>
      </c>
      <c r="E10" s="15" t="s">
        <v>72</v>
      </c>
      <c r="F10" s="15" t="s">
        <v>80</v>
      </c>
      <c r="G10" s="16" t="s">
        <v>1323</v>
      </c>
      <c r="H10" s="15" t="s">
        <v>82</v>
      </c>
      <c r="I10" s="15" t="s">
        <v>83</v>
      </c>
      <c r="J10" s="19" t="n">
        <v>46223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1324</v>
      </c>
      <c r="B11" s="15" t="s">
        <v>1021</v>
      </c>
      <c r="C11" s="15" t="s">
        <v>1318</v>
      </c>
      <c r="D11" s="15" t="s">
        <v>1325</v>
      </c>
      <c r="E11" s="15" t="s">
        <v>72</v>
      </c>
      <c r="F11" s="15" t="s">
        <v>86</v>
      </c>
      <c r="G11" s="16" t="s">
        <v>1326</v>
      </c>
      <c r="H11" s="15" t="s">
        <v>75</v>
      </c>
      <c r="I11" s="15" t="s">
        <v>76</v>
      </c>
      <c r="J11" s="19" t="n">
        <v>46223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1327</v>
      </c>
      <c r="B12" s="15" t="s">
        <v>50</v>
      </c>
      <c r="C12" s="15" t="s">
        <v>1328</v>
      </c>
      <c r="D12" s="15" t="s">
        <v>1329</v>
      </c>
      <c r="E12" s="15" t="s">
        <v>72</v>
      </c>
      <c r="F12" s="15" t="s">
        <v>120</v>
      </c>
      <c r="G12" s="16" t="s">
        <v>1330</v>
      </c>
      <c r="H12" s="15" t="s">
        <v>75</v>
      </c>
      <c r="I12" s="15" t="s">
        <v>76</v>
      </c>
      <c r="J12" s="19" t="n">
        <v>46223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1331</v>
      </c>
      <c r="B13" s="15" t="s">
        <v>50</v>
      </c>
      <c r="C13" s="15" t="s">
        <v>1332</v>
      </c>
      <c r="D13" s="15" t="s">
        <v>1333</v>
      </c>
      <c r="E13" s="15" t="s">
        <v>72</v>
      </c>
      <c r="F13" s="15" t="s">
        <v>120</v>
      </c>
      <c r="G13" s="16" t="s">
        <v>1330</v>
      </c>
      <c r="H13" s="15" t="s">
        <v>75</v>
      </c>
      <c r="I13" s="15" t="s">
        <v>76</v>
      </c>
      <c r="J13" s="19" t="n">
        <v>46223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1334</v>
      </c>
      <c r="B14" s="15" t="s">
        <v>50</v>
      </c>
      <c r="C14" s="15" t="s">
        <v>1335</v>
      </c>
      <c r="D14" s="15" t="s">
        <v>1336</v>
      </c>
      <c r="E14" s="15" t="s">
        <v>72</v>
      </c>
      <c r="F14" s="15" t="s">
        <v>120</v>
      </c>
      <c r="G14" s="16" t="s">
        <v>1330</v>
      </c>
      <c r="H14" s="15" t="s">
        <v>75</v>
      </c>
      <c r="I14" s="15" t="s">
        <v>76</v>
      </c>
      <c r="J14" s="19" t="n">
        <v>46223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1337</v>
      </c>
      <c r="B15" s="15" t="s">
        <v>669</v>
      </c>
      <c r="C15" s="15" t="s">
        <v>1328</v>
      </c>
      <c r="D15" s="15" t="s">
        <v>1338</v>
      </c>
      <c r="E15" s="15" t="s">
        <v>72</v>
      </c>
      <c r="F15" s="15" t="s">
        <v>120</v>
      </c>
      <c r="G15" s="16" t="s">
        <v>1330</v>
      </c>
      <c r="H15" s="15" t="s">
        <v>75</v>
      </c>
      <c r="I15" s="15" t="s">
        <v>76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1339</v>
      </c>
      <c r="B16" s="15" t="s">
        <v>669</v>
      </c>
      <c r="C16" s="15" t="s">
        <v>1332</v>
      </c>
      <c r="D16" s="15" t="s">
        <v>1340</v>
      </c>
      <c r="E16" s="15" t="s">
        <v>72</v>
      </c>
      <c r="F16" s="15" t="s">
        <v>86</v>
      </c>
      <c r="G16" s="16" t="s">
        <v>1326</v>
      </c>
      <c r="H16" s="15" t="s">
        <v>75</v>
      </c>
      <c r="I16" s="15" t="s">
        <v>76</v>
      </c>
      <c r="J16" s="19" t="n">
        <v>46223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1341</v>
      </c>
      <c r="B17" s="15" t="s">
        <v>669</v>
      </c>
      <c r="C17" s="15" t="s">
        <v>1335</v>
      </c>
      <c r="D17" s="15" t="s">
        <v>1342</v>
      </c>
      <c r="E17" s="15" t="s">
        <v>72</v>
      </c>
      <c r="F17" s="15" t="s">
        <v>86</v>
      </c>
      <c r="G17" s="16" t="s">
        <v>1326</v>
      </c>
      <c r="H17" s="15" t="s">
        <v>75</v>
      </c>
      <c r="I17" s="15" t="s">
        <v>76</v>
      </c>
      <c r="J17" s="19" t="n">
        <v>46223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1343</v>
      </c>
      <c r="B18" s="15" t="s">
        <v>1198</v>
      </c>
      <c r="C18" s="15" t="s">
        <v>1332</v>
      </c>
      <c r="D18" s="15" t="s">
        <v>1344</v>
      </c>
      <c r="E18" s="15" t="s">
        <v>72</v>
      </c>
      <c r="F18" s="15" t="s">
        <v>120</v>
      </c>
      <c r="G18" s="16" t="s">
        <v>1345</v>
      </c>
      <c r="H18" s="15" t="s">
        <v>75</v>
      </c>
      <c r="I18" s="15" t="s">
        <v>76</v>
      </c>
      <c r="J18" s="19" t="n">
        <v>46223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1346</v>
      </c>
      <c r="B19" s="15" t="s">
        <v>1198</v>
      </c>
      <c r="C19" s="15" t="s">
        <v>1335</v>
      </c>
      <c r="D19" s="15" t="s">
        <v>1347</v>
      </c>
      <c r="E19" s="15" t="s">
        <v>72</v>
      </c>
      <c r="F19" s="15" t="s">
        <v>120</v>
      </c>
      <c r="G19" s="16" t="s">
        <v>1345</v>
      </c>
      <c r="H19" s="15" t="s">
        <v>75</v>
      </c>
      <c r="I19" s="15" t="s">
        <v>76</v>
      </c>
      <c r="J19" s="19" t="n">
        <v>46223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1348</v>
      </c>
      <c r="B20" s="15" t="s">
        <v>1349</v>
      </c>
      <c r="C20" s="15" t="s">
        <v>1328</v>
      </c>
      <c r="D20" s="15" t="s">
        <v>1350</v>
      </c>
      <c r="E20" s="15" t="s">
        <v>72</v>
      </c>
      <c r="F20" s="15" t="s">
        <v>1046</v>
      </c>
      <c r="G20" s="16" t="s">
        <v>1351</v>
      </c>
      <c r="H20" s="15" t="s">
        <v>75</v>
      </c>
      <c r="I20" s="15" t="s">
        <v>76</v>
      </c>
      <c r="J20" s="19" t="n">
        <v>46223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1352</v>
      </c>
      <c r="B21" s="15" t="s">
        <v>1349</v>
      </c>
      <c r="C21" s="15" t="s">
        <v>1332</v>
      </c>
      <c r="D21" s="15" t="s">
        <v>1353</v>
      </c>
      <c r="E21" s="15" t="s">
        <v>72</v>
      </c>
      <c r="F21" s="15" t="s">
        <v>120</v>
      </c>
      <c r="G21" s="16" t="s">
        <v>1330</v>
      </c>
      <c r="H21" s="15" t="s">
        <v>75</v>
      </c>
      <c r="I21" s="15" t="s">
        <v>76</v>
      </c>
      <c r="J21" s="19" t="n">
        <v>46223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1354</v>
      </c>
      <c r="B22" s="15" t="s">
        <v>1349</v>
      </c>
      <c r="C22" s="15" t="s">
        <v>1335</v>
      </c>
      <c r="D22" s="15" t="s">
        <v>1355</v>
      </c>
      <c r="E22" s="15" t="s">
        <v>72</v>
      </c>
      <c r="F22" s="15" t="s">
        <v>120</v>
      </c>
      <c r="G22" s="16" t="s">
        <v>1330</v>
      </c>
      <c r="H22" s="15" t="s">
        <v>75</v>
      </c>
      <c r="I22" s="15" t="s">
        <v>76</v>
      </c>
      <c r="J22" s="19" t="n">
        <v>46223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1356</v>
      </c>
      <c r="B23" s="15" t="s">
        <v>835</v>
      </c>
      <c r="C23" s="15" t="s">
        <v>1332</v>
      </c>
      <c r="D23" s="15" t="s">
        <v>1357</v>
      </c>
      <c r="E23" s="15" t="s">
        <v>72</v>
      </c>
      <c r="F23" s="15" t="s">
        <v>1046</v>
      </c>
      <c r="G23" s="16" t="s">
        <v>1351</v>
      </c>
      <c r="H23" s="15" t="s">
        <v>75</v>
      </c>
      <c r="I23" s="15" t="s">
        <v>76</v>
      </c>
      <c r="J23" s="19" t="n">
        <v>46223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1358</v>
      </c>
      <c r="B24" s="15" t="s">
        <v>835</v>
      </c>
      <c r="C24" s="15" t="s">
        <v>1335</v>
      </c>
      <c r="D24" s="15" t="s">
        <v>1359</v>
      </c>
      <c r="E24" s="15" t="s">
        <v>72</v>
      </c>
      <c r="F24" s="15" t="s">
        <v>1046</v>
      </c>
      <c r="G24" s="16" t="s">
        <v>1351</v>
      </c>
      <c r="H24" s="15" t="s">
        <v>75</v>
      </c>
      <c r="I24" s="15" t="s">
        <v>76</v>
      </c>
      <c r="J24" s="19" t="n">
        <v>46223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1360</v>
      </c>
      <c r="B25" s="15" t="s">
        <v>736</v>
      </c>
      <c r="C25" s="15" t="s">
        <v>1328</v>
      </c>
      <c r="D25" s="15" t="s">
        <v>1361</v>
      </c>
      <c r="E25" s="15" t="s">
        <v>72</v>
      </c>
      <c r="F25" s="15" t="s">
        <v>120</v>
      </c>
      <c r="G25" s="16" t="s">
        <v>1330</v>
      </c>
      <c r="H25" s="15" t="s">
        <v>75</v>
      </c>
      <c r="I25" s="15" t="s">
        <v>76</v>
      </c>
      <c r="J25" s="19" t="n">
        <v>46223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1362</v>
      </c>
      <c r="B26" s="15" t="s">
        <v>767</v>
      </c>
      <c r="C26" s="15" t="s">
        <v>1332</v>
      </c>
      <c r="D26" s="15" t="s">
        <v>1363</v>
      </c>
      <c r="E26" s="15" t="s">
        <v>72</v>
      </c>
      <c r="F26" s="15" t="s">
        <v>1046</v>
      </c>
      <c r="G26" s="16" t="s">
        <v>1351</v>
      </c>
      <c r="H26" s="15" t="s">
        <v>75</v>
      </c>
      <c r="I26" s="15" t="s">
        <v>76</v>
      </c>
      <c r="J26" s="19" t="n">
        <v>46223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1364</v>
      </c>
      <c r="B27" s="15" t="s">
        <v>767</v>
      </c>
      <c r="C27" s="15" t="s">
        <v>1335</v>
      </c>
      <c r="D27" s="15" t="s">
        <v>1365</v>
      </c>
      <c r="E27" s="15" t="s">
        <v>72</v>
      </c>
      <c r="F27" s="15" t="s">
        <v>73</v>
      </c>
      <c r="G27" s="16" t="s">
        <v>1366</v>
      </c>
      <c r="H27" s="15" t="s">
        <v>75</v>
      </c>
      <c r="I27" s="15" t="s">
        <v>76</v>
      </c>
      <c r="J27" s="19" t="n">
        <v>46223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1367</v>
      </c>
      <c r="B28" s="15" t="s">
        <v>779</v>
      </c>
      <c r="C28" s="15" t="s">
        <v>1318</v>
      </c>
      <c r="D28" s="15" t="s">
        <v>1368</v>
      </c>
      <c r="E28" s="15" t="s">
        <v>72</v>
      </c>
      <c r="F28" s="15" t="s">
        <v>1046</v>
      </c>
      <c r="G28" s="16" t="s">
        <v>1351</v>
      </c>
      <c r="H28" s="15" t="s">
        <v>75</v>
      </c>
      <c r="I28" s="15" t="s">
        <v>76</v>
      </c>
      <c r="J28" s="19" t="n">
        <v>46223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1369</v>
      </c>
      <c r="B29" s="15" t="s">
        <v>859</v>
      </c>
      <c r="C29" s="15" t="s">
        <v>1318</v>
      </c>
      <c r="D29" s="15" t="s">
        <v>1370</v>
      </c>
      <c r="E29" s="15" t="s">
        <v>72</v>
      </c>
      <c r="F29" s="15" t="s">
        <v>485</v>
      </c>
      <c r="G29" s="16" t="s">
        <v>131</v>
      </c>
      <c r="H29" s="15" t="s">
        <v>75</v>
      </c>
      <c r="I29" s="15" t="s">
        <v>76</v>
      </c>
      <c r="J29" s="19" t="n">
        <v>46223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1371</v>
      </c>
      <c r="B30" s="15" t="s">
        <v>550</v>
      </c>
      <c r="C30" s="15" t="s">
        <v>1318</v>
      </c>
      <c r="D30" s="15" t="s">
        <v>1372</v>
      </c>
      <c r="E30" s="15" t="s">
        <v>72</v>
      </c>
      <c r="F30" s="15" t="s">
        <v>1085</v>
      </c>
      <c r="G30" s="16" t="s">
        <v>1351</v>
      </c>
      <c r="H30" s="15" t="s">
        <v>75</v>
      </c>
      <c r="I30" s="15" t="s">
        <v>76</v>
      </c>
      <c r="J30" s="19" t="n">
        <v>46223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1373</v>
      </c>
      <c r="B31" s="15" t="s">
        <v>1374</v>
      </c>
      <c r="C31" s="15" t="s">
        <v>1375</v>
      </c>
      <c r="D31" s="15" t="s">
        <v>1376</v>
      </c>
      <c r="E31" s="15" t="s">
        <v>72</v>
      </c>
      <c r="F31" s="15" t="s">
        <v>120</v>
      </c>
      <c r="G31" s="16" t="s">
        <v>1330</v>
      </c>
      <c r="H31" s="15" t="s">
        <v>75</v>
      </c>
      <c r="I31" s="15" t="s">
        <v>76</v>
      </c>
      <c r="J31" s="19" t="n">
        <v>46223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1377</v>
      </c>
      <c r="B32" s="15" t="s">
        <v>1087</v>
      </c>
      <c r="C32" s="15" t="s">
        <v>1328</v>
      </c>
      <c r="D32" s="15" t="s">
        <v>1378</v>
      </c>
      <c r="E32" s="15" t="s">
        <v>72</v>
      </c>
      <c r="F32" s="15" t="s">
        <v>120</v>
      </c>
      <c r="G32" s="16" t="s">
        <v>504</v>
      </c>
      <c r="H32" s="15" t="s">
        <v>75</v>
      </c>
      <c r="I32" s="15" t="s">
        <v>76</v>
      </c>
      <c r="J32" s="19" t="n">
        <v>46223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1379</v>
      </c>
      <c r="B33" s="15" t="s">
        <v>1087</v>
      </c>
      <c r="C33" s="15" t="s">
        <v>1332</v>
      </c>
      <c r="D33" s="15" t="s">
        <v>1380</v>
      </c>
      <c r="E33" s="15" t="s">
        <v>72</v>
      </c>
      <c r="F33" s="15" t="s">
        <v>120</v>
      </c>
      <c r="G33" s="16" t="s">
        <v>504</v>
      </c>
      <c r="H33" s="15" t="s">
        <v>75</v>
      </c>
      <c r="I33" s="15" t="s">
        <v>76</v>
      </c>
      <c r="J33" s="19" t="n">
        <v>46223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1381</v>
      </c>
      <c r="B34" s="15" t="s">
        <v>1087</v>
      </c>
      <c r="C34" s="15" t="s">
        <v>1335</v>
      </c>
      <c r="D34" s="15" t="s">
        <v>1382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46223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1383</v>
      </c>
      <c r="B35" s="15" t="s">
        <v>912</v>
      </c>
      <c r="C35" s="15" t="s">
        <v>1318</v>
      </c>
      <c r="D35" s="15" t="s">
        <v>1384</v>
      </c>
      <c r="E35" s="15" t="s">
        <v>72</v>
      </c>
      <c r="F35" s="15" t="s">
        <v>120</v>
      </c>
      <c r="G35" s="16" t="s">
        <v>504</v>
      </c>
      <c r="H35" s="15" t="s">
        <v>75</v>
      </c>
      <c r="I35" s="15" t="s">
        <v>76</v>
      </c>
      <c r="J35" s="19" t="n">
        <v>46223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1385</v>
      </c>
      <c r="B36" s="15" t="s">
        <v>1092</v>
      </c>
      <c r="C36" s="15" t="s">
        <v>1318</v>
      </c>
      <c r="D36" s="15" t="s">
        <v>1386</v>
      </c>
      <c r="E36" s="15" t="s">
        <v>72</v>
      </c>
      <c r="F36" s="15" t="s">
        <v>155</v>
      </c>
      <c r="G36" s="16" t="s">
        <v>137</v>
      </c>
      <c r="H36" s="15" t="s">
        <v>75</v>
      </c>
      <c r="I36" s="15" t="s">
        <v>76</v>
      </c>
      <c r="J36" s="19" t="n">
        <v>46223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1387</v>
      </c>
      <c r="B37" s="15" t="s">
        <v>1095</v>
      </c>
      <c r="C37" s="15" t="s">
        <v>1328</v>
      </c>
      <c r="D37" s="15" t="s">
        <v>1388</v>
      </c>
      <c r="E37" s="15" t="s">
        <v>72</v>
      </c>
      <c r="F37" s="15" t="s">
        <v>147</v>
      </c>
      <c r="G37" s="16" t="s">
        <v>1389</v>
      </c>
      <c r="H37" s="15" t="s">
        <v>75</v>
      </c>
      <c r="I37" s="15" t="s">
        <v>76</v>
      </c>
      <c r="J37" s="19" t="n">
        <v>46223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1390</v>
      </c>
      <c r="B38" s="15" t="s">
        <v>1095</v>
      </c>
      <c r="C38" s="15" t="s">
        <v>1332</v>
      </c>
      <c r="D38" s="15" t="s">
        <v>1391</v>
      </c>
      <c r="E38" s="15" t="s">
        <v>72</v>
      </c>
      <c r="F38" s="15" t="s">
        <v>147</v>
      </c>
      <c r="G38" s="16" t="s">
        <v>1392</v>
      </c>
      <c r="H38" s="15" t="s">
        <v>75</v>
      </c>
      <c r="I38" s="15" t="s">
        <v>76</v>
      </c>
      <c r="J38" s="19" t="n">
        <v>46223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1393</v>
      </c>
      <c r="B39" s="15" t="s">
        <v>1095</v>
      </c>
      <c r="C39" s="15" t="s">
        <v>1335</v>
      </c>
      <c r="D39" s="15" t="s">
        <v>1394</v>
      </c>
      <c r="E39" s="15" t="s">
        <v>72</v>
      </c>
      <c r="F39" s="15" t="s">
        <v>147</v>
      </c>
      <c r="G39" s="16" t="s">
        <v>1395</v>
      </c>
      <c r="H39" s="15" t="s">
        <v>75</v>
      </c>
      <c r="I39" s="15" t="s">
        <v>76</v>
      </c>
      <c r="J39" s="19" t="n">
        <v>46223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1396</v>
      </c>
      <c r="B40" s="15" t="s">
        <v>99</v>
      </c>
      <c r="C40" s="15" t="s">
        <v>1318</v>
      </c>
      <c r="D40" s="15" t="s">
        <v>1397</v>
      </c>
      <c r="E40" s="15" t="s">
        <v>72</v>
      </c>
      <c r="F40" s="15" t="s">
        <v>73</v>
      </c>
      <c r="G40" s="16" t="s">
        <v>393</v>
      </c>
      <c r="H40" s="15" t="s">
        <v>75</v>
      </c>
      <c r="I40" s="15" t="s">
        <v>76</v>
      </c>
      <c r="J40" s="19" t="n">
        <v>46223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1398</v>
      </c>
      <c r="B41" s="15" t="s">
        <v>1105</v>
      </c>
      <c r="C41" s="15" t="s">
        <v>1318</v>
      </c>
      <c r="D41" s="15" t="s">
        <v>1399</v>
      </c>
      <c r="E41" s="15" t="s">
        <v>72</v>
      </c>
      <c r="F41" s="15" t="s">
        <v>141</v>
      </c>
      <c r="G41" s="16" t="s">
        <v>1400</v>
      </c>
      <c r="H41" s="15" t="s">
        <v>82</v>
      </c>
      <c r="I41" s="15" t="s">
        <v>83</v>
      </c>
      <c r="J41" s="19" t="n">
        <v>46224</v>
      </c>
      <c r="K41" s="15" t="s">
        <v>1401</v>
      </c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1402</v>
      </c>
      <c r="B42" s="15" t="s">
        <v>1105</v>
      </c>
      <c r="C42" s="15" t="s">
        <v>1328</v>
      </c>
      <c r="D42" s="15" t="s">
        <v>1403</v>
      </c>
      <c r="E42" s="15" t="s">
        <v>72</v>
      </c>
      <c r="F42" s="15" t="s">
        <v>141</v>
      </c>
      <c r="G42" s="16" t="s">
        <v>1400</v>
      </c>
      <c r="H42" s="15" t="s">
        <v>82</v>
      </c>
      <c r="I42" s="15" t="s">
        <v>83</v>
      </c>
      <c r="J42" s="19" t="n">
        <v>46224</v>
      </c>
      <c r="K42" s="15" t="s">
        <v>1404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1405</v>
      </c>
      <c r="B43" s="15" t="s">
        <v>1105</v>
      </c>
      <c r="C43" s="15" t="s">
        <v>1332</v>
      </c>
      <c r="D43" s="15" t="s">
        <v>1406</v>
      </c>
      <c r="E43" s="15" t="s">
        <v>72</v>
      </c>
      <c r="F43" s="15" t="s">
        <v>141</v>
      </c>
      <c r="G43" s="16" t="s">
        <v>1400</v>
      </c>
      <c r="H43" s="15" t="s">
        <v>82</v>
      </c>
      <c r="I43" s="15" t="s">
        <v>83</v>
      </c>
      <c r="J43" s="19" t="n">
        <v>46224</v>
      </c>
      <c r="K43" s="15" t="s">
        <v>1407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1408</v>
      </c>
      <c r="B44" s="15" t="s">
        <v>1105</v>
      </c>
      <c r="C44" s="15" t="s">
        <v>1335</v>
      </c>
      <c r="D44" s="15" t="s">
        <v>1409</v>
      </c>
      <c r="E44" s="15" t="s">
        <v>72</v>
      </c>
      <c r="F44" s="15" t="s">
        <v>141</v>
      </c>
      <c r="G44" s="16" t="s">
        <v>1400</v>
      </c>
      <c r="H44" s="15" t="s">
        <v>82</v>
      </c>
      <c r="I44" s="15" t="s">
        <v>83</v>
      </c>
      <c r="J44" s="19" t="n">
        <v>46224</v>
      </c>
      <c r="K44" s="15" t="s">
        <v>1410</v>
      </c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1411</v>
      </c>
      <c r="B45" s="15" t="s">
        <v>153</v>
      </c>
      <c r="C45" s="15" t="s">
        <v>1318</v>
      </c>
      <c r="D45" s="15" t="s">
        <v>1412</v>
      </c>
      <c r="E45" s="15" t="s">
        <v>155</v>
      </c>
      <c r="F45" s="15" t="s">
        <v>120</v>
      </c>
      <c r="G45" s="16" t="s">
        <v>1112</v>
      </c>
      <c r="H45" s="15" t="s">
        <v>75</v>
      </c>
      <c r="I45" s="15" t="s">
        <v>76</v>
      </c>
      <c r="J45" s="19" t="n">
        <v>46223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1413</v>
      </c>
      <c r="B46" s="15" t="s">
        <v>158</v>
      </c>
      <c r="C46" s="15" t="s">
        <v>1328</v>
      </c>
      <c r="D46" s="15" t="s">
        <v>1414</v>
      </c>
      <c r="E46" s="15" t="s">
        <v>160</v>
      </c>
      <c r="F46" s="15" t="s">
        <v>1415</v>
      </c>
      <c r="G46" s="16" t="s">
        <v>252</v>
      </c>
      <c r="H46" s="15" t="s">
        <v>349</v>
      </c>
      <c r="I46" s="15" t="s">
        <v>76</v>
      </c>
      <c r="J46" s="19" t="n">
        <v>46223</v>
      </c>
      <c r="K46" s="15" t="s">
        <v>1416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1417</v>
      </c>
      <c r="B47" s="15" t="s">
        <v>158</v>
      </c>
      <c r="C47" s="15" t="s">
        <v>1418</v>
      </c>
      <c r="D47" s="15" t="s">
        <v>1419</v>
      </c>
      <c r="E47" s="15" t="s">
        <v>160</v>
      </c>
      <c r="F47" s="15" t="s">
        <v>1116</v>
      </c>
      <c r="G47" s="16" t="s">
        <v>252</v>
      </c>
      <c r="H47" s="15" t="s">
        <v>253</v>
      </c>
      <c r="I47" s="15" t="s">
        <v>83</v>
      </c>
      <c r="J47" s="19" t="n">
        <v>46223</v>
      </c>
      <c r="K47" s="15" t="s">
        <v>1420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form/Form.tsx; ../src/components/field/Field.tsx; ../src/components/fieldset/Fieldset.tsx"/>
    <hyperlink ref="G10" r:id="rId2" display="../../docs/form-foundation-component-brief.md"/>
    <hyperlink ref="G11" r:id="rId3" display="../test/types/form-foundation.test.tsx"/>
    <hyperlink ref="G12" r:id="rId4" display="../test/components/form-foundation.test.tsx"/>
    <hyperlink ref="G13" r:id="rId5" display="../test/components/form-foundation.test.tsx"/>
    <hyperlink ref="G14" r:id="rId6" display="../test/components/form-foundation.test.tsx"/>
    <hyperlink ref="G15" r:id="rId7" display="../test/components/form-foundation.test.tsx"/>
    <hyperlink ref="G16" r:id="rId8" display="../test/types/form-foundation.test.tsx"/>
    <hyperlink ref="G17" r:id="rId9" display="../test/types/form-foundation.test.tsx"/>
    <hyperlink ref="G18" r:id="rId10" display="../test/components/form-foundation.test.tsx; ../test/package/ssr.test.mjs"/>
    <hyperlink ref="G19" r:id="rId11" display="../test/components/form-foundation.test.tsx; ../test/package/ssr.test.mjs"/>
    <hyperlink ref="G20" r:id="rId12" display="tests/form-foundation.spec.ts"/>
    <hyperlink ref="G21" r:id="rId13" display="../test/components/form-foundation.test.tsx"/>
    <hyperlink ref="G22" r:id="rId14" display="../test/components/form-foundation.test.tsx"/>
    <hyperlink ref="G23" r:id="rId15" display="tests/form-foundation.spec.ts"/>
    <hyperlink ref="G24" r:id="rId16" display="tests/form-foundation.spec.ts"/>
    <hyperlink ref="G25" r:id="rId17" display="../test/components/form-foundation.test.tsx"/>
    <hyperlink ref="G26" r:id="rId18" display="tests/form-foundation.spec.ts"/>
    <hyperlink ref="G27" r:id="rId19" display="../src/components/fieldset/fieldset.css"/>
    <hyperlink ref="G28" r:id="rId20" display="tests/form-foundation.spec.ts"/>
    <hyperlink ref="G29" r:id="rId21" display="tests/visual.spec.ts"/>
    <hyperlink ref="G30" r:id="rId22" display="tests/form-foundation.spec.ts"/>
    <hyperlink ref="G31" r:id="rId23" display="../test/components/form-foundation.test.tsx"/>
    <hyperlink ref="G32" r:id="rId24" display="../test/package/package.test.mjs"/>
    <hyperlink ref="G33" r:id="rId25" display="../test/package/package.test.mjs"/>
    <hyperlink ref="G34" r:id="rId26" display="../test/package/package.test.mjs"/>
    <hyperlink ref="G35" r:id="rId27" display="../test/package/package.test.mjs"/>
    <hyperlink ref="G36" r:id="rId28" display="../scripts/verify-consumers.mjs"/>
    <hyperlink ref="G37" r:id="rId29" display="../docs/components/form/README.md"/>
    <hyperlink ref="G38" r:id="rId30" display="../docs/components/field/README.md"/>
    <hyperlink ref="G39" r:id="rId31" display="../docs/components/fieldset/README.md"/>
    <hyperlink ref="G40" r:id="rId32" display="../playground/src/main.tsx"/>
    <hyperlink ref="G41" r:id="rId33" display="../../docs/manual-tests/form-foundation.md"/>
    <hyperlink ref="G42" r:id="rId34" display="../../docs/manual-tests/form-foundation.md"/>
    <hyperlink ref="G43" r:id="rId35" display="../../docs/manual-tests/form-foundation.md"/>
    <hyperlink ref="G44" r:id="rId36" display="../../docs/manual-tests/form-foundation.md"/>
    <hyperlink ref="G45" r:id="rId37" display="../../../apps/brick-consumer/tests/consumer.spec.ts"/>
    <hyperlink ref="G46" r:id="rId38" display="../../docs/core-dependency-ledger.md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2026-07-21T19:22:18Z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