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Aspect Ratio" sheetId="62" state="visible" r:id="rId62"/>
  </sheets>
  <definedNames>
    <definedName name="_xlnm._FilterDatabase" localSheetId="0" hidden="1">'Index'!$A$7:$M$65</definedName>
    <definedName name="_xlnm.Print_Area" localSheetId="0">'Index'!$A$1:$M$65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'Aspect Ratio'!$A$8:$M$34</definedName>
    <definedName name="_xlnm.Print_Area" localSheetId="61">'Aspect Ratio'!$A$1:$M$34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styles" Target="styles.xml" Id="rId63"/><Relationship Type="http://schemas.openxmlformats.org/officeDocument/2006/relationships/theme" Target="theme/theme1.xml" Id="rId64"/></Relationships>
</file>

<file path=xl/tables/table1.xml><?xml version="1.0" encoding="utf-8"?>
<table xmlns="http://schemas.openxmlformats.org/spreadsheetml/2006/main" id="1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6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58 independently exported components.</t>
        </is>
      </c>
    </row>
    <row r="4" ht="17.25" customHeight="1" s="17">
      <c r="A4" s="20" t="inlineStr">
        <is>
          <t>Components</t>
        </is>
      </c>
      <c r="B4" s="21">
        <f>COUNTA(A8:A200)</f>
        <v/>
      </c>
      <c r="D4" s="20" t="inlineStr">
        <is>
          <t>Complete</t>
        </is>
      </c>
      <c r="E4" s="21">
        <f>COUNTIF(M8:M65,"complete")</f>
        <v/>
      </c>
      <c r="G4" s="20">
        <f>COUNTIF(M8:M63,"blocked")</f>
        <v/>
      </c>
      <c r="H4" s="21">
        <f>COUNTIF(M8:M65,"blocked")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ht="15" customHeight="1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ht="15" customHeight="1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ht="15" customHeight="1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 ht="15" customHeight="1" s="17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 ht="15" customHeight="1" s="17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 ht="15" customHeight="1" s="17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 ht="15" customHeight="1" s="17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  <row r="43" ht="15" customHeight="1" s="17">
      <c r="A43" s="23" t="inlineStr">
        <is>
          <t>List</t>
        </is>
      </c>
      <c r="B43" s="23">
        <f>INDIRECT("'"&amp;A43&amp;"'!B4")</f>
        <v/>
      </c>
      <c r="C43" s="23">
        <f>COUNTIF(INDIRECT("'"&amp;A43&amp;"'!H9:H200"),"not started")</f>
        <v/>
      </c>
      <c r="D43" s="23">
        <f>COUNTIF(INDIRECT("'"&amp;A43&amp;"'!H9:H200"),"partial")</f>
        <v/>
      </c>
      <c r="E43" s="23">
        <f>COUNTIF(INDIRECT("'"&amp;A43&amp;"'!H9:H200"),"implemented")</f>
        <v/>
      </c>
      <c r="F43" s="23">
        <f>COUNTIF(INDIRECT("'"&amp;A43&amp;"'!H9:H200"),"tested")</f>
        <v/>
      </c>
      <c r="G43" s="23">
        <f>COUNTIF(INDIRECT("'"&amp;A43&amp;"'!H9:H200"),"verified")</f>
        <v/>
      </c>
      <c r="H43" s="23">
        <f>COUNTIF(INDIRECT("'"&amp;A43&amp;"'!H9:H200"),"blocked")</f>
        <v/>
      </c>
      <c r="I43" s="23">
        <f>COUNTIF(INDIRECT("'"&amp;A43&amp;"'!H9:H200"),"not applicable")</f>
        <v/>
      </c>
      <c r="J43" s="24">
        <f>INDIRECT("'"&amp;A43&amp;"'!H4")</f>
        <v/>
      </c>
      <c r="K43" s="23">
        <f>INDIRECT("'"&amp;A43&amp;"'!K4")</f>
        <v/>
      </c>
      <c r="L43" s="23">
        <f>INDIRECT("'"&amp;A43&amp;"'!E5")</f>
        <v/>
      </c>
      <c r="M43" s="23">
        <f>IF(AND(J43=1,K43="complete",L43="complete"),"complete",IF(H43&gt;0,"blocked","open"))</f>
        <v/>
      </c>
    </row>
    <row r="44" ht="15" customHeight="1" s="17">
      <c r="A44" s="23" t="inlineStr">
        <is>
          <t>Select</t>
        </is>
      </c>
      <c r="B44" s="23">
        <f>INDIRECT("'"&amp;A44&amp;"'!B4")</f>
        <v/>
      </c>
      <c r="C44" s="23">
        <f>COUNTIF(INDIRECT("'"&amp;A44&amp;"'!H9:H200"),"not started")</f>
        <v/>
      </c>
      <c r="D44" s="23">
        <f>COUNTIF(INDIRECT("'"&amp;A44&amp;"'!H9:H200"),"partial")</f>
        <v/>
      </c>
      <c r="E44" s="23">
        <f>COUNTIF(INDIRECT("'"&amp;A44&amp;"'!H9:H200"),"implemented")</f>
        <v/>
      </c>
      <c r="F44" s="23">
        <f>COUNTIF(INDIRECT("'"&amp;A44&amp;"'!H9:H200"),"tested")</f>
        <v/>
      </c>
      <c r="G44" s="23">
        <f>COUNTIF(INDIRECT("'"&amp;A44&amp;"'!H9:H200"),"verified")</f>
        <v/>
      </c>
      <c r="H44" s="23">
        <f>COUNTIF(INDIRECT("'"&amp;A44&amp;"'!H9:H200"),"blocked")</f>
        <v/>
      </c>
      <c r="I44" s="23">
        <f>COUNTIF(INDIRECT("'"&amp;A44&amp;"'!H9:H200"),"not applicable")</f>
        <v/>
      </c>
      <c r="J44" s="24">
        <f>INDIRECT("'"&amp;A44&amp;"'!H4")</f>
        <v/>
      </c>
      <c r="K44" s="23">
        <f>INDIRECT("'"&amp;A44&amp;"'!K4")</f>
        <v/>
      </c>
      <c r="L44" s="23">
        <f>INDIRECT("'"&amp;A44&amp;"'!E5")</f>
        <v/>
      </c>
      <c r="M44" s="23">
        <f>IF(AND(J44=1,K44="complete",L44="complete"),"complete",IF(H44&gt;0,"blocked","open"))</f>
        <v/>
      </c>
    </row>
    <row r="45" ht="15" customHeight="1" s="17">
      <c r="A45" s="23" t="inlineStr">
        <is>
          <t>Multi Select</t>
        </is>
      </c>
      <c r="B45" s="23">
        <f>INDIRECT("'"&amp;A45&amp;"'!B4")</f>
        <v/>
      </c>
      <c r="C45" s="23">
        <f>COUNTIF(INDIRECT("'"&amp;A45&amp;"'!H9:H200"),"not started")</f>
        <v/>
      </c>
      <c r="D45" s="23">
        <f>COUNTIF(INDIRECT("'"&amp;A45&amp;"'!H9:H200"),"partial")</f>
        <v/>
      </c>
      <c r="E45" s="23">
        <f>COUNTIF(INDIRECT("'"&amp;A45&amp;"'!H9:H200"),"implemented")</f>
        <v/>
      </c>
      <c r="F45" s="23">
        <f>COUNTIF(INDIRECT("'"&amp;A45&amp;"'!H9:H200"),"tested")</f>
        <v/>
      </c>
      <c r="G45" s="23">
        <f>COUNTIF(INDIRECT("'"&amp;A45&amp;"'!H9:H200"),"verified")</f>
        <v/>
      </c>
      <c r="H45" s="23">
        <f>COUNTIF(INDIRECT("'"&amp;A45&amp;"'!H9:H200"),"blocked")</f>
        <v/>
      </c>
      <c r="I45" s="23">
        <f>COUNTIF(INDIRECT("'"&amp;A45&amp;"'!H9:H200"),"not applicable")</f>
        <v/>
      </c>
      <c r="J45" s="24">
        <f>INDIRECT("'"&amp;A45&amp;"'!H4")</f>
        <v/>
      </c>
      <c r="K45" s="23">
        <f>INDIRECT("'"&amp;A45&amp;"'!K4")</f>
        <v/>
      </c>
      <c r="L45" s="23">
        <f>INDIRECT("'"&amp;A45&amp;"'!E5")</f>
        <v/>
      </c>
      <c r="M45" s="23">
        <f>IF(AND(J45=1,K45="complete",L45="complete"),"complete",IF(H45&gt;0,"blocked","open"))</f>
        <v/>
      </c>
    </row>
    <row r="46" ht="15" customHeight="1" s="17">
      <c r="A46" s="23" t="inlineStr">
        <is>
          <t>Textarea</t>
        </is>
      </c>
      <c r="B46" s="23">
        <f>INDIRECT("'"&amp;A46&amp;"'!B4")</f>
        <v/>
      </c>
      <c r="C46" s="23">
        <f>COUNTIF(INDIRECT("'"&amp;A46&amp;"'!H9:H200"),"not started")</f>
        <v/>
      </c>
      <c r="D46" s="23">
        <f>COUNTIF(INDIRECT("'"&amp;A46&amp;"'!H9:H200"),"partial")</f>
        <v/>
      </c>
      <c r="E46" s="23">
        <f>COUNTIF(INDIRECT("'"&amp;A46&amp;"'!H9:H200"),"implemented")</f>
        <v/>
      </c>
      <c r="F46" s="23">
        <f>COUNTIF(INDIRECT("'"&amp;A46&amp;"'!H9:H200"),"tested")</f>
        <v/>
      </c>
      <c r="G46" s="23">
        <f>COUNTIF(INDIRECT("'"&amp;A46&amp;"'!H9:H200"),"verified")</f>
        <v/>
      </c>
      <c r="H46" s="23">
        <f>COUNTIF(INDIRECT("'"&amp;A46&amp;"'!H9:H200"),"blocked")</f>
        <v/>
      </c>
      <c r="I46" s="23">
        <f>COUNTIF(INDIRECT("'"&amp;A46&amp;"'!H9:H200"),"not applicable")</f>
        <v/>
      </c>
      <c r="J46" s="24">
        <f>INDIRECT("'"&amp;A46&amp;"'!H4")</f>
        <v/>
      </c>
      <c r="K46" s="23">
        <f>INDIRECT("'"&amp;A46&amp;"'!K4")</f>
        <v/>
      </c>
      <c r="L46" s="23">
        <f>INDIRECT("'"&amp;A46&amp;"'!E5")</f>
        <v/>
      </c>
      <c r="M46" s="23">
        <f>IF(AND(J46=1,K46="complete",L46="complete"),"complete",IF(H46&gt;0,"blocked","open"))</f>
        <v/>
      </c>
    </row>
    <row r="47" ht="15" customHeight="1" s="17">
      <c r="A47" s="23" t="inlineStr">
        <is>
          <t>Radio Group</t>
        </is>
      </c>
      <c r="B47" s="23">
        <f>INDIRECT("'"&amp;A47&amp;"'!B4")</f>
        <v/>
      </c>
      <c r="C47" s="23">
        <f>COUNTIF(INDIRECT("'"&amp;A47&amp;"'!H9:H200"),"not started")</f>
        <v/>
      </c>
      <c r="D47" s="23">
        <f>COUNTIF(INDIRECT("'"&amp;A47&amp;"'!H9:H200"),"partial")</f>
        <v/>
      </c>
      <c r="E47" s="23">
        <f>COUNTIF(INDIRECT("'"&amp;A47&amp;"'!H9:H200"),"implemented")</f>
        <v/>
      </c>
      <c r="F47" s="23">
        <f>COUNTIF(INDIRECT("'"&amp;A47&amp;"'!H9:H200"),"tested")</f>
        <v/>
      </c>
      <c r="G47" s="23">
        <f>COUNTIF(INDIRECT("'"&amp;A47&amp;"'!H9:H200"),"verified")</f>
        <v/>
      </c>
      <c r="H47" s="23">
        <f>COUNTIF(INDIRECT("'"&amp;A47&amp;"'!H9:H200"),"blocked")</f>
        <v/>
      </c>
      <c r="I47" s="23">
        <f>COUNTIF(INDIRECT("'"&amp;A47&amp;"'!H9:H200"),"not applicable")</f>
        <v/>
      </c>
      <c r="J47" s="24">
        <f>INDIRECT("'"&amp;A47&amp;"'!H4")</f>
        <v/>
      </c>
      <c r="K47" s="23">
        <f>INDIRECT("'"&amp;A47&amp;"'!K4")</f>
        <v/>
      </c>
      <c r="L47" s="23">
        <f>INDIRECT("'"&amp;A47&amp;"'!E5")</f>
        <v/>
      </c>
      <c r="M47" s="23">
        <f>IF(AND(J47=1,K47="complete",L47="complete"),"complete",IF(H47&gt;0,"blocked","open"))</f>
        <v/>
      </c>
    </row>
    <row r="48" ht="15" customHeight="1" s="17">
      <c r="A48" s="23" t="inlineStr">
        <is>
          <t>Switch</t>
        </is>
      </c>
      <c r="B48" s="23">
        <f>INDIRECT("'"&amp;A48&amp;"'!B4")</f>
        <v/>
      </c>
      <c r="C48" s="23">
        <f>COUNTIF(INDIRECT("'"&amp;A48&amp;"'!H9:H200"),"not started")</f>
        <v/>
      </c>
      <c r="D48" s="23">
        <f>COUNTIF(INDIRECT("'"&amp;A48&amp;"'!H9:H200"),"partial")</f>
        <v/>
      </c>
      <c r="E48" s="23">
        <f>COUNTIF(INDIRECT("'"&amp;A48&amp;"'!H9:H200"),"implemented")</f>
        <v/>
      </c>
      <c r="F48" s="23">
        <f>COUNTIF(INDIRECT("'"&amp;A48&amp;"'!H9:H200"),"tested")</f>
        <v/>
      </c>
      <c r="G48" s="23">
        <f>COUNTIF(INDIRECT("'"&amp;A48&amp;"'!H9:H200"),"verified")</f>
        <v/>
      </c>
      <c r="H48" s="23">
        <f>COUNTIF(INDIRECT("'"&amp;A48&amp;"'!H9:H200"),"blocked")</f>
        <v/>
      </c>
      <c r="I48" s="23">
        <f>COUNTIF(INDIRECT("'"&amp;A48&amp;"'!H9:H200"),"not applicable")</f>
        <v/>
      </c>
      <c r="J48" s="24">
        <f>INDIRECT("'"&amp;A48&amp;"'!H4")</f>
        <v/>
      </c>
      <c r="K48" s="23">
        <f>INDIRECT("'"&amp;A48&amp;"'!B5")</f>
        <v/>
      </c>
      <c r="L48" s="23">
        <f>INDIRECT("'"&amp;A48&amp;"'!E5")</f>
        <v/>
      </c>
      <c r="M48" s="23">
        <f>IF(AND(J48=1,K48="complete",L48="complete"),"complete",IF(H48&gt;0,"blocked","open"))</f>
        <v/>
      </c>
    </row>
    <row r="49" ht="15" customHeight="1" s="17">
      <c r="A49" s="23" t="inlineStr">
        <is>
          <t>Breadcrumb</t>
        </is>
      </c>
      <c r="B49" s="23">
        <f>INDIRECT("'"&amp;A49&amp;"'!B4")</f>
        <v/>
      </c>
      <c r="C49" s="23">
        <f>COUNTIF(INDIRECT("'"&amp;A49&amp;"'!H9:H200"),"not started")</f>
        <v/>
      </c>
      <c r="D49" s="23">
        <f>COUNTIF(INDIRECT("'"&amp;A49&amp;"'!H9:H200"),"partial")</f>
        <v/>
      </c>
      <c r="E49" s="23">
        <f>COUNTIF(INDIRECT("'"&amp;A49&amp;"'!H9:H200"),"implemented")</f>
        <v/>
      </c>
      <c r="F49" s="23">
        <f>COUNTIF(INDIRECT("'"&amp;A49&amp;"'!H9:H200"),"tested")</f>
        <v/>
      </c>
      <c r="G49" s="23">
        <f>COUNTIF(INDIRECT("'"&amp;A49&amp;"'!H9:H200"),"verified")</f>
        <v/>
      </c>
      <c r="H49" s="23">
        <f>COUNTIF(INDIRECT("'"&amp;A49&amp;"'!H9:H200"),"blocked")</f>
        <v/>
      </c>
      <c r="I49" s="23">
        <f>COUNTIF(INDIRECT("'"&amp;A49&amp;"'!H9:H200"),"not applicable")</f>
        <v/>
      </c>
      <c r="J49" s="24">
        <f>INDIRECT("'"&amp;A49&amp;"'!H4")</f>
        <v/>
      </c>
      <c r="K49" s="23">
        <f>INDIRECT("'"&amp;A49&amp;"'!B5")</f>
        <v/>
      </c>
      <c r="L49" s="23">
        <f>INDIRECT("'"&amp;A49&amp;"'!E5")</f>
        <v/>
      </c>
      <c r="M49" s="23">
        <f>IF(AND(J49=1,K49="complete",L49="complete"),"complete",IF(H49&gt;0,"blocked","open"))</f>
        <v/>
      </c>
    </row>
    <row r="50" ht="15" customHeight="1" s="17">
      <c r="A50" s="23" t="inlineStr">
        <is>
          <t>Tabs</t>
        </is>
      </c>
      <c r="B50" s="23">
        <f>INDIRECT("'"&amp;A50&amp;"'!B4")</f>
        <v/>
      </c>
      <c r="C50" s="23">
        <f>COUNTIF(INDIRECT("'"&amp;A50&amp;"'!H9:H200"),"not started")</f>
        <v/>
      </c>
      <c r="D50" s="23">
        <f>COUNTIF(INDIRECT("'"&amp;A50&amp;"'!H9:H200"),"partial")</f>
        <v/>
      </c>
      <c r="E50" s="23">
        <f>COUNTIF(INDIRECT("'"&amp;A50&amp;"'!H9:H200"),"implemented")</f>
        <v/>
      </c>
      <c r="F50" s="23">
        <f>COUNTIF(INDIRECT("'"&amp;A50&amp;"'!H9:H200"),"tested")</f>
        <v/>
      </c>
      <c r="G50" s="23">
        <f>COUNTIF(INDIRECT("'"&amp;A50&amp;"'!H9:H200"),"verified")</f>
        <v/>
      </c>
      <c r="H50" s="23">
        <f>COUNTIF(INDIRECT("'"&amp;A50&amp;"'!H9:H200"),"blocked")</f>
        <v/>
      </c>
      <c r="I50" s="23">
        <f>COUNTIF(INDIRECT("'"&amp;A50&amp;"'!H9:H200"),"not applicable")</f>
        <v/>
      </c>
      <c r="J50" s="24">
        <f>INDIRECT("'"&amp;A50&amp;"'!H4")</f>
        <v/>
      </c>
      <c r="K50" s="23">
        <f>INDIRECT("'"&amp;A50&amp;"'!K4")</f>
        <v/>
      </c>
      <c r="L50" s="23">
        <f>INDIRECT("'"&amp;A50&amp;"'!E5")</f>
        <v/>
      </c>
      <c r="M50" s="23">
        <f>IF(AND(J50=1,K50="complete",L50="complete"),"complete",IF(H50&gt;0,"blocked","open"))</f>
        <v/>
      </c>
    </row>
    <row r="51" ht="15" customHeight="1" s="17">
      <c r="A51" s="23" t="inlineStr">
        <is>
          <t>Skeleton</t>
        </is>
      </c>
      <c r="B51" s="23">
        <f>INDIRECT("'"&amp;A51&amp;"'!B4")</f>
        <v/>
      </c>
      <c r="C51" s="23">
        <f>COUNTIF(INDIRECT("'"&amp;A51&amp;"'!H9:H200"),"not started")</f>
        <v/>
      </c>
      <c r="D51" s="23">
        <f>COUNTIF(INDIRECT("'"&amp;A51&amp;"'!H9:H200"),"partial")</f>
        <v/>
      </c>
      <c r="E51" s="23">
        <f>COUNTIF(INDIRECT("'"&amp;A51&amp;"'!H9:H200"),"implemented")</f>
        <v/>
      </c>
      <c r="F51" s="23">
        <f>COUNTIF(INDIRECT("'"&amp;A51&amp;"'!H9:H200"),"tested")</f>
        <v/>
      </c>
      <c r="G51" s="23">
        <f>COUNTIF(INDIRECT("'"&amp;A51&amp;"'!H9:H200"),"verified")</f>
        <v/>
      </c>
      <c r="H51" s="23">
        <f>COUNTIF(INDIRECT("'"&amp;A51&amp;"'!H9:H200"),"blocked")</f>
        <v/>
      </c>
      <c r="I51" s="23">
        <f>COUNTIF(INDIRECT("'"&amp;A51&amp;"'!H9:H200"),"not applicable")</f>
        <v/>
      </c>
      <c r="J51" s="24">
        <f>INDIRECT("'"&amp;A51&amp;"'!H4")</f>
        <v/>
      </c>
      <c r="K51" s="23">
        <f>INDIRECT("'"&amp;A51&amp;"'!K4")</f>
        <v/>
      </c>
      <c r="L51" s="23">
        <f>INDIRECT("'"&amp;A51&amp;"'!E5")</f>
        <v/>
      </c>
      <c r="M51" s="23">
        <f>IF(AND(J51=1,K51="complete",L51="complete"),"complete",IF(H51&gt;0,"blocked","open"))</f>
        <v/>
      </c>
    </row>
    <row r="52" ht="15" customHeight="1" s="17">
      <c r="A52" s="23" t="inlineStr">
        <is>
          <t>Dropdown Menu</t>
        </is>
      </c>
      <c r="B52" s="23">
        <f>INDIRECT("'"&amp;A52&amp;"'!B4")</f>
        <v/>
      </c>
      <c r="C52" s="23">
        <f>COUNTIF(INDIRECT("'"&amp;A52&amp;"'!H9:H200"),"not started")</f>
        <v/>
      </c>
      <c r="D52" s="23">
        <f>COUNTIF(INDIRECT("'"&amp;A52&amp;"'!H9:H200"),"partial")</f>
        <v/>
      </c>
      <c r="E52" s="23">
        <f>COUNTIF(INDIRECT("'"&amp;A52&amp;"'!H9:H200"),"implemented")</f>
        <v/>
      </c>
      <c r="F52" s="23">
        <f>COUNTIF(INDIRECT("'"&amp;A52&amp;"'!H9:H200"),"tested")</f>
        <v/>
      </c>
      <c r="G52" s="23">
        <f>COUNTIF(INDIRECT("'"&amp;A52&amp;"'!H9:H200"),"verified")</f>
        <v/>
      </c>
      <c r="H52" s="23">
        <f>COUNTIF(INDIRECT("'"&amp;A52&amp;"'!H9:H200"),"blocked")</f>
        <v/>
      </c>
      <c r="I52" s="23">
        <f>COUNTIF(INDIRECT("'"&amp;A52&amp;"'!H9:H200"),"not applicable")</f>
        <v/>
      </c>
      <c r="J52" s="24">
        <f>INDIRECT("'"&amp;A52&amp;"'!H4")</f>
        <v/>
      </c>
      <c r="K52" s="23">
        <f>INDIRECT("'"&amp;A52&amp;"'!K4")</f>
        <v/>
      </c>
      <c r="L52" s="23">
        <f>INDIRECT("'"&amp;A52&amp;"'!E5")</f>
        <v/>
      </c>
      <c r="M52" s="23">
        <f>IF(AND(J52=1,K52="complete",L52="complete"),"complete",IF(H52&gt;0,"blocked","open"))</f>
        <v/>
      </c>
    </row>
    <row r="53" ht="15" customHeight="1" s="17">
      <c r="A53" s="23" t="inlineStr">
        <is>
          <t>Context Menu</t>
        </is>
      </c>
      <c r="B53" s="23">
        <f>INDIRECT("'"&amp;A53&amp;"'!B4")</f>
        <v/>
      </c>
      <c r="C53" s="23">
        <f>COUNTIF(INDIRECT("'"&amp;A53&amp;"'!H9:H200"),"not started")</f>
        <v/>
      </c>
      <c r="D53" s="23">
        <f>COUNTIF(INDIRECT("'"&amp;A53&amp;"'!H9:H200"),"partial")</f>
        <v/>
      </c>
      <c r="E53" s="23">
        <f>COUNTIF(INDIRECT("'"&amp;A53&amp;"'!H9:H200"),"implemented")</f>
        <v/>
      </c>
      <c r="F53" s="23">
        <f>COUNTIF(INDIRECT("'"&amp;A53&amp;"'!H9:H200"),"tested")</f>
        <v/>
      </c>
      <c r="G53" s="23">
        <f>COUNTIF(INDIRECT("'"&amp;A53&amp;"'!H9:H200"),"verified")</f>
        <v/>
      </c>
      <c r="H53" s="23">
        <f>COUNTIF(INDIRECT("'"&amp;A53&amp;"'!H9:H200"),"blocked")</f>
        <v/>
      </c>
      <c r="I53" s="23">
        <f>COUNTIF(INDIRECT("'"&amp;A53&amp;"'!H9:H200"),"not applicable")</f>
        <v/>
      </c>
      <c r="J53" s="24">
        <f>INDIRECT("'"&amp;A53&amp;"'!H4")</f>
        <v/>
      </c>
      <c r="K53" s="23">
        <f>INDIRECT("'"&amp;A53&amp;"'!K4")</f>
        <v/>
      </c>
      <c r="L53" s="23">
        <f>INDIRECT("'"&amp;A53&amp;"'!E5")</f>
        <v/>
      </c>
      <c r="M53" s="23">
        <f>IF(AND(J53=1,K53="complete",L53="complete"),"complete",IF(H53&gt;0,"blocked","open"))</f>
        <v/>
      </c>
    </row>
    <row r="54" ht="15" customHeight="1" s="17">
      <c r="A54" s="23" t="inlineStr">
        <is>
          <t>Menubar</t>
        </is>
      </c>
      <c r="B54" s="23">
        <f>INDIRECT("'"&amp;A54&amp;"'!B4")</f>
        <v/>
      </c>
      <c r="C54" s="23">
        <f>COUNTIF(INDIRECT("'"&amp;A54&amp;"'!H9:H200"),"not started")</f>
        <v/>
      </c>
      <c r="D54" s="23">
        <f>COUNTIF(INDIRECT("'"&amp;A54&amp;"'!H9:H200"),"partial")</f>
        <v/>
      </c>
      <c r="E54" s="23">
        <f>COUNTIF(INDIRECT("'"&amp;A54&amp;"'!H9:H200"),"implemented")</f>
        <v/>
      </c>
      <c r="F54" s="23">
        <f>COUNTIF(INDIRECT("'"&amp;A54&amp;"'!H9:H200"),"tested")</f>
        <v/>
      </c>
      <c r="G54" s="23">
        <f>COUNTIF(INDIRECT("'"&amp;A54&amp;"'!H9:H200"),"verified")</f>
        <v/>
      </c>
      <c r="H54" s="23">
        <f>COUNTIF(INDIRECT("'"&amp;A54&amp;"'!H9:H200"),"blocked")</f>
        <v/>
      </c>
      <c r="I54" s="23">
        <f>COUNTIF(INDIRECT("'"&amp;A54&amp;"'!H9:H200"),"not applicable")</f>
        <v/>
      </c>
      <c r="J54" s="24">
        <f>INDIRECT("'"&amp;A54&amp;"'!H4")</f>
        <v/>
      </c>
      <c r="K54" s="23">
        <f>INDIRECT("'"&amp;A54&amp;"'!K4")</f>
        <v/>
      </c>
      <c r="L54" s="23">
        <f>INDIRECT("'"&amp;A54&amp;"'!E5")</f>
        <v/>
      </c>
      <c r="M54" s="23">
        <f>IF(AND(J54=1,K54="complete",L54="complete"),"complete",IF(H54&gt;0,"blocked","open"))</f>
        <v/>
      </c>
    </row>
    <row r="55" ht="15" customHeight="1" s="17">
      <c r="A55" s="23" t="inlineStr">
        <is>
          <t>Navigation Menu</t>
        </is>
      </c>
      <c r="B55" s="23">
        <f>INDIRECT("'"&amp;A55&amp;"'!B4")</f>
        <v/>
      </c>
      <c r="C55" s="23">
        <f>COUNTIF(INDIRECT("'"&amp;A55&amp;"'!H9:H200"),"not started")</f>
        <v/>
      </c>
      <c r="D55" s="23">
        <f>COUNTIF(INDIRECT("'"&amp;A55&amp;"'!H9:H200"),"partial")</f>
        <v/>
      </c>
      <c r="E55" s="23">
        <f>COUNTIF(INDIRECT("'"&amp;A55&amp;"'!H9:H200"),"implemented")</f>
        <v/>
      </c>
      <c r="F55" s="23">
        <f>COUNTIF(INDIRECT("'"&amp;A55&amp;"'!H9:H200"),"tested")</f>
        <v/>
      </c>
      <c r="G55" s="23">
        <f>COUNTIF(INDIRECT("'"&amp;A55&amp;"'!H9:H200"),"verified")</f>
        <v/>
      </c>
      <c r="H55" s="23">
        <f>COUNTIF(INDIRECT("'"&amp;A55&amp;"'!H9:H200"),"blocked")</f>
        <v/>
      </c>
      <c r="I55" s="23">
        <f>COUNTIF(INDIRECT("'"&amp;A55&amp;"'!H9:H200"),"not applicable")</f>
        <v/>
      </c>
      <c r="J55" s="24">
        <f>INDIRECT("'"&amp;A55&amp;"'!H4")</f>
        <v/>
      </c>
      <c r="K55" s="23">
        <f>INDIRECT("'"&amp;A55&amp;"'!K4")</f>
        <v/>
      </c>
      <c r="L55" s="23">
        <f>INDIRECT("'"&amp;A55&amp;"'!E5")</f>
        <v/>
      </c>
      <c r="M55" s="23">
        <f>IF(AND(J55=1,K55="complete",L55="complete"),"complete",IF(H55&gt;0,"blocked","open"))</f>
        <v/>
      </c>
    </row>
    <row r="56" ht="15" customHeight="1" s="17">
      <c r="A56" s="23" t="inlineStr">
        <is>
          <t>Bottom Navigation</t>
        </is>
      </c>
      <c r="B56" s="23">
        <f>INDIRECT("'"&amp;A56&amp;"'!B4")</f>
        <v/>
      </c>
      <c r="C56" s="23">
        <f>COUNTIF(INDIRECT("'"&amp;A56&amp;"'!H9:H200"),"not started")</f>
        <v/>
      </c>
      <c r="D56" s="23">
        <f>COUNTIF(INDIRECT("'"&amp;A56&amp;"'!H9:H200"),"partial")</f>
        <v/>
      </c>
      <c r="E56" s="23">
        <f>COUNTIF(INDIRECT("'"&amp;A56&amp;"'!H9:H200"),"implemented")</f>
        <v/>
      </c>
      <c r="F56" s="23">
        <f>COUNTIF(INDIRECT("'"&amp;A56&amp;"'!H9:H200"),"tested")</f>
        <v/>
      </c>
      <c r="G56" s="23">
        <f>COUNTIF(INDIRECT("'"&amp;A56&amp;"'!H9:H200"),"verified")</f>
        <v/>
      </c>
      <c r="H56" s="23">
        <f>COUNTIF(INDIRECT("'"&amp;A56&amp;"'!H9:H200"),"blocked")</f>
        <v/>
      </c>
      <c r="I56" s="23">
        <f>COUNTIF(INDIRECT("'"&amp;A56&amp;"'!H9:H200"),"not applicable")</f>
        <v/>
      </c>
      <c r="J56" s="24">
        <f>INDIRECT("'"&amp;A56&amp;"'!H4")</f>
        <v/>
      </c>
      <c r="K56" s="23">
        <f>INDIRECT("'"&amp;A56&amp;"'!K4")</f>
        <v/>
      </c>
      <c r="L56" s="23">
        <f>INDIRECT("'"&amp;A56&amp;"'!E5")</f>
        <v/>
      </c>
      <c r="M56" s="23">
        <f>IF(AND(J56=1,K56="complete",L56="complete"),"complete",IF(H56&gt;0,"blocked","open"))</f>
        <v/>
      </c>
    </row>
    <row r="57" ht="15" customHeight="1" s="17">
      <c r="A57" s="23" t="inlineStr">
        <is>
          <t>Visually Hidden</t>
        </is>
      </c>
      <c r="B57" s="23">
        <f>INDIRECT("'"&amp;A57&amp;"'!B4")</f>
        <v/>
      </c>
      <c r="C57" s="23">
        <f>COUNTIF(INDIRECT("'"&amp;A57&amp;"'!H9:H200"),"not started")</f>
        <v/>
      </c>
      <c r="D57" s="23">
        <f>COUNTIF(INDIRECT("'"&amp;A57&amp;"'!H9:H200"),"partial")</f>
        <v/>
      </c>
      <c r="E57" s="23">
        <f>COUNTIF(INDIRECT("'"&amp;A57&amp;"'!H9:H200"),"implemented")</f>
        <v/>
      </c>
      <c r="F57" s="23">
        <f>COUNTIF(INDIRECT("'"&amp;A57&amp;"'!H9:H200"),"tested")</f>
        <v/>
      </c>
      <c r="G57" s="23">
        <f>COUNTIF(INDIRECT("'"&amp;A57&amp;"'!H9:H200"),"verified")</f>
        <v/>
      </c>
      <c r="H57" s="23">
        <f>COUNTIF(INDIRECT("'"&amp;A57&amp;"'!H9:H200"),"blocked")</f>
        <v/>
      </c>
      <c r="I57" s="23">
        <f>COUNTIF(INDIRECT("'"&amp;A57&amp;"'!H9:H200"),"not applicable")</f>
        <v/>
      </c>
      <c r="J57" s="24">
        <f>INDIRECT("'"&amp;A57&amp;"'!H4")</f>
        <v/>
      </c>
      <c r="K57" s="23">
        <f>INDIRECT("'"&amp;A57&amp;"'!K4")</f>
        <v/>
      </c>
      <c r="L57" s="23">
        <f>INDIRECT("'"&amp;A57&amp;"'!E5")</f>
        <v/>
      </c>
      <c r="M57" s="23">
        <f>IF(AND(J57=1,K57="complete",L57="complete"),"complete",IF(H57&gt;0,"blocked","open"))</f>
        <v/>
      </c>
    </row>
    <row r="58" ht="15" customHeight="1" s="17">
      <c r="A58" s="23" t="inlineStr">
        <is>
          <t>Collapsible</t>
        </is>
      </c>
      <c r="B58" s="23">
        <f>INDIRECT("'"&amp;A58&amp;"'!B4")</f>
        <v/>
      </c>
      <c r="C58" s="23">
        <f>COUNTIF(INDIRECT("'"&amp;A58&amp;"'!H9:H200"),"not started")</f>
        <v/>
      </c>
      <c r="D58" s="23">
        <f>COUNTIF(INDIRECT("'"&amp;A58&amp;"'!H9:H200"),"partial")</f>
        <v/>
      </c>
      <c r="E58" s="23">
        <f>COUNTIF(INDIRECT("'"&amp;A58&amp;"'!H9:H200"),"implemented")</f>
        <v/>
      </c>
      <c r="F58" s="23">
        <f>COUNTIF(INDIRECT("'"&amp;A58&amp;"'!H9:H200"),"tested")</f>
        <v/>
      </c>
      <c r="G58" s="23">
        <f>COUNTIF(INDIRECT("'"&amp;A58&amp;"'!H9:H200"),"verified")</f>
        <v/>
      </c>
      <c r="H58" s="23">
        <f>COUNTIF(INDIRECT("'"&amp;A58&amp;"'!H9:H200"),"blocked")</f>
        <v/>
      </c>
      <c r="I58" s="23">
        <f>COUNTIF(INDIRECT("'"&amp;A58&amp;"'!H9:H200"),"not applicable")</f>
        <v/>
      </c>
      <c r="J58" s="24">
        <f>INDIRECT("'"&amp;A58&amp;"'!H4")</f>
        <v/>
      </c>
      <c r="K58" s="23">
        <f>INDIRECT("'"&amp;A58&amp;"'!K4")</f>
        <v/>
      </c>
      <c r="L58" s="23">
        <f>INDIRECT("'"&amp;A58&amp;"'!E5")</f>
        <v/>
      </c>
      <c r="M58" s="23">
        <f>IF(AND(J58=1,K58="complete",L58="complete"),"complete",IF(H58&gt;0,"blocked","open"))</f>
        <v/>
      </c>
    </row>
    <row r="59" ht="15" customHeight="1" s="17">
      <c r="A59" s="23" t="inlineStr">
        <is>
          <t>Accordion</t>
        </is>
      </c>
      <c r="B59" s="23">
        <f>INDIRECT("'"&amp;A59&amp;"'!B4")</f>
        <v/>
      </c>
      <c r="C59" s="23">
        <f>COUNTIF(INDIRECT("'"&amp;A59&amp;"'!H9:H200"),"not started")</f>
        <v/>
      </c>
      <c r="D59" s="23">
        <f>COUNTIF(INDIRECT("'"&amp;A59&amp;"'!H9:H200"),"partial")</f>
        <v/>
      </c>
      <c r="E59" s="23">
        <f>COUNTIF(INDIRECT("'"&amp;A59&amp;"'!H9:H200"),"implemented")</f>
        <v/>
      </c>
      <c r="F59" s="23">
        <f>COUNTIF(INDIRECT("'"&amp;A59&amp;"'!H9:H200"),"tested")</f>
        <v/>
      </c>
      <c r="G59" s="23">
        <f>COUNTIF(INDIRECT("'"&amp;A59&amp;"'!H9:H200"),"verified")</f>
        <v/>
      </c>
      <c r="H59" s="23">
        <f>COUNTIF(INDIRECT("'"&amp;A59&amp;"'!H9:H200"),"blocked")</f>
        <v/>
      </c>
      <c r="I59" s="23">
        <f>COUNTIF(INDIRECT("'"&amp;A59&amp;"'!H9:H200"),"not applicable")</f>
        <v/>
      </c>
      <c r="J59" s="24">
        <f>INDIRECT("'"&amp;A59&amp;"'!H4")</f>
        <v/>
      </c>
      <c r="K59" s="23">
        <f>INDIRECT("'"&amp;A59&amp;"'!K4")</f>
        <v/>
      </c>
      <c r="L59" s="23">
        <f>INDIRECT("'"&amp;A59&amp;"'!E5")</f>
        <v/>
      </c>
      <c r="M59" s="23">
        <f>IF(AND(J59=1,K59="complete",L59="complete"),"complete",IF(H59&gt;0,"blocked","open"))</f>
        <v/>
      </c>
    </row>
    <row r="60" ht="15" customHeight="1" s="17">
      <c r="A60" s="23" t="inlineStr">
        <is>
          <t>Toast</t>
        </is>
      </c>
      <c r="B60" s="23">
        <f>INDIRECT("'"&amp;A60&amp;"'!B4")</f>
        <v/>
      </c>
      <c r="C60" s="23">
        <f>COUNTIF(INDIRECT("'"&amp;A60&amp;"'!H9:H200"),"not started")</f>
        <v/>
      </c>
      <c r="D60" s="23">
        <f>COUNTIF(INDIRECT("'"&amp;A60&amp;"'!H9:H200"),"partial")</f>
        <v/>
      </c>
      <c r="E60" s="23">
        <f>COUNTIF(INDIRECT("'"&amp;A60&amp;"'!H9:H200"),"implemented")</f>
        <v/>
      </c>
      <c r="F60" s="23">
        <f>COUNTIF(INDIRECT("'"&amp;A60&amp;"'!H9:H200"),"tested")</f>
        <v/>
      </c>
      <c r="G60" s="23">
        <f>COUNTIF(INDIRECT("'"&amp;A60&amp;"'!H9:H200"),"verified")</f>
        <v/>
      </c>
      <c r="H60" s="23">
        <f>COUNTIF(INDIRECT("'"&amp;A60&amp;"'!H9:H200"),"blocked")</f>
        <v/>
      </c>
      <c r="I60" s="23">
        <f>COUNTIF(INDIRECT("'"&amp;A60&amp;"'!H9:H200"),"not applicable")</f>
        <v/>
      </c>
      <c r="J60" s="24">
        <f>INDIRECT("'"&amp;A60&amp;"'!H4")</f>
        <v/>
      </c>
      <c r="K60" s="23">
        <f>INDIRECT("'"&amp;A60&amp;"'!K4")</f>
        <v/>
      </c>
      <c r="L60" s="23">
        <f>INDIRECT("'"&amp;A60&amp;"'!E5")</f>
        <v/>
      </c>
      <c r="M60" s="23">
        <f>IF(AND(J60=1,K60="complete",L60="complete"),"complete",IF(H60&gt;0,"blocked","open"))</f>
        <v/>
      </c>
    </row>
    <row r="61" ht="15" customHeight="1" s="17">
      <c r="A61" s="23" t="inlineStr">
        <is>
          <t>Pagination</t>
        </is>
      </c>
      <c r="B61" s="23">
        <f>INDIRECT("'"&amp;A61&amp;"'!B4")</f>
        <v/>
      </c>
      <c r="C61" s="23">
        <f>COUNTIF(INDIRECT("'"&amp;A61&amp;"'!H9:H200"),"not started")</f>
        <v/>
      </c>
      <c r="D61" s="23">
        <f>COUNTIF(INDIRECT("'"&amp;A61&amp;"'!H9:H200"),"partial")</f>
        <v/>
      </c>
      <c r="E61" s="23">
        <f>COUNTIF(INDIRECT("'"&amp;A61&amp;"'!H9:H200"),"implemented")</f>
        <v/>
      </c>
      <c r="F61" s="23">
        <f>COUNTIF(INDIRECT("'"&amp;A61&amp;"'!H9:H200"),"tested")</f>
        <v/>
      </c>
      <c r="G61" s="23">
        <f>COUNTIF(INDIRECT("'"&amp;A61&amp;"'!H9:H200"),"verified")</f>
        <v/>
      </c>
      <c r="H61" s="23">
        <f>COUNTIF(INDIRECT("'"&amp;A61&amp;"'!H9:H200"),"blocked")</f>
        <v/>
      </c>
      <c r="I61" s="23">
        <f>COUNTIF(INDIRECT("'"&amp;A61&amp;"'!H9:H200"),"not applicable")</f>
        <v/>
      </c>
      <c r="J61" s="24">
        <f>INDIRECT("'"&amp;A61&amp;"'!H4")</f>
        <v/>
      </c>
      <c r="K61" s="23">
        <f>INDIRECT("'"&amp;A61&amp;"'!K4")</f>
        <v/>
      </c>
      <c r="L61" s="23">
        <f>INDIRECT("'"&amp;A61&amp;"'!E5")</f>
        <v/>
      </c>
      <c r="M61" s="23">
        <f>IF(AND(J61=1,K61="complete",L61="complete"),"complete",IF(H61&gt;0,"blocked","open"))</f>
        <v/>
      </c>
    </row>
    <row r="62" ht="15" customHeight="1" s="17">
      <c r="A62" s="23" t="inlineStr">
        <is>
          <t>Data Grid</t>
        </is>
      </c>
      <c r="B62" s="23">
        <f>INDIRECT("'"&amp;A62&amp;"'!B4")</f>
        <v/>
      </c>
      <c r="C62" s="23">
        <f>COUNTIF(INDIRECT("'"&amp;A62&amp;"'!H9:H200"),"not started")</f>
        <v/>
      </c>
      <c r="D62" s="23">
        <f>COUNTIF(INDIRECT("'"&amp;A62&amp;"'!H9:H200"),"partial")</f>
        <v/>
      </c>
      <c r="E62" s="23">
        <f>COUNTIF(INDIRECT("'"&amp;A62&amp;"'!H9:H200"),"implemented")</f>
        <v/>
      </c>
      <c r="F62" s="23">
        <f>COUNTIF(INDIRECT("'"&amp;A62&amp;"'!H9:H200"),"tested")</f>
        <v/>
      </c>
      <c r="G62" s="23">
        <f>COUNTIF(INDIRECT("'"&amp;A62&amp;"'!H9:H200"),"verified")</f>
        <v/>
      </c>
      <c r="H62" s="23">
        <f>COUNTIF(INDIRECT("'"&amp;A62&amp;"'!H9:H200"),"blocked")</f>
        <v/>
      </c>
      <c r="I62" s="23">
        <f>COUNTIF(INDIRECT("'"&amp;A62&amp;"'!H9:H200"),"not applicable")</f>
        <v/>
      </c>
      <c r="J62" s="24">
        <f>INDIRECT("'"&amp;A62&amp;"'!H4")</f>
        <v/>
      </c>
      <c r="K62" s="23">
        <f>INDIRECT("'"&amp;A62&amp;"'!K4")</f>
        <v/>
      </c>
      <c r="L62" s="23">
        <f>INDIRECT("'"&amp;A62&amp;"'!E5")</f>
        <v/>
      </c>
      <c r="M62" s="23">
        <f>IF(AND(J62=1,K62="complete",L62="complete"),"complete",IF(H62&gt;0,"blocked","open"))</f>
        <v/>
      </c>
    </row>
    <row r="63" ht="15" customHeight="1" s="17">
      <c r="A63" s="23" t="inlineStr">
        <is>
          <t>Tree Grid</t>
        </is>
      </c>
      <c r="B63" s="23">
        <f>INDIRECT("'"&amp;A63&amp;"'!B4")</f>
        <v/>
      </c>
      <c r="C63" s="23">
        <f>COUNTIF(INDIRECT("'"&amp;A63&amp;"'!H9:H200"),"not started")</f>
        <v/>
      </c>
      <c r="D63" s="23">
        <f>COUNTIF(INDIRECT("'"&amp;A63&amp;"'!H9:H200"),"partial")</f>
        <v/>
      </c>
      <c r="E63" s="23">
        <f>COUNTIF(INDIRECT("'"&amp;A63&amp;"'!H9:H200"),"implemented")</f>
        <v/>
      </c>
      <c r="F63" s="23">
        <f>COUNTIF(INDIRECT("'"&amp;A63&amp;"'!H9:H200"),"tested")</f>
        <v/>
      </c>
      <c r="G63" s="23">
        <f>COUNTIF(INDIRECT("'"&amp;A63&amp;"'!H9:H200"),"verified")</f>
        <v/>
      </c>
      <c r="H63" s="23">
        <f>COUNTIF(INDIRECT("'"&amp;A63&amp;"'!H9:H200"),"blocked")</f>
        <v/>
      </c>
      <c r="I63" s="23">
        <f>COUNTIF(INDIRECT("'"&amp;A63&amp;"'!H9:H200"),"not applicable")</f>
        <v/>
      </c>
      <c r="J63" s="24">
        <f>INDIRECT("'"&amp;A63&amp;"'!H4")</f>
        <v/>
      </c>
      <c r="K63" s="23">
        <f>IF(COUNTIFS(INDIRECT("'"&amp;A63&amp;"'!E9:E200"),"package",INDIRECT("'"&amp;A63&amp;"'!M9:M200"),0)&gt;0,"open","complete")</f>
        <v/>
      </c>
      <c r="L63" s="23">
        <f>COUNTIF(INDIRECT("'"&amp;A63&amp;"'!K9:K200"),"&lt;&gt;" )</f>
        <v/>
      </c>
      <c r="M63" s="23">
        <f>IF(AND(J63=1,K63="complete"),"complete","in progress")</f>
        <v/>
      </c>
    </row>
    <row r="64" ht="15" customHeight="1" s="17">
      <c r="A64" s="23" t="inlineStr">
        <is>
          <t>Tree</t>
        </is>
      </c>
      <c r="B64" s="23">
        <f>INDIRECT("'"&amp;A64&amp;"'!B4")</f>
        <v/>
      </c>
      <c r="C64" s="23">
        <f>COUNTIF(INDIRECT("'"&amp;A64&amp;"'!H9:H200"),"not started")</f>
        <v/>
      </c>
      <c r="D64" s="23">
        <f>COUNTIF(INDIRECT("'"&amp;A64&amp;"'!H9:H200"),"partial")</f>
        <v/>
      </c>
      <c r="E64" s="23">
        <f>COUNTIF(INDIRECT("'"&amp;A64&amp;"'!H9:H200"),"implemented")</f>
        <v/>
      </c>
      <c r="F64" s="23">
        <f>COUNTIF(INDIRECT("'"&amp;A64&amp;"'!H9:H200"),"tested")</f>
        <v/>
      </c>
      <c r="G64" s="23">
        <f>COUNTIF(INDIRECT("'"&amp;A64&amp;"'!H9:H200"),"verified")</f>
        <v/>
      </c>
      <c r="H64" s="23">
        <f>COUNTIF(INDIRECT("'"&amp;A64&amp;"'!H9:H200"),"blocked")</f>
        <v/>
      </c>
      <c r="I64" s="23">
        <f>COUNTIF(INDIRECT("'"&amp;A64&amp;"'!H9:H200"),"not applicable")</f>
        <v/>
      </c>
      <c r="J64" s="24">
        <f>INDIRECT("'"&amp;A64&amp;"'!H4")</f>
        <v/>
      </c>
      <c r="K64" s="23">
        <f>IF(COUNTIFS(INDIRECT("'"&amp;A64&amp;"'!E9:E200"),"package",INDIRECT("'"&amp;A64&amp;"'!M9:M200"),0)&gt;0,"open","complete")</f>
        <v/>
      </c>
      <c r="L64" s="23">
        <f>COUNTIF(INDIRECT("'"&amp;A64&amp;"'!K9:K200"),"&lt;&gt;" )</f>
        <v/>
      </c>
      <c r="M64" s="23">
        <f>IF(AND(J64=1,K64="complete"),"complete","in progress")</f>
        <v/>
      </c>
    </row>
    <row r="65">
      <c r="A65" s="23" t="inlineStr">
        <is>
          <t>Aspect Ratio</t>
        </is>
      </c>
      <c r="B65" s="23">
        <f>INDIRECT("'"&amp;A65&amp;"'!B4")</f>
        <v/>
      </c>
      <c r="C65" s="23">
        <f>COUNTIF(INDIRECT("'"&amp;A65&amp;"'!H9:H200"),"not started")</f>
        <v/>
      </c>
      <c r="D65" s="23">
        <f>COUNTIF(INDIRECT("'"&amp;A65&amp;"'!H9:H200"),"partial")</f>
        <v/>
      </c>
      <c r="E65" s="23">
        <f>COUNTIF(INDIRECT("'"&amp;A65&amp;"'!H9:H200"),"implemented")</f>
        <v/>
      </c>
      <c r="F65" s="23">
        <f>COUNTIF(INDIRECT("'"&amp;A65&amp;"'!H9:H200"),"tested")</f>
        <v/>
      </c>
      <c r="G65" s="23">
        <f>COUNTIF(INDIRECT("'"&amp;A65&amp;"'!H9:H200"),"verified")</f>
        <v/>
      </c>
      <c r="H65" s="23">
        <f>COUNTIF(INDIRECT("'"&amp;A65&amp;"'!H9:H200"),"blocked")</f>
        <v/>
      </c>
      <c r="I65" s="23">
        <f>COUNTIF(INDIRECT("'"&amp;A65&amp;"'!H9:H200"),"not applicable")</f>
        <v/>
      </c>
      <c r="J65" s="24">
        <f>INDIRECT("'"&amp;A65&amp;"'!H4")</f>
        <v/>
      </c>
      <c r="K65" s="23">
        <f>IF(COUNTIFS(INDIRECT("'"&amp;A65&amp;"'!E9:E200"),"package",INDIRECT("'"&amp;A65&amp;"'!M9:M200"),0)&gt;0,"open","complete")</f>
        <v/>
      </c>
      <c r="L65" s="23">
        <f>COUNTIF(INDIRECT("'"&amp;A65&amp;"'!K9:K200"),"&lt;&gt;" )</f>
        <v/>
      </c>
      <c r="M65" s="23">
        <f>IF(AND(J65=1,K65="complete"),"complete","in progress")</f>
        <v/>
      </c>
    </row>
  </sheetData>
  <autoFilter ref="A7:M65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0.9.3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0.9.3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0.9.3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0.9.3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0.10.1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0.10.1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0.10.1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0.10.1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0.10.1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0.10.1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0.10.1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RG-01</t>
        </is>
      </c>
      <c r="B9" s="23" t="inlineStr">
        <is>
          <t>Implementation</t>
        </is>
      </c>
      <c r="C9" s="23" t="inlineStr">
        <is>
          <t>Root/Item</t>
        </is>
      </c>
      <c r="D9" s="23" t="inlineStr">
        <is>
          <t>Brick adapts released Atom 0.11.0 Radio Group behavior without recreating selection, focus, keyboard, form, validation, direction, or read-only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../src/components/radio-group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RG-02</t>
        </is>
      </c>
      <c r="B10" s="23" t="inlineStr">
        <is>
          <t>Anatomy</t>
        </is>
      </c>
      <c r="C10" s="23" t="inlineStr">
        <is>
          <t>Root/Item</t>
        </is>
      </c>
      <c r="D10" s="23" t="inlineStr">
        <is>
          <t>The public two-part namespace and stable internal control, dot, and label hooks render without public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../test/components/radio-group/radio-group.test.tsx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RG-03</t>
        </is>
      </c>
      <c r="B11" s="23" t="inlineStr">
        <is>
          <t>Exports</t>
        </is>
      </c>
      <c r="C11" s="23" t="inlineStr">
        <is>
          <t>RadioGroup</t>
        </is>
      </c>
      <c r="D11" s="23" t="inlineStr">
        <is>
          <t>Namespace, named parts, public types, root export, and radio-group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RG-04</t>
        </is>
      </c>
      <c r="B12" s="23" t="inlineStr">
        <is>
          <t>Types</t>
        </is>
      </c>
      <c r="C12" s="23" t="inlineStr">
        <is>
          <t>Root/Item</t>
        </is>
      </c>
      <c r="D12" s="23" t="inlineStr">
        <is>
          <t>Sizes, Atom behavior props, refs, render/asChild branches, required item values, and invalid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../test/types/components/radio-group.test.ts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RG-05</t>
        </is>
      </c>
      <c r="B13" s="23" t="inlineStr">
        <is>
          <t>CSS</t>
        </is>
      </c>
      <c r="C13" s="23" t="inlineStr">
        <is>
          <t>Root/Item</t>
        </is>
      </c>
      <c r="D13" s="23" t="inlineStr">
        <is>
          <t>Static CSS provides the canonical circle/dot recipe, sizes, states, logical layout, stable hooks, reduced motion, and forced colors.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../src/components/radio-group/radio-group.css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RG-06</t>
        </is>
      </c>
      <c r="B14" s="23" t="inlineStr">
        <is>
          <t>Defaults</t>
        </is>
      </c>
      <c r="C14" s="23" t="inlineStr">
        <is>
          <t>Root/Item</t>
        </is>
      </c>
      <c r="D14" s="23" t="inlineStr">
        <is>
          <t>Medium vertical accent selection is the one canonical default and only one item remains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tests/components/radio-group/behavior.spec.ts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RG-07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change shared item/control geometry only.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tests/components/radio-group/behavior.spec.ts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RG-08</t>
        </is>
      </c>
      <c r="B16" s="23" t="inlineStr">
        <is>
          <t>Keyboard</t>
        </is>
      </c>
      <c r="C16" s="23" t="inlineStr">
        <is>
          <t>Root/Item</t>
        </is>
      </c>
      <c r="D16" s="23" t="inlineStr">
        <is>
          <t>Roving Tab focus, orientation arrows, Home/End, loop, disabled skipping, and RTL mapping work in a real browser.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tests/components/radio-group/behavior.spec.ts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RG-09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selection expose identical visuals and correct value-change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../test/components/radio-group/radio-group.test.tsx; tests/components/radio-group/behavior.spec.ts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RG-10</t>
        </is>
      </c>
      <c r="B18" s="23" t="inlineStr">
        <is>
          <t>States</t>
        </is>
      </c>
      <c r="C18" s="23" t="inlineStr">
        <is>
          <t>Root/Item</t>
        </is>
      </c>
      <c r="D18" s="23" t="inlineStr">
        <is>
          <t>Group/item disabled, required, invalid, and read-only states preserve correct behavior and visible distinctions.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tests/components/radio-group/behavior.spec.ts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RG-11</t>
        </is>
      </c>
      <c r="B19" s="23" t="inlineStr">
        <is>
          <t>Read only</t>
        </is>
      </c>
      <c r="C19" s="23" t="inlineStr">
        <is>
          <t>Root/Item</t>
        </is>
      </c>
      <c r="D19" s="23" t="inlineStr">
        <is>
          <t>Read-only remains focusable and submitted, permits focus navigation, and cannot mutate or emit value changes.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../test/components/radio-group/radio-group.test.tsx; tests/components/radio-group/behavior.spec.ts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RG-12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value submission, reset, external form ownership, native validation focus, and Fieldset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tests/components/radio-group/behavior.spec.ts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RG-13</t>
        </is>
      </c>
      <c r="B21" s="23" t="inlineStr">
        <is>
          <t>Composition</t>
        </is>
      </c>
      <c r="C21" s="23" t="inlineStr">
        <is>
          <t>Root/Item</t>
        </is>
      </c>
      <c r="D21" s="23" t="inlineStr">
        <is>
          <t>render and asChild preserve custom hosts, roles, built-in visuals, content, state, and events.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tests/components/radio-group/behavior.spec.ts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RG-14</t>
        </is>
      </c>
      <c r="B22" s="23" t="inlineStr">
        <is>
          <t>Accessibility</t>
        </is>
      </c>
      <c r="C22" s="23" t="inlineStr">
        <is>
          <t>Root/Item</t>
        </is>
      </c>
      <c r="D22" s="23" t="inlineStr">
        <is>
          <t>Automated accessible names, group/radio semantics, state,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tests/components/radio-group/behavior.spec.ts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RG-15</t>
        </is>
      </c>
      <c r="B23" s="23" t="inlineStr">
        <is>
          <t>Visual</t>
        </is>
      </c>
      <c r="C23" s="23" t="inlineStr">
        <is>
          <t>RadioGroup</t>
        </is>
      </c>
      <c r="D23" s="23" t="inlineStr">
        <is>
          <t>Risk-selected light, dark, size, orientation, state, composition, responsive,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tests/components/radio-group/visual.spec.ts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Owner visual review has not been recorded.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RG-16</t>
        </is>
      </c>
      <c r="B24" s="23" t="inlineStr">
        <is>
          <t>Manual</t>
        </is>
      </c>
      <c r="C24" s="23" t="inlineStr">
        <is>
          <t>RadioGroup</t>
        </is>
      </c>
      <c r="D24" s="23" t="inlineStr">
        <is>
          <t>A tester completes the short top-to-bottom protocol across keyboard, screen reader, zoom, mobile, RTL, and themes.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manual-tests/radio-group.md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Owner human review has not been recorded.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RG-17</t>
        </is>
      </c>
      <c r="B25" s="23" t="inlineStr">
        <is>
          <t>Docs</t>
        </is>
      </c>
      <c r="C25" s="23" t="inlineStr">
        <is>
          <t>RadioGroup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../docs/components/radio-group/README.md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RG-18</t>
        </is>
      </c>
      <c r="B26" s="23" t="inlineStr">
        <is>
          <t>Changelog</t>
        </is>
      </c>
      <c r="C26" s="23" t="inlineStr">
        <is>
          <t>RadioGroup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../docs/components/radio-group/CHANGELOG.md;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RG-19</t>
        </is>
      </c>
      <c r="B27" s="23" t="inlineStr">
        <is>
          <t>Consumer</t>
        </is>
      </c>
      <c r="C27" s="23" t="inlineStr">
        <is>
          <t>RadioGroup</t>
        </is>
      </c>
      <c r="D27" s="23" t="inlineStr">
        <is>
          <t>The packed Consumer imports the public subpath and exercises selection, disabled state, submit, and reset.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RG-20</t>
        </is>
      </c>
      <c r="B28" s="23" t="inlineStr">
        <is>
          <t>Package</t>
        </is>
      </c>
      <c r="C28" s="23" t="inlineStr">
        <is>
          <t>RadioGroup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SW-01</t>
        </is>
      </c>
      <c r="B9" s="23" t="inlineStr">
        <is>
          <t>Implementation</t>
        </is>
      </c>
      <c r="C9" s="23" t="inlineStr">
        <is>
          <t>Root/Thumb</t>
        </is>
      </c>
      <c r="D9" s="23" t="inlineStr">
        <is>
          <t>Brick adapts released Atom 0.11.1 Switch behavior without recreating state, keyboard, focus, form, validation, or composition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../src/components/switch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SW-02</t>
        </is>
      </c>
      <c r="B10" s="23" t="inlineStr">
        <is>
          <t>Anatomy</t>
        </is>
      </c>
      <c r="C10" s="23" t="inlineStr">
        <is>
          <t>Root/Thumb</t>
        </is>
      </c>
      <c r="D10" s="23" t="inlineStr">
        <is>
          <t>The public two-part namespace renders one track Root and one decorative Thumb without extra Brick wrappers or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../test/components/switch/switch.test.tsx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SW-03</t>
        </is>
      </c>
      <c r="B11" s="23" t="inlineStr">
        <is>
          <t>Exports</t>
        </is>
      </c>
      <c r="C11" s="23" t="inlineStr">
        <is>
          <t>Switch</t>
        </is>
      </c>
      <c r="D11" s="23" t="inlineStr">
        <is>
          <t>Namespace, named parts, public types, root export, and switch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SW-04</t>
        </is>
      </c>
      <c r="B12" s="23" t="inlineStr">
        <is>
          <t>Types</t>
        </is>
      </c>
      <c r="C12" s="23" t="inlineStr">
        <is>
          <t>Root/Thumb</t>
        </is>
      </c>
      <c r="D12" s="23" t="inlineStr">
        <is>
          <t>Closed sizes, Atom behavior props, refs, render/asChild branches, and rejected mixed/variant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../test/types/components/switch.test.ts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SW-05</t>
        </is>
      </c>
      <c r="B13" s="23" t="inlineStr">
        <is>
          <t>CSS</t>
        </is>
      </c>
      <c r="C13" s="23" t="inlineStr">
        <is>
          <t>Root/Thumb</t>
        </is>
      </c>
      <c r="D13" s="23" t="inlineStr">
        <is>
          <t>Static CSS provides canonical track/thumb paint, sizes, state hooks, RTL, reduced motion, forced colors, and public variables.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../src/components/switch/switch.css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SW-06</t>
        </is>
      </c>
      <c r="B14" s="23" t="inlineStr">
        <is>
          <t>Defaults</t>
        </is>
      </c>
      <c r="C14" s="23" t="inlineStr">
        <is>
          <t>Root/Thumb</t>
        </is>
      </c>
      <c r="D14" s="23" t="inlineStr">
        <is>
          <t>Medium unchecked neutral track is the canonical default and pointer activation changes only binary state.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tests/components/switch/behavior.spec.ts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SW-07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increase complete track, thumb, and travel geometry while preserving the target.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tests/components/switch/behavior.spec.ts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SW-08</t>
        </is>
      </c>
      <c r="B16" s="23" t="inlineStr">
        <is>
          <t>Keyboard</t>
        </is>
      </c>
      <c r="C16" s="23" t="inlineStr">
        <is>
          <t>Root</t>
        </is>
      </c>
      <c r="D16" s="23" t="inlineStr">
        <is>
          <t>Space and Enter toggle exactly once while native focus remains on Root.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tests/components/switch/behavior.spec.ts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SW-09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state expose identical visuals and correct checked-change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../test/components/switch/switch.test.tsx; tests/components/switch/behavior.spec.ts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SW-10</t>
        </is>
      </c>
      <c r="B18" s="23" t="inlineStr">
        <is>
          <t>States</t>
        </is>
      </c>
      <c r="C18" s="23" t="inlineStr">
        <is>
          <t>Root/Thumb</t>
        </is>
      </c>
      <c r="D18" s="23" t="inlineStr">
        <is>
          <t>Disabled, required, invalid, and read-only attributes propagate to both parts with distinct behavior and paint.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../test/components/switch/switch.test.tsx; tests/components/switch/behavior.spec.ts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SW-11</t>
        </is>
      </c>
      <c r="B19" s="23" t="inlineStr">
        <is>
          <t>Read only</t>
        </is>
      </c>
      <c r="C19" s="23" t="inlineStr">
        <is>
          <t>Root/Thumb</t>
        </is>
      </c>
      <c r="D19" s="23" t="inlineStr">
        <is>
          <t>Read-only remains focusable and submitted but cannot mutate or emit checked changes.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../test/components/switch/switch.test.tsx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SW-12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submission, native required focus, reset, external ownership, and Field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tests/components/switch/behavior.spec.ts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SW-13</t>
        </is>
      </c>
      <c r="B21" s="23" t="inlineStr">
        <is>
          <t>Composition</t>
        </is>
      </c>
      <c r="C21" s="23" t="inlineStr">
        <is>
          <t>Root/Thumb</t>
        </is>
      </c>
      <c r="D21" s="23" t="inlineStr">
        <is>
          <t>render and asChild preserve custom hosts, role, state, decorative semantics, classes, slots, and native props.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tests/components/switch/behavior.spec.ts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SW-14</t>
        </is>
      </c>
      <c r="B22" s="23" t="inlineStr">
        <is>
          <t>Accessibility</t>
        </is>
      </c>
      <c r="C22" s="23" t="inlineStr">
        <is>
          <t>Root/Thumb</t>
        </is>
      </c>
      <c r="D22" s="23" t="inlineStr">
        <is>
          <t>Accessible name, switch role, boolean checked state, decorative Thumb, Field relationships,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tests/components/switch/behavior.spec.ts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SW-15</t>
        </is>
      </c>
      <c r="B23" s="23" t="inlineStr">
        <is>
          <t>Visual</t>
        </is>
      </c>
      <c r="C23" s="23" t="inlineStr">
        <is>
          <t>Switch</t>
        </is>
      </c>
      <c r="D23" s="23" t="inlineStr">
        <is>
          <t>Risk-selected defaults, sizes, composition, dark appearance, responsive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tests/components/switch/visual.spec.ts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Generated and agent-inspected; owner review unclaimed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SW-16</t>
        </is>
      </c>
      <c r="B24" s="23" t="inlineStr">
        <is>
          <t>Manual</t>
        </is>
      </c>
      <c r="C24" s="23" t="inlineStr">
        <is>
          <t>Switch</t>
        </is>
      </c>
      <c r="D24" s="23" t="inlineStr">
        <is>
          <t>A tester completes the top-to-bottom keyboard, screen reader, zoom, mobile, RTL, appearance, reduced-motion, and forced-color protocol.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manual-tests/switch.md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Human run intentionally unclaimed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SW-17</t>
        </is>
      </c>
      <c r="B25" s="23" t="inlineStr">
        <is>
          <t>Docs</t>
        </is>
      </c>
      <c r="C25" s="23" t="inlineStr">
        <is>
          <t>Switch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../docs/components/switch/README.md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SW-18</t>
        </is>
      </c>
      <c r="B26" s="23" t="inlineStr">
        <is>
          <t>Changelog</t>
        </is>
      </c>
      <c r="C26" s="23" t="inlineStr">
        <is>
          <t>Switch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../docs/components/switch/CHANGELOG.md;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SW-19</t>
        </is>
      </c>
      <c r="B27" s="23" t="inlineStr">
        <is>
          <t>Consumer</t>
        </is>
      </c>
      <c r="C27" s="23" t="inlineStr">
        <is>
          <t>Switch</t>
        </is>
      </c>
      <c r="D27" s="23" t="inlineStr">
        <is>
          <t>The packed Consumer imports the public subpath and operates a controlled immediate setting in Popover.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SW-20</t>
        </is>
      </c>
      <c r="B28" s="23" t="inlineStr">
        <is>
          <t>Package</t>
        </is>
      </c>
      <c r="C28" s="23" t="inlineStr">
        <is>
          <t>Switch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BC-01</t>
        </is>
      </c>
      <c r="B9" s="23" t="inlineStr">
        <is>
          <t>Ownership</t>
        </is>
      </c>
      <c r="C9" s="23" t="inlineStr">
        <is>
          <t>Root/List/Item/Link/Page/Separator/Ellipsis</t>
        </is>
      </c>
      <c r="D9" s="23" t="inlineStr">
        <is>
          <t>Brick styles released Atom 0.11.1 Breadcrumb semantics and composition without recreating navigation, current-page, separator, or polymorphic behavior.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../src/components/breadcrumb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BC-02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seven-part namespace preserves nav, ordered-list, list-item, native-anchor, current-page, hidden-separator, and ellipsis hosts without Brick-only wrappers.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../test/components/breadcrumb/breadcrumb.test.tsx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BC-03</t>
        </is>
      </c>
      <c r="B11" s="23" t="inlineStr">
        <is>
          <t>Exports</t>
        </is>
      </c>
      <c r="C11" s="23" t="inlineStr">
        <is>
          <t>Breadcrumb</t>
        </is>
      </c>
      <c r="D11" s="23" t="inlineStr">
        <is>
          <t>Namespace, named parts, public types, root export, and breadcrumb subpath are exported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BC-04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 and variant recipes, native props, refs, render, asChild, separators, and ellipsis composition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../test/types/components/breadcrumb.test.ts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BC-05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typography, spacing, link, current-page, separator, ellipsis, focus, RTL, forced-color,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../src/components/breadcrumb/breadcrumb.css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BC-06</t>
        </is>
      </c>
      <c r="B14" s="23" t="inlineStr">
        <is>
          <t>Defaults</t>
        </is>
      </c>
      <c r="C14" s="23" t="inlineStr">
        <is>
          <t>Root/Link/Page</t>
        </is>
      </c>
      <c r="D14" s="23" t="inlineStr">
        <is>
          <t>Medium plain styling renders neutral ancestor links and a primary medium-emphasis current page as the canonical default.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tests/components/breadcrumb/behavior.spec.ts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BC-07</t>
        </is>
      </c>
      <c r="B15" s="23" t="inlineStr">
        <is>
          <t>Variants</t>
        </is>
      </c>
      <c r="C15" s="23" t="inlineStr">
        <is>
          <t>Root/Link</t>
        </is>
      </c>
      <c r="D15" s="23" t="inlineStr">
        <is>
          <t>Plain and underline alter only ancestor-link decoration while content, size, separators, and current-page styling remain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tests/components/breadcrumb/visual.spec.ts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BC-08</t>
        </is>
      </c>
      <c r="B16" s="23" t="inlineStr">
        <is>
          <t>Sizes</t>
        </is>
      </c>
      <c r="C16" s="23" t="inlineStr">
        <is>
          <t>Root</t>
        </is>
      </c>
      <c r="D16" s="23" t="inlineStr">
        <is>
          <t>Small, medium, and large change only typography and trail spacing while preserving native semantics and usable link targets.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tests/components/breadcrumb/visual.spec.ts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BC-09</t>
        </is>
      </c>
      <c r="B17" s="23" t="inlineStr">
        <is>
          <t>Content</t>
        </is>
      </c>
      <c r="C17" s="23" t="inlineStr">
        <is>
          <t>Link/Page/Separator</t>
        </is>
      </c>
      <c r="D17" s="23" t="inlineStr">
        <is>
          <t>Custom separators, contextual Brick Icons, and long localized page names preserve reading order and containment.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tests/components/breadcrumb/behavior.spec.ts; tests/components/breadcrumb/visual.spec.ts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BC-10</t>
        </is>
      </c>
      <c r="B18" s="23" t="inlineStr">
        <is>
          <t>Current page</t>
        </is>
      </c>
      <c r="C18" s="23" t="inlineStr">
        <is>
          <t>Page</t>
        </is>
      </c>
      <c r="D18" s="23" t="inlineStr">
        <is>
          <t>Page exposes aria-current=page, is not a link, and remains the final announced location.</t>
        </is>
      </c>
      <c r="E18" s="23" t="inlineStr">
        <is>
          <t>package</t>
        </is>
      </c>
      <c r="F18" s="23" t="inlineStr">
        <is>
          <t>axe</t>
        </is>
      </c>
      <c r="G18" s="23" t="inlineStr">
        <is>
          <t>../test/components/breadcrumb/breadcrumb.test.tsx; tests/components/breadcrumb/behavior.spec.ts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BC-11</t>
        </is>
      </c>
      <c r="B19" s="23" t="inlineStr">
        <is>
          <t>Static collapse</t>
        </is>
      </c>
      <c r="C19" s="23" t="inlineStr">
        <is>
          <t>Ellipsis</t>
        </is>
      </c>
      <c r="D19" s="23" t="inlineStr">
        <is>
          <t>A presentational ellipsis may replace omitted ancestors while remaining hidden from assistive technology.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../test/components/breadcrumb/breadcrumb.test.tsx; tests/components/breadcrumb/behavior.spec.ts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BC-12</t>
        </is>
      </c>
      <c r="B20" s="23" t="inlineStr">
        <is>
          <t>Interactive collapse</t>
        </is>
      </c>
      <c r="C20" s="23" t="inlineStr">
        <is>
          <t>Ellipsis</t>
        </is>
      </c>
      <c r="D20" s="23" t="inlineStr">
        <is>
          <t>Consumer-composed interactive ellipsis exposes a named button, a 44px target, and application-owned expansion status without changing Breadcrumb state ownership.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tests/components/breadcrumb/behavior.spec.ts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BC-13</t>
        </is>
      </c>
      <c r="B21" s="23" t="inlineStr">
        <is>
          <t>Native links</t>
        </is>
      </c>
      <c r="C21" s="23" t="inlineStr">
        <is>
          <t>Link</t>
        </is>
      </c>
      <c r="D21" s="23" t="inlineStr">
        <is>
          <t>Ancestor links preserve native href, target, rel, download, click, and focus behavior.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tests/components/breadcrumb/behavior.spec.ts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BC-14</t>
        </is>
      </c>
      <c r="B22" s="23" t="inlineStr">
        <is>
          <t>Composition</t>
        </is>
      </c>
      <c r="C22" s="23" t="inlineStr">
        <is>
          <t>All parts</t>
        </is>
      </c>
      <c r="D22" s="23" t="inlineStr">
        <is>
          <t>render and asChild preserve consumer hosts, native semantics, refs, classes, data slots, Atom attributes, and one inspectable final hierarchy.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../test/components/breadcrumb/breadcrumb.test.tsx; tests/components/breadcrumb/behavior.spec.ts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BC-15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Long trails wrap without clipping at constrained widths, 200%/400% zoom, text spacing, mobile widths, and RTL direction.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tests/components/breadcrumb/behavior.spec.ts; tests/components/breadcrumb/visual.spec.ts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BC-16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navigation, ordered-list structure, native links, current page, hidden separators, focus visibility, target size, and axe checks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tests/components/breadcrumb/behavior.spec.ts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BC-17</t>
        </is>
      </c>
      <c r="B25" s="23" t="inlineStr">
        <is>
          <t>Visual</t>
        </is>
      </c>
      <c r="C25" s="23" t="inlineStr">
        <is>
          <t>Breadcrumb</t>
        </is>
      </c>
      <c r="D25" s="23" t="inlineStr">
        <is>
          <t>Reviewed baselines cover default, variants, sizes, content, collapse, composition,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tests/components/breadcrumb/visual.spec.ts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46229</v>
      </c>
      <c r="K25" s="23" t="inlineStr">
        <is>
          <t>Agent-inspected all nine generated baselines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BC-18</t>
        </is>
      </c>
      <c r="B26" s="23" t="inlineStr">
        <is>
          <t>Manual</t>
        </is>
      </c>
      <c r="C26" s="23" t="inlineStr">
        <is>
          <t>Breadcrumb</t>
        </is>
      </c>
      <c r="D26" s="23" t="inlineStr">
        <is>
          <t>A tester completes the concise top-to-bottom pointer, keyboard, screen-reader, zoom, mobile, appearance, forced-color, and RTL protocol.</t>
        </is>
      </c>
      <c r="E26" s="23" t="inlineStr">
        <is>
          <t>package</t>
        </is>
      </c>
      <c r="F26" s="23" t="inlineStr">
        <is>
          <t>manual</t>
        </is>
      </c>
      <c r="G26" s="23" t="inlineStr">
        <is>
          <t>manual-tests/breadcrumb.md</t>
        </is>
      </c>
      <c r="H26" s="23" t="inlineStr">
        <is>
          <t>not started</t>
        </is>
      </c>
      <c r="I26" s="23" t="inlineStr">
        <is>
          <t>yes</t>
        </is>
      </c>
      <c r="J26" s="25" t="n">
        <v>46229</v>
      </c>
      <c r="K26" s="23" t="inlineStr">
        <is>
          <t>Human run intentionally unclaimed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BC-19</t>
        </is>
      </c>
      <c r="B27" s="23" t="inlineStr">
        <is>
          <t>Docs</t>
        </is>
      </c>
      <c r="C27" s="23" t="inlineStr">
        <is>
          <t>Breadcrumb</t>
        </is>
      </c>
      <c r="D27" s="23" t="inlineStr">
        <is>
          <t>Public use, anatomy, recipes, accessibility, native props, composition, responsive behavior, customization, evidence, and exclusions are documented.</t>
        </is>
      </c>
      <c r="E27" s="23" t="inlineStr">
        <is>
          <t>package</t>
        </is>
      </c>
      <c r="F27" s="23" t="inlineStr">
        <is>
          <t>docs</t>
        </is>
      </c>
      <c r="G27" s="23" t="inlineStr">
        <is>
          <t>../docs/components/breadcrumb/README.md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BC-20</t>
        </is>
      </c>
      <c r="B28" s="23" t="inlineStr">
        <is>
          <t>Changelog</t>
        </is>
      </c>
      <c r="C28" s="23" t="inlineStr">
        <is>
          <t>Breadcrumb</t>
        </is>
      </c>
      <c r="D28" s="23" t="inlineStr">
        <is>
          <t>The component owns a public changelog and the package changelog records its addition.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../docs/components/breadcrumb/CHANGELOG.md; ../CHANGELOG.md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15" customHeight="1" s="17">
      <c r="A29" s="23" t="inlineStr">
        <is>
          <t>BC-21</t>
        </is>
      </c>
      <c r="B29" s="23" t="inlineStr">
        <is>
          <t>Playground</t>
        </is>
      </c>
      <c r="C29" s="23" t="inlineStr">
        <is>
          <t>Breadcrumb</t>
        </is>
      </c>
      <c r="D29" s="23" t="inlineStr">
        <is>
          <t>One navigable route exposes all adopted defaults, recipes, content, collapse, native-link, composition, appearance, customization, responsive, and RTL scenarios.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src/components/breadcrumb/BreadcrumbPage.tsx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15" customHeight="1" s="17">
      <c r="A30" s="23" t="inlineStr">
        <is>
          <t>BC-22</t>
        </is>
      </c>
      <c r="B30" s="23" t="inlineStr">
        <is>
          <t>Consumer</t>
        </is>
      </c>
      <c r="C30" s="23" t="inlineStr">
        <is>
          <t>Breadcrumb</t>
        </is>
      </c>
      <c r="D30" s="23" t="inlineStr">
        <is>
          <t>The packed Consumer imports the public subpath and renders a realistic current-workspace trail.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15" customHeight="1" s="17">
      <c r="A31" s="23" t="inlineStr">
        <is>
          <t>BC-23</t>
        </is>
      </c>
      <c r="B31" s="23" t="inlineStr">
        <is>
          <t>Package</t>
        </is>
      </c>
      <c r="C31" s="23" t="inlineStr">
        <is>
          <t>Breadcrumb</t>
        </is>
      </c>
      <c r="D31" s="23" t="inlineStr">
        <is>
          <t>Build, exports, SSR, tarball, CSS, React 18/19, Consumer boundary, browser matrix, docs, and exact Atom 0.11.1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0.11.1 Tabs without recreating state, focus, keyboard, direction, relationships, panel lifecycle, or measurement.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../src/components/tabs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TB-02</t>
        </is>
      </c>
      <c r="B10" s="23" t="inlineStr">
        <is>
          <t>Anatomy</t>
        </is>
      </c>
      <c r="C10" s="23" t="inlineStr">
        <is>
          <t>Root/List/Trigger/Content/Indicator</t>
        </is>
      </c>
      <c r="D10" s="23" t="inlineStr">
        <is>
          <t>The public five-part namespace preserves Atom hosts, roles, relationships, refs, native props, and composition.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../test/components/tabs/tabs.test.tsx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TB-03</t>
        </is>
      </c>
      <c r="B11" s="23" t="inlineStr">
        <is>
          <t>Exports</t>
        </is>
      </c>
      <c r="C11" s="23" t="inlineStr">
        <is>
          <t>Tabs</t>
        </is>
      </c>
      <c r="D11" s="23" t="inlineStr">
        <is>
          <t>Root and tabs subpath expose the namespace, named parts, and every public type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TB-04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size/variant recipes plus Atom props, controlled state, orientation,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../test/types/components/tabs.test.ts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TB-05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layouts, four recipes, sizes, states, overflow, RTL, forced-color, reduced-motion,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../src/components/tabs/tabs.css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TB-06</t>
        </is>
      </c>
      <c r="B14" s="23" t="inlineStr">
        <is>
          <t>Defaults</t>
        </is>
      </c>
      <c r="C14" s="23" t="inlineStr">
        <is>
          <t>Root/List/Trigger/Content</t>
        </is>
      </c>
      <c r="D14" s="23" t="inlineStr">
        <is>
          <t>Medium horizontal line Tabs default to automatic looping activation with the authored initial panel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tests/components/tabs/behavior.spec.ts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TB-07</t>
        </is>
      </c>
      <c r="B15" s="23" t="inlineStr">
        <is>
          <t>Variants</t>
        </is>
      </c>
      <c r="C15" s="23" t="inlineStr">
        <is>
          <t>All parts</t>
        </is>
      </c>
      <c r="D15" s="23" t="inlineStr">
        <is>
          <t>Line, solid, soft, and enclosed are visually distinct while identical content, size, state, and orientation stay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tests/components/tabs/visual.spec.ts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TB-08</t>
        </is>
      </c>
      <c r="B16" s="23" t="inlineStr">
        <is>
          <t>Sizes</t>
        </is>
      </c>
      <c r="C16" s="23" t="inlineStr">
        <is>
          <t>Root/Trigger/Content</t>
        </is>
      </c>
      <c r="D16" s="23" t="inlineStr">
        <is>
          <t>Small, medium, and large alter shared typography, height, spacing, and panel inset only.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tests/components/tabs/visual.spec.ts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K16" s="23" t="inlineStr">
        <is>
          <t>Agent-inspected generated sizes baseline.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TB-09</t>
        </is>
      </c>
      <c r="B17" s="23" t="inlineStr">
        <is>
          <t>Layout</t>
        </is>
      </c>
      <c r="C17" s="23" t="inlineStr">
        <is>
          <t>Root/List/Trigger</t>
        </is>
      </c>
      <c r="D17" s="23" t="inlineStr">
        <is>
          <t>Vertical orientation changes physical layout and arrow axis; fullWidth distributes horizontal triggers equally.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tests/components/tabs/behavior.spec.ts; tests/components/tabs/visual.spec.ts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TB-10</t>
        </is>
      </c>
      <c r="B18" s="23" t="inlineStr">
        <is>
          <t>States</t>
        </is>
      </c>
      <c r="C18" s="23" t="inlineStr">
        <is>
          <t>Trigger</t>
        </is>
      </c>
      <c r="D18" s="23" t="inlineStr">
        <is>
          <t>Selected, inactive, hover, focus-visible, disabled, and composed-icon content remain aligned and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tests/components/tabs/behavior.spec.ts; tests/components/tabs/visual.spec.ts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TB-11</t>
        </is>
      </c>
      <c r="B19" s="23" t="inlineStr">
        <is>
          <t>Activation</t>
        </is>
      </c>
      <c r="C19" s="23" t="inlineStr">
        <is>
          <t>Root/List/Trigger</t>
        </is>
      </c>
      <c r="D19" s="23" t="inlineStr">
        <is>
          <t>Automatic activation selects on focus; manual activation waits for Enter/Space; Home/End and disabled skipping remain Atom-owned.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tests/components/tabs/behavior.spec.ts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TB-12</t>
        </is>
      </c>
      <c r="B20" s="23" t="inlineStr">
        <is>
          <t>Panels</t>
        </is>
      </c>
      <c r="C20" s="23" t="inlineStr">
        <is>
          <t>Content</t>
        </is>
      </c>
      <c r="D20" s="23" t="inlineStr">
        <is>
          <t>Active, unmounted, keepMounted, hidden, and focusable panel contracts remain correctly related to their triggers.</t>
        </is>
      </c>
      <c r="E20" s="23" t="inlineStr">
        <is>
          <t>package</t>
        </is>
      </c>
      <c r="F20" s="23" t="inlineStr">
        <is>
          <t>component</t>
        </is>
      </c>
      <c r="G20" s="23" t="inlineStr">
        <is>
          <t>../test/components/tabs/tabs.test.tsx; tests/components/tabs/behavior.spec.ts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TB-13</t>
        </is>
      </c>
      <c r="B21" s="23" t="inlineStr">
        <is>
          <t>Indicator</t>
        </is>
      </c>
      <c r="C21" s="23" t="inlineStr">
        <is>
          <t>Indicator</t>
        </is>
      </c>
      <c r="D21" s="23" t="inlineStr">
        <is>
          <t>Optional Indicator follows Atom trigger measurement, selected fallback remains visible, and reduced motion removes transitions.</t>
        </is>
      </c>
      <c r="E21" s="23" t="inlineStr">
        <is>
          <t>package</t>
        </is>
      </c>
      <c r="F21" s="23" t="inlineStr">
        <is>
          <t>visual</t>
        </is>
      </c>
      <c r="G21" s="23" t="inlineStr">
        <is>
          <t>tests/components/tabs/visual.spec.ts</t>
        </is>
      </c>
      <c r="H21" s="23" t="inlineStr">
        <is>
          <t>verified</t>
        </is>
      </c>
      <c r="I21" s="23" t="inlineStr">
        <is>
          <t>yes</t>
        </is>
      </c>
      <c r="J21" s="25" t="n">
        <v>46229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TB-14</t>
        </is>
      </c>
      <c r="B22" s="23" t="inlineStr">
        <is>
          <t>Composition</t>
        </is>
      </c>
      <c r="C22" s="23" t="inlineStr">
        <is>
          <t>Root/List/Trigger/Content</t>
        </is>
      </c>
      <c r="D22" s="23" t="inlineStr">
        <is>
          <t>render and asChild preserve roles, IDs, relationships, native hosts, classes, slots, and refs in actual HTML.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../test/components/tabs/tabs.test.tsx; tests/components/tabs/behavior.spec.ts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TB-15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Constrained horizontal lists stay one row and scroll rather than wrap; vertical semantic orientation is not changed by CSS.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tests/components/tabs/behavior.spec.ts; tests/components/tabs/visual.spec.ts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TB-16</t>
        </is>
      </c>
      <c r="B24" s="23" t="inlineStr">
        <is>
          <t>Direction</t>
        </is>
      </c>
      <c r="C24" s="23" t="inlineStr">
        <is>
          <t>Root/List</t>
        </is>
      </c>
      <c r="D24" s="23" t="inlineStr">
        <is>
          <t>Explicit RTL preserves genuine text and mirrors horizontal arrow navigation while vertical navigation is unchanged.</t>
        </is>
      </c>
      <c r="E24" s="23" t="inlineStr">
        <is>
          <t>package</t>
        </is>
      </c>
      <c r="F24" s="23" t="inlineStr">
        <is>
          <t>browser</t>
        </is>
      </c>
      <c r="G24" s="23" t="inlineStr">
        <is>
          <t>tests/components/tabs/behavior.spec.ts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TB-17</t>
        </is>
      </c>
      <c r="B25" s="23" t="inlineStr">
        <is>
          <t>Accessibility</t>
        </is>
      </c>
      <c r="C25" s="23" t="inlineStr">
        <is>
          <t>All parts</t>
        </is>
      </c>
      <c r="D25" s="23" t="inlineStr">
        <is>
          <t>Named tablists, selected/disabled states, relationships, roving focus, forced colors, and axe pass.</t>
        </is>
      </c>
      <c r="E25" s="23" t="inlineStr">
        <is>
          <t>package</t>
        </is>
      </c>
      <c r="F25" s="23" t="inlineStr">
        <is>
          <t>axe</t>
        </is>
      </c>
      <c r="G25" s="23" t="inlineStr">
        <is>
          <t>tests/components/tabs/behavior.spec.ts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TB-18</t>
        </is>
      </c>
      <c r="B26" s="23" t="inlineStr">
        <is>
          <t>Visual</t>
        </is>
      </c>
      <c r="C26" s="23" t="inlineStr">
        <is>
          <t>Tabs</t>
        </is>
      </c>
      <c r="D26" s="23" t="inlineStr">
        <is>
          <t>Reviewed baselines cover defaults, variants, sizes, layouts, content, dark appearance, mobile RTL, and forced colors.</t>
        </is>
      </c>
      <c r="E26" s="23" t="inlineStr">
        <is>
          <t>package</t>
        </is>
      </c>
      <c r="F26" s="23" t="inlineStr">
        <is>
          <t>visual</t>
        </is>
      </c>
      <c r="G26" s="23" t="inlineStr">
        <is>
          <t>tests/components/tabs/visual.spec.ts</t>
        </is>
      </c>
      <c r="H26" s="23" t="inlineStr">
        <is>
          <t>verified</t>
        </is>
      </c>
      <c r="I26" s="23" t="inlineStr">
        <is>
          <t>yes</t>
        </is>
      </c>
      <c r="J26" s="25" t="n">
        <v>46229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TB-19</t>
        </is>
      </c>
      <c r="B27" s="23" t="inlineStr">
        <is>
          <t>Manual</t>
        </is>
      </c>
      <c r="C27" s="23" t="inlineStr">
        <is>
          <t>Tabs</t>
        </is>
      </c>
      <c r="D27" s="23" t="inlineStr">
        <is>
          <t>A tester completes the concise top-to-bottom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manual-tests/tabs.md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46229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TB-20</t>
        </is>
      </c>
      <c r="B28" s="23" t="inlineStr">
        <is>
          <t>Docs</t>
        </is>
      </c>
      <c r="C28" s="23" t="inlineStr">
        <is>
          <t>Tabs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../docs/components/tabs/README.md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TB-21</t>
        </is>
      </c>
      <c r="B29" s="23" t="inlineStr">
        <is>
          <t>Playground</t>
        </is>
      </c>
      <c r="C29" s="23" t="inlineStr">
        <is>
          <t>Tabs</t>
        </is>
      </c>
      <c r="D29" s="23" t="inlineStr">
        <is>
          <t>One navigable route exposes all nine controlled scenarios and actual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src/components/tabs/TabsPage.tsx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TB-22</t>
        </is>
      </c>
      <c r="B30" s="23" t="inlineStr">
        <is>
          <t>Consumer</t>
        </is>
      </c>
      <c r="C30" s="23" t="inlineStr">
        <is>
          <t>Tabs</t>
        </is>
      </c>
      <c r="D30" s="23" t="inlineStr">
        <is>
          <t>Packed Consumer imports the public subpath and operates a realistic workspace preview.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TB-23</t>
        </is>
      </c>
      <c r="B31" s="23" t="inlineStr">
        <is>
          <t>Package</t>
        </is>
      </c>
      <c r="C31" s="23" t="inlineStr">
        <is>
          <t>Tabs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 behavior without recreating open state, focus, keyboard, selection,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../src/components/dropdown-menu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DM-02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complete public namespace preserves trigger, popup, group, choice, indicator, static row, separator, arrow, and submenu ownership.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../test/components/dropdown-menu/dropdown-menu.test.tsx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DM-03</t>
        </is>
      </c>
      <c r="B11" s="23" t="inlineStr">
        <is>
          <t>Exports</t>
        </is>
      </c>
      <c r="C11" s="23" t="inlineStr">
        <is>
          <t>DropdownMenu</t>
        </is>
      </c>
      <c r="D11" s="23" t="inlineStr">
        <is>
          <t>Root and dropdown-menu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DM-04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sizes and tones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../test/types/components/dropdown-menu.test.ts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DM-05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the popup surface, row anatomy, selection, danger, disabled, submenu, preference, and public-token recipes.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../src/components/dropdown-menu/dropdown-menu.css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DM-06</t>
        </is>
      </c>
      <c r="B14" s="23" t="inlineStr">
        <is>
          <t>Defaults</t>
        </is>
      </c>
      <c r="C14" s="23" t="inlineStr">
        <is>
          <t>Root/Trigger/Content/Item</t>
        </is>
      </c>
      <c r="D14" s="23" t="inlineStr">
        <is>
          <t>A medium button-triggered menu opens with neutral rows and Atom-owned focus and dismissal.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tests/components/dropdown-menu/behavior.spec.ts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DM-07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shared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tests/components/dropdown-menu/visual.spec.ts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size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DM-08</t>
        </is>
      </c>
      <c r="B16" s="23" t="inlineStr">
        <is>
          <t>Anatomy</t>
        </is>
      </c>
      <c r="C16" s="23" t="inlineStr">
        <is>
          <t>Item anatomy</t>
        </is>
      </c>
      <c r="D16" s="23" t="inlineStr">
        <is>
          <t>Leading content, label, description, shortcut, groups, labels, separators, and Arrow align without changing command semantics.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tests/components/dropdown-menu/visual.spec.ts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open and anatomy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DM-09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expose persistent Atom selection and visible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tests/components/dropdown-menu/behavior.spec.ts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DM-10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remain distinct with identical default geometry.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tests/components/dropdown-menu/behavior.spec.ts; tests/components/dropdown-menu/visual.spec.ts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DM-11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Keyboard and pointer submenu opening preserves nested focus, direction, collision,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tests/components/dropdown-menu/behavior.spec.ts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DM-12</t>
        </is>
      </c>
      <c r="B20" s="23" t="inlineStr">
        <is>
          <t>Keyboard</t>
        </is>
      </c>
      <c r="C20" s="23" t="inlineStr">
        <is>
          <t>Trigger/Content</t>
        </is>
      </c>
      <c r="D20" s="23" t="inlineStr">
        <is>
          <t>Enter opens, menu focus enters, Escape closes, and focus returns to the trigger.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tests/components/dropdown-menu/behavior.spec.ts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DM-13</t>
        </is>
      </c>
      <c r="B21" s="23" t="inlineStr">
        <is>
          <t>Composition</t>
        </is>
      </c>
      <c r="C21" s="23" t="inlineStr">
        <is>
          <t>Trigger/static parts</t>
        </is>
      </c>
      <c r="D21" s="23" t="inlineStr">
        <is>
          <t>asChild and render preserve the authored host, attributes, handlers, slots, and refs without duplicate controls.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../test/components/dropdown-menu/dropdown-menu.test.tsx; tests/components/dropdown-menu/behavior.spec.ts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DM-14</t>
        </is>
      </c>
      <c r="B22" s="23" t="inlineStr">
        <is>
          <t>Responsive</t>
        </is>
      </c>
      <c r="C22" s="23" t="inlineStr">
        <is>
          <t>Content/SubContent</t>
        </is>
      </c>
      <c r="D22" s="23" t="inlineStr">
        <is>
          <t>Constrained popups remain inside the viewport with reachable long and repeated commands.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tests/components/dropdown-menu/behavior.spec.ts; tests/components/dropdown-menu/visual.spec.ts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DM-15</t>
        </is>
      </c>
      <c r="B23" s="23" t="inlineStr">
        <is>
          <t>Direction</t>
        </is>
      </c>
      <c r="C23" s="23" t="inlineStr">
        <is>
          <t>Content/SubContent</t>
        </is>
      </c>
      <c r="D23" s="23" t="inlineStr">
        <is>
          <t>RTL content and submenu direction mirror while authored text stays genuine.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tests/components/dropdown-menu/behavior.spec.ts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DM-16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triggers and menus, roles, choice states, disabled state, focus return, forced colors, and axe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tests/components/dropdown-menu/behavior.spec.ts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DM-17</t>
        </is>
      </c>
      <c r="B25" s="23" t="inlineStr">
        <is>
          <t>Visual</t>
        </is>
      </c>
      <c r="C25" s="23" t="inlineStr">
        <is>
          <t>DropdownMenu</t>
        </is>
      </c>
      <c r="D25" s="23" t="inlineStr">
        <is>
          <t>Reviewed baselines cover closed and open defaults, anatomy, choices,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tests/components/dropdown-menu/visual.spec.ts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Dropdown Menu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DM-18</t>
        </is>
      </c>
      <c r="B26" s="23" t="inlineStr">
        <is>
          <t>Keyboard</t>
        </is>
      </c>
      <c r="C26" s="23" t="inlineStr">
        <is>
          <t>Interactive parts</t>
        </is>
      </c>
      <c r="D26" s="23" t="inlineStr">
        <is>
          <t>Keyboard opening, roving or adjacent navigation, activation, dismissal, and focus return remain Atom-owned.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tests/components/dropdown-menu/behavior.spec.ts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DM-19</t>
        </is>
      </c>
      <c r="B27" s="23" t="inlineStr">
        <is>
          <t>Manual</t>
        </is>
      </c>
      <c r="C27" s="23" t="inlineStr">
        <is>
          <t>Dropdown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manual-tests/dropdown-menu.md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DM-20</t>
        </is>
      </c>
      <c r="B28" s="23" t="inlineStr">
        <is>
          <t>Docs</t>
        </is>
      </c>
      <c r="C28" s="23" t="inlineStr">
        <is>
          <t>Dropdown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../docs/components/dropdown-menu/README.md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DM-21</t>
        </is>
      </c>
      <c r="B29" s="23" t="inlineStr">
        <is>
          <t>Playground</t>
        </is>
      </c>
      <c r="C29" s="23" t="inlineStr">
        <is>
          <t>Dropdown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src/components/dropdown-menu/DropdownMenuPage.tsx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DM-22</t>
        </is>
      </c>
      <c r="B30" s="23" t="inlineStr">
        <is>
          <t>Consumer</t>
        </is>
      </c>
      <c r="C30" s="23" t="inlineStr">
        <is>
          <t>Dropdown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DM-23</t>
        </is>
      </c>
      <c r="B31" s="23" t="inlineStr">
        <is>
          <t>Package</t>
        </is>
      </c>
      <c r="C31" s="23" t="inlineStr">
        <is>
          <t>Dropdown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Context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../src/components/context-menu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CM-02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../test/components/context-menu/context-menu.test.tsx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CM-03</t>
        </is>
      </c>
      <c r="B11" s="23" t="inlineStr">
        <is>
          <t>Exports</t>
        </is>
      </c>
      <c r="C11" s="23" t="inlineStr">
        <is>
          <t>ContextMenu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CM-04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../test/types/components/context-menu.test.ts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CM-05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../src/components/context-menu/context-menu.css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CM-06</t>
        </is>
      </c>
      <c r="B14" s="23" t="inlineStr">
        <is>
          <t>Invocation</t>
        </is>
      </c>
      <c r="C14" s="23" t="inlineStr">
        <is>
          <t>Trigger/Content</t>
        </is>
      </c>
      <c r="D14" s="23" t="inlineStr">
        <is>
          <t>Pointer context gesture and Shift+F10 open at the intended target while essential actions remain visibly available.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tests/components/context-menu/behavior.spec.ts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CM-07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tests/components/context-menu/visual.spec.ts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component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CM-08</t>
        </is>
      </c>
      <c r="B16" s="23" t="inlineStr">
        <is>
          <t>Anatomy</t>
        </is>
      </c>
      <c r="C16" s="23" t="inlineStr">
        <is>
          <t>All popup parts</t>
        </is>
      </c>
      <c r="D16" s="23" t="inlineStr">
        <is>
          <t>Groups, labels, rows, supporting content, separators, Arrow, choices, danger, disabled, and submenus remain aligned.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tests/components/context-menu/visual.spec.ts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CM-09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preserve Atom selection and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tests/components/context-menu/behavior.spec.ts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CM-10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stay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tests/components/context-menu/behavior.spec.ts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CM-11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context actions preserve keyboard direction, collision, focus,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tests/components/context-menu/behavior.spec.ts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CM-12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tests/components/context-menu/behavior.spec.ts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CM-13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tests/components/context-menu/behavior.spec.ts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CM-14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tests/components/context-menu/behavior.spec.ts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CM-15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tests/components/context-menu/behavior.spec.ts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CM-16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tests/components/context-menu/behavior.spec.ts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CM-17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tests/components/context-menu/visual.spec.ts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CM-18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tests/components/context-menu/behavior.spec.ts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CM-19</t>
        </is>
      </c>
      <c r="B27" s="23" t="inlineStr">
        <is>
          <t>Manual</t>
        </is>
      </c>
      <c r="C27" s="23" t="inlineStr">
        <is>
          <t>Context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manual-tests/context-menu.md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CM-20</t>
        </is>
      </c>
      <c r="B28" s="23" t="inlineStr">
        <is>
          <t>Docs</t>
        </is>
      </c>
      <c r="C28" s="23" t="inlineStr">
        <is>
          <t>Context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../docs/components/context-menu/README.md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CM-21</t>
        </is>
      </c>
      <c r="B29" s="23" t="inlineStr">
        <is>
          <t>Playground</t>
        </is>
      </c>
      <c r="C29" s="23" t="inlineStr">
        <is>
          <t>Context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src/components/context-menu/ContextMenuPage.tsx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CM-22</t>
        </is>
      </c>
      <c r="B30" s="23" t="inlineStr">
        <is>
          <t>Consumer</t>
        </is>
      </c>
      <c r="C30" s="23" t="inlineStr">
        <is>
          <t>Context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CM-23</t>
        </is>
      </c>
      <c r="B31" s="23" t="inlineStr">
        <is>
          <t>Package</t>
        </is>
      </c>
      <c r="C31" s="23" t="inlineStr">
        <is>
          <t>Context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MB-01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Menubar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../src/components/menubar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MB-02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../test/components/menubar/menubar.test.tsx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MB-03</t>
        </is>
      </c>
      <c r="B11" s="23" t="inlineStr">
        <is>
          <t>Exports</t>
        </is>
      </c>
      <c r="C11" s="23" t="inlineStr">
        <is>
          <t>Menubar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MB-04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../test/types/components/menubar.test.ts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MB-05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../src/components/menubar/menubar.css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MB-06</t>
        </is>
      </c>
      <c r="B14" s="23" t="inlineStr">
        <is>
          <t>Defaults</t>
        </is>
      </c>
      <c r="C14" s="23" t="inlineStr">
        <is>
          <t>Root/Menu/Trigger/Content</t>
        </is>
      </c>
      <c r="D14" s="23" t="inlineStr">
        <is>
          <t>A medium horizontal menubar presents adjacent command categories and one Atom-owned popup.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tests/components/menubar/behavior.spec.ts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MB-07</t>
        </is>
      </c>
      <c r="B15" s="23" t="inlineStr">
        <is>
          <t>Orientation</t>
        </is>
      </c>
      <c r="C15" s="23" t="inlineStr">
        <is>
          <t>Root/Trigger</t>
        </is>
      </c>
      <c r="D15" s="23" t="inlineStr">
        <is>
          <t>Horizontal and vertical orientations change layout and adjacent-trigger keyboard axis together.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tests/components/menubar/behavior.spec.ts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MB-08</t>
        </is>
      </c>
      <c r="B16" s="23" t="inlineStr">
        <is>
          <t>Sizes</t>
        </is>
      </c>
      <c r="C16" s="23" t="inlineStr">
        <is>
          <t>Root/Content</t>
        </is>
      </c>
      <c r="D16" s="23" t="inlineStr">
        <is>
          <t>Small, medium, and large change only persistent and popup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tests/components/menubar/visual.spec.ts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MB-09</t>
        </is>
      </c>
      <c r="B17" s="23" t="inlineStr">
        <is>
          <t>States</t>
        </is>
      </c>
      <c r="C17" s="23" t="inlineStr">
        <is>
          <t>Trigger/Item</t>
        </is>
      </c>
      <c r="D17" s="23" t="inlineStr">
        <is>
          <t>Idle, focused, open, disabled, neutral, and danger states remain distinct.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tests/components/menubar/behavior.spec.ts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MB-10</t>
        </is>
      </c>
      <c r="B18" s="23" t="inlineStr">
        <is>
          <t>Selection</t>
        </is>
      </c>
      <c r="C18" s="23" t="inlineStr">
        <is>
          <t>CheckboxItem/RadioItem</t>
        </is>
      </c>
      <c r="D18" s="23" t="inlineStr">
        <is>
          <t>Persistent choices and indicators work inside command categories.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tests/components/menubar/behavior.spec.ts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MB-11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command categories preserve focus, keyboard direction,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tests/components/menubar/behavior.spec.ts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MB-12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tests/components/menubar/behavior.spec.ts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MB-13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tests/components/menubar/behavior.spec.ts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MB-14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tests/components/menubar/behavior.spec.ts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MB-15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tests/components/menubar/behavior.spec.ts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MB-16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tests/components/menubar/behavior.spec.ts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MB-17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tests/components/menubar/visual.spec.ts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MB-18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tests/components/menubar/behavior.spec.ts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MB-19</t>
        </is>
      </c>
      <c r="B27" s="23" t="inlineStr">
        <is>
          <t>Manual</t>
        </is>
      </c>
      <c r="C27" s="23" t="inlineStr">
        <is>
          <t>Menubar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manual-tests/menubar.md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MB-20</t>
        </is>
      </c>
      <c r="B28" s="23" t="inlineStr">
        <is>
          <t>Docs</t>
        </is>
      </c>
      <c r="C28" s="23" t="inlineStr">
        <is>
          <t>Menubar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../docs/components/menubar/README.md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MB-21</t>
        </is>
      </c>
      <c r="B29" s="23" t="inlineStr">
        <is>
          <t>Playground</t>
        </is>
      </c>
      <c r="C29" s="23" t="inlineStr">
        <is>
          <t>Menubar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src/components/menubar/MenubarPage.tsx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MB-22</t>
        </is>
      </c>
      <c r="B30" s="23" t="inlineStr">
        <is>
          <t>Consumer</t>
        </is>
      </c>
      <c r="C30" s="23" t="inlineStr">
        <is>
          <t>Menubar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MB-23</t>
        </is>
      </c>
      <c r="B31" s="23" t="inlineStr">
        <is>
          <t>Package</t>
        </is>
      </c>
      <c r="C31" s="23" t="inlineStr">
        <is>
          <t>Menubar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Navigation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../src/components/navigation-menu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NM-02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../test/components/navigation-menu/navigation-menu.test.tsx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NM-03</t>
        </is>
      </c>
      <c r="B11" s="23" t="inlineStr">
        <is>
          <t>Exports</t>
        </is>
      </c>
      <c r="C11" s="23" t="inlineStr">
        <is>
          <t>NavigationMenu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NM-04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../test/types/components/navigation-menu.test.ts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NM-05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../src/components/navigation-menu/navigation-menu.css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NM-06</t>
        </is>
      </c>
      <c r="B14" s="23" t="inlineStr">
        <is>
          <t>Defaults</t>
        </is>
      </c>
      <c r="C14" s="23" t="inlineStr">
        <is>
          <t>Root/List/Item/Trigger/Content</t>
        </is>
      </c>
      <c r="D14" s="23" t="inlineStr">
        <is>
          <t>A medium horizontal navigation landmark combines native destinations with an optional rich panel.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tests/components/navigation-menu/behavior.spec.ts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NM-07</t>
        </is>
      </c>
      <c r="B15" s="23" t="inlineStr">
        <is>
          <t>Link model</t>
        </is>
      </c>
      <c r="C15" s="23" t="inlineStr">
        <is>
          <t>Link/Trigger</t>
        </is>
      </c>
      <c r="D15" s="23" t="inlineStr">
        <is>
          <t>Direct current links remain anchors while disclosure triggers remain buttons.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tests/components/navigation-menu/behavior.spec.ts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NM-08</t>
        </is>
      </c>
      <c r="B16" s="23" t="inlineStr">
        <is>
          <t>Sizes</t>
        </is>
      </c>
      <c r="C16" s="23" t="inlineStr">
        <is>
          <t>Root/Sub</t>
        </is>
      </c>
      <c r="D16" s="23" t="inlineStr">
        <is>
          <t>Small, medium, and large change only navigation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tests/components/navigation-menu/visual.spec.ts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NM-09</t>
        </is>
      </c>
      <c r="B17" s="23" t="inlineStr">
        <is>
          <t>Orientation</t>
        </is>
      </c>
      <c r="C17" s="23" t="inlineStr">
        <is>
          <t>Root/List</t>
        </is>
      </c>
      <c r="D17" s="23" t="inlineStr">
        <is>
          <t>Horizontal and vertical orientation change layout and keyboard axis together.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tests/components/navigation-menu/behavior.spec.ts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NM-10</t>
        </is>
      </c>
      <c r="B18" s="23" t="inlineStr">
        <is>
          <t>Viewport</t>
        </is>
      </c>
      <c r="C18" s="23" t="inlineStr">
        <is>
          <t>Content/Viewport/Indicator</t>
        </is>
      </c>
      <c r="D18" s="23" t="inlineStr">
        <is>
          <t>Measured rich content, active trigger indicator, and viewport geometry follow Atom state.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tests/components/navigation-menu/behavior.spec.ts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NM-11</t>
        </is>
      </c>
      <c r="B19" s="23" t="inlineStr">
        <is>
          <t>States</t>
        </is>
      </c>
      <c r="C19" s="23" t="inlineStr">
        <is>
          <t>Trigger/Link</t>
        </is>
      </c>
      <c r="D19" s="23" t="inlineStr">
        <is>
          <t>Controlled open, current link, disabled trigger, hover, and focus states remain distinct.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tests/components/navigation-menu/behavior.spec.ts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NM-12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tests/components/navigation-menu/behavior.spec.ts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NM-13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tests/components/navigation-menu/behavior.spec.ts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NM-14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tests/components/navigation-menu/behavior.spec.ts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NM-15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tests/components/navigation-menu/behavior.spec.ts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NM-16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tests/components/navigation-menu/behavior.spec.ts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NM-17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tests/components/navigation-menu/visual.spec.ts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NM-18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tests/components/navigation-menu/behavior.spec.ts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NM-19</t>
        </is>
      </c>
      <c r="B27" s="23" t="inlineStr">
        <is>
          <t>Manual</t>
        </is>
      </c>
      <c r="C27" s="23" t="inlineStr">
        <is>
          <t>Navigation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manual-tests/navigation-menu.md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NM-20</t>
        </is>
      </c>
      <c r="B28" s="23" t="inlineStr">
        <is>
          <t>Docs</t>
        </is>
      </c>
      <c r="C28" s="23" t="inlineStr">
        <is>
          <t>Navigation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../docs/components/navigation-menu/README.md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NM-21</t>
        </is>
      </c>
      <c r="B29" s="23" t="inlineStr">
        <is>
          <t>Playground</t>
        </is>
      </c>
      <c r="C29" s="23" t="inlineStr">
        <is>
          <t>Navigation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src/components/navigation-menu/NavigationMenuPage.tsx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NM-22</t>
        </is>
      </c>
      <c r="B30" s="23" t="inlineStr">
        <is>
          <t>Consumer</t>
        </is>
      </c>
      <c r="C30" s="23" t="inlineStr">
        <is>
          <t>Navigation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NM-23</t>
        </is>
      </c>
      <c r="B31" s="23" t="inlineStr">
        <is>
          <t>Package</t>
        </is>
      </c>
      <c r="C31" s="23" t="inlineStr">
        <is>
          <t>Navigation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0.13.0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0.13.0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0.13.0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33.75" customHeight="1" s="17">
      <c r="A34" s="26" t="inlineStr">
        <is>
          <t>AC-26</t>
        </is>
      </c>
      <c r="B34" s="26" t="inlineStr">
        <is>
          <t>Package</t>
        </is>
      </c>
      <c r="C34" s="26" t="inlineStr">
        <is>
          <t>Accordion</t>
        </is>
      </c>
      <c r="D34" s="27" t="inlineStr">
        <is>
          <t>Build, declarations, exports, SSR, CSS, tarball, docs, ownership, component coverage, and configured browser checks pass for Accordion.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../test/package/ssr.test.mjs;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TO-01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Toast behavior without recreating the store, queue, timers, announcements, focus, keyboard, portal, swipe, or lifecycle.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../src/components/toast/Toast.tsx;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TO-02</t>
        </is>
      </c>
      <c r="B10" s="26" t="inlineStr">
        <is>
          <t>API</t>
        </is>
      </c>
      <c r="C10" s="26" t="inlineStr">
        <is>
          <t>Toaster / toast</t>
        </is>
      </c>
      <c r="D10" s="27" t="inlineStr">
        <is>
          <t>One installed Toaster and the imperative toast helper expose create, success, error, warning, info, loading, update, promise, dismiss-one, and dismiss-all workflows.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../test/components/toast/toast.test.tsx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TO-03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Icon, Content, Title, Description, Actions, Action, Close, and Viewport render stable Brick classes and slots with optional parts omitted when absent.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../test/components/toast/toast.test.tsx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TO-04</t>
        </is>
      </c>
      <c r="B12" s="26" t="inlineStr">
        <is>
          <t>Exports</t>
        </is>
      </c>
      <c r="C12" s="26" t="inlineStr">
        <is>
          <t>All parts</t>
        </is>
      </c>
      <c r="D12" s="27" t="inlineStr">
        <is>
          <t>Root and toast subpath exports provide Toaster, toast, the Toast namespace, named compound parts, public option/data types, and runtime identity parity.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TO-05</t>
        </is>
      </c>
      <c r="B13" s="26" t="inlineStr">
        <is>
          <t>Types</t>
        </is>
      </c>
      <c r="C13" s="26" t="inlineStr">
        <is>
          <t>Public surface</t>
        </is>
      </c>
      <c r="D13" s="27" t="inlineStr">
        <is>
          <t>Closed types, logical positions, widths, stacking, swipe direction, action, promise inference, native props, composition, and refs type-check while unsupported APIs fail.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../test/types/components/toast.test.ts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TO-06</t>
        </is>
      </c>
      <c r="B14" s="26" t="inlineStr">
        <is>
          <t>CSS</t>
        </is>
      </c>
      <c r="C14" s="26" t="inlineStr">
        <is>
          <t>All parts</t>
        </is>
      </c>
      <c r="D14" s="27" t="inlineStr">
        <is>
          <t>Static CSS ships viewport placement, raised cards, semantic accents, widths, stacking, lifecycle, swipe, dark, reduced-motion, forced-color, responsive, RTL, and customization recipes.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../src/components/toast/toast.css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TO-07</t>
        </is>
      </c>
      <c r="B15" s="26" t="inlineStr">
        <is>
          <t>Defaults</t>
        </is>
      </c>
      <c r="C15" s="26" t="inlineStr">
        <is>
          <t>Toaster</t>
        </is>
      </c>
      <c r="D15" s="27" t="inlineStr">
        <is>
          <t>Defaults are bottom-end, maximum three visible, close enabled, responsive width, separated stacking, F8 region focus, paused timers on hover/focus/page loss, and no swipe.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tests/components/toast/behavior.spec.ts; ../test/components/toast/toast.test.tsx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TO-08</t>
        </is>
      </c>
      <c r="B16" s="26" t="inlineStr">
        <is>
          <t>Types</t>
        </is>
      </c>
      <c r="C16" s="26" t="inlineStr">
        <is>
          <t>Root / Icon</t>
        </is>
      </c>
      <c r="D16" s="27" t="inlineStr">
        <is>
          <t>Default, success, error, warning, info, and loading change only semantic accent, glyph or spinner, and announcement priority while preserving geometry.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tests/components/toast/visual.spec.ts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 inspected the complete six-type baseline in light and forced-color modes.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TO-09</t>
        </is>
      </c>
      <c r="B17" s="26" t="inlineStr">
        <is>
          <t>Content</t>
        </is>
      </c>
      <c r="C17" s="26" t="inlineStr">
        <is>
          <t>Content anatomy</t>
        </is>
      </c>
      <c r="D17" s="27" t="inlineStr">
        <is>
          <t>Title-only, description-only, combined, long localized content, component-owned default glyphs, and consumer-authored icon content preserve intended anatomy and hierarchy.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tests/components/toast/visual.spec.ts; ../test/components/toast/toast.test.tsx</t>
        </is>
      </c>
      <c r="H17" s="26" t="inlineStr">
        <is>
          <t>verified</t>
        </is>
      </c>
      <c r="I17" s="26" t="inlineStr">
        <is>
          <t>yes</t>
        </is>
      </c>
      <c r="J17" s="28" t="n">
        <v>46230</v>
      </c>
      <c r="K17" s="27" t="inlineStr">
        <is>
          <t>Agent inspected title-only, combined-content, custom-icon, loading, and localized-content baselines.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TO-10</t>
        </is>
      </c>
      <c r="B18" s="26" t="inlineStr">
        <is>
          <t>Actions</t>
        </is>
      </c>
      <c r="C18" s="26" t="inlineStr">
        <is>
          <t>Action / Close</t>
        </is>
      </c>
      <c r="D18" s="27" t="inlineStr">
        <is>
          <t>One safe-to-ignore action runs once and dismisses only its toast; close policy resolves Toaster and per-toast settings with localized labels and dismissibility respected.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tests/components/toast/behavior.spec.ts; ../test/components/toast/toast.test.tsx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TO-11</t>
        </is>
      </c>
      <c r="B19" s="26" t="inlineStr">
        <is>
          <t>Widths</t>
        </is>
      </c>
      <c r="C19" s="26" t="inlineStr">
        <is>
          <t>Viewport / Root</t>
        </is>
      </c>
      <c r="D19" s="27" t="inlineStr">
        <is>
          <t>Responsive width is near-full on narrow viewports and compact on larger screens; compact and full remain closed supported alternatives without page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tests/components/toast/behavior.spec.ts; tests/components/toast/visual.spec.ts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TO-12</t>
        </is>
      </c>
      <c r="B20" s="26" t="inlineStr">
        <is>
          <t>Positions</t>
        </is>
      </c>
      <c r="C20" s="26" t="inlineStr">
        <is>
          <t>Viewport</t>
        </is>
      </c>
      <c r="D20" s="27" t="inlineStr">
        <is>
          <t>Top-start, top-center, top-end, bottom-start, bottom-center, and bottom-end map through logical inline direction in LTR and RTL.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tests/components/toast/behavior.spec.ts; tests/components/toast/visual.spec.ts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46230</v>
      </c>
      <c r="K20" s="27" t="inlineStr">
        <is>
          <t>Agent inspected the six-position comparison and RTL logical anatomy baseline.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TO-13</t>
        </is>
      </c>
      <c r="B21" s="26" t="inlineStr">
        <is>
          <t>Stacking</t>
        </is>
      </c>
      <c r="C21" s="26" t="inlineStr">
        <is>
          <t>Viewport / Root</t>
        </is>
      </c>
      <c r="D21" s="27" t="inlineStr">
        <is>
          <t>Separated stacking supports variable-height cards without collision; overlap layers inactive cards and expands for pointer or keyboard entry.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tests/components/toast/behavior.spec.ts; tests/components/toast/visual.spec.ts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TO-14</t>
        </is>
      </c>
      <c r="B22" s="26" t="inlineStr">
        <is>
          <t>Queue and timers</t>
        </is>
      </c>
      <c r="C22" s="26" t="inlineStr">
        <is>
          <t>Toaster / Root</t>
        </is>
      </c>
      <c r="D22" s="27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tests/components/toast/behavior.spec.ts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TO-15</t>
        </is>
      </c>
      <c r="B23" s="26" t="inlineStr">
        <is>
          <t>Async lifecycle</t>
        </is>
      </c>
      <c r="C23" s="26" t="inlineStr">
        <is>
          <t>toast</t>
        </is>
      </c>
      <c r="D23" s="27" t="inlineStr">
        <is>
          <t>Loading, update, promise success/error, stable immutable IDs, callbacks, and dismiss-one/all preserve one logical toast lifecycle without duplicate records.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../test/components/toast/toast.test.tsx; tests/components/toast/behavior.spec.ts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TO-16</t>
        </is>
      </c>
      <c r="B24" s="26" t="inlineStr">
        <is>
          <t>Announcements</t>
        </is>
      </c>
      <c r="C24" s="26" t="inlineStr">
        <is>
          <t>Toaster / Root</t>
        </is>
      </c>
      <c r="D24" s="27" t="inlineStr">
        <is>
          <t>Create and update use exactly one persistent Atom-owned polite or assertive announcement path; visible cards do not create a second live region.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tests/components/toast/behavior.spec.ts; ../test/components/toast/toast.test.tsx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TO-17</t>
        </is>
      </c>
      <c r="B25" s="26" t="inlineStr">
        <is>
          <t>Keyboard</t>
        </is>
      </c>
      <c r="C25" s="26" t="inlineStr">
        <is>
          <t>Viewport / controls</t>
        </is>
      </c>
      <c r="D25" s="27" t="inlineStr">
        <is>
          <t>Appearance never steals focus; F8 enters the labelled region, Tab and Shift+Tab reach controls, focused Escape dismisses, and prior focus restores safely.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tests/components/toast/behavior.spec.ts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TO-18</t>
        </is>
      </c>
      <c r="B26" s="26" t="inlineStr">
        <is>
          <t>Swipe</t>
        </is>
      </c>
      <c r="C26" s="26" t="inlineStr">
        <is>
          <t>Root</t>
        </is>
      </c>
      <c r="D26" s="27" t="inlineStr">
        <is>
          <t>Optional left, right, up, or down swipe dismissal exposes directional movement and cancellation at the configured threshold without enabling arbitrary dragging by default.</t>
        </is>
      </c>
      <c r="E26" s="26" t="inlineStr">
        <is>
          <t>package</t>
        </is>
      </c>
      <c r="F26" s="26" t="inlineStr">
        <is>
          <t>source</t>
        </is>
      </c>
      <c r="G26" s="27" t="inlineStr">
        <is>
          <t>../src/components/toast/Toast.tsx; ../src/components/toast/toast.css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TO-19</t>
        </is>
      </c>
      <c r="B27" s="26" t="inlineStr">
        <is>
          <t>Portal and props</t>
        </is>
      </c>
      <c r="C27" s="26" t="inlineStr">
        <is>
          <t>Toaster / Viewport</t>
        </is>
      </c>
      <c r="D27" s="27" t="inlineStr">
        <is>
          <t>Body portal, custom container, disabled portal, native viewport props, style, class, data attributes, and the empty-to-visible viewport ref lifecycle preserve the public boundary.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../test/components/toast/toast.test.tsx; ../test/package/ssr.test.mjs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TO-20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../test/components/toast/toast.test.tsx; ../docs/components/toast/README.md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TO-21</t>
        </is>
      </c>
      <c r="B29" s="26" t="inlineStr">
        <is>
          <t>Responsive / RTL</t>
        </is>
      </c>
      <c r="C29" s="26" t="inlineStr">
        <is>
          <t>All parts</t>
        </is>
      </c>
      <c r="D29" s="27" t="inlineStr">
        <is>
          <t>Mobile width, long Arabic content, RTL logical anatomy, variable heights, text spacing, safe-area fixtures, and narrow containment remain readable without horizontal page overflow.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tests/components/toast/behavior.spec.ts; tests/components/toast/visual.spec.ts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 inspected the mobile RTL stress and logical-position baselines.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TO-22</t>
        </is>
      </c>
      <c r="B30" s="26" t="inlineStr">
        <is>
          <t>Appearance</t>
        </is>
      </c>
      <c r="C30" s="26" t="inlineStr">
        <is>
          <t>All parts</t>
        </is>
      </c>
      <c r="D30" s="27" t="inlineStr">
        <is>
          <t>Semantic surface, text, accent, glyph, close, action, focus, and elevation remain legible and intentionally hierarchical in light and dark appearance.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tests/components/toast/visual.spec.ts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the light and dark appearance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TO-23</t>
        </is>
      </c>
      <c r="B31" s="26" t="inlineStr">
        <is>
          <t>Preferences</t>
        </is>
      </c>
      <c r="C31" s="26" t="inlineStr">
        <is>
          <t>Root / Icon</t>
        </is>
      </c>
      <c r="D31" s="27" t="inlineStr">
        <is>
          <t>Reduced motion removes lifecycle and loading animation while preserving state; forced colors preserves boundaries, icons, text, controls, and focus geometry.</t>
        </is>
      </c>
      <c r="E31" s="26" t="inlineStr">
        <is>
          <t>package</t>
        </is>
      </c>
      <c r="F31" s="26" t="inlineStr">
        <is>
          <t>visual</t>
        </is>
      </c>
      <c r="G31" s="27" t="inlineStr">
        <is>
          <t>tests/components/toast/visual.spec.ts</t>
        </is>
      </c>
      <c r="H31" s="26" t="inlineStr">
        <is>
          <t>verified</t>
        </is>
      </c>
      <c r="I31" s="26" t="inlineStr">
        <is>
          <t>yes</t>
        </is>
      </c>
      <c r="J31" s="28" t="n">
        <v>46230</v>
      </c>
      <c r="K31" s="27" t="inlineStr">
        <is>
          <t>Agent inspected the reduced-motion loading and forced-color type baselines.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TO-24</t>
        </is>
      </c>
      <c r="B32" s="26" t="inlineStr">
        <is>
          <t>Accessibility</t>
        </is>
      </c>
      <c r="C32" s="26" t="inlineStr">
        <is>
          <t>All parts</t>
        </is>
      </c>
      <c r="D32" s="27" t="inlineStr">
        <is>
          <t>Labelled region, exactly-once live semantics, decorative glyphs, native buttons, focus order, target geometry, localized labels, and scoped axe checks remain valid.</t>
        </is>
      </c>
      <c r="E32" s="26" t="inlineStr">
        <is>
          <t>package</t>
        </is>
      </c>
      <c r="F32" s="26" t="inlineStr">
        <is>
          <t>axe</t>
        </is>
      </c>
      <c r="G32" s="27" t="inlineStr">
        <is>
          <t>tests/components/toast/behavior.spec.ts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TO-25</t>
        </is>
      </c>
      <c r="B33" s="26" t="inlineStr">
        <is>
          <t>Visual</t>
        </is>
      </c>
      <c r="C33" s="26" t="inlineStr">
        <is>
          <t>All parts</t>
        </is>
      </c>
      <c r="D33" s="27" t="inlineStr">
        <is>
          <t>Nine reviewed Chromium baselines cover overview, six types, content, queue, positions, appearance, mobile RTL stress, reduced-motion loading, and forced colors.</t>
        </is>
      </c>
      <c r="E33" s="26" t="inlineStr">
        <is>
          <t>package</t>
        </is>
      </c>
      <c r="F33" s="26" t="inlineStr">
        <is>
          <t>visual</t>
        </is>
      </c>
      <c r="G33" s="27" t="inlineStr">
        <is>
          <t>tests/components/toast/visual.spec.ts</t>
        </is>
      </c>
      <c r="H33" s="26" t="inlineStr">
        <is>
          <t>verified</t>
        </is>
      </c>
      <c r="I33" s="26" t="inlineStr">
        <is>
          <t>yes</t>
        </is>
      </c>
      <c r="J33" s="28" t="n">
        <v>46230</v>
      </c>
      <c r="K33" s="27" t="inlineStr">
        <is>
          <t>Agent inspected every generated Toast baseline after the final typography-token correction.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TO-26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navigable Toast route exposes nine controlled scenarios for overview, types, content, queue, positions, async lifecycle, customization, accessibility, and stress.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src/components/toast/ToastPage.tsx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TO-27</t>
        </is>
      </c>
      <c r="B35" s="26" t="inlineStr">
        <is>
          <t>Manual</t>
        </is>
      </c>
      <c r="C35" s="26" t="inlineStr">
        <is>
          <t>All parts</t>
        </is>
      </c>
      <c r="D35" s="27" t="inlineStr">
        <is>
          <t>A tester completes the pointer, keyboard, assistive-technology, announcement, timer, zoom, mobile, RTL, safe-area, appearance, forced-color, reduced-motion, and portal protocol.</t>
        </is>
      </c>
      <c r="E35" s="26" t="inlineStr">
        <is>
          <t>package</t>
        </is>
      </c>
      <c r="F35" s="26" t="inlineStr">
        <is>
          <t>manual</t>
        </is>
      </c>
      <c r="G35" s="27" t="inlineStr">
        <is>
          <t>manual-tests/toast.md</t>
        </is>
      </c>
      <c r="H35" s="26" t="inlineStr">
        <is>
          <t>not started</t>
        </is>
      </c>
      <c r="I35" s="26" t="inlineStr">
        <is>
          <t>yes</t>
        </is>
      </c>
      <c r="J35" s="28" t="n">
        <v>46230</v>
      </c>
      <c r="K35" s="27" t="inlineStr">
        <is>
          <t>Human run intentionally unclaimed.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TO-28</t>
        </is>
      </c>
      <c r="B36" s="26" t="inlineStr">
        <is>
          <t>Documentation</t>
        </is>
      </c>
      <c r="C36" s="26" t="inlineStr">
        <is>
          <t>Toast</t>
        </is>
      </c>
      <c r="D36" s="27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6" t="inlineStr">
        <is>
          <t>package</t>
        </is>
      </c>
      <c r="F36" s="26" t="inlineStr">
        <is>
          <t>docs</t>
        </is>
      </c>
      <c r="G36" s="27" t="inlineStr">
        <is>
          <t>../docs/components/toast/README.md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TO-29</t>
        </is>
      </c>
      <c r="B37" s="26" t="inlineStr">
        <is>
          <t>Changelog</t>
        </is>
      </c>
      <c r="C37" s="26" t="inlineStr">
        <is>
          <t>Toast</t>
        </is>
      </c>
      <c r="D37" s="27" t="inlineStr">
        <is>
          <t>Toast owns a public component changelog and the package changelog records the complete public addition and exact Atom dependency update.</t>
        </is>
      </c>
      <c r="E37" s="26" t="inlineStr">
        <is>
          <t>package</t>
        </is>
      </c>
      <c r="F37" s="26" t="inlineStr">
        <is>
          <t>docs</t>
        </is>
      </c>
      <c r="G37" s="27" t="inlineStr">
        <is>
          <t>../docs/components/toast/CHANGELOG.md; ../CHANGELOG.md</t>
        </is>
      </c>
      <c r="H37" s="26" t="inlineStr">
        <is>
          <t>tested</t>
        </is>
      </c>
      <c r="I37" s="26" t="inlineStr">
        <is>
          <t>no</t>
        </is>
      </c>
      <c r="J37" s="28" t="n">
        <v>46230</v>
      </c>
      <c r="K37" s="27" t="n"/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TO-30</t>
        </is>
      </c>
      <c r="B38" s="26" t="inlineStr">
        <is>
          <t>Consumer</t>
        </is>
      </c>
      <c r="C38" s="26" t="inlineStr">
        <is>
          <t>Toaster / toast</t>
        </is>
      </c>
      <c r="D38" s="27" t="inlineStr">
        <is>
          <t>Packed Consumer imports the public toast subpath, installs one Toaster, and produces durable duplicate success feedback after publishing on desktop and mobile.</t>
        </is>
      </c>
      <c r="E38" s="26" t="inlineStr">
        <is>
          <t>consumer</t>
        </is>
      </c>
      <c r="F38" s="26" t="inlineStr">
        <is>
          <t>consumer</t>
        </is>
      </c>
      <c r="G38" s="27" t="inlineStr">
        <is>
          <t>../apps/consumer/src/App.tsx; ../apps/consumer/tests/consumer.spec.ts</t>
        </is>
      </c>
      <c r="H38" s="26" t="inlineStr">
        <is>
          <t>tested</t>
        </is>
      </c>
      <c r="I38" s="26" t="inlineStr">
        <is>
          <t>no</t>
        </is>
      </c>
      <c r="J38" s="28" t="n">
        <v>46230</v>
      </c>
      <c r="K38" s="27" t="n"/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TO-31</t>
        </is>
      </c>
      <c r="B39" s="26" t="inlineStr">
        <is>
          <t>Package</t>
        </is>
      </c>
      <c r="C39" s="26" t="inlineStr">
        <is>
          <t>Toast</t>
        </is>
      </c>
      <c r="D39" s="27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../test/package/ssr.test.mjs; ../scripts/verify-package.mjs; ../scripts/verify-consumers.mjs</t>
        </is>
      </c>
      <c r="H39" s="26" t="inlineStr">
        <is>
          <t>tested</t>
        </is>
      </c>
      <c r="I39" s="26" t="inlineStr">
        <is>
          <t>no</t>
        </is>
      </c>
      <c r="J39" s="28" t="n">
        <v>46230</v>
      </c>
      <c r="K39" s="27" t="n"/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native Table semantics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../src/components/table/Table.tsx;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the adopted static Table surface.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../test/components/table/table.test.tsx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Anatomy</t>
        </is>
      </c>
      <c r="C11" s="26" t="inlineStr">
        <is>
          <t>Root and sections</t>
        </is>
      </c>
      <c r="D11" s="27" t="inlineStr">
        <is>
          <t>Container, table, caption, sections, rows, headers, cells, and indicator render exact native hosts and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../test/components/table/table.test.tsx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variants, sizes, densities, caption sides, logical alignment, numeric formatting,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../test/types/components/table.test.ts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table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Table imports server-safely and emits deterministic native anatomy without grid roles.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line, medium, comfortable, unstriped, non-sticky, top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../test/components/table/table.test.tsx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compact/comfortable, and stripe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tests/components/table/behavior.spec.ts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Semantics</t>
        </is>
      </c>
      <c r="C17" s="26" t="inlineStr">
        <is>
          <t>Head / Cell</t>
        </is>
      </c>
      <c r="D17" s="27" t="inlineStr">
        <is>
          <t>Scope, headers, spans, caption, section relationships, and sort metadata remain native.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../test/components/table/table.test.tsx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Alignment</t>
        </is>
      </c>
      <c r="C18" s="26" t="inlineStr">
        <is>
          <t>Head / Cell</t>
        </is>
      </c>
      <c r="D18" s="27" t="inlineStr">
        <is>
          <t>Start, center, end, and numeric formatting use logical alignment and tabular figures with explicit precedence.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tests/components/table/behavior.spec.ts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Sorting</t>
        </is>
      </c>
      <c r="C19" s="26" t="inlineStr">
        <is>
          <t>Head / SortIndicator</t>
        </is>
      </c>
      <c r="D19" s="27" t="inlineStr">
        <is>
          <t>Application Button owns sorting while Head exposes aria-sort and decorative artwork remains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tests/components/table/behavior.spec.ts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Responsive</t>
        </is>
      </c>
      <c r="C20" s="26" t="inlineStr">
        <is>
          <t>Container</t>
        </is>
      </c>
      <c r="D20" s="27" t="inlineStr">
        <is>
          <t>Explicit horizontal containment preserves every column without page overflow or card conversion.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tests/components/table/behavior.spec.ts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Sticky</t>
        </is>
      </c>
      <c r="C21" s="26" t="inlineStr">
        <is>
          <t>Header</t>
        </is>
      </c>
      <c r="D21" s="27" t="inlineStr">
        <is>
          <t>Header cells remain opaque and sticky within an authored vertical scroll boundary.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tests/components/table/behavior.spec.ts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RTL</t>
        </is>
      </c>
      <c r="C22" s="26" t="inlineStr">
        <is>
          <t>All parts</t>
        </is>
      </c>
      <c r="D22" s="27" t="inlineStr">
        <is>
          <t>Logical alignment and overflow remain usable with translated RTL data.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tests/components/table/visual.spec.ts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46230</v>
      </c>
      <c r="K22" s="27" t="inlineStr">
        <is>
          <t>Agent inspected the final mobile RTL baseline.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Light, dark, forced-color, boundaries, text, badges, controls, and focus remain legible.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tests/components/table/visual.spec.ts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46230</v>
      </c>
      <c r="K23" s="27" t="inlineStr">
        <is>
          <t>Agent inspected the final appearance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Visual</t>
        </is>
      </c>
      <c r="C24" s="26" t="inlineStr">
        <is>
          <t>All parts</t>
        </is>
      </c>
      <c r="D24" s="27" t="inlineStr">
        <is>
          <t>Ten reviewed baselines cover overview, variants, sizing, alignment, sorting, sticky, dark, responsive mobile, RTL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tests/components/table/visual.spec.ts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46231</v>
      </c>
      <c r="K24" s="27" t="inlineStr">
        <is>
          <t>Agent inspected every final Table baseline after the playground review corrections.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TA-17</t>
        </is>
      </c>
      <c r="B25" s="26" t="inlineStr">
        <is>
          <t>Accessibility</t>
        </is>
      </c>
      <c r="C25" s="26" t="inlineStr">
        <is>
          <t>All parts</t>
        </is>
      </c>
      <c r="D25" s="27" t="inlineStr">
        <is>
          <t>Native structure, independent tab stops, no grid role/tabindex, labelled scrolling, and axe remain valid.</t>
        </is>
      </c>
      <c r="E25" s="26" t="inlineStr">
        <is>
          <t>package</t>
        </is>
      </c>
      <c r="F25" s="26" t="inlineStr">
        <is>
          <t>axe</t>
        </is>
      </c>
      <c r="G25" s="27" t="inlineStr">
        <is>
          <t>tests/components/table/behavior.spec.ts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TA-18</t>
        </is>
      </c>
      <c r="B26" s="26" t="inlineStr">
        <is>
          <t>Playground</t>
        </is>
      </c>
      <c r="C26" s="26" t="inlineStr">
        <is>
          <t>All parts</t>
        </is>
      </c>
      <c r="D26" s="27" t="inlineStr">
        <is>
          <t>One navigable Table route exposes nine persistent controlled scenarios.</t>
        </is>
      </c>
      <c r="E26" s="26" t="inlineStr">
        <is>
          <t>package</t>
        </is>
      </c>
      <c r="F26" s="26" t="inlineStr">
        <is>
          <t>playground</t>
        </is>
      </c>
      <c r="G26" s="27" t="inlineStr">
        <is>
          <t>src/components/table/TablePage.tsx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TA-19</t>
        </is>
      </c>
      <c r="B27" s="26" t="inlineStr">
        <is>
          <t>Documentation</t>
        </is>
      </c>
      <c r="C27" s="26" t="inlineStr">
        <is>
          <t>Table</t>
        </is>
      </c>
      <c r="D27" s="27" t="inlineStr">
        <is>
          <t>The public guide documents role, anatomy, API, defaults, sorting, responsive/sticky behavior, accessibility, CSS, and exclusions.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../docs/components/table/README.md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Table</t>
        </is>
      </c>
      <c r="D28" s="27" t="inlineStr">
        <is>
          <t>Component and package changelogs record the complete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../docs/components/table/CHANGELOG.md;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Table</t>
        </is>
      </c>
      <c r="D29" s="27" t="inlineStr">
        <is>
          <t>Packed Consumer imports the table subpath and composes caption, headers, numeric values, Badge, Link, footer, overflow, and controlled sorting.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Owner completes visual, keyboard, screen-reader, mobile, zoom, RTL, appearance, sticky, and overflow protocol.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manual-tests/table.md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46230</v>
      </c>
      <c r="K30" s="27" t="inlineStr">
        <is>
          <t>Human run intentionally unclaimed.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TA-23</t>
        </is>
      </c>
      <c r="B31" s="26" t="inlineStr">
        <is>
          <t>Package</t>
        </is>
      </c>
      <c r="C31" s="26" t="inlineStr">
        <is>
          <t>Table</t>
        </is>
      </c>
      <c r="D31" s="27" t="inlineStr">
        <is>
          <t>Build, declarations, exports, SSR, CSS, docs, tarball, consumers, browser matrix, and CI pass.</t>
        </is>
      </c>
      <c r="E31" s="26" t="inlineStr">
        <is>
          <t>package</t>
        </is>
      </c>
      <c r="F31" s="26" t="inlineStr">
        <is>
          <t>package</t>
        </is>
      </c>
      <c r="G31" s="27" t="inlineStr">
        <is>
          <t>../test/package/package.test.mjs; ../scripts/verify-package.mjs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GitHub Actions run 30322250031 passed package, full browser, and packed Consumer verification on commit fde38a9.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n"/>
      <c r="B32" s="26" t="n"/>
      <c r="C32" s="26" t="n"/>
      <c r="D32" s="27" t="n"/>
      <c r="E32" s="26" t="n"/>
      <c r="F32" s="26" t="n"/>
      <c r="G32" s="27" t="n"/>
      <c r="H32" s="26" t="n"/>
      <c r="I32" s="26" t="n"/>
      <c r="J32" s="28" t="n"/>
      <c r="K32" s="27" t="n"/>
      <c r="L32" s="26" t="n"/>
      <c r="M32" s="26" t="n"/>
    </row>
    <row r="33" ht="54" customHeight="1" s="17">
      <c r="A33" s="26" t="n"/>
      <c r="B33" s="26" t="n"/>
      <c r="C33" s="26" t="n"/>
      <c r="D33" s="27" t="n"/>
      <c r="E33" s="26" t="n"/>
      <c r="F33" s="26" t="n"/>
      <c r="G33" s="27" t="n"/>
      <c r="H33" s="26" t="n"/>
      <c r="I33" s="26" t="n"/>
      <c r="J33" s="28" t="n"/>
      <c r="K33" s="27" t="n"/>
      <c r="L33" s="26" t="n"/>
      <c r="M33" s="26" t="n"/>
    </row>
    <row r="34" ht="54" customHeight="1" s="17">
      <c r="A34" s="26" t="n"/>
      <c r="B34" s="26" t="n"/>
      <c r="C34" s="26" t="n"/>
      <c r="D34" s="27" t="n"/>
      <c r="E34" s="26" t="n"/>
      <c r="F34" s="26" t="n"/>
      <c r="G34" s="27" t="n"/>
      <c r="H34" s="26" t="n"/>
      <c r="I34" s="26" t="n"/>
      <c r="J34" s="28" t="n"/>
      <c r="K34" s="27" t="n"/>
      <c r="L34" s="26" t="n"/>
      <c r="M34" s="26" t="n"/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0.16.0 Pagination behavior without recreating state, range,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../src/components/pagination/Pagination.tsx;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Seven-part namespace and named exports expose Root, List, Previous, Items, Item, Ellipsis, and Next.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../test/components/pagination/pagination.test.tsx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PA-03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 nav, List ol, Atom list items, native buttons, hostless Items, and assistive-hidden Ellipsis render with exact refs and hooks.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../test/components/pagination/pagination.test.tsx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 and sizes, Atom state/localization props, shared Items props,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../test/types/components/pagination.test.ts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pagination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PA-06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Pagination imports server-safely and emits deterministic generated native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page 1, sibling count 1, and boundary count 1.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../test/components/pagination/pagination.test.tsx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outline and sm, md, lg recipes remain independent and preserve geometry by state.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tests/components/pagination/behavior.spec.ts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PA-09</t>
        </is>
      </c>
      <c r="B17" s="26" t="inlineStr">
        <is>
          <t>Range</t>
        </is>
      </c>
      <c r="C17" s="26" t="inlineStr">
        <is>
          <t>Items</t>
        </is>
      </c>
      <c r="D17" s="27" t="inlineStr">
        <is>
          <t>Items renders Atom's generated stable page and Ellipsis range without a Brick algorithm copy.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../test/components/pagination/pagination.test.tsx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PA-10</t>
        </is>
      </c>
      <c r="B18" s="26" t="inlineStr">
        <is>
          <t>State</t>
        </is>
      </c>
      <c r="C18" s="26" t="inlineStr">
        <is>
          <t>Controls</t>
        </is>
      </c>
      <c r="D18" s="27" t="inlineStr">
        <is>
          <t>Controlled and uncontrolled page changes, current-page no-op, and first/last/whole-root disabled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tests/components/pagination/behavior.spec.ts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PA-11</t>
        </is>
      </c>
      <c r="B19" s="26" t="inlineStr">
        <is>
          <t>Localization</t>
        </is>
      </c>
      <c r="C19" s="26" t="inlineStr">
        <is>
          <t>Controls</t>
        </is>
      </c>
      <c r="D19" s="27" t="inlineStr">
        <is>
          <t>Root localizes generated page and boundary labels while direct aria-label remains authoritative.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tests/components/pagination/behavior.spec.ts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PA-12</t>
        </is>
      </c>
      <c r="B20" s="26" t="inlineStr">
        <is>
          <t>Icons</t>
        </is>
      </c>
      <c r="C20" s="26" t="inlineStr">
        <is>
          <t>Previous / Next</t>
        </is>
      </c>
      <c r="D20" s="27" t="inlineStr">
        <is>
          <t>Default logical chevrons are decorative, centered, and mirror in RTL; authored children replace them.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tests/components/pagination/behavior.spec.ts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PA-13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Labelled nav/list semantics, current state, native Tab and activation, disabled controls, decorative gaps, and axe checks pass.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tests/components/pagination/behavior.spec.ts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PA-14</t>
        </is>
      </c>
      <c r="B22" s="26" t="inlineStr">
        <is>
          <t>Responsive</t>
        </is>
      </c>
      <c r="C22" s="26" t="inlineStr">
        <is>
          <t>Root / List</t>
        </is>
      </c>
      <c r="D22" s="27" t="inlineStr">
        <is>
          <t>The list stays bounded, never wraps or hides items, and scrolls inline when constrained.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tests/components/pagination/behavior.spec.ts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 and dark semantic scopes preserve current, neutral, disabled, and surface recipes.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tests/components/pagination/visual.spec.ts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PA-16</t>
        </is>
      </c>
      <c r="B24" s="26" t="inlineStr">
        <is>
          <t>Preferences</t>
        </is>
      </c>
      <c r="C24" s="26" t="inlineStr">
        <is>
          <t>Controls</t>
        </is>
      </c>
      <c r="D24" s="27" t="inlineStr">
        <is>
          <t>Forced colors keeps current, disabled, and focus distinctions; reduced motion removes color transitions.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manual-tests/pagination.md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forced-colors and reduced-motion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PA-17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Reviewed baselines cover overview, variants, sizes, appearance, customization, responsive overflow, and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tests/components/pagination/visual.spec.ts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approval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PA-18</t>
        </is>
      </c>
      <c r="B26" s="26" t="inlineStr">
        <is>
          <t>Customization</t>
        </is>
      </c>
      <c r="C26" s="26" t="inlineStr">
        <is>
          <t>Root / parts</t>
        </is>
      </c>
      <c r="D26" s="27" t="inlineStr">
        <is>
          <t>Stable classes, slots, data attributes, component variables, className, and style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../test/components/pagination/pagination.test.tsx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PA-19</t>
        </is>
      </c>
      <c r="B27" s="26" t="inlineStr">
        <is>
          <t>Documentation</t>
        </is>
      </c>
      <c r="C27" s="26" t="inlineStr">
        <is>
          <t>Public guide</t>
        </is>
      </c>
      <c r="D27" s="27" t="inlineStr">
        <is>
          <t>Guide documents all exports, recipes, hooks, responsibilities, exclusions, and evidence.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../docs/components/pagination/README.md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PA-20</t>
        </is>
      </c>
      <c r="B28" s="26" t="inlineStr">
        <is>
          <t>Changelog</t>
        </is>
      </c>
      <c r="C28" s="26" t="inlineStr">
        <is>
          <t>Public record</t>
        </is>
      </c>
      <c r="D28" s="27" t="inlineStr">
        <is>
          <t>Component and package changelogs describe the release-facing Pagination addition.</t>
        </is>
      </c>
      <c r="E28" s="26" t="inlineStr">
        <is>
          <t>package</t>
        </is>
      </c>
      <c r="F28" s="26" t="inlineStr">
        <is>
          <t>documentation</t>
        </is>
      </c>
      <c r="G28" s="27" t="inlineStr">
        <is>
          <t>../docs/components/pagination/CHANGELOG.md;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PA-21</t>
        </is>
      </c>
      <c r="B29" s="26" t="inlineStr">
        <is>
          <t>Playground</t>
        </is>
      </c>
      <c r="C29" s="26" t="inlineStr">
        <is>
          <t>All parts</t>
        </is>
      </c>
      <c r="D29" s="27" t="inlineStr">
        <is>
          <t>Deterministic route exposes every adopted scenario with semantically distinct content.</t>
        </is>
      </c>
      <c r="E29" s="26" t="inlineStr">
        <is>
          <t>package</t>
        </is>
      </c>
      <c r="F29" s="26" t="inlineStr">
        <is>
          <t>playground</t>
        </is>
      </c>
      <c r="G29" s="27" t="inlineStr">
        <is>
          <t>../playground/src/components/pagination/PaginationPage.tsx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Numbered protocol reviews semantics, recipes, preferences, zoom, RTL, overflow, and physical touch.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manual-tests/pagination.md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46231</v>
      </c>
      <c r="K30" s="27" t="inlineStr">
        <is>
          <t>Owner manual run not yet completed.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PA-23</t>
        </is>
      </c>
      <c r="B31" s="26" t="inlineStr">
        <is>
          <t>Consumer</t>
        </is>
      </c>
      <c r="C31" s="26" t="inlineStr">
        <is>
          <t>Root / generated controls</t>
        </is>
      </c>
      <c r="D31" s="27" t="inlineStr">
        <is>
          <t>Packed Consumer composes controlled Pagination through its public subpath.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PA-24</t>
        </is>
      </c>
      <c r="B32" s="26" t="inlineStr">
        <is>
          <t>Package</t>
        </is>
      </c>
      <c r="C32" s="26" t="inlineStr">
        <is>
          <t>Artifact</t>
        </is>
      </c>
      <c r="D32" s="27" t="inlineStr">
        <is>
          <t>Packed archive includes root/subpath declarations, runtime exports, CSS, exact Atom dependency, and React 18/19 compatibility.</t>
        </is>
      </c>
      <c r="E32" s="26" t="inlineStr">
        <is>
          <t>package</t>
        </is>
      </c>
      <c r="F32" s="26" t="inlineStr">
        <is>
          <t>package</t>
        </is>
      </c>
      <c r="G32" s="27" t="inlineStr">
        <is>
          <t>../scripts/verify-package.mjs; ../scripts/verify-consumers.mjs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PA-25</t>
        </is>
      </c>
      <c r="B33" s="26" t="inlineStr">
        <is>
          <t>Exclusion</t>
        </is>
      </c>
      <c r="C33" s="26" t="inlineStr">
        <is>
          <t>All parts</t>
        </is>
      </c>
      <c r="D33" s="27" t="inlineStr">
        <is>
          <t>URL/router navigation, page size, totals, fetching, loading, quick jump, and responsive range policy remain outside Pagination.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../docs/components/pagination/README.md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0.17.0 Data Grid behavior without recreating navigation,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../src/components/data-grid/DataGrid.tsx;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Container, Root, Caption, Header, Body, Footer, Row, ColumnHeader, Cell,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../test/components/data-grid/data-grid.test.tsx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 and exact native table hosts, grid roles,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../test/components/data-grid/data-grid.test.tsx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Atom state, indexes, controlled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../test/types/components/data-grid.test.ts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data-grid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Data Grid imports server-safely and emits deterministic labelled grid,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../test/components/data-grid/data-grid.test.tsx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tests/components/data-grid/behavior.spec.ts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DG-09</t>
        </is>
      </c>
      <c r="B17" s="26" t="inlineStr">
        <is>
          <t>Navigation</t>
        </is>
      </c>
      <c r="C17" s="26" t="inlineStr">
        <is>
          <t>Root / cells</t>
        </is>
      </c>
      <c r="D17" s="27" t="inlineStr">
        <is>
          <t>Root owns focus and active descendant while arrow, boundary, page, loop, wrap, RTL, and disabled-cell navigation remain Atom-owned.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tests/components/data-grid/behavior.spec.ts; @flowstack-ui/atom 0.17.0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DG-10</t>
        </is>
      </c>
      <c r="B18" s="26" t="inlineStr">
        <is>
          <t>Selection</t>
        </is>
      </c>
      <c r="C18" s="26" t="inlineStr">
        <is>
          <t>Root / Row</t>
        </is>
      </c>
      <c r="D18" s="27" t="inlineStr">
        <is>
          <t>Controlled/uncontrolled single and multiple row selection, row-click policy, Space activation, and disabled/read-only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tests/components/data-grid/behavior.spec.ts; @flowstack-ui/atom 0.17.0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DG-11</t>
        </is>
      </c>
      <c r="B19" s="26" t="inlineStr">
        <is>
          <t>Sorting</t>
        </is>
      </c>
      <c r="C19" s="26" t="inlineStr">
        <is>
          <t>ColumnHeader / SortIndicator</t>
        </is>
      </c>
      <c r="D19" s="27" t="inlineStr">
        <is>
          <t>Indexed actionable headers request application sorting by pointer and Enter; aria-sort stays controlled and artwork stays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tests/components/data-grid/behavior.spec.ts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DG-12</t>
        </is>
      </c>
      <c r="B20" s="26" t="inlineStr">
        <is>
          <t>Alignment</t>
        </is>
      </c>
      <c r="C20" s="26" t="inlineStr">
        <is>
          <t>ColumnHeader / Cell</t>
        </is>
      </c>
      <c r="D20" s="27" t="inlineStr">
        <is>
          <t>Start, center, end, and numeric formatting use logical alignment, tabular figures, and explicit precedence.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../test/components/data-grid/data-grid.test.tsx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DG-13</t>
        </is>
      </c>
      <c r="B21" s="26" t="inlineStr">
        <is>
          <t>States</t>
        </is>
      </c>
      <c r="C21" s="26" t="inlineStr">
        <is>
          <t>Rows / cells</t>
        </is>
      </c>
      <c r="D21" s="27" t="inlineStr">
        <is>
          <t>Selected, active, disabled, selectable, actionable, hover, and sorted paint follows Atom attributes without geometry changes.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tests/components/data-grid/behavior.spec.ts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DG-14</t>
        </is>
      </c>
      <c r="B22" s="26" t="inlineStr">
        <is>
          <t>Responsive</t>
        </is>
      </c>
      <c r="C22" s="26" t="inlineStr">
        <is>
          <t>Container</t>
        </is>
      </c>
      <c r="D22" s="27" t="inlineStr">
        <is>
          <t>Explicit horizontal containment preserves columns without page overflow, card conversion, or implicit wrapping.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tests/components/data-grid/behavior.spec.ts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DG-15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navigation, alignment, sorting indicator placement, and overflow remain usable with RTL content.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tests/components/data-grid/visual.spec.ts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DG-16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boundaries, state distinctions, badges, and focus.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tests/components/data-grid/visual.spec.ts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DG-17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sizing, selection, sorting,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tests/components/data-grid/visual.spec.ts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DG-18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classes, styles, and custom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../test/components/data-grid/data-grid.test.tsx; ../docs/components/data-grid/README.md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DG-19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Label, roles, counts, coordinates, selection, disabled, active descendant, sort metadata,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tests/components/data-grid/behavior.spec.ts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DG-20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Data Grid route exposes nine persistent controlled scenarios.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src/components/data-grid/DataGridPage.tsx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DG-21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sorting, containment,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../docs/components/data-grid/README.md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DG-22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Data Grid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../docs/components/data-grid/CHANGELOG.md;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DG-23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Data Grid with controlled sorting and selection plus external Toolbar, Pagination, and Badge.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Packed Consumer passed 74 desktop/mobile checks on July 28, 2026.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DG-24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mobile overflow, RTL, appearance, preferences,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manual-tests/data-grid.md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DG-25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Package, tarball, SSR, CSS, and clean React 18/19 consumer verification passed locally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DG-26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Editing, interactive cells, filtering, pagination, resizing, virtualization, schemas, enterprise processing, hierarchy, and page layout remain outside Data Grid.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../docs/components/data-grid/README.md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0.18.0 TreeGrid behavior without recreating hierarchy, navigation, expansion,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../src/components/tree-grid/TreeGrid.tsx;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Twelve-part namespace and named exports expose Container, Root, Caption, Header, Body, Footer, Row, ColumnHeader, RowHeader, Cell, Indicator,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../test/components/tree-grid/tree-grid.test.tsx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Container, exact native table hosts, treegrid roles, silent indicators,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../test/components/tree-grid/tree-grid.test.tsx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hierarchy, Atom state, controlled expansion,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inlineStr">
        <is>
          <t>Root/subpath runtime identity passed in the complete package check on July 28, 2026.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Tree Grid imports server-safely and emits deterministic labelled treegrid, hierarchy,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inlineStr">
        <is>
          <t>Tree Grid SSR anatomy passed in the complete package check on July 28, 2026.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../test/components/tree-grid/tree-grid.test.tsx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inlineStr">
        <is>
          <t>Focused Chromium behavior and visual owners passed on July 28, 2026.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TG-09</t>
        </is>
      </c>
      <c r="B17" s="26" t="inlineStr">
        <is>
          <t>Hierarchy</t>
        </is>
      </c>
      <c r="C17" s="26" t="inlineStr">
        <is>
          <t>Row / RowHeader / Indicator</t>
        </is>
      </c>
      <c r="D17" s="27" t="inlineStr">
        <is>
          <t>Levels one through ten indent only the column-1 RowHeader; branches and leaves retain stable indicator space and expansion artwork.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tests/components/tree-grid/behavior.spec.ts; @flowstack-ui/atom 0.18.0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inlineStr">
        <is>
          <t>Behavior owner passed Chromium, Firefox, WebKit, Pixel 7, and iPhone 15 profiles on July 28, 2026.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TG-10</t>
        </is>
      </c>
      <c r="B18" s="26" t="inlineStr">
        <is>
          <t>Navigation</t>
        </is>
      </c>
      <c r="C18" s="26" t="inlineStr">
        <is>
          <t>Root / cells</t>
        </is>
      </c>
      <c r="D18" s="27" t="inlineStr">
        <is>
          <t>Root owns focus and active descendant while visible-cell boundaries, hierarchy movement, RTL, and disabled-cell navigation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tests/components/tree-grid/behavior.spec.ts; @flowstack-ui/atom 0.18.0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inlineStr">
        <is>
          <t>Behavior owner and Atom 0.18.0 collapse regression passed on July 28, 2026.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TG-11</t>
        </is>
      </c>
      <c r="B19" s="26" t="inlineStr">
        <is>
          <t>Collapse</t>
        </is>
      </c>
      <c r="C19" s="26" t="inlineStr">
        <is>
          <t>Root / Row</t>
        </is>
      </c>
      <c r="D19" s="27" t="inlineStr">
        <is>
          <t>Collapsing a branch that hides the active descendant relocates active state to the ancestor's column-1 cell.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tests/components/tree-grid/behavior.spec.ts; @flowstack-ui/atom 0.18.0 behavior suite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inlineStr">
        <is>
          <t>Behavior owner passed Chromium, Firefox, WebKit, Pixel 7, and iPhone 15 profiles on July 28, 2026.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TG-12</t>
        </is>
      </c>
      <c r="B20" s="26" t="inlineStr">
        <is>
          <t>Selection</t>
        </is>
      </c>
      <c r="C20" s="26" t="inlineStr">
        <is>
          <t>Root / Row</t>
        </is>
      </c>
      <c r="D20" s="27" t="inlineStr">
        <is>
          <t>Controlled and uncontrolled selection, row-click policy, Space activation, disabled/read-only boundaries, and expansion remain distinct.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tests/components/tree-grid/behavior.spec.ts; @flowstack-ui/atom 0.18.0 behavior suite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inlineStr">
        <is>
          <t>Focused collapse relocation passed in five browser/device profiles on July 28, 2026.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TG-13</t>
        </is>
      </c>
      <c r="B21" s="26" t="inlineStr">
        <is>
          <t>Sorting</t>
        </is>
      </c>
      <c r="C21" s="26" t="inlineStr">
        <is>
          <t>ColumnHeader / SortIndicator</t>
        </is>
      </c>
      <c r="D21" s="27" t="inlineStr">
        <is>
          <t>Indexed actionable headers request application sorting by pointer and Enter; aria-sort stays controlled and artwork stays silent.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inlineStr">
        <is>
          <t>Selection and read-only coverage passed in five browser/device profiles on July 28, 2026.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TG-14</t>
        </is>
      </c>
      <c r="B22" s="26" t="inlineStr">
        <is>
          <t>Alignment</t>
        </is>
      </c>
      <c r="C22" s="26" t="inlineStr">
        <is>
          <t>ColumnHeader / RowHeader / Cell</t>
        </is>
      </c>
      <c r="D22" s="27" t="inlineStr">
        <is>
          <t>Start, center, end, and numeric formatting use logical alignment, tabular figures, and explicit precedence.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../test/components/tree-grid/tree-grid.test.tsx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inlineStr">
        <is>
          <t>Pointer and Enter sorting parity passed in five browser/device profiles on July 28, 2026.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TG-15</t>
        </is>
      </c>
      <c r="B23" s="26" t="inlineStr">
        <is>
          <t>States</t>
        </is>
      </c>
      <c r="C23" s="26" t="inlineStr">
        <is>
          <t>Rows / cells</t>
        </is>
      </c>
      <c r="D23" s="27" t="inlineStr">
        <is>
          <t>Selected, active, expanded, disabled, read-only, actionable, hover, and sorted paint follows Atom attributes without geometry changes.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tests/components/tree-grid/behavior.spec.ts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TG-16</t>
        </is>
      </c>
      <c r="B24" s="26" t="inlineStr">
        <is>
          <t>Responsive</t>
        </is>
      </c>
      <c r="C24" s="26" t="inlineStr">
        <is>
          <t>Container</t>
        </is>
      </c>
      <c r="D24" s="27" t="inlineStr">
        <is>
          <t>Explicit horizontal containment preserves hierarchy and columns without page overflow, card conversion, or implicit root scrolling.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tests/components/tree-grid/behavior.spec.ts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inlineStr">
        <is>
          <t>State and geometry checks passed in five browser/device profiles on July 28, 2026.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TG-17</t>
        </is>
      </c>
      <c r="B25" s="26" t="inlineStr">
        <is>
          <t>RTL</t>
        </is>
      </c>
      <c r="C25" s="26" t="inlineStr">
        <is>
          <t>All parts</t>
        </is>
      </c>
      <c r="D25" s="27" t="inlineStr">
        <is>
          <t>Logical hierarchy navigation, indentation, indicator direction, alignment, sorting placement, and overflow remain usable with localized RTL content.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Containment and page-overflow checks passed in five browser/device profiles on July 28, 2026.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TG-18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Light and dark badges plus forced-color surfaces preserve clipped boundaries, hierarchy, state distinctions, and focus.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tests/components/tree-grid/visual.spec.ts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Owner visual review not yet recorded.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TG-19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Baselines cover overview, variants, sizing, hierarchy, controlled sorting, dark customization, responsive mobile, RTL mobile,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tests/components/tree-grid/visual.spec.ts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Owner baseline review not yet recorded.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TG-20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Stable classes, slots, public variables, styles, custom indicators, and accent outline clipping preserve behavior and rounded edges.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../test/components/tree-grid/tree-grid.test.tsx; ../docs/components/tree-grid/README.md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TG-21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Name, roles, hierarchy, counts, coordinates, expansion, selection, disabled/read-only, active descendant, sort metadata, and axe checks pass.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tests/components/tree-grid/behavior.spec.ts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inlineStr">
        <is>
          <t>Axe and accessibility assertions passed in five browser/device profiles on July 28, 2026.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TG-22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Tree Grid route exposes nine persistent, controlled scenarios with realistic hierarchical release content.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src/components/tree-grid/TreeGridPage.tsx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TG-23</t>
        </is>
      </c>
      <c r="B31" s="26" t="inlineStr">
        <is>
          <t>Documentation</t>
        </is>
      </c>
      <c r="C31" s="26" t="inlineStr">
        <is>
          <t>Public guide</t>
        </is>
      </c>
      <c r="D31" s="27" t="inlineStr">
        <is>
          <t>Guide documents boundary, anatomy, authored coordinates, API, recipes, hierarchy, keyboard, expansion, selection, sorting, containment, accessibility, CSS, and exclusions.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../docs/components/tree-grid/README.md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TG-24</t>
        </is>
      </c>
      <c r="B32" s="26" t="inlineStr">
        <is>
          <t>Changelog</t>
        </is>
      </c>
      <c r="C32" s="26" t="inlineStr">
        <is>
          <t>Public record</t>
        </is>
      </c>
      <c r="D32" s="27" t="inlineStr">
        <is>
          <t>Component and package changelogs describe the release-facing Tree Grid addition.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../docs/components/tree-grid/CHANGELOG.md;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TG-25</t>
        </is>
      </c>
      <c r="B33" s="26" t="inlineStr">
        <is>
          <t>Consumer</t>
        </is>
      </c>
      <c r="C33" s="26" t="inlineStr">
        <is>
          <t>All parts</t>
        </is>
      </c>
      <c r="D33" s="27" t="inlineStr">
        <is>
          <t>Packed Consumer composes Tree Grid with controlled hierarchy, sorting and selection plus external Toolbar, Badge metadata, and a details Surface.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Packed Consumer flow passed 76 desktop/mobile checks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TG-26</t>
        </is>
      </c>
      <c r="B34" s="26" t="inlineStr">
        <is>
          <t>Manual</t>
        </is>
      </c>
      <c r="C34" s="26" t="inlineStr">
        <is>
          <t>All parts</t>
        </is>
      </c>
      <c r="D34" s="27" t="inlineStr">
        <is>
          <t>Owner reviews hierarchy keyboard, collapse focus, screen reader, zoom, touch, RTL, appearances, preferences, rounded clipping, and component boundaries.</t>
        </is>
      </c>
      <c r="E34" s="26" t="inlineStr">
        <is>
          <t>package</t>
        </is>
      </c>
      <c r="F34" s="26" t="inlineStr">
        <is>
          <t>manual</t>
        </is>
      </c>
      <c r="G34" s="27" t="inlineStr">
        <is>
          <t>manual-tests/tree-grid.md</t>
        </is>
      </c>
      <c r="H34" s="26" t="inlineStr">
        <is>
          <t>not started</t>
        </is>
      </c>
      <c r="I34" s="26" t="inlineStr">
        <is>
          <t>yes</t>
        </is>
      </c>
      <c r="J34" s="28" t="n">
        <v>46231</v>
      </c>
      <c r="K34" s="27" t="inlineStr">
        <is>
          <t>Human run intentionally unclaimed.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TG-27</t>
        </is>
      </c>
      <c r="B35" s="26" t="inlineStr">
        <is>
          <t>Package</t>
        </is>
      </c>
      <c r="C35" s="26" t="inlineStr">
        <is>
          <t>Artifact</t>
        </is>
      </c>
      <c r="D35" s="27" t="inlineStr">
        <is>
          <t>Build, declarations, exports, SSR, CSS, docs, tarball, clean React consumers, focused browser/device matrix, and Consumer pass.</t>
        </is>
      </c>
      <c r="E35" s="26" t="inlineStr">
        <is>
          <t>package</t>
        </is>
      </c>
      <c r="F35" s="26" t="inlineStr">
        <is>
          <t>package</t>
        </is>
      </c>
      <c r="G35" s="27" t="inlineStr">
        <is>
          <t>../test/package/package.test.mjs; ../scripts/verify-package.mjs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Complete package check, CSS size report, tarball, React 18/19, five-profile Tree Grid browser owner, and packed Consumer passed locally on July 28, 2026.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TG-28</t>
        </is>
      </c>
      <c r="B36" s="26" t="inlineStr">
        <is>
          <t>Boundary</t>
        </is>
      </c>
      <c r="C36" s="26" t="inlineStr">
        <is>
          <t>All parts</t>
        </is>
      </c>
      <c r="D36" s="27" t="inlineStr">
        <is>
          <t>Editing, interactive cells, filtering, pagination, resizing, reordering, virtualization, schemas, enterprise processing, and spreadsheet behavior remain outside Tree Grid.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../docs/components/tree-grid/README.md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TR-01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0.17.1 Tree behavior without recreating focus, navigation, selection, expansion, typeahead, forms,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../src/components/tree/Tree.tsx;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TR-02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Six-part namespace and named exports expose Root, Item, ItemContent, Indicator, ItemText, and Group.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../test/components/tree/tree.test.tsx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TR-03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Atom-backed semantic parts and Brick-owned content-row and indicator hosts, roles, slots, state attributes, and refs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../test/components/tree/tree.test.tsx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vertical-only omission, Atom selection and expansion props,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TR-05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TR-06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Tree imports server-safely and emits deterministic labelled tree, item, text, indicator, and group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TR-07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guides off, vertical orientation, and bounded navigation.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../test/components/tree/tree.test.tsx; tests/components/tree/behavior.spec.ts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TR-08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and outline variants remain independent from sm/md size and optional hierarchy guides.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TR-09</t>
        </is>
      </c>
      <c r="B17" s="26" t="inlineStr">
        <is>
          <t>Focus</t>
        </is>
      </c>
      <c r="C17" s="26" t="inlineStr">
        <is>
          <t>Root / Item</t>
        </is>
      </c>
      <c r="D17" s="27" t="inlineStr">
        <is>
          <t>Initial focus activates the first visible selected item, then the first enabled visible item; focus remains distinct from selection.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tests/components/tree/behavior.spec.ts; @flowstack-ui/atom 0.17.1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TR-10</t>
        </is>
      </c>
      <c r="B18" s="26" t="inlineStr">
        <is>
          <t>Navigation</t>
        </is>
      </c>
      <c r="C18" s="26" t="inlineStr">
        <is>
          <t>Root / Item</t>
        </is>
      </c>
      <c r="D18" s="27" t="inlineStr">
        <is>
          <t>Arrow keys, Home/End, bounded default movement, opt-in loop, typeahead, disabled skipping, and logical expansion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tests/components/tree/behavior.spec.ts; @flowstack-ui/atom 0.17.1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TR-11</t>
        </is>
      </c>
      <c r="B19" s="26" t="inlineStr">
        <is>
          <t>Selection</t>
        </is>
      </c>
      <c r="C19" s="26" t="inlineStr">
        <is>
          <t>Root / Item</t>
        </is>
      </c>
      <c r="D19" s="27" t="inlineStr">
        <is>
          <t>Controlled/uncontrolled single and multiple selection, activation, and disabled/read-only boundaries remain Atom-owned.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TR-12</t>
        </is>
      </c>
      <c r="B20" s="26" t="inlineStr">
        <is>
          <t>Expansion</t>
        </is>
      </c>
      <c r="C20" s="26" t="inlineStr">
        <is>
          <t>Item / Group / Indicator</t>
        </is>
      </c>
      <c r="D20" s="27" t="inlineStr">
        <is>
          <t>Controlled/uncontrolled expansion keeps Group lifecycle and aria-expanded in Atom while Indicator follows expansion visually.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TR-13</t>
        </is>
      </c>
      <c r="B21" s="26" t="inlineStr">
        <is>
          <t>States</t>
        </is>
      </c>
      <c r="C21" s="26" t="inlineStr">
        <is>
          <t>ItemContent</t>
        </is>
      </c>
      <c r="D21" s="27" t="inlineStr">
        <is>
          <t>Hover, active focus, selected, expanded, and disabled paint follows Atom attributes without painting Group descendants or changing geometry.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TR-14</t>
        </is>
      </c>
      <c r="B22" s="26" t="inlineStr">
        <is>
          <t>Responsive</t>
        </is>
      </c>
      <c r="C22" s="26" t="inlineStr">
        <is>
          <t>Root / ItemContent</t>
        </is>
      </c>
      <c r="D22" s="27" t="inlineStr">
        <is>
          <t>Inline containment and wrapping preserve indicators, metadata, indentation, and focus without page overflow at 320 CSS px.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tests/components/tree/behavior.spec.ts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TR-15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indentation, hierarchy guides, trailing metadata, and closed chevrons mirror while expanded chevrons remain downward.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tests/components/tree/visual.spec.ts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TR-16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hierarchy boundaries, focus, selection, and disabled distinctions.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tests/components/tree/visual.spec.ts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TR-17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 and guides, selection,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TR-18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native props, custom row content, and custom decorative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../test/components/tree/tree.test.tsx; ../docs/components/tree/README.md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TR-19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Accessible naming, roles, levels, selection, expansion, disabled state, active descendant, silent decoration,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tests/components/tree/behavior.spec.ts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TR-20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Tree route exposes eight persistent, controlled scenarios with realistic hierarchical content.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src/components/tree/TreePage.tsx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expansion, responsive behavior,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../docs/components/tree/README.md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Tree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../docs/components/tree/CHANGELOG.md;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TR-23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Tree with selection, expansion, guides, metadata Badge, and public subpath imports.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TR-24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touch, RTL, appearance, preferences, content stress,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manual-tests/tree.md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TR-25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TR-26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Tree Grid, loading, filtering, links, checking, rename, drag/drop, virtualization, context menus, routing, persistence, and interactive descendants remain outside Tree.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../docs/components/tree/README.md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AR-01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0.18.0 AspectRatio geometry without recreating normalization, native CSS sizing,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../src/components/aspect-ratio/AspectRatio.tsx;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boundary is covered by source and component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AR-02</t>
        </is>
      </c>
      <c r="B10" s="26" t="inlineStr">
        <is>
          <t>API</t>
        </is>
      </c>
      <c r="C10" s="26" t="inlineStr">
        <is>
          <t>Root</t>
        </is>
      </c>
      <c r="D10" s="27" t="inlineStr">
        <is>
          <t>Root namespace and named exports expose AspectRatioRoot plus variant, radius, overflow, and props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../test/components/aspect-ratio/aspect-ratio.test.tsx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AR-03</t>
        </is>
      </c>
      <c r="B11" s="26" t="inlineStr">
        <is>
          <t>Anatomy</t>
        </is>
      </c>
      <c r="C11" s="26" t="inlineStr">
        <is>
          <t>Root</t>
        </is>
      </c>
      <c r="D11" s="27" t="inlineStr">
        <is>
          <t>One default div, no Content wrapper, HTMLDivElement ref, Brick class, Atom slot, and recipe attributes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../test/components/aspect-ratio/aspect-ratio.test.tsx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visual unions, numeric-only ratio, native props, refs, asChild, render, and rejected responsive values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../test/types/components/aspect-ratio.test.ts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AR-05</t>
        </is>
      </c>
      <c r="B13" s="26" t="inlineStr">
        <is>
          <t>Exports</t>
        </is>
      </c>
      <c r="C13" s="26" t="inlineStr">
        <is>
          <t>Root</t>
        </is>
      </c>
      <c r="D13" s="27" t="inlineStr">
        <is>
          <t>Root and aspect-ratio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AR-06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Aspect Ratio imports server-safely and emits deterministic layout-only anatomy with child semantics intact.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AR-07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Default 16:9, positive numeric ratios, and invalid-value normalization remain Atom-owned and browser-accurate.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tests/components/aspect-ratio/behavior.spec.ts; @flowstack-ui/atom 0.18.0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AR-08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subtle, and outline change frame paint only without geometry, content, or semantic drift.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tests/components/aspect-ratio/behavior.spec.ts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AR-09</t>
        </is>
      </c>
      <c r="B17" s="26" t="inlineStr">
        <is>
          <t>Radius</t>
        </is>
      </c>
      <c r="C17" s="26" t="inlineStr">
        <is>
          <t>Root</t>
        </is>
      </c>
      <c r="D17" s="27" t="inlineStr">
        <is>
          <t>None, sm, md, lg, and full change only corner geometry with five distinct computed results.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tests/components/aspect-ratio/behavior.spec.ts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AR-10</t>
        </is>
      </c>
      <c r="B18" s="26" t="inlineStr">
        <is>
          <t>Overflow</t>
        </is>
      </c>
      <c r="C18" s="26" t="inlineStr">
        <is>
          <t>Root</t>
        </is>
      </c>
      <c r="D18" s="27" t="inlineStr">
        <is>
          <t>Hidden clips authored edges and visible permits overflow without changing the ratio box size.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tests/components/aspect-ratio/behavior.spec.ts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AR-11</t>
        </is>
      </c>
      <c r="B19" s="26" t="inlineStr">
        <is>
          <t>Content</t>
        </is>
      </c>
      <c r="C19" s="26" t="inlineStr">
        <is>
          <t>Children</t>
        </is>
      </c>
      <c r="D19" s="27" t="inlineStr">
        <is>
          <t>Aspect Ratio does not stretch or position children; Image-like media, iframe, Skeleton, and passive layout retain ownership.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tests/components/aspect-ratio/behavior.spec.ts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AR-12</t>
        </is>
      </c>
      <c r="B20" s="26" t="inlineStr">
        <is>
          <t>Composition</t>
        </is>
      </c>
      <c r="C20" s="26" t="inlineStr">
        <is>
          <t>Root</t>
        </is>
      </c>
      <c r="D20" s="27" t="inlineStr">
        <is>
          <t>Native attributes, events, class, style, custom slot, ref, asChild, and render remain supported without recipe leakage.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../test/components/aspect-ratio/aspect-ratio.test.tsx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AR-13</t>
        </is>
      </c>
      <c r="B21" s="26" t="inlineStr">
        <is>
          <t>Semantics</t>
        </is>
      </c>
      <c r="C21" s="26" t="inlineStr">
        <is>
          <t>Root / children</t>
        </is>
      </c>
      <c r="D21" s="27" t="inlineStr">
        <is>
          <t>Root adds no role, name, focus, state, or announcement while child image and iframe naming remains authoritative.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tests/components/aspect-ratio/behavior.spec.ts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AR-14</t>
        </is>
      </c>
      <c r="B22" s="26" t="inlineStr">
        <is>
          <t>Accessibility</t>
        </is>
      </c>
      <c r="C22" s="26" t="inlineStr">
        <is>
          <t>Root / children</t>
        </is>
      </c>
      <c r="D22" s="27" t="inlineStr">
        <is>
          <t>Authored semantics, focusable descendants, narrow containment, and the component-owned axe scan pass.</t>
        </is>
      </c>
      <c r="E22" s="26" t="inlineStr">
        <is>
          <t>package</t>
        </is>
      </c>
      <c r="F22" s="26" t="inlineStr">
        <is>
          <t>axe</t>
        </is>
      </c>
      <c r="G22" s="27" t="inlineStr">
        <is>
          <t>tests/components/aspect-ratio/behavior.spec.ts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AR-15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At narrow widths Root remains inline-contained and every ratio preserves its width-to-height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tests/components/aspect-ratio/behavior.spec.ts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AR-16</t>
        </is>
      </c>
      <c r="B24" s="26" t="inlineStr">
        <is>
          <t>RTL</t>
        </is>
      </c>
      <c r="C24" s="26" t="inlineStr">
        <is>
          <t>Root / children</t>
        </is>
      </c>
      <c r="D24" s="27" t="inlineStr">
        <is>
          <t>Direction-neutral geometry matches LTR while localized Arabic child content retains RTL direction.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tests/components/aspect-ratio/visual.spec.ts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Automated geometry passes; owner visual judgment remains open.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AR-17</t>
        </is>
      </c>
      <c r="B25" s="26" t="inlineStr">
        <is>
          <t>Appearance</t>
        </is>
      </c>
      <c r="C25" s="26" t="inlineStr">
        <is>
          <t>Root</t>
        </is>
      </c>
      <c r="D25" s="27" t="inlineStr">
        <is>
          <t>Light and dark badge scopes preserve neutral framing and the customized accent specimen remains legible.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tests/components/aspect-ratio/visual.spec.ts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appearance review remains open.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AR-18</t>
        </is>
      </c>
      <c r="B26" s="26" t="inlineStr">
        <is>
          <t>Preferences</t>
        </is>
      </c>
      <c r="C26" s="26" t="inlineStr">
        <is>
          <t>Root</t>
        </is>
      </c>
      <c r="D26" s="27" t="inlineStr">
        <is>
          <t>Forced colors preserves outline boundaries and reduced motion adds no component animation.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tests/components/aspect-ratio/visual.spec.ts; manual-tests/aspect-ratio.md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forced-color baseline exists; complete human preference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AR-19</t>
        </is>
      </c>
      <c r="B27" s="26" t="inlineStr">
        <is>
          <t>Customization</t>
        </is>
      </c>
      <c r="C27" s="26" t="inlineStr">
        <is>
          <t>Root</t>
        </is>
      </c>
      <c r="D27" s="27" t="inlineStr">
        <is>
          <t>Five public variables, class, slot, recipe attributes, and consumer style customize framing without overriding Atom ratio authority.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../test/components/aspect-ratio/aspect-ratio.test.tsx; ../docs/components/aspect-ratio/README.md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AR-20</t>
        </is>
      </c>
      <c r="B28" s="26" t="inlineStr">
        <is>
          <t>Playground</t>
        </is>
      </c>
      <c r="C28" s="26" t="inlineStr">
        <is>
          <t>Root</t>
        </is>
      </c>
      <c r="D28" s="27" t="inlineStr">
        <is>
          <t>One navigable Aspect Ratio route exposes nine deterministic scenarios with distinct real content and controlled comparisons.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src/components/aspect-ratio/AspectRatioPage.tsx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role, boundaries, anatomy, API, sizing caveat, recipes, semantics, composition, CSS, customization,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../docs/components/aspect-ratio/README.md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AspectRatio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../docs/components/aspect-ratio/CHANGELOG.md;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AR-23</t>
        </is>
      </c>
      <c r="B31" s="26" t="inlineStr">
        <is>
          <t>Consumer</t>
        </is>
      </c>
      <c r="C31" s="26" t="inlineStr">
        <is>
          <t>Root</t>
        </is>
      </c>
      <c r="D31" s="27" t="inlineStr">
        <is>
          <t>Packed Consumer composes Aspect Ratio from its public subpath with Badge/Text metadata inside a realistic project Card.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inlineStr">
        <is>
          <t>2026-07-28</t>
        </is>
      </c>
      <c r="K31" s="27" t="inlineStr">
        <is>
          <t>Tested through the packed public subpath in the real Consumer on desktop and mobile Chromium.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AR-24</t>
        </is>
      </c>
      <c r="B32" s="26" t="inlineStr">
        <is>
          <t>Visual</t>
        </is>
      </c>
      <c r="C32" s="26" t="inlineStr">
        <is>
          <t>Root / children</t>
        </is>
      </c>
      <c r="D32" s="27" t="inlineStr">
        <is>
          <t>Baselines cover overview, ratios, variants, radii, content, dark customization, mobile RTL, and forced colors.</t>
        </is>
      </c>
      <c r="E32" s="26" t="inlineStr">
        <is>
          <t>package</t>
        </is>
      </c>
      <c r="F32" s="26" t="inlineStr">
        <is>
          <t>visual</t>
        </is>
      </c>
      <c r="G32" s="27" t="inlineStr">
        <is>
          <t>tests/components/aspect-ratio/visual.spec.ts</t>
        </is>
      </c>
      <c r="H32" s="26" t="inlineStr">
        <is>
          <t>implemented</t>
        </is>
      </c>
      <c r="I32" s="26" t="inlineStr">
        <is>
          <t>yes</t>
        </is>
      </c>
      <c r="J32" s="28" t="n">
        <v>46231</v>
      </c>
      <c r="K32" s="27" t="inlineStr">
        <is>
          <t>Owner baseline review remains open.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AR-25</t>
        </is>
      </c>
      <c r="B33" s="26" t="inlineStr">
        <is>
          <t>Manual</t>
        </is>
      </c>
      <c r="C33" s="26" t="inlineStr">
        <is>
          <t>Root / children</t>
        </is>
      </c>
      <c r="D33" s="27" t="inlineStr">
        <is>
          <t>Owner reviews geometry, clipping, semantics, keyboard focus, zoom, touch, RTL, appearances, and preferences.</t>
        </is>
      </c>
      <c r="E33" s="26" t="inlineStr">
        <is>
          <t>package</t>
        </is>
      </c>
      <c r="F33" s="26" t="inlineStr">
        <is>
          <t>manual</t>
        </is>
      </c>
      <c r="G33" s="27" t="inlineStr">
        <is>
          <t>manual-tests/aspect-ratio.md</t>
        </is>
      </c>
      <c r="H33" s="26" t="inlineStr">
        <is>
          <t>not started</t>
        </is>
      </c>
      <c r="I33" s="26" t="inlineStr">
        <is>
          <t>yes</t>
        </is>
      </c>
      <c r="J33" s="28" t="n"/>
      <c r="K33" s="27" t="inlineStr">
        <is>
          <t>Human run intentionally unclaimed.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AR-26</t>
        </is>
      </c>
      <c r="B34" s="26" t="inlineStr">
        <is>
          <t>Package</t>
        </is>
      </c>
      <c r="C34" s="26" t="inlineStr">
        <is>
          <t>Artifact</t>
        </is>
      </c>
      <c r="D34" s="27" t="inlineStr">
        <is>
          <t>Build, declarations, exports, SSR, CSS, docs, tarball, React 18/19, browser matrix, and packed Consumer pass.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inlineStr">
        <is>
          <t>2026-07-28</t>
        </is>
      </c>
      <c r="K34" s="27" t="inlineStr">
        <is>
          <t>Unit, type, package, SSR, browser, visual, documentation, ownership, Consumer, and CSS build gates pass.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2026-07-28T19:15:24Z</dcterms:modified>
  <cp:lastModifiedBy>Flowstack</cp:lastModifiedBy>
  <cp:revision>0</cp:revision>
</cp:coreProperties>
</file>